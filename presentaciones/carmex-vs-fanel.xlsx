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  <sheet name="CURVA S" sheetId="3" state="visible" r:id="rId3"/>
  </sheets>
  <definedNames>
    <definedName name="_xlnm._FilterDatabase" localSheetId="1" hidden="1">'DATOS'!$A$1:$O$99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F2937"/>
      <sz val="11"/>
    </font>
    <font>
      <name val="Arial"/>
      <b val="1"/>
      <color rgb="FF1F3864"/>
      <sz val="14"/>
    </font>
    <font>
      <name val="Arial"/>
      <color rgb="FF667085"/>
      <sz val="9"/>
    </font>
    <font>
      <name val="Arial"/>
      <b val="1"/>
      <color rgb="FF1F3864"/>
      <sz val="16"/>
    </font>
    <font>
      <name val="Arial"/>
      <color rgb="FF475467"/>
      <sz val="11"/>
    </font>
    <font>
      <name val="Arial"/>
      <b val="1"/>
      <color rgb="FFB54708"/>
      <sz val="9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98A2B3"/>
      <sz val="8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CE7E0"/>
      </patternFill>
    </fill>
    <fill>
      <patternFill patternType="solid">
        <fgColor rgb="FFE3EDF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" fontId="2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1" pivotButton="0" quotePrefix="0" xfId="0"/>
    <xf numFmtId="0" fontId="9" fillId="0" borderId="1" pivotButton="0" quotePrefix="0" xfId="0"/>
    <xf numFmtId="1" fontId="0" fillId="3" borderId="1" applyAlignment="1" pivotButton="0" quotePrefix="0" xfId="0">
      <alignment horizontal="right"/>
    </xf>
    <xf numFmtId="1" fontId="0" fillId="4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right"/>
    </xf>
    <xf numFmtId="2" fontId="0" fillId="4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Avance acumulado por disparo — Carmex vs Fanel</a:t>
            </a:r>
          </a:p>
        </rich>
      </tx>
    </title>
    <plotArea>
      <lineChart>
        <grouping val="standard"/>
        <ser>
          <idx val="0"/>
          <order val="0"/>
          <tx>
            <strRef>
              <f>'CURVA S'!B8</f>
            </strRef>
          </tx>
          <spPr>
            <a:ln w="28000">
              <a:solidFill>
                <a:srgbClr val="E2663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 S'!$A$9:$A$63</f>
            </numRef>
          </cat>
          <val>
            <numRef>
              <f>'CURVA S'!$B$9:$B$63</f>
            </numRef>
          </val>
          <smooth val="0"/>
        </ser>
        <ser>
          <idx val="1"/>
          <order val="1"/>
          <tx>
            <strRef>
              <f>'CURVA S'!C8</f>
            </strRef>
          </tx>
          <spPr>
            <a:ln w="28000">
              <a:solidFill>
                <a:srgbClr val="2E6FD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 S'!$A$9:$A$63</f>
            </numRef>
          </cat>
          <val>
            <numRef>
              <f>'CURVA S'!$C$9:$C$63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Disparo acumulado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Metros acumulados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4" customWidth="1" min="3" max="3"/>
    <col width="14" customWidth="1" min="4" max="4"/>
    <col width="12" customWidth="1" min="5" max="5"/>
    <col width="10" customWidth="1" min="6" max="6"/>
    <col width="14" customWidth="1" min="7" max="7"/>
  </cols>
  <sheetData>
    <row r="1" ht="22" customHeight="1">
      <c r="A1" s="11" t="inlineStr">
        <is>
          <t>MEJORAS ALCANZADAS — CARMEX VS FANEL</t>
        </is>
      </c>
    </row>
    <row r="2">
      <c r="A2" s="12" t="inlineStr">
        <is>
          <t>Unidad Palca · Temual · Control de voladura · Cambio de iniciador en CR NE y Rampa Brenda</t>
        </is>
      </c>
    </row>
    <row r="3">
      <c r="A3" s="8" t="inlineStr">
        <is>
          <t>ALCANCE: solo disparos tipo AVANCE con KG TOTAL &gt; 0, y SOLO en CR NE y Rampa Brenda — 43 disparos con Carmex (25/08–11/09) y 55 con Fanel (12/09–25/09). El cuadro resumen del reporte cuenta además ESCM 4410, ESCM 4435 y GL NW 4, por eso ahí figuran 66 y 62 disparos (95.50 y 96.86 m): las dos cifras son correctas y miden alcances distintos.</t>
        </is>
      </c>
    </row>
    <row r="4"/>
    <row r="5"/>
    <row r="6">
      <c r="A6" s="13" t="inlineStr">
        <is>
          <t>OJO AL COMPARAR TOTALES: el avance total no se puede leer como mérito del iniciador, porque en el periodo Fanel se dispararon 55 veces y en el Carmex 43. Lo comparable es el METRAJE POR DISPARO y la regularidad.</t>
        </is>
      </c>
    </row>
    <row r="7"/>
    <row r="9">
      <c r="A9" s="1" t="inlineStr">
        <is>
          <t>Indicador</t>
        </is>
      </c>
      <c r="B9" s="1" t="inlineStr">
        <is>
          <t>Unidad</t>
        </is>
      </c>
      <c r="C9" s="1" t="inlineStr">
        <is>
          <t>CARMEX</t>
        </is>
      </c>
      <c r="D9" s="1" t="inlineStr">
        <is>
          <t>FANEL</t>
        </is>
      </c>
      <c r="E9" s="1" t="inlineStr">
        <is>
          <t>Variación</t>
        </is>
      </c>
      <c r="F9" s="1" t="inlineStr">
        <is>
          <t>Deseado</t>
        </is>
      </c>
      <c r="G9" s="1" t="inlineStr">
        <is>
          <t>Evaluación</t>
        </is>
      </c>
    </row>
    <row r="10">
      <c r="A10" s="14" t="inlineStr">
        <is>
          <t>N° de disparos de avance</t>
        </is>
      </c>
      <c r="B10" s="15" t="inlineStr">
        <is>
          <t>disp.</t>
        </is>
      </c>
      <c r="C10" s="16">
        <f>COUNTIFS(DATOS!$D$2:$D$99,"Carmex")</f>
        <v/>
      </c>
      <c r="D10" s="17">
        <f>COUNTIFS(DATOS!$D$2:$D$99,"Fanel")</f>
        <v/>
      </c>
      <c r="E10" s="18">
        <f>IF(C10=0,"",D10/C10-1)</f>
        <v/>
      </c>
      <c r="F10" s="19" t="n">
        <v>0</v>
      </c>
      <c r="G10" s="20">
        <f>IF(F10=0,"Referencia",IF(SIGN(D10-C10)=F10,"MEJORA",IF(D10=C10,"IGUAL","RETROCESO")))</f>
        <v/>
      </c>
    </row>
    <row r="11">
      <c r="A11" s="14" t="inlineStr">
        <is>
          <t>Días con disparo</t>
        </is>
      </c>
      <c r="B11" s="15" t="inlineStr">
        <is>
          <t>días</t>
        </is>
      </c>
      <c r="C11" s="16">
        <f>15</f>
        <v/>
      </c>
      <c r="D11" s="17">
        <f>14</f>
        <v/>
      </c>
      <c r="E11" s="18">
        <f>IF(C11=0,"",D11/C11-1)</f>
        <v/>
      </c>
      <c r="F11" s="19" t="n">
        <v>0</v>
      </c>
      <c r="G11" s="20">
        <f>IF(F11=0,"Referencia",IF(SIGN(D11-C11)=F11,"MEJORA",IF(D11=C11,"IGUAL","RETROCESO")))</f>
        <v/>
      </c>
    </row>
    <row r="12">
      <c r="A12" s="14" t="inlineStr">
        <is>
          <t>Avance total</t>
        </is>
      </c>
      <c r="B12" s="15" t="inlineStr">
        <is>
          <t>m</t>
        </is>
      </c>
      <c r="C12" s="21">
        <f>SUMIFS(DATOS!$E$2:$E$99,DATOS!$D$2:$D$99,"Carmex")</f>
        <v/>
      </c>
      <c r="D12" s="22">
        <f>SUMIFS(DATOS!$E$2:$E$99,DATOS!$D$2:$D$99,"Fanel")</f>
        <v/>
      </c>
      <c r="E12" s="18">
        <f>IF(C12=0,"",D12/C12-1)</f>
        <v/>
      </c>
      <c r="F12" s="19" t="n">
        <v>0</v>
      </c>
      <c r="G12" s="20">
        <f>IF(F12=0,"Referencia",IF(SIGN(D12-C12)=F12,"MEJORA",IF(D12=C12,"IGUAL","RETROCESO")))</f>
        <v/>
      </c>
    </row>
    <row r="13">
      <c r="A13" s="14" t="inlineStr">
        <is>
          <t>Avance promedio por disparo</t>
        </is>
      </c>
      <c r="B13" s="15" t="inlineStr">
        <is>
          <t>m/disp.</t>
        </is>
      </c>
      <c r="C13" s="23">
        <f>AVERAGEIFS(DATOS!$E$2:$E$99,DATOS!$D$2:$D$99,"Carmex")</f>
        <v/>
      </c>
      <c r="D13" s="24">
        <f>AVERAGEIFS(DATOS!$E$2:$E$99,DATOS!$D$2:$D$99,"Fanel")</f>
        <v/>
      </c>
      <c r="E13" s="18">
        <f>IF(C13=0,"",D13/C13-1)</f>
        <v/>
      </c>
      <c r="F13" s="19" t="n">
        <v>1</v>
      </c>
      <c r="G13" s="20">
        <f>IF(F13=0,"Referencia",IF(SIGN(D13-C13)=F13,"MEJORA",IF(D13=C13,"IGUAL","RETROCESO")))</f>
        <v/>
      </c>
    </row>
    <row r="14">
      <c r="A14" s="14" t="inlineStr">
        <is>
          <t>Desviación estándar del avance</t>
        </is>
      </c>
      <c r="B14" s="15" t="inlineStr">
        <is>
          <t>m</t>
        </is>
      </c>
      <c r="C14" s="23">
        <f>STDEV(DATOS!$N$2:$N$99)</f>
        <v/>
      </c>
      <c r="D14" s="24">
        <f>STDEV(DATOS!$O$2:$O$99)</f>
        <v/>
      </c>
      <c r="E14" s="18">
        <f>IF(C14=0,"",D14/C14-1)</f>
        <v/>
      </c>
      <c r="F14" s="19" t="n">
        <v>-1</v>
      </c>
      <c r="G14" s="20">
        <f>IF(F14=0,"Referencia",IF(SIGN(D14-C14)=F14,"MEJORA",IF(D14=C14,"IGUAL","RETROCESO")))</f>
        <v/>
      </c>
    </row>
    <row r="15">
      <c r="A15" s="14" t="inlineStr">
        <is>
          <t>Avance mínimo</t>
        </is>
      </c>
      <c r="B15" s="15" t="inlineStr">
        <is>
          <t>m</t>
        </is>
      </c>
      <c r="C15" s="21">
        <f>MIN(DATOS!$N$2:$N$99)</f>
        <v/>
      </c>
      <c r="D15" s="22">
        <f>MIN(DATOS!$O$2:$O$99)</f>
        <v/>
      </c>
      <c r="E15" s="18">
        <f>IF(C15=0,"",D15/C15-1)</f>
        <v/>
      </c>
      <c r="F15" s="19" t="n">
        <v>1</v>
      </c>
      <c r="G15" s="20">
        <f>IF(F15=0,"Referencia",IF(SIGN(D15-C15)=F15,"MEJORA",IF(D15=C15,"IGUAL","RETROCESO")))</f>
        <v/>
      </c>
    </row>
    <row r="16">
      <c r="A16" s="14" t="inlineStr">
        <is>
          <t>Avance máximo</t>
        </is>
      </c>
      <c r="B16" s="15" t="inlineStr">
        <is>
          <t>m</t>
        </is>
      </c>
      <c r="C16" s="21">
        <f>MAX(DATOS!$N$2:$N$99)</f>
        <v/>
      </c>
      <c r="D16" s="22">
        <f>MAX(DATOS!$O$2:$O$99)</f>
        <v/>
      </c>
      <c r="E16" s="18">
        <f>IF(C16=0,"",D16/C16-1)</f>
        <v/>
      </c>
      <c r="F16" s="19" t="n">
        <v>1</v>
      </c>
      <c r="G16" s="20">
        <f>IF(F16=0,"Referencia",IF(SIGN(D16-C16)=F16,"MEJORA",IF(D16=C16,"IGUAL","RETROCESO")))</f>
        <v/>
      </c>
    </row>
    <row r="17">
      <c r="A17" s="14" t="inlineStr">
        <is>
          <t>Eficiencia de voladura</t>
        </is>
      </c>
      <c r="B17" s="15" t="inlineStr">
        <is>
          <t>%</t>
        </is>
      </c>
      <c r="C17" s="25">
        <f>AVERAGEIFS(DATOS!$E$2:$E$99,DATOS!$D$2:$D$99,"Carmex")/1.755648</f>
        <v/>
      </c>
      <c r="D17" s="26">
        <f>AVERAGEIFS(DATOS!$E$2:$E$99,DATOS!$D$2:$D$99,"Fanel")/1.755648</f>
        <v/>
      </c>
      <c r="E17" s="18">
        <f>IF(C17=0,"",D17/C17-1)</f>
        <v/>
      </c>
      <c r="F17" s="19" t="n">
        <v>1</v>
      </c>
      <c r="G17" s="20">
        <f>IF(F17=0,"Referencia",IF(SIGN(D17-C17)=F17,"MEJORA",IF(D17=C17,"IGUAL","RETROCESO")))</f>
        <v/>
      </c>
    </row>
    <row r="18">
      <c r="A18" s="14" t="inlineStr">
        <is>
          <t>Disparos deficientes (&lt; 1.40 m)</t>
        </is>
      </c>
      <c r="B18" s="15" t="inlineStr">
        <is>
          <t>disp.</t>
        </is>
      </c>
      <c r="C18" s="16">
        <f>COUNTIFS(DATOS!$D$2:$D$99,"Carmex",DATOS!$E$2:$E$99,"&lt;1.4")</f>
        <v/>
      </c>
      <c r="D18" s="17">
        <f>COUNTIFS(DATOS!$D$2:$D$99,"Fanel",DATOS!$E$2:$E$99,"&lt;1.4")</f>
        <v/>
      </c>
      <c r="E18" s="18">
        <f>IF(C18=0,"",D18/C18-1)</f>
        <v/>
      </c>
      <c r="F18" s="19" t="n">
        <v>-1</v>
      </c>
      <c r="G18" s="20">
        <f>IF(F18=0,"Referencia",IF(SIGN(D18-C18)=F18,"MEJORA",IF(D18=C18,"IGUAL","RETROCESO")))</f>
        <v/>
      </c>
    </row>
    <row r="19">
      <c r="A19" s="14" t="inlineStr">
        <is>
          <t>Explosivo total consumido</t>
        </is>
      </c>
      <c r="B19" s="15" t="inlineStr">
        <is>
          <t>kg</t>
        </is>
      </c>
      <c r="C19" s="27">
        <f>SUMIFS(DATOS!$H$2:$H$99,DATOS!$D$2:$D$99,"Carmex")</f>
        <v/>
      </c>
      <c r="D19" s="28">
        <f>SUMIFS(DATOS!$H$2:$H$99,DATOS!$D$2:$D$99,"Fanel")</f>
        <v/>
      </c>
      <c r="E19" s="18">
        <f>IF(C19=0,"",D19/C19-1)</f>
        <v/>
      </c>
      <c r="F19" s="19" t="n">
        <v>0</v>
      </c>
      <c r="G19" s="20">
        <f>IF(F19=0,"Referencia",IF(SIGN(D19-C19)=F19,"MEJORA",IF(D19=C19,"IGUAL","RETROCESO")))</f>
        <v/>
      </c>
    </row>
    <row r="20">
      <c r="A20" s="14" t="inlineStr">
        <is>
          <t>Explosivo por disparo</t>
        </is>
      </c>
      <c r="B20" s="15" t="inlineStr">
        <is>
          <t>kg/disp.</t>
        </is>
      </c>
      <c r="C20" s="21">
        <f>AVERAGEIFS(DATOS!$H$2:$H$99,DATOS!$D$2:$D$99,"Carmex")</f>
        <v/>
      </c>
      <c r="D20" s="22">
        <f>AVERAGEIFS(DATOS!$H$2:$H$99,DATOS!$D$2:$D$99,"Fanel")</f>
        <v/>
      </c>
      <c r="E20" s="18">
        <f>IF(C20=0,"",D20/C20-1)</f>
        <v/>
      </c>
      <c r="F20" s="19" t="n">
        <v>-1</v>
      </c>
      <c r="G20" s="20">
        <f>IF(F20=0,"Referencia",IF(SIGN(D20-C20)=F20,"MEJORA",IF(D20=C20,"IGUAL","RETROCESO")))</f>
        <v/>
      </c>
    </row>
    <row r="21">
      <c r="A21" s="14" t="inlineStr">
        <is>
          <t>Volumen real roto</t>
        </is>
      </c>
      <c r="B21" s="15" t="inlineStr">
        <is>
          <t>m³</t>
        </is>
      </c>
      <c r="C21" s="27">
        <f>SUMIFS(DATOS!$I$2:$I$99,DATOS!$D$2:$D$99,"Carmex")</f>
        <v/>
      </c>
      <c r="D21" s="28">
        <f>SUMIFS(DATOS!$I$2:$I$99,DATOS!$D$2:$D$99,"Fanel")</f>
        <v/>
      </c>
      <c r="E21" s="18">
        <f>IF(C21=0,"",D21/C21-1)</f>
        <v/>
      </c>
      <c r="F21" s="19" t="n">
        <v>1</v>
      </c>
      <c r="G21" s="20">
        <f>IF(F21=0,"Referencia",IF(SIGN(D21-C21)=F21,"MEJORA",IF(D21=C21,"IGUAL","RETROCESO")))</f>
        <v/>
      </c>
    </row>
    <row r="22">
      <c r="A22" s="14" t="inlineStr">
        <is>
          <t>Factor de carga real</t>
        </is>
      </c>
      <c r="B22" s="15" t="inlineStr">
        <is>
          <t>kg/m³</t>
        </is>
      </c>
      <c r="C22" s="23">
        <f>SUMIFS(DATOS!$H$2:$H$99,DATOS!$D$2:$D$99,"Carmex")/SUMIFS(DATOS!$I$2:$I$99,DATOS!$D$2:$D$99,"Carmex")</f>
        <v/>
      </c>
      <c r="D22" s="24">
        <f>SUMIFS(DATOS!$H$2:$H$99,DATOS!$D$2:$D$99,"Fanel")/SUMIFS(DATOS!$I$2:$I$99,DATOS!$D$2:$D$99,"Fanel")</f>
        <v/>
      </c>
      <c r="E22" s="18">
        <f>IF(C22=0,"",D22/C22-1)</f>
        <v/>
      </c>
      <c r="F22" s="19" t="n">
        <v>-1</v>
      </c>
      <c r="G22" s="20">
        <f>IF(F22=0,"Referencia",IF(SIGN(D22-C22)=F22,"MEJORA",IF(D22=C22,"IGUAL","RETROCESO")))</f>
        <v/>
      </c>
    </row>
    <row r="23">
      <c r="A23" s="14" t="inlineStr">
        <is>
          <t>Factor de avance (explosivo por metro)</t>
        </is>
      </c>
      <c r="B23" s="15" t="inlineStr">
        <is>
          <t>kg/m</t>
        </is>
      </c>
      <c r="C23" s="21">
        <f>SUMIFS(DATOS!$H$2:$H$99,DATOS!$D$2:$D$99,"Carmex")/SUMIFS(DATOS!$E$2:$E$99,DATOS!$D$2:$D$99,"Carmex")</f>
        <v/>
      </c>
      <c r="D23" s="22">
        <f>SUMIFS(DATOS!$H$2:$H$99,DATOS!$D$2:$D$99,"Fanel")/SUMIFS(DATOS!$E$2:$E$99,DATOS!$D$2:$D$99,"Fanel")</f>
        <v/>
      </c>
      <c r="E23" s="18">
        <f>IF(C23=0,"",D23/C23-1)</f>
        <v/>
      </c>
      <c r="F23" s="19" t="n">
        <v>-1</v>
      </c>
      <c r="G23" s="20">
        <f>IF(F23=0,"Referencia",IF(SIGN(D23-C23)=F23,"MEJORA",IF(D23=C23,"IGUAL","RETROCESO")))</f>
        <v/>
      </c>
    </row>
    <row r="24">
      <c r="A24" s="14" t="inlineStr">
        <is>
          <t>Sobrerotura promedio</t>
        </is>
      </c>
      <c r="B24" s="15" t="inlineStr">
        <is>
          <t>%</t>
        </is>
      </c>
      <c r="C24" s="25">
        <f>AVERAGEIFS(DATOS!$J$2:$J$99,DATOS!$D$2:$D$99,"Carmex")</f>
        <v/>
      </c>
      <c r="D24" s="26">
        <f>AVERAGEIFS(DATOS!$J$2:$J$99,DATOS!$D$2:$D$99,"Fanel")</f>
        <v/>
      </c>
      <c r="E24" s="18">
        <f>IF(C24=0,"",D24/C24-1)</f>
        <v/>
      </c>
      <c r="F24" s="19" t="n">
        <v>-1</v>
      </c>
      <c r="G24" s="20">
        <f>IF(F24=0,"Referencia",IF(SIGN(D24-C24)=F24,"MEJORA",IF(D24=C24,"IGUAL","RETROCESO")))</f>
        <v/>
      </c>
    </row>
    <row r="26">
      <c r="A26" s="29" t="inlineStr">
        <is>
          <t>Fuente: REPORTE CONTROL DE VOLADURA UNIDAD PALCA – TEMUAL – SETIEMBRE, hoja BASE DE DATOS. Eficiencia = avance / perforación efectiva (6 pies × 0.3048 × 96% = 1.756 m). Factores calculados como cociente de totales.</t>
        </is>
      </c>
    </row>
    <row r="27"/>
  </sheetData>
  <mergeCells count="3">
    <mergeCell ref="A3:G5"/>
    <mergeCell ref="A26:G27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0" customWidth="1" min="4" max="4"/>
    <col width="12" customWidth="1" min="5" max="5"/>
    <col width="16" customWidth="1" min="6" max="6"/>
    <col width="11" customWidth="1" min="7" max="7"/>
    <col width="14" customWidth="1" min="8" max="8"/>
    <col width="16" customWidth="1" min="9" max="9"/>
    <col width="12" customWidth="1" min="10" max="10"/>
    <col width="10" customWidth="1" min="11" max="11"/>
    <col width="16" customWidth="1" min="12" max="12"/>
    <col width="20" customWidth="1" min="13" max="13"/>
    <col width="14" customWidth="1" min="14" max="14"/>
    <col width="14" customWidth="1" min="15" max="15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Labor</t>
        </is>
      </c>
      <c r="D1" s="1" t="inlineStr">
        <is>
          <t>Periodo</t>
        </is>
      </c>
      <c r="E1" s="1" t="inlineStr">
        <is>
          <t>Avance (m)</t>
        </is>
      </c>
      <c r="F1" s="1" t="inlineStr">
        <is>
          <t>Perf. efectiva (m)</t>
        </is>
      </c>
      <c r="G1" s="1" t="inlineStr">
        <is>
          <t>Eficiencia</t>
        </is>
      </c>
      <c r="H1" s="1" t="inlineStr">
        <is>
          <t>Explosivo (kg)</t>
        </is>
      </c>
      <c r="I1" s="1" t="inlineStr">
        <is>
          <t>Volumen roto (m³)</t>
        </is>
      </c>
      <c r="J1" s="1" t="inlineStr">
        <is>
          <t>Sobrerotura</t>
        </is>
      </c>
      <c r="K1" s="1" t="inlineStr">
        <is>
          <t>kg/m</t>
        </is>
      </c>
      <c r="L1" s="1" t="inlineStr">
        <is>
          <t>N° disparo del periodo</t>
        </is>
      </c>
      <c r="M1" s="1" t="inlineStr">
        <is>
          <t>Acumulado del periodo (m)</t>
        </is>
      </c>
      <c r="N1" s="1" t="inlineStr">
        <is>
          <t>Avance si Carmex</t>
        </is>
      </c>
      <c r="O1" s="1" t="inlineStr">
        <is>
          <t>Avance si Fanel</t>
        </is>
      </c>
    </row>
    <row r="2">
      <c r="A2" s="2" t="inlineStr">
        <is>
          <t>2026-08-25</t>
        </is>
      </c>
      <c r="B2" s="2" t="inlineStr">
        <is>
          <t>D</t>
        </is>
      </c>
      <c r="C2" s="2" t="inlineStr">
        <is>
          <t>CR NE</t>
        </is>
      </c>
      <c r="D2" s="2" t="inlineStr">
        <is>
          <t>Carmex</t>
        </is>
      </c>
      <c r="E2" s="3" t="n">
        <v>1.5</v>
      </c>
      <c r="F2" s="3" t="n">
        <v>1.755648</v>
      </c>
      <c r="G2" s="4">
        <f>IF(F2=0,"",E2/F2)</f>
        <v/>
      </c>
      <c r="H2" s="5" t="n">
        <v>39.443</v>
      </c>
      <c r="I2" s="5" t="n">
        <v>15.359</v>
      </c>
      <c r="J2" s="4" t="n">
        <v>0.137678</v>
      </c>
      <c r="K2" s="5">
        <f>IF(E2=0,"",H2/E2)</f>
        <v/>
      </c>
      <c r="L2" s="6">
        <f>COUNTIF($D$2:$D2,D2)</f>
        <v/>
      </c>
      <c r="M2" s="3">
        <f>SUMIFS($E$2:$E2,$D$2:$D2,D2)</f>
        <v/>
      </c>
      <c r="N2" s="6">
        <f>IF(D2="Carmex",E2,"")</f>
        <v/>
      </c>
      <c r="O2" s="6">
        <f>IF(D2="Fanel",E2,"")</f>
        <v/>
      </c>
    </row>
    <row r="3">
      <c r="A3" s="2" t="inlineStr">
        <is>
          <t>2026-08-25</t>
        </is>
      </c>
      <c r="B3" s="2" t="inlineStr">
        <is>
          <t>D</t>
        </is>
      </c>
      <c r="C3" s="2" t="inlineStr">
        <is>
          <t>Rampa Brenda</t>
        </is>
      </c>
      <c r="D3" s="2" t="inlineStr">
        <is>
          <t>Carmex</t>
        </is>
      </c>
      <c r="E3" s="3" t="n">
        <v>1.5</v>
      </c>
      <c r="F3" s="3" t="n">
        <v>1.755648</v>
      </c>
      <c r="G3" s="4">
        <f>IF(F3=0,"",E3/F3)</f>
        <v/>
      </c>
      <c r="H3" s="5" t="n">
        <v>36.641</v>
      </c>
      <c r="I3" s="5" t="n">
        <v>20.757</v>
      </c>
      <c r="J3" s="4" t="n">
        <v>0.129657</v>
      </c>
      <c r="K3" s="5">
        <f>IF(E3=0,"",H3/E3)</f>
        <v/>
      </c>
      <c r="L3" s="6">
        <f>COUNTIF($D$2:$D3,D3)</f>
        <v/>
      </c>
      <c r="M3" s="3">
        <f>SUMIFS($E$2:$E3,$D$2:$D3,D3)</f>
        <v/>
      </c>
      <c r="N3" s="6">
        <f>IF(D3="Carmex",E3,"")</f>
        <v/>
      </c>
      <c r="O3" s="6">
        <f>IF(D3="Fanel",E3,"")</f>
        <v/>
      </c>
    </row>
    <row r="4">
      <c r="A4" s="2" t="inlineStr">
        <is>
          <t>2026-08-26</t>
        </is>
      </c>
      <c r="B4" s="2" t="inlineStr">
        <is>
          <t>N</t>
        </is>
      </c>
      <c r="C4" s="2" t="inlineStr">
        <is>
          <t>CR NE</t>
        </is>
      </c>
      <c r="D4" s="2" t="inlineStr">
        <is>
          <t>Carmex</t>
        </is>
      </c>
      <c r="E4" s="3" t="n">
        <v>1.48</v>
      </c>
      <c r="F4" s="3" t="n">
        <v>1.755648</v>
      </c>
      <c r="G4" s="4">
        <f>IF(F4=0,"",E4/F4)</f>
        <v/>
      </c>
      <c r="H4" s="5" t="n">
        <v>39.443</v>
      </c>
      <c r="I4" s="5" t="n">
        <v>15.154</v>
      </c>
      <c r="J4" s="4" t="n">
        <v>0.137678</v>
      </c>
      <c r="K4" s="5">
        <f>IF(E4=0,"",H4/E4)</f>
        <v/>
      </c>
      <c r="L4" s="6">
        <f>COUNTIF($D$2:$D4,D4)</f>
        <v/>
      </c>
      <c r="M4" s="3">
        <f>SUMIFS($E$2:$E4,$D$2:$D4,D4)</f>
        <v/>
      </c>
      <c r="N4" s="6">
        <f>IF(D4="Carmex",E4,"")</f>
        <v/>
      </c>
      <c r="O4" s="6">
        <f>IF(D4="Fanel",E4,"")</f>
        <v/>
      </c>
    </row>
    <row r="5">
      <c r="A5" s="2" t="inlineStr">
        <is>
          <t>2026-08-26</t>
        </is>
      </c>
      <c r="B5" s="2" t="inlineStr">
        <is>
          <t>N</t>
        </is>
      </c>
      <c r="C5" s="2" t="inlineStr">
        <is>
          <t>CR NE</t>
        </is>
      </c>
      <c r="D5" s="2" t="inlineStr">
        <is>
          <t>Carmex</t>
        </is>
      </c>
      <c r="E5" s="3" t="n">
        <v>1.48</v>
      </c>
      <c r="F5" s="3" t="n">
        <v>1.755648</v>
      </c>
      <c r="G5" s="4">
        <f>IF(F5=0,"",E5/F5)</f>
        <v/>
      </c>
      <c r="H5" s="5" t="n">
        <v>39.443</v>
      </c>
      <c r="I5" s="5" t="n">
        <v>15.154</v>
      </c>
      <c r="J5" s="4" t="n">
        <v>0.137678</v>
      </c>
      <c r="K5" s="5">
        <f>IF(E5=0,"",H5/E5)</f>
        <v/>
      </c>
      <c r="L5" s="6">
        <f>COUNTIF($D$2:$D5,D5)</f>
        <v/>
      </c>
      <c r="M5" s="3">
        <f>SUMIFS($E$2:$E5,$D$2:$D5,D5)</f>
        <v/>
      </c>
      <c r="N5" s="6">
        <f>IF(D5="Carmex",E5,"")</f>
        <v/>
      </c>
      <c r="O5" s="6">
        <f>IF(D5="Fanel",E5,"")</f>
        <v/>
      </c>
    </row>
    <row r="6">
      <c r="A6" s="2" t="inlineStr">
        <is>
          <t>2026-08-26</t>
        </is>
      </c>
      <c r="B6" s="2" t="inlineStr">
        <is>
          <t>D</t>
        </is>
      </c>
      <c r="C6" s="2" t="inlineStr">
        <is>
          <t>CR NE</t>
        </is>
      </c>
      <c r="D6" s="2" t="inlineStr">
        <is>
          <t>Carmex</t>
        </is>
      </c>
      <c r="E6" s="3" t="n">
        <v>1.5</v>
      </c>
      <c r="F6" s="3" t="n">
        <v>1.755648</v>
      </c>
      <c r="G6" s="4">
        <f>IF(F6=0,"",E6/F6)</f>
        <v/>
      </c>
      <c r="H6" s="5" t="n">
        <v>39.443</v>
      </c>
      <c r="I6" s="5" t="n">
        <v>15.359</v>
      </c>
      <c r="J6" s="4" t="n">
        <v>0.137678</v>
      </c>
      <c r="K6" s="5">
        <f>IF(E6=0,"",H6/E6)</f>
        <v/>
      </c>
      <c r="L6" s="6">
        <f>COUNTIF($D$2:$D6,D6)</f>
        <v/>
      </c>
      <c r="M6" s="3">
        <f>SUMIFS($E$2:$E6,$D$2:$D6,D6)</f>
        <v/>
      </c>
      <c r="N6" s="6">
        <f>IF(D6="Carmex",E6,"")</f>
        <v/>
      </c>
      <c r="O6" s="6">
        <f>IF(D6="Fanel",E6,"")</f>
        <v/>
      </c>
    </row>
    <row r="7">
      <c r="A7" s="2" t="inlineStr">
        <is>
          <t>2026-08-26</t>
        </is>
      </c>
      <c r="B7" s="2" t="inlineStr">
        <is>
          <t>N</t>
        </is>
      </c>
      <c r="C7" s="2" t="inlineStr">
        <is>
          <t>Rampa Brenda</t>
        </is>
      </c>
      <c r="D7" s="2" t="inlineStr">
        <is>
          <t>Carmex</t>
        </is>
      </c>
      <c r="E7" s="3" t="n">
        <v>1.49</v>
      </c>
      <c r="F7" s="3" t="n">
        <v>1.755648</v>
      </c>
      <c r="G7" s="4">
        <f>IF(F7=0,"",E7/F7)</f>
        <v/>
      </c>
      <c r="H7" s="5" t="n">
        <v>36.641</v>
      </c>
      <c r="I7" s="5" t="n">
        <v>20.619</v>
      </c>
      <c r="J7" s="4" t="n">
        <v>0.129657</v>
      </c>
      <c r="K7" s="5">
        <f>IF(E7=0,"",H7/E7)</f>
        <v/>
      </c>
      <c r="L7" s="6">
        <f>COUNTIF($D$2:$D7,D7)</f>
        <v/>
      </c>
      <c r="M7" s="3">
        <f>SUMIFS($E$2:$E7,$D$2:$D7,D7)</f>
        <v/>
      </c>
      <c r="N7" s="6">
        <f>IF(D7="Carmex",E7,"")</f>
        <v/>
      </c>
      <c r="O7" s="6">
        <f>IF(D7="Fanel",E7,"")</f>
        <v/>
      </c>
    </row>
    <row r="8">
      <c r="A8" s="2" t="inlineStr">
        <is>
          <t>2026-08-26</t>
        </is>
      </c>
      <c r="B8" s="2" t="inlineStr">
        <is>
          <t>D</t>
        </is>
      </c>
      <c r="C8" s="2" t="inlineStr">
        <is>
          <t>Rampa Brenda</t>
        </is>
      </c>
      <c r="D8" s="2" t="inlineStr">
        <is>
          <t>Carmex</t>
        </is>
      </c>
      <c r="E8" s="3" t="n">
        <v>1.5</v>
      </c>
      <c r="F8" s="3" t="n">
        <v>1.755648</v>
      </c>
      <c r="G8" s="4">
        <f>IF(F8=0,"",E8/F8)</f>
        <v/>
      </c>
      <c r="H8" s="5" t="n">
        <v>36.641</v>
      </c>
      <c r="I8" s="5" t="n">
        <v>20.757</v>
      </c>
      <c r="J8" s="4" t="n">
        <v>0.129657</v>
      </c>
      <c r="K8" s="5">
        <f>IF(E8=0,"",H8/E8)</f>
        <v/>
      </c>
      <c r="L8" s="6">
        <f>COUNTIF($D$2:$D8,D8)</f>
        <v/>
      </c>
      <c r="M8" s="3">
        <f>SUMIFS($E$2:$E8,$D$2:$D8,D8)</f>
        <v/>
      </c>
      <c r="N8" s="6">
        <f>IF(D8="Carmex",E8,"")</f>
        <v/>
      </c>
      <c r="O8" s="6">
        <f>IF(D8="Fanel",E8,"")</f>
        <v/>
      </c>
    </row>
    <row r="9">
      <c r="A9" s="2" t="inlineStr">
        <is>
          <t>2026-08-27</t>
        </is>
      </c>
      <c r="B9" s="2" t="inlineStr">
        <is>
          <t>N</t>
        </is>
      </c>
      <c r="C9" s="2" t="inlineStr">
        <is>
          <t>CR NE</t>
        </is>
      </c>
      <c r="D9" s="2" t="inlineStr">
        <is>
          <t>Carmex</t>
        </is>
      </c>
      <c r="E9" s="3" t="n">
        <v>1.58</v>
      </c>
      <c r="F9" s="3" t="n">
        <v>1.755648</v>
      </c>
      <c r="G9" s="4">
        <f>IF(F9=0,"",E9/F9)</f>
        <v/>
      </c>
      <c r="H9" s="5" t="n">
        <v>39.443</v>
      </c>
      <c r="I9" s="5" t="n">
        <v>16.178</v>
      </c>
      <c r="J9" s="4" t="n">
        <v>0.137678</v>
      </c>
      <c r="K9" s="5">
        <f>IF(E9=0,"",H9/E9)</f>
        <v/>
      </c>
      <c r="L9" s="6">
        <f>COUNTIF($D$2:$D9,D9)</f>
        <v/>
      </c>
      <c r="M9" s="3">
        <f>SUMIFS($E$2:$E9,$D$2:$D9,D9)</f>
        <v/>
      </c>
      <c r="N9" s="6">
        <f>IF(D9="Carmex",E9,"")</f>
        <v/>
      </c>
      <c r="O9" s="6">
        <f>IF(D9="Fanel",E9,"")</f>
        <v/>
      </c>
    </row>
    <row r="10">
      <c r="A10" s="2" t="inlineStr">
        <is>
          <t>2026-08-27</t>
        </is>
      </c>
      <c r="B10" s="2" t="inlineStr">
        <is>
          <t>D</t>
        </is>
      </c>
      <c r="C10" s="2" t="inlineStr">
        <is>
          <t>CR NE</t>
        </is>
      </c>
      <c r="D10" s="2" t="inlineStr">
        <is>
          <t>Carmex</t>
        </is>
      </c>
      <c r="E10" s="3" t="n">
        <v>1.48</v>
      </c>
      <c r="F10" s="3" t="n">
        <v>1.755648</v>
      </c>
      <c r="G10" s="4">
        <f>IF(F10=0,"",E10/F10)</f>
        <v/>
      </c>
      <c r="H10" s="5" t="n">
        <v>39.443</v>
      </c>
      <c r="I10" s="5" t="n">
        <v>15.154</v>
      </c>
      <c r="J10" s="4" t="n">
        <v>0.137678</v>
      </c>
      <c r="K10" s="5">
        <f>IF(E10=0,"",H10/E10)</f>
        <v/>
      </c>
      <c r="L10" s="6">
        <f>COUNTIF($D$2:$D10,D10)</f>
        <v/>
      </c>
      <c r="M10" s="3">
        <f>SUMIFS($E$2:$E10,$D$2:$D10,D10)</f>
        <v/>
      </c>
      <c r="N10" s="6">
        <f>IF(D10="Carmex",E10,"")</f>
        <v/>
      </c>
      <c r="O10" s="6">
        <f>IF(D10="Fanel",E10,"")</f>
        <v/>
      </c>
    </row>
    <row r="11">
      <c r="A11" s="2" t="inlineStr">
        <is>
          <t>2026-08-27</t>
        </is>
      </c>
      <c r="B11" s="2" t="inlineStr">
        <is>
          <t>N</t>
        </is>
      </c>
      <c r="C11" s="2" t="inlineStr">
        <is>
          <t>Rampa Brenda</t>
        </is>
      </c>
      <c r="D11" s="2" t="inlineStr">
        <is>
          <t>Carmex</t>
        </is>
      </c>
      <c r="E11" s="3" t="n">
        <v>1.48</v>
      </c>
      <c r="F11" s="3" t="n">
        <v>1.755648</v>
      </c>
      <c r="G11" s="4">
        <f>IF(F11=0,"",E11/F11)</f>
        <v/>
      </c>
      <c r="H11" s="5" t="n">
        <v>36.641</v>
      </c>
      <c r="I11" s="5" t="n">
        <v>20.481</v>
      </c>
      <c r="J11" s="4" t="n">
        <v>0.129657</v>
      </c>
      <c r="K11" s="5">
        <f>IF(E11=0,"",H11/E11)</f>
        <v/>
      </c>
      <c r="L11" s="6">
        <f>COUNTIF($D$2:$D11,D11)</f>
        <v/>
      </c>
      <c r="M11" s="3">
        <f>SUMIFS($E$2:$E11,$D$2:$D11,D11)</f>
        <v/>
      </c>
      <c r="N11" s="6">
        <f>IF(D11="Carmex",E11,"")</f>
        <v/>
      </c>
      <c r="O11" s="6">
        <f>IF(D11="Fanel",E11,"")</f>
        <v/>
      </c>
    </row>
    <row r="12">
      <c r="A12" s="2" t="inlineStr">
        <is>
          <t>2026-08-27</t>
        </is>
      </c>
      <c r="B12" s="2" t="inlineStr">
        <is>
          <t>D</t>
        </is>
      </c>
      <c r="C12" s="2" t="inlineStr">
        <is>
          <t>Rampa Brenda</t>
        </is>
      </c>
      <c r="D12" s="2" t="inlineStr">
        <is>
          <t>Carmex</t>
        </is>
      </c>
      <c r="E12" s="3" t="n">
        <v>1.51</v>
      </c>
      <c r="F12" s="3" t="n">
        <v>1.755648</v>
      </c>
      <c r="G12" s="4">
        <f>IF(F12=0,"",E12/F12)</f>
        <v/>
      </c>
      <c r="H12" s="5" t="n">
        <v>36.641</v>
      </c>
      <c r="I12" s="5" t="n">
        <v>20.896</v>
      </c>
      <c r="J12" s="4" t="n">
        <v>0.129657</v>
      </c>
      <c r="K12" s="5">
        <f>IF(E12=0,"",H12/E12)</f>
        <v/>
      </c>
      <c r="L12" s="6">
        <f>COUNTIF($D$2:$D12,D12)</f>
        <v/>
      </c>
      <c r="M12" s="3">
        <f>SUMIFS($E$2:$E12,$D$2:$D12,D12)</f>
        <v/>
      </c>
      <c r="N12" s="6">
        <f>IF(D12="Carmex",E12,"")</f>
        <v/>
      </c>
      <c r="O12" s="6">
        <f>IF(D12="Fanel",E12,"")</f>
        <v/>
      </c>
    </row>
    <row r="13">
      <c r="A13" s="2" t="inlineStr">
        <is>
          <t>2026-08-28</t>
        </is>
      </c>
      <c r="B13" s="2" t="inlineStr">
        <is>
          <t>N</t>
        </is>
      </c>
      <c r="C13" s="2" t="inlineStr">
        <is>
          <t>CR NE</t>
        </is>
      </c>
      <c r="D13" s="2" t="inlineStr">
        <is>
          <t>Carmex</t>
        </is>
      </c>
      <c r="E13" s="3" t="n">
        <v>1.48</v>
      </c>
      <c r="F13" s="3" t="n">
        <v>1.755648</v>
      </c>
      <c r="G13" s="4">
        <f>IF(F13=0,"",E13/F13)</f>
        <v/>
      </c>
      <c r="H13" s="5" t="n">
        <v>39.443</v>
      </c>
      <c r="I13" s="5" t="n">
        <v>15.154</v>
      </c>
      <c r="J13" s="4" t="n">
        <v>0.137678</v>
      </c>
      <c r="K13" s="5">
        <f>IF(E13=0,"",H13/E13)</f>
        <v/>
      </c>
      <c r="L13" s="6">
        <f>COUNTIF($D$2:$D13,D13)</f>
        <v/>
      </c>
      <c r="M13" s="3">
        <f>SUMIFS($E$2:$E13,$D$2:$D13,D13)</f>
        <v/>
      </c>
      <c r="N13" s="6">
        <f>IF(D13="Carmex",E13,"")</f>
        <v/>
      </c>
      <c r="O13" s="6">
        <f>IF(D13="Fanel",E13,"")</f>
        <v/>
      </c>
    </row>
    <row r="14">
      <c r="A14" s="2" t="inlineStr">
        <is>
          <t>2026-08-28</t>
        </is>
      </c>
      <c r="B14" s="2" t="inlineStr">
        <is>
          <t>D</t>
        </is>
      </c>
      <c r="C14" s="2" t="inlineStr">
        <is>
          <t>CR NE</t>
        </is>
      </c>
      <c r="D14" s="2" t="inlineStr">
        <is>
          <t>Carmex</t>
        </is>
      </c>
      <c r="E14" s="3" t="n">
        <v>1.48</v>
      </c>
      <c r="F14" s="3" t="n">
        <v>1.755648</v>
      </c>
      <c r="G14" s="4">
        <f>IF(F14=0,"",E14/F14)</f>
        <v/>
      </c>
      <c r="H14" s="5" t="n">
        <v>39.443</v>
      </c>
      <c r="I14" s="5" t="n">
        <v>15.154</v>
      </c>
      <c r="J14" s="4" t="n">
        <v>0.137678</v>
      </c>
      <c r="K14" s="5">
        <f>IF(E14=0,"",H14/E14)</f>
        <v/>
      </c>
      <c r="L14" s="6">
        <f>COUNTIF($D$2:$D14,D14)</f>
        <v/>
      </c>
      <c r="M14" s="3">
        <f>SUMIFS($E$2:$E14,$D$2:$D14,D14)</f>
        <v/>
      </c>
      <c r="N14" s="6">
        <f>IF(D14="Carmex",E14,"")</f>
        <v/>
      </c>
      <c r="O14" s="6">
        <f>IF(D14="Fanel",E14,"")</f>
        <v/>
      </c>
    </row>
    <row r="15">
      <c r="A15" s="2" t="inlineStr">
        <is>
          <t>2026-08-28</t>
        </is>
      </c>
      <c r="B15" s="2" t="inlineStr">
        <is>
          <t>N</t>
        </is>
      </c>
      <c r="C15" s="2" t="inlineStr">
        <is>
          <t>Rampa Brenda</t>
        </is>
      </c>
      <c r="D15" s="2" t="inlineStr">
        <is>
          <t>Carmex</t>
        </is>
      </c>
      <c r="E15" s="3" t="n">
        <v>1.45</v>
      </c>
      <c r="F15" s="3" t="n">
        <v>1.755648</v>
      </c>
      <c r="G15" s="4">
        <f>IF(F15=0,"",E15/F15)</f>
        <v/>
      </c>
      <c r="H15" s="5" t="n">
        <v>36.641</v>
      </c>
      <c r="I15" s="5" t="n">
        <v>20.066</v>
      </c>
      <c r="J15" s="4" t="n">
        <v>0.129657</v>
      </c>
      <c r="K15" s="5">
        <f>IF(E15=0,"",H15/E15)</f>
        <v/>
      </c>
      <c r="L15" s="6">
        <f>COUNTIF($D$2:$D15,D15)</f>
        <v/>
      </c>
      <c r="M15" s="3">
        <f>SUMIFS($E$2:$E15,$D$2:$D15,D15)</f>
        <v/>
      </c>
      <c r="N15" s="6">
        <f>IF(D15="Carmex",E15,"")</f>
        <v/>
      </c>
      <c r="O15" s="6">
        <f>IF(D15="Fanel",E15,"")</f>
        <v/>
      </c>
    </row>
    <row r="16">
      <c r="A16" s="2" t="inlineStr">
        <is>
          <t>2026-08-28</t>
        </is>
      </c>
      <c r="B16" s="2" t="inlineStr">
        <is>
          <t>D</t>
        </is>
      </c>
      <c r="C16" s="2" t="inlineStr">
        <is>
          <t>Rampa Brenda</t>
        </is>
      </c>
      <c r="D16" s="2" t="inlineStr">
        <is>
          <t>Carmex</t>
        </is>
      </c>
      <c r="E16" s="3" t="n">
        <v>1.1</v>
      </c>
      <c r="F16" s="3" t="n">
        <v>1.755648</v>
      </c>
      <c r="G16" s="4">
        <f>IF(F16=0,"",E16/F16)</f>
        <v/>
      </c>
      <c r="H16" s="5" t="n">
        <v>36.641</v>
      </c>
      <c r="I16" s="5" t="n">
        <v>15.222</v>
      </c>
      <c r="J16" s="4" t="n">
        <v>0.129657</v>
      </c>
      <c r="K16" s="5">
        <f>IF(E16=0,"",H16/E16)</f>
        <v/>
      </c>
      <c r="L16" s="6">
        <f>COUNTIF($D$2:$D16,D16)</f>
        <v/>
      </c>
      <c r="M16" s="3">
        <f>SUMIFS($E$2:$E16,$D$2:$D16,D16)</f>
        <v/>
      </c>
      <c r="N16" s="6">
        <f>IF(D16="Carmex",E16,"")</f>
        <v/>
      </c>
      <c r="O16" s="6">
        <f>IF(D16="Fanel",E16,"")</f>
        <v/>
      </c>
    </row>
    <row r="17">
      <c r="A17" s="2" t="inlineStr">
        <is>
          <t>2026-08-29</t>
        </is>
      </c>
      <c r="B17" s="2" t="inlineStr">
        <is>
          <t>N</t>
        </is>
      </c>
      <c r="C17" s="2" t="inlineStr">
        <is>
          <t>CR NE</t>
        </is>
      </c>
      <c r="D17" s="2" t="inlineStr">
        <is>
          <t>Carmex</t>
        </is>
      </c>
      <c r="E17" s="3" t="n">
        <v>1.5</v>
      </c>
      <c r="F17" s="3" t="n">
        <v>1.755648</v>
      </c>
      <c r="G17" s="4">
        <f>IF(F17=0,"",E17/F17)</f>
        <v/>
      </c>
      <c r="H17" s="5" t="n">
        <v>38.767</v>
      </c>
      <c r="I17" s="5" t="n">
        <v>15.311</v>
      </c>
      <c r="J17" s="4" t="n">
        <v>0.134156</v>
      </c>
      <c r="K17" s="5">
        <f>IF(E17=0,"",H17/E17)</f>
        <v/>
      </c>
      <c r="L17" s="6">
        <f>COUNTIF($D$2:$D17,D17)</f>
        <v/>
      </c>
      <c r="M17" s="3">
        <f>SUMIFS($E$2:$E17,$D$2:$D17,D17)</f>
        <v/>
      </c>
      <c r="N17" s="6">
        <f>IF(D17="Carmex",E17,"")</f>
        <v/>
      </c>
      <c r="O17" s="6">
        <f>IF(D17="Fanel",E17,"")</f>
        <v/>
      </c>
    </row>
    <row r="18">
      <c r="A18" s="2" t="inlineStr">
        <is>
          <t>2026-08-29</t>
        </is>
      </c>
      <c r="B18" s="2" t="inlineStr">
        <is>
          <t>D</t>
        </is>
      </c>
      <c r="C18" s="2" t="inlineStr">
        <is>
          <t>CR NE</t>
        </is>
      </c>
      <c r="D18" s="2" t="inlineStr">
        <is>
          <t>Carmex</t>
        </is>
      </c>
      <c r="E18" s="3" t="n">
        <v>1.48</v>
      </c>
      <c r="F18" s="3" t="n">
        <v>1.755648</v>
      </c>
      <c r="G18" s="4">
        <f>IF(F18=0,"",E18/F18)</f>
        <v/>
      </c>
      <c r="H18" s="5" t="n">
        <v>38.767</v>
      </c>
      <c r="I18" s="5" t="n">
        <v>15.201</v>
      </c>
      <c r="J18" s="4" t="n">
        <v>0.1412</v>
      </c>
      <c r="K18" s="5">
        <f>IF(E18=0,"",H18/E18)</f>
        <v/>
      </c>
      <c r="L18" s="6">
        <f>COUNTIF($D$2:$D18,D18)</f>
        <v/>
      </c>
      <c r="M18" s="3">
        <f>SUMIFS($E$2:$E18,$D$2:$D18,D18)</f>
        <v/>
      </c>
      <c r="N18" s="6">
        <f>IF(D18="Carmex",E18,"")</f>
        <v/>
      </c>
      <c r="O18" s="6">
        <f>IF(D18="Fanel",E18,"")</f>
        <v/>
      </c>
    </row>
    <row r="19">
      <c r="A19" s="2" t="inlineStr">
        <is>
          <t>2026-08-29</t>
        </is>
      </c>
      <c r="B19" s="2" t="inlineStr">
        <is>
          <t>D</t>
        </is>
      </c>
      <c r="C19" s="2" t="inlineStr">
        <is>
          <t>CR NE</t>
        </is>
      </c>
      <c r="D19" s="2" t="inlineStr">
        <is>
          <t>Carmex</t>
        </is>
      </c>
      <c r="E19" s="3" t="n">
        <v>1.45</v>
      </c>
      <c r="F19" s="3" t="n">
        <v>1.755648</v>
      </c>
      <c r="G19" s="4">
        <f>IF(F19=0,"",E19/F19)</f>
        <v/>
      </c>
      <c r="H19" s="5" t="n">
        <v>38.767</v>
      </c>
      <c r="I19" s="5" t="n">
        <v>14.801</v>
      </c>
      <c r="J19" s="4" t="n">
        <v>0.134156</v>
      </c>
      <c r="K19" s="5">
        <f>IF(E19=0,"",H19/E19)</f>
        <v/>
      </c>
      <c r="L19" s="6">
        <f>COUNTIF($D$2:$D19,D19)</f>
        <v/>
      </c>
      <c r="M19" s="3">
        <f>SUMIFS($E$2:$E19,$D$2:$D19,D19)</f>
        <v/>
      </c>
      <c r="N19" s="6">
        <f>IF(D19="Carmex",E19,"")</f>
        <v/>
      </c>
      <c r="O19" s="6">
        <f>IF(D19="Fanel",E19,"")</f>
        <v/>
      </c>
    </row>
    <row r="20">
      <c r="A20" s="2" t="inlineStr">
        <is>
          <t>2026-08-29</t>
        </is>
      </c>
      <c r="B20" s="2" t="inlineStr">
        <is>
          <t>N</t>
        </is>
      </c>
      <c r="C20" s="2" t="inlineStr">
        <is>
          <t>Rampa Brenda</t>
        </is>
      </c>
      <c r="D20" s="2" t="inlineStr">
        <is>
          <t>Carmex</t>
        </is>
      </c>
      <c r="E20" s="3" t="n">
        <v>1.47</v>
      </c>
      <c r="F20" s="3" t="n">
        <v>1.755648</v>
      </c>
      <c r="G20" s="4">
        <f>IF(F20=0,"",E20/F20)</f>
        <v/>
      </c>
      <c r="H20" s="5" t="n">
        <v>39.443</v>
      </c>
      <c r="I20" s="5" t="n">
        <v>20.288</v>
      </c>
      <c r="J20" s="4" t="n">
        <v>0.126629</v>
      </c>
      <c r="K20" s="5">
        <f>IF(E20=0,"",H20/E20)</f>
        <v/>
      </c>
      <c r="L20" s="6">
        <f>COUNTIF($D$2:$D20,D20)</f>
        <v/>
      </c>
      <c r="M20" s="3">
        <f>SUMIFS($E$2:$E20,$D$2:$D20,D20)</f>
        <v/>
      </c>
      <c r="N20" s="6">
        <f>IF(D20="Carmex",E20,"")</f>
        <v/>
      </c>
      <c r="O20" s="6">
        <f>IF(D20="Fanel",E20,"")</f>
        <v/>
      </c>
    </row>
    <row r="21">
      <c r="A21" s="2" t="inlineStr">
        <is>
          <t>2026-08-29</t>
        </is>
      </c>
      <c r="B21" s="2" t="inlineStr">
        <is>
          <t>D</t>
        </is>
      </c>
      <c r="C21" s="2" t="inlineStr">
        <is>
          <t>Rampa Brenda</t>
        </is>
      </c>
      <c r="D21" s="2" t="inlineStr">
        <is>
          <t>Carmex</t>
        </is>
      </c>
      <c r="E21" s="3" t="n">
        <v>1.3</v>
      </c>
      <c r="F21" s="3" t="n">
        <v>1.755648</v>
      </c>
      <c r="G21" s="4">
        <f>IF(F21=0,"",E21/F21)</f>
        <v/>
      </c>
      <c r="H21" s="5" t="n">
        <v>39.443</v>
      </c>
      <c r="I21" s="5" t="n">
        <v>18.038</v>
      </c>
      <c r="J21" s="4" t="n">
        <v>0.132686</v>
      </c>
      <c r="K21" s="5">
        <f>IF(E21=0,"",H21/E21)</f>
        <v/>
      </c>
      <c r="L21" s="6">
        <f>COUNTIF($D$2:$D21,D21)</f>
        <v/>
      </c>
      <c r="M21" s="3">
        <f>SUMIFS($E$2:$E21,$D$2:$D21,D21)</f>
        <v/>
      </c>
      <c r="N21" s="6">
        <f>IF(D21="Carmex",E21,"")</f>
        <v/>
      </c>
      <c r="O21" s="6">
        <f>IF(D21="Fanel",E21,"")</f>
        <v/>
      </c>
    </row>
    <row r="22">
      <c r="A22" s="2" t="inlineStr">
        <is>
          <t>2026-08-30</t>
        </is>
      </c>
      <c r="B22" s="2" t="inlineStr">
        <is>
          <t>N</t>
        </is>
      </c>
      <c r="C22" s="2" t="inlineStr">
        <is>
          <t>CR NE</t>
        </is>
      </c>
      <c r="D22" s="2" t="inlineStr">
        <is>
          <t>Carmex</t>
        </is>
      </c>
      <c r="E22" s="3" t="n">
        <v>1.5</v>
      </c>
      <c r="F22" s="3" t="n">
        <v>1.755648</v>
      </c>
      <c r="G22" s="4">
        <f>IF(F22=0,"",E22/F22)</f>
        <v/>
      </c>
      <c r="H22" s="5" t="n">
        <v>38.767</v>
      </c>
      <c r="I22" s="5" t="n">
        <v>15.311</v>
      </c>
      <c r="J22" s="4" t="n">
        <v>0.134156</v>
      </c>
      <c r="K22" s="5">
        <f>IF(E22=0,"",H22/E22)</f>
        <v/>
      </c>
      <c r="L22" s="6">
        <f>COUNTIF($D$2:$D22,D22)</f>
        <v/>
      </c>
      <c r="M22" s="3">
        <f>SUMIFS($E$2:$E22,$D$2:$D22,D22)</f>
        <v/>
      </c>
      <c r="N22" s="6">
        <f>IF(D22="Carmex",E22,"")</f>
        <v/>
      </c>
      <c r="O22" s="6">
        <f>IF(D22="Fanel",E22,"")</f>
        <v/>
      </c>
    </row>
    <row r="23">
      <c r="A23" s="2" t="inlineStr">
        <is>
          <t>2026-08-30</t>
        </is>
      </c>
      <c r="B23" s="2" t="inlineStr">
        <is>
          <t>D</t>
        </is>
      </c>
      <c r="C23" s="2" t="inlineStr">
        <is>
          <t>CR NE</t>
        </is>
      </c>
      <c r="D23" s="2" t="inlineStr">
        <is>
          <t>Carmex</t>
        </is>
      </c>
      <c r="E23" s="3" t="n">
        <v>1.48</v>
      </c>
      <c r="F23" s="3" t="n">
        <v>1.755648</v>
      </c>
      <c r="G23" s="4">
        <f>IF(F23=0,"",E23/F23)</f>
        <v/>
      </c>
      <c r="H23" s="5" t="n">
        <v>38.767</v>
      </c>
      <c r="I23" s="5" t="n">
        <v>15.201</v>
      </c>
      <c r="J23" s="4" t="n">
        <v>0.1412</v>
      </c>
      <c r="K23" s="5">
        <f>IF(E23=0,"",H23/E23)</f>
        <v/>
      </c>
      <c r="L23" s="6">
        <f>COUNTIF($D$2:$D23,D23)</f>
        <v/>
      </c>
      <c r="M23" s="3">
        <f>SUMIFS($E$2:$E23,$D$2:$D23,D23)</f>
        <v/>
      </c>
      <c r="N23" s="6">
        <f>IF(D23="Carmex",E23,"")</f>
        <v/>
      </c>
      <c r="O23" s="6">
        <f>IF(D23="Fanel",E23,"")</f>
        <v/>
      </c>
    </row>
    <row r="24">
      <c r="A24" s="2" t="inlineStr">
        <is>
          <t>2026-08-30</t>
        </is>
      </c>
      <c r="B24" s="2" t="inlineStr">
        <is>
          <t>N</t>
        </is>
      </c>
      <c r="C24" s="2" t="inlineStr">
        <is>
          <t>Rampa Brenda</t>
        </is>
      </c>
      <c r="D24" s="2" t="inlineStr">
        <is>
          <t>Carmex</t>
        </is>
      </c>
      <c r="E24" s="3" t="n">
        <v>1.48</v>
      </c>
      <c r="F24" s="3" t="n">
        <v>1.755648</v>
      </c>
      <c r="G24" s="4">
        <f>IF(F24=0,"",E24/F24)</f>
        <v/>
      </c>
      <c r="H24" s="5" t="n">
        <v>39.443</v>
      </c>
      <c r="I24" s="5" t="n">
        <v>20.426</v>
      </c>
      <c r="J24" s="4" t="n">
        <v>0.126629</v>
      </c>
      <c r="K24" s="5">
        <f>IF(E24=0,"",H24/E24)</f>
        <v/>
      </c>
      <c r="L24" s="6">
        <f>COUNTIF($D$2:$D24,D24)</f>
        <v/>
      </c>
      <c r="M24" s="3">
        <f>SUMIFS($E$2:$E24,$D$2:$D24,D24)</f>
        <v/>
      </c>
      <c r="N24" s="6">
        <f>IF(D24="Carmex",E24,"")</f>
        <v/>
      </c>
      <c r="O24" s="6">
        <f>IF(D24="Fanel",E24,"")</f>
        <v/>
      </c>
    </row>
    <row r="25">
      <c r="A25" s="2" t="inlineStr">
        <is>
          <t>2026-08-30</t>
        </is>
      </c>
      <c r="B25" s="2" t="inlineStr">
        <is>
          <t>D</t>
        </is>
      </c>
      <c r="C25" s="2" t="inlineStr">
        <is>
          <t>Rampa Brenda</t>
        </is>
      </c>
      <c r="D25" s="2" t="inlineStr">
        <is>
          <t>Carmex</t>
        </is>
      </c>
      <c r="E25" s="3" t="n">
        <v>1.51</v>
      </c>
      <c r="F25" s="3" t="n">
        <v>1.755648</v>
      </c>
      <c r="G25" s="4">
        <f>IF(F25=0,"",E25/F25)</f>
        <v/>
      </c>
      <c r="H25" s="5" t="n">
        <v>39.443</v>
      </c>
      <c r="I25" s="5" t="n">
        <v>20.952</v>
      </c>
      <c r="J25" s="4" t="n">
        <v>0.132686</v>
      </c>
      <c r="K25" s="5">
        <f>IF(E25=0,"",H25/E25)</f>
        <v/>
      </c>
      <c r="L25" s="6">
        <f>COUNTIF($D$2:$D25,D25)</f>
        <v/>
      </c>
      <c r="M25" s="3">
        <f>SUMIFS($E$2:$E25,$D$2:$D25,D25)</f>
        <v/>
      </c>
      <c r="N25" s="6">
        <f>IF(D25="Carmex",E25,"")</f>
        <v/>
      </c>
      <c r="O25" s="6">
        <f>IF(D25="Fanel",E25,"")</f>
        <v/>
      </c>
    </row>
    <row r="26">
      <c r="A26" s="2" t="inlineStr">
        <is>
          <t>2026-08-31</t>
        </is>
      </c>
      <c r="B26" s="2" t="inlineStr">
        <is>
          <t>N</t>
        </is>
      </c>
      <c r="C26" s="2" t="inlineStr">
        <is>
          <t>Rampa Brenda</t>
        </is>
      </c>
      <c r="D26" s="2" t="inlineStr">
        <is>
          <t>Carmex</t>
        </is>
      </c>
      <c r="E26" s="3" t="n">
        <v>1.1</v>
      </c>
      <c r="F26" s="3" t="n">
        <v>1.755648</v>
      </c>
      <c r="G26" s="4">
        <f>IF(F26=0,"",E26/F26)</f>
        <v/>
      </c>
      <c r="H26" s="5" t="n">
        <v>39.443</v>
      </c>
      <c r="I26" s="5" t="n">
        <v>15.141</v>
      </c>
      <c r="J26" s="4" t="n">
        <v>0.1236</v>
      </c>
      <c r="K26" s="5">
        <f>IF(E26=0,"",H26/E26)</f>
        <v/>
      </c>
      <c r="L26" s="6">
        <f>COUNTIF($D$2:$D26,D26)</f>
        <v/>
      </c>
      <c r="M26" s="3">
        <f>SUMIFS($E$2:$E26,$D$2:$D26,D26)</f>
        <v/>
      </c>
      <c r="N26" s="6">
        <f>IF(D26="Carmex",E26,"")</f>
        <v/>
      </c>
      <c r="O26" s="6">
        <f>IF(D26="Fanel",E26,"")</f>
        <v/>
      </c>
    </row>
    <row r="27">
      <c r="A27" s="2" t="inlineStr">
        <is>
          <t>2026-08-31</t>
        </is>
      </c>
      <c r="B27" s="2" t="inlineStr">
        <is>
          <t>D</t>
        </is>
      </c>
      <c r="C27" s="2" t="inlineStr">
        <is>
          <t>Rampa Brenda</t>
        </is>
      </c>
      <c r="D27" s="2" t="inlineStr">
        <is>
          <t>Carmex</t>
        </is>
      </c>
      <c r="E27" s="3" t="n">
        <v>1.4</v>
      </c>
      <c r="F27" s="3" t="n">
        <v>1.755648</v>
      </c>
      <c r="G27" s="4">
        <f>IF(F27=0,"",E27/F27)</f>
        <v/>
      </c>
      <c r="H27" s="5" t="n">
        <v>39.443</v>
      </c>
      <c r="I27" s="5" t="n">
        <v>19.478</v>
      </c>
      <c r="J27" s="4" t="n">
        <v>0.135739</v>
      </c>
      <c r="K27" s="5">
        <f>IF(E27=0,"",H27/E27)</f>
        <v/>
      </c>
      <c r="L27" s="6">
        <f>COUNTIF($D$2:$D27,D27)</f>
        <v/>
      </c>
      <c r="M27" s="3">
        <f>SUMIFS($E$2:$E27,$D$2:$D27,D27)</f>
        <v/>
      </c>
      <c r="N27" s="6">
        <f>IF(D27="Carmex",E27,"")</f>
        <v/>
      </c>
      <c r="O27" s="6">
        <f>IF(D27="Fanel",E27,"")</f>
        <v/>
      </c>
    </row>
    <row r="28">
      <c r="A28" s="2" t="inlineStr">
        <is>
          <t>2026-09-01</t>
        </is>
      </c>
      <c r="B28" s="2" t="inlineStr">
        <is>
          <t>N</t>
        </is>
      </c>
      <c r="C28" s="2" t="inlineStr">
        <is>
          <t>Rampa Brenda</t>
        </is>
      </c>
      <c r="D28" s="2" t="inlineStr">
        <is>
          <t>Carmex</t>
        </is>
      </c>
      <c r="E28" s="3" t="n">
        <v>1.51</v>
      </c>
      <c r="F28" s="3" t="n">
        <v>1.755648</v>
      </c>
      <c r="G28" s="4">
        <f>IF(F28=0,"",E28/F28)</f>
        <v/>
      </c>
      <c r="H28" s="5" t="n">
        <v>39.443</v>
      </c>
      <c r="I28" s="5" t="n">
        <v>21.008</v>
      </c>
      <c r="J28" s="4" t="n">
        <v>0.135714</v>
      </c>
      <c r="K28" s="5">
        <f>IF(E28=0,"",H28/E28)</f>
        <v/>
      </c>
      <c r="L28" s="6">
        <f>COUNTIF($D$2:$D28,D28)</f>
        <v/>
      </c>
      <c r="M28" s="3">
        <f>SUMIFS($E$2:$E28,$D$2:$D28,D28)</f>
        <v/>
      </c>
      <c r="N28" s="6">
        <f>IF(D28="Carmex",E28,"")</f>
        <v/>
      </c>
      <c r="O28" s="6">
        <f>IF(D28="Fanel",E28,"")</f>
        <v/>
      </c>
    </row>
    <row r="29">
      <c r="A29" s="2" t="inlineStr">
        <is>
          <t>2026-09-01</t>
        </is>
      </c>
      <c r="B29" s="2" t="inlineStr">
        <is>
          <t>D</t>
        </is>
      </c>
      <c r="C29" s="2" t="inlineStr">
        <is>
          <t>Rampa Brenda</t>
        </is>
      </c>
      <c r="D29" s="2" t="inlineStr">
        <is>
          <t>Carmex</t>
        </is>
      </c>
      <c r="E29" s="3" t="n">
        <v>1.15</v>
      </c>
      <c r="F29" s="3" t="n">
        <v>1.755648</v>
      </c>
      <c r="G29" s="4">
        <f>IF(F29=0,"",E29/F29)</f>
        <v/>
      </c>
      <c r="H29" s="5" t="n">
        <v>39.443</v>
      </c>
      <c r="I29" s="5" t="n">
        <v>16.043</v>
      </c>
      <c r="J29" s="4" t="n">
        <v>0.138792</v>
      </c>
      <c r="K29" s="5">
        <f>IF(E29=0,"",H29/E29)</f>
        <v/>
      </c>
      <c r="L29" s="6">
        <f>COUNTIF($D$2:$D29,D29)</f>
        <v/>
      </c>
      <c r="M29" s="3">
        <f>SUMIFS($E$2:$E29,$D$2:$D29,D29)</f>
        <v/>
      </c>
      <c r="N29" s="6">
        <f>IF(D29="Carmex",E29,"")</f>
        <v/>
      </c>
      <c r="O29" s="6">
        <f>IF(D29="Fanel",E29,"")</f>
        <v/>
      </c>
    </row>
    <row r="30">
      <c r="A30" s="2" t="inlineStr">
        <is>
          <t>2026-09-02</t>
        </is>
      </c>
      <c r="B30" s="2" t="inlineStr">
        <is>
          <t>N</t>
        </is>
      </c>
      <c r="C30" s="2" t="inlineStr">
        <is>
          <t>Rampa Brenda</t>
        </is>
      </c>
      <c r="D30" s="2" t="inlineStr">
        <is>
          <t>Carmex</t>
        </is>
      </c>
      <c r="E30" s="3" t="n">
        <v>1.45</v>
      </c>
      <c r="F30" s="3" t="n">
        <v>1.755648</v>
      </c>
      <c r="G30" s="4">
        <f>IF(F30=0,"",E30/F30)</f>
        <v/>
      </c>
      <c r="H30" s="5" t="n">
        <v>39.443</v>
      </c>
      <c r="I30" s="5" t="n">
        <v>20.228</v>
      </c>
      <c r="J30" s="4" t="n">
        <v>0.138776</v>
      </c>
      <c r="K30" s="5">
        <f>IF(E30=0,"",H30/E30)</f>
        <v/>
      </c>
      <c r="L30" s="6">
        <f>COUNTIF($D$2:$D30,D30)</f>
        <v/>
      </c>
      <c r="M30" s="3">
        <f>SUMIFS($E$2:$E30,$D$2:$D30,D30)</f>
        <v/>
      </c>
      <c r="N30" s="6">
        <f>IF(D30="Carmex",E30,"")</f>
        <v/>
      </c>
      <c r="O30" s="6">
        <f>IF(D30="Fanel",E30,"")</f>
        <v/>
      </c>
    </row>
    <row r="31">
      <c r="A31" s="2" t="inlineStr">
        <is>
          <t>2026-09-02</t>
        </is>
      </c>
      <c r="B31" s="2" t="inlineStr">
        <is>
          <t>D</t>
        </is>
      </c>
      <c r="C31" s="2" t="inlineStr">
        <is>
          <t>Rampa Brenda</t>
        </is>
      </c>
      <c r="D31" s="2" t="inlineStr">
        <is>
          <t>Carmex</t>
        </is>
      </c>
      <c r="E31" s="3" t="n">
        <v>1.49</v>
      </c>
      <c r="F31" s="3" t="n">
        <v>1.755648</v>
      </c>
      <c r="G31" s="4">
        <f>IF(F31=0,"",E31/F31)</f>
        <v/>
      </c>
      <c r="H31" s="5" t="n">
        <v>39.443</v>
      </c>
      <c r="I31" s="5" t="n">
        <v>20.841</v>
      </c>
      <c r="J31" s="4" t="n">
        <v>0.141837</v>
      </c>
      <c r="K31" s="5">
        <f>IF(E31=0,"",H31/E31)</f>
        <v/>
      </c>
      <c r="L31" s="6">
        <f>COUNTIF($D$2:$D31,D31)</f>
        <v/>
      </c>
      <c r="M31" s="3">
        <f>SUMIFS($E$2:$E31,$D$2:$D31,D31)</f>
        <v/>
      </c>
      <c r="N31" s="6">
        <f>IF(D31="Carmex",E31,"")</f>
        <v/>
      </c>
      <c r="O31" s="6">
        <f>IF(D31="Fanel",E31,"")</f>
        <v/>
      </c>
    </row>
    <row r="32">
      <c r="A32" s="2" t="inlineStr">
        <is>
          <t>2026-09-03</t>
        </is>
      </c>
      <c r="B32" s="2" t="inlineStr">
        <is>
          <t>N</t>
        </is>
      </c>
      <c r="C32" s="2" t="inlineStr">
        <is>
          <t>Rampa Brenda</t>
        </is>
      </c>
      <c r="D32" s="2" t="inlineStr">
        <is>
          <t>Carmex</t>
        </is>
      </c>
      <c r="E32" s="3" t="n">
        <v>1.45</v>
      </c>
      <c r="F32" s="3" t="n">
        <v>1.755648</v>
      </c>
      <c r="G32" s="4">
        <f>IF(F32=0,"",E32/F32)</f>
        <v/>
      </c>
      <c r="H32" s="5" t="n">
        <v>39.443</v>
      </c>
      <c r="I32" s="5" t="n">
        <v>20.228</v>
      </c>
      <c r="J32" s="4" t="n">
        <v>0.138776</v>
      </c>
      <c r="K32" s="5">
        <f>IF(E32=0,"",H32/E32)</f>
        <v/>
      </c>
      <c r="L32" s="6">
        <f>COUNTIF($D$2:$D32,D32)</f>
        <v/>
      </c>
      <c r="M32" s="3">
        <f>SUMIFS($E$2:$E32,$D$2:$D32,D32)</f>
        <v/>
      </c>
      <c r="N32" s="6">
        <f>IF(D32="Carmex",E32,"")</f>
        <v/>
      </c>
      <c r="O32" s="6">
        <f>IF(D32="Fanel",E32,"")</f>
        <v/>
      </c>
    </row>
    <row r="33">
      <c r="A33" s="2" t="inlineStr">
        <is>
          <t>2026-09-03</t>
        </is>
      </c>
      <c r="B33" s="2" t="inlineStr">
        <is>
          <t>D</t>
        </is>
      </c>
      <c r="C33" s="2" t="inlineStr">
        <is>
          <t>Rampa Brenda</t>
        </is>
      </c>
      <c r="D33" s="2" t="inlineStr">
        <is>
          <t>Carmex</t>
        </is>
      </c>
      <c r="E33" s="3" t="n">
        <v>0</v>
      </c>
      <c r="F33" s="3" t="n">
        <v>1.755648</v>
      </c>
      <c r="G33" s="4">
        <f>IF(F33=0,"",E33/F33)</f>
        <v/>
      </c>
      <c r="H33" s="5" t="n">
        <v>39.443</v>
      </c>
      <c r="I33" s="5" t="n">
        <v>0</v>
      </c>
      <c r="J33" s="4" t="n">
        <v>0.141837</v>
      </c>
      <c r="K33" s="5">
        <f>IF(E33=0,"",H33/E33)</f>
        <v/>
      </c>
      <c r="L33" s="6">
        <f>COUNTIF($D$2:$D33,D33)</f>
        <v/>
      </c>
      <c r="M33" s="3">
        <f>SUMIFS($E$2:$E33,$D$2:$D33,D33)</f>
        <v/>
      </c>
      <c r="N33" s="6">
        <f>IF(D33="Carmex",E33,"")</f>
        <v/>
      </c>
      <c r="O33" s="6">
        <f>IF(D33="Fanel",E33,"")</f>
        <v/>
      </c>
    </row>
    <row r="34">
      <c r="A34" s="2" t="inlineStr">
        <is>
          <t>2026-09-07</t>
        </is>
      </c>
      <c r="B34" s="2" t="inlineStr">
        <is>
          <t>D</t>
        </is>
      </c>
      <c r="C34" s="2" t="inlineStr">
        <is>
          <t>CR NE</t>
        </is>
      </c>
      <c r="D34" s="2" t="inlineStr">
        <is>
          <t>Carmex</t>
        </is>
      </c>
      <c r="E34" s="3" t="n">
        <v>1.51</v>
      </c>
      <c r="F34" s="3" t="n">
        <v>1.755648</v>
      </c>
      <c r="G34" s="4">
        <f>IF(F34=0,"",E34/F34)</f>
        <v/>
      </c>
      <c r="H34" s="5" t="n">
        <v>38.767</v>
      </c>
      <c r="I34" s="5" t="n">
        <v>15.413</v>
      </c>
      <c r="J34" s="4" t="n">
        <v>0.134156</v>
      </c>
      <c r="K34" s="5">
        <f>IF(E34=0,"",H34/E34)</f>
        <v/>
      </c>
      <c r="L34" s="6">
        <f>COUNTIF($D$2:$D34,D34)</f>
        <v/>
      </c>
      <c r="M34" s="3">
        <f>SUMIFS($E$2:$E34,$D$2:$D34,D34)</f>
        <v/>
      </c>
      <c r="N34" s="6">
        <f>IF(D34="Carmex",E34,"")</f>
        <v/>
      </c>
      <c r="O34" s="6">
        <f>IF(D34="Fanel",E34,"")</f>
        <v/>
      </c>
    </row>
    <row r="35">
      <c r="A35" s="2" t="inlineStr">
        <is>
          <t>2026-09-08</t>
        </is>
      </c>
      <c r="B35" s="2" t="inlineStr">
        <is>
          <t>N</t>
        </is>
      </c>
      <c r="C35" s="2" t="inlineStr">
        <is>
          <t>CR NE</t>
        </is>
      </c>
      <c r="D35" s="2" t="inlineStr">
        <is>
          <t>Carmex</t>
        </is>
      </c>
      <c r="E35" s="3" t="n">
        <v>1.52</v>
      </c>
      <c r="F35" s="3" t="n">
        <v>1.755648</v>
      </c>
      <c r="G35" s="4">
        <f>IF(F35=0,"",E35/F35)</f>
        <v/>
      </c>
      <c r="H35" s="5" t="n">
        <v>39.443</v>
      </c>
      <c r="I35" s="5" t="n">
        <v>15.22</v>
      </c>
      <c r="J35" s="4" t="n">
        <v>0.112556</v>
      </c>
      <c r="K35" s="5">
        <f>IF(E35=0,"",H35/E35)</f>
        <v/>
      </c>
      <c r="L35" s="6">
        <f>COUNTIF($D$2:$D35,D35)</f>
        <v/>
      </c>
      <c r="M35" s="3">
        <f>SUMIFS($E$2:$E35,$D$2:$D35,D35)</f>
        <v/>
      </c>
      <c r="N35" s="6">
        <f>IF(D35="Carmex",E35,"")</f>
        <v/>
      </c>
      <c r="O35" s="6">
        <f>IF(D35="Fanel",E35,"")</f>
        <v/>
      </c>
    </row>
    <row r="36">
      <c r="A36" s="2" t="inlineStr">
        <is>
          <t>2026-09-08</t>
        </is>
      </c>
      <c r="B36" s="2" t="inlineStr">
        <is>
          <t>D</t>
        </is>
      </c>
      <c r="C36" s="2" t="inlineStr">
        <is>
          <t>CR NE</t>
        </is>
      </c>
      <c r="D36" s="2" t="inlineStr">
        <is>
          <t>Carmex</t>
        </is>
      </c>
      <c r="E36" s="3" t="n">
        <v>1.48</v>
      </c>
      <c r="F36" s="3" t="n">
        <v>1.755648</v>
      </c>
      <c r="G36" s="4">
        <f>IF(F36=0,"",E36/F36)</f>
        <v/>
      </c>
      <c r="H36" s="5" t="n">
        <v>39.443</v>
      </c>
      <c r="I36" s="5" t="n">
        <v>15.154</v>
      </c>
      <c r="J36" s="4" t="n">
        <v>0.137678</v>
      </c>
      <c r="K36" s="5">
        <f>IF(E36=0,"",H36/E36)</f>
        <v/>
      </c>
      <c r="L36" s="6">
        <f>COUNTIF($D$2:$D36,D36)</f>
        <v/>
      </c>
      <c r="M36" s="3">
        <f>SUMIFS($E$2:$E36,$D$2:$D36,D36)</f>
        <v/>
      </c>
      <c r="N36" s="6">
        <f>IF(D36="Carmex",E36,"")</f>
        <v/>
      </c>
      <c r="O36" s="6">
        <f>IF(D36="Fanel",E36,"")</f>
        <v/>
      </c>
    </row>
    <row r="37">
      <c r="A37" s="2" t="inlineStr">
        <is>
          <t>2026-09-08</t>
        </is>
      </c>
      <c r="B37" s="2" t="inlineStr">
        <is>
          <t>N</t>
        </is>
      </c>
      <c r="C37" s="2" t="inlineStr">
        <is>
          <t>Rampa Brenda</t>
        </is>
      </c>
      <c r="D37" s="2" t="inlineStr">
        <is>
          <t>Carmex</t>
        </is>
      </c>
      <c r="E37" s="3" t="n">
        <v>1.5</v>
      </c>
      <c r="F37" s="3" t="n">
        <v>1.755648</v>
      </c>
      <c r="G37" s="4">
        <f>IF(F37=0,"",E37/F37)</f>
        <v/>
      </c>
      <c r="H37" s="5" t="n">
        <v>36.641</v>
      </c>
      <c r="I37" s="5" t="n">
        <v>20.142</v>
      </c>
      <c r="J37" s="4" t="n">
        <v>0.096163</v>
      </c>
      <c r="K37" s="5">
        <f>IF(E37=0,"",H37/E37)</f>
        <v/>
      </c>
      <c r="L37" s="6">
        <f>COUNTIF($D$2:$D37,D37)</f>
        <v/>
      </c>
      <c r="M37" s="3">
        <f>SUMIFS($E$2:$E37,$D$2:$D37,D37)</f>
        <v/>
      </c>
      <c r="N37" s="6">
        <f>IF(D37="Carmex",E37,"")</f>
        <v/>
      </c>
      <c r="O37" s="6">
        <f>IF(D37="Fanel",E37,"")</f>
        <v/>
      </c>
    </row>
    <row r="38">
      <c r="A38" s="2" t="inlineStr">
        <is>
          <t>2026-09-08</t>
        </is>
      </c>
      <c r="B38" s="2" t="inlineStr">
        <is>
          <t>N</t>
        </is>
      </c>
      <c r="C38" s="2" t="inlineStr">
        <is>
          <t>Rampa Brenda</t>
        </is>
      </c>
      <c r="D38" s="2" t="inlineStr">
        <is>
          <t>Carmex</t>
        </is>
      </c>
      <c r="E38" s="3" t="n">
        <v>1.4</v>
      </c>
      <c r="F38" s="3" t="n">
        <v>1.755648</v>
      </c>
      <c r="G38" s="4">
        <f>IF(F38=0,"",E38/F38)</f>
        <v/>
      </c>
      <c r="H38" s="5" t="n">
        <v>36.641</v>
      </c>
      <c r="I38" s="5" t="n">
        <v>19.374</v>
      </c>
      <c r="J38" s="4" t="n">
        <v>0.129657</v>
      </c>
      <c r="K38" s="5">
        <f>IF(E38=0,"",H38/E38)</f>
        <v/>
      </c>
      <c r="L38" s="6">
        <f>COUNTIF($D$2:$D38,D38)</f>
        <v/>
      </c>
      <c r="M38" s="3">
        <f>SUMIFS($E$2:$E38,$D$2:$D38,D38)</f>
        <v/>
      </c>
      <c r="N38" s="6">
        <f>IF(D38="Carmex",E38,"")</f>
        <v/>
      </c>
      <c r="O38" s="6">
        <f>IF(D38="Fanel",E38,"")</f>
        <v/>
      </c>
    </row>
    <row r="39">
      <c r="A39" s="2" t="inlineStr">
        <is>
          <t>2026-09-09</t>
        </is>
      </c>
      <c r="B39" s="2" t="inlineStr">
        <is>
          <t>N</t>
        </is>
      </c>
      <c r="C39" s="2" t="inlineStr">
        <is>
          <t>CR NE</t>
        </is>
      </c>
      <c r="D39" s="2" t="inlineStr">
        <is>
          <t>Carmex</t>
        </is>
      </c>
      <c r="E39" s="3" t="n">
        <v>1.48</v>
      </c>
      <c r="F39" s="3" t="n">
        <v>1.755648</v>
      </c>
      <c r="G39" s="4">
        <f>IF(F39=0,"",E39/F39)</f>
        <v/>
      </c>
      <c r="H39" s="5" t="n">
        <v>39.443</v>
      </c>
      <c r="I39" s="5" t="n">
        <v>14.819</v>
      </c>
      <c r="J39" s="4" t="n">
        <v>0.112556</v>
      </c>
      <c r="K39" s="5">
        <f>IF(E39=0,"",H39/E39)</f>
        <v/>
      </c>
      <c r="L39" s="6">
        <f>COUNTIF($D$2:$D39,D39)</f>
        <v/>
      </c>
      <c r="M39" s="3">
        <f>SUMIFS($E$2:$E39,$D$2:$D39,D39)</f>
        <v/>
      </c>
      <c r="N39" s="6">
        <f>IF(D39="Carmex",E39,"")</f>
        <v/>
      </c>
      <c r="O39" s="6">
        <f>IF(D39="Fanel",E39,"")</f>
        <v/>
      </c>
    </row>
    <row r="40">
      <c r="A40" s="2" t="inlineStr">
        <is>
          <t>2026-09-09</t>
        </is>
      </c>
      <c r="B40" s="2" t="inlineStr">
        <is>
          <t>D</t>
        </is>
      </c>
      <c r="C40" s="2" t="inlineStr">
        <is>
          <t>CR NE</t>
        </is>
      </c>
      <c r="D40" s="2" t="inlineStr">
        <is>
          <t>Carmex</t>
        </is>
      </c>
      <c r="E40" s="3" t="n">
        <v>1.49</v>
      </c>
      <c r="F40" s="3" t="n">
        <v>1.755648</v>
      </c>
      <c r="G40" s="4">
        <f>IF(F40=0,"",E40/F40)</f>
        <v/>
      </c>
      <c r="H40" s="5" t="n">
        <v>39.443</v>
      </c>
      <c r="I40" s="5" t="n">
        <v>15.256</v>
      </c>
      <c r="J40" s="4" t="n">
        <v>0.137678</v>
      </c>
      <c r="K40" s="5">
        <f>IF(E40=0,"",H40/E40)</f>
        <v/>
      </c>
      <c r="L40" s="6">
        <f>COUNTIF($D$2:$D40,D40)</f>
        <v/>
      </c>
      <c r="M40" s="3">
        <f>SUMIFS($E$2:$E40,$D$2:$D40,D40)</f>
        <v/>
      </c>
      <c r="N40" s="6">
        <f>IF(D40="Carmex",E40,"")</f>
        <v/>
      </c>
      <c r="O40" s="6">
        <f>IF(D40="Fanel",E40,"")</f>
        <v/>
      </c>
    </row>
    <row r="41">
      <c r="A41" s="2" t="inlineStr">
        <is>
          <t>2026-09-10</t>
        </is>
      </c>
      <c r="B41" s="2" t="inlineStr">
        <is>
          <t>N</t>
        </is>
      </c>
      <c r="C41" s="2" t="inlineStr">
        <is>
          <t>CR NE</t>
        </is>
      </c>
      <c r="D41" s="2" t="inlineStr">
        <is>
          <t>Carmex</t>
        </is>
      </c>
      <c r="E41" s="3" t="n">
        <v>1.48</v>
      </c>
      <c r="F41" s="3" t="n">
        <v>1.755648</v>
      </c>
      <c r="G41" s="4">
        <f>IF(F41=0,"",E41/F41)</f>
        <v/>
      </c>
      <c r="H41" s="5" t="n">
        <v>38.316</v>
      </c>
      <c r="I41" s="5" t="n">
        <v>14.819</v>
      </c>
      <c r="J41" s="4" t="n">
        <v>0.112556</v>
      </c>
      <c r="K41" s="5">
        <f>IF(E41=0,"",H41/E41)</f>
        <v/>
      </c>
      <c r="L41" s="6">
        <f>COUNTIF($D$2:$D41,D41)</f>
        <v/>
      </c>
      <c r="M41" s="3">
        <f>SUMIFS($E$2:$E41,$D$2:$D41,D41)</f>
        <v/>
      </c>
      <c r="N41" s="6">
        <f>IF(D41="Carmex",E41,"")</f>
        <v/>
      </c>
      <c r="O41" s="6">
        <f>IF(D41="Fanel",E41,"")</f>
        <v/>
      </c>
    </row>
    <row r="42">
      <c r="A42" s="2" t="inlineStr">
        <is>
          <t>2026-09-10</t>
        </is>
      </c>
      <c r="B42" s="2" t="inlineStr">
        <is>
          <t>N</t>
        </is>
      </c>
      <c r="C42" s="2" t="inlineStr">
        <is>
          <t>CR NE</t>
        </is>
      </c>
      <c r="D42" s="2" t="inlineStr">
        <is>
          <t>Carmex</t>
        </is>
      </c>
      <c r="E42" s="3" t="n">
        <v>1.48</v>
      </c>
      <c r="F42" s="3" t="n">
        <v>1.755648</v>
      </c>
      <c r="G42" s="4">
        <f>IF(F42=0,"",E42/F42)</f>
        <v/>
      </c>
      <c r="H42" s="5" t="n">
        <v>38.316</v>
      </c>
      <c r="I42" s="5" t="n">
        <v>14.819</v>
      </c>
      <c r="J42" s="4" t="n">
        <v>0.112556</v>
      </c>
      <c r="K42" s="5">
        <f>IF(E42=0,"",H42/E42)</f>
        <v/>
      </c>
      <c r="L42" s="6">
        <f>COUNTIF($D$2:$D42,D42)</f>
        <v/>
      </c>
      <c r="M42" s="3">
        <f>SUMIFS($E$2:$E42,$D$2:$D42,D42)</f>
        <v/>
      </c>
      <c r="N42" s="6">
        <f>IF(D42="Carmex",E42,"")</f>
        <v/>
      </c>
      <c r="O42" s="6">
        <f>IF(D42="Fanel",E42,"")</f>
        <v/>
      </c>
    </row>
    <row r="43">
      <c r="A43" s="2" t="inlineStr">
        <is>
          <t>2026-09-11</t>
        </is>
      </c>
      <c r="B43" s="2" t="inlineStr">
        <is>
          <t>N</t>
        </is>
      </c>
      <c r="C43" s="2" t="inlineStr">
        <is>
          <t>CR NE</t>
        </is>
      </c>
      <c r="D43" s="2" t="inlineStr">
        <is>
          <t>Carmex</t>
        </is>
      </c>
      <c r="E43" s="3" t="n">
        <v>1.49</v>
      </c>
      <c r="F43" s="3" t="n">
        <v>1.755648</v>
      </c>
      <c r="G43" s="4">
        <f>IF(F43=0,"",E43/F43)</f>
        <v/>
      </c>
      <c r="H43" s="5" t="n">
        <v>38.316</v>
      </c>
      <c r="I43" s="5" t="n">
        <v>14.919</v>
      </c>
      <c r="J43" s="4" t="n">
        <v>0.112556</v>
      </c>
      <c r="K43" s="5">
        <f>IF(E43=0,"",H43/E43)</f>
        <v/>
      </c>
      <c r="L43" s="6">
        <f>COUNTIF($D$2:$D43,D43)</f>
        <v/>
      </c>
      <c r="M43" s="3">
        <f>SUMIFS($E$2:$E43,$D$2:$D43,D43)</f>
        <v/>
      </c>
      <c r="N43" s="6">
        <f>IF(D43="Carmex",E43,"")</f>
        <v/>
      </c>
      <c r="O43" s="6">
        <f>IF(D43="Fanel",E43,"")</f>
        <v/>
      </c>
    </row>
    <row r="44">
      <c r="A44" s="2" t="inlineStr">
        <is>
          <t>2026-09-11</t>
        </is>
      </c>
      <c r="B44" s="2" t="inlineStr">
        <is>
          <t>D</t>
        </is>
      </c>
      <c r="C44" s="2" t="inlineStr">
        <is>
          <t>CR NE</t>
        </is>
      </c>
      <c r="D44" s="2" t="inlineStr">
        <is>
          <t>Carmex</t>
        </is>
      </c>
      <c r="E44" s="3" t="n">
        <v>1.5</v>
      </c>
      <c r="F44" s="3" t="n">
        <v>1.755648</v>
      </c>
      <c r="G44" s="4">
        <f>IF(F44=0,"",E44/F44)</f>
        <v/>
      </c>
      <c r="H44" s="5" t="n">
        <v>38.316</v>
      </c>
      <c r="I44" s="5" t="n">
        <v>15.02</v>
      </c>
      <c r="J44" s="4" t="n">
        <v>0.112556</v>
      </c>
      <c r="K44" s="5">
        <f>IF(E44=0,"",H44/E44)</f>
        <v/>
      </c>
      <c r="L44" s="6">
        <f>COUNTIF($D$2:$D44,D44)</f>
        <v/>
      </c>
      <c r="M44" s="3">
        <f>SUMIFS($E$2:$E44,$D$2:$D44,D44)</f>
        <v/>
      </c>
      <c r="N44" s="6">
        <f>IF(D44="Carmex",E44,"")</f>
        <v/>
      </c>
      <c r="O44" s="6">
        <f>IF(D44="Fanel",E44,"")</f>
        <v/>
      </c>
    </row>
    <row r="45">
      <c r="A45" s="2" t="inlineStr">
        <is>
          <t>2026-09-12</t>
        </is>
      </c>
      <c r="B45" s="2" t="inlineStr">
        <is>
          <t>N</t>
        </is>
      </c>
      <c r="C45" s="2" t="inlineStr">
        <is>
          <t>CR NE</t>
        </is>
      </c>
      <c r="D45" s="2" t="inlineStr">
        <is>
          <t>Fanel</t>
        </is>
      </c>
      <c r="E45" s="3" t="n">
        <v>1.48</v>
      </c>
      <c r="F45" s="3" t="n">
        <v>1.755648</v>
      </c>
      <c r="G45" s="4">
        <f>IF(F45=0,"",E45/F45)</f>
        <v/>
      </c>
      <c r="H45" s="5" t="n">
        <v>38.316</v>
      </c>
      <c r="I45" s="5" t="n">
        <v>14.819</v>
      </c>
      <c r="J45" s="4" t="n">
        <v>0.112556</v>
      </c>
      <c r="K45" s="5">
        <f>IF(E45=0,"",H45/E45)</f>
        <v/>
      </c>
      <c r="L45" s="6">
        <f>COUNTIF($D$2:$D45,D45)</f>
        <v/>
      </c>
      <c r="M45" s="3">
        <f>SUMIFS($E$2:$E45,$D$2:$D45,D45)</f>
        <v/>
      </c>
      <c r="N45" s="6">
        <f>IF(D45="Carmex",E45,"")</f>
        <v/>
      </c>
      <c r="O45" s="6">
        <f>IF(D45="Fanel",E45,"")</f>
        <v/>
      </c>
    </row>
    <row r="46">
      <c r="A46" s="2" t="inlineStr">
        <is>
          <t>2026-09-12</t>
        </is>
      </c>
      <c r="B46" s="2" t="inlineStr">
        <is>
          <t>D</t>
        </is>
      </c>
      <c r="C46" s="2" t="inlineStr">
        <is>
          <t>CR NE</t>
        </is>
      </c>
      <c r="D46" s="2" t="inlineStr">
        <is>
          <t>Fanel</t>
        </is>
      </c>
      <c r="E46" s="3" t="n">
        <v>1.55</v>
      </c>
      <c r="F46" s="3" t="n">
        <v>1.755648</v>
      </c>
      <c r="G46" s="4">
        <f>IF(F46=0,"",E46/F46)</f>
        <v/>
      </c>
      <c r="H46" s="5" t="n">
        <v>38.316</v>
      </c>
      <c r="I46" s="5" t="n">
        <v>15.52</v>
      </c>
      <c r="J46" s="4" t="n">
        <v>0.112556</v>
      </c>
      <c r="K46" s="5">
        <f>IF(E46=0,"",H46/E46)</f>
        <v/>
      </c>
      <c r="L46" s="6">
        <f>COUNTIF($D$2:$D46,D46)</f>
        <v/>
      </c>
      <c r="M46" s="3">
        <f>SUMIFS($E$2:$E46,$D$2:$D46,D46)</f>
        <v/>
      </c>
      <c r="N46" s="6">
        <f>IF(D46="Carmex",E46,"")</f>
        <v/>
      </c>
      <c r="O46" s="6">
        <f>IF(D46="Fanel",E46,"")</f>
        <v/>
      </c>
    </row>
    <row r="47">
      <c r="A47" s="2" t="inlineStr">
        <is>
          <t>2026-09-13</t>
        </is>
      </c>
      <c r="B47" s="2" t="inlineStr">
        <is>
          <t>N</t>
        </is>
      </c>
      <c r="C47" s="2" t="inlineStr">
        <is>
          <t>CR NE</t>
        </is>
      </c>
      <c r="D47" s="2" t="inlineStr">
        <is>
          <t>Fanel</t>
        </is>
      </c>
      <c r="E47" s="3" t="n">
        <v>1.58</v>
      </c>
      <c r="F47" s="3" t="n">
        <v>1.755648</v>
      </c>
      <c r="G47" s="4">
        <f>IF(F47=0,"",E47/F47)</f>
        <v/>
      </c>
      <c r="H47" s="5" t="n">
        <v>38.316</v>
      </c>
      <c r="I47" s="5" t="n">
        <v>15.821</v>
      </c>
      <c r="J47" s="4" t="n">
        <v>0.112556</v>
      </c>
      <c r="K47" s="5">
        <f>IF(E47=0,"",H47/E47)</f>
        <v/>
      </c>
      <c r="L47" s="6">
        <f>COUNTIF($D$2:$D47,D47)</f>
        <v/>
      </c>
      <c r="M47" s="3">
        <f>SUMIFS($E$2:$E47,$D$2:$D47,D47)</f>
        <v/>
      </c>
      <c r="N47" s="6">
        <f>IF(D47="Carmex",E47,"")</f>
        <v/>
      </c>
      <c r="O47" s="6">
        <f>IF(D47="Fanel",E47,"")</f>
        <v/>
      </c>
    </row>
    <row r="48">
      <c r="A48" s="2" t="inlineStr">
        <is>
          <t>2026-09-13</t>
        </is>
      </c>
      <c r="B48" s="2" t="inlineStr">
        <is>
          <t>D</t>
        </is>
      </c>
      <c r="C48" s="2" t="inlineStr">
        <is>
          <t>CR NE</t>
        </is>
      </c>
      <c r="D48" s="2" t="inlineStr">
        <is>
          <t>Fanel</t>
        </is>
      </c>
      <c r="E48" s="3" t="n">
        <v>1.6</v>
      </c>
      <c r="F48" s="3" t="n">
        <v>1.755648</v>
      </c>
      <c r="G48" s="4">
        <f>IF(F48=0,"",E48/F48)</f>
        <v/>
      </c>
      <c r="H48" s="5" t="n">
        <v>38.316</v>
      </c>
      <c r="I48" s="5" t="n">
        <v>16.021</v>
      </c>
      <c r="J48" s="4" t="n">
        <v>0.112556</v>
      </c>
      <c r="K48" s="5">
        <f>IF(E48=0,"",H48/E48)</f>
        <v/>
      </c>
      <c r="L48" s="6">
        <f>COUNTIF($D$2:$D48,D48)</f>
        <v/>
      </c>
      <c r="M48" s="3">
        <f>SUMIFS($E$2:$E48,$D$2:$D48,D48)</f>
        <v/>
      </c>
      <c r="N48" s="6">
        <f>IF(D48="Carmex",E48,"")</f>
        <v/>
      </c>
      <c r="O48" s="6">
        <f>IF(D48="Fanel",E48,"")</f>
        <v/>
      </c>
    </row>
    <row r="49">
      <c r="A49" s="2" t="inlineStr">
        <is>
          <t>2026-09-14</t>
        </is>
      </c>
      <c r="B49" s="2" t="inlineStr">
        <is>
          <t>N</t>
        </is>
      </c>
      <c r="C49" s="2" t="inlineStr">
        <is>
          <t>CR NE</t>
        </is>
      </c>
      <c r="D49" s="2" t="inlineStr">
        <is>
          <t>Fanel</t>
        </is>
      </c>
      <c r="E49" s="3" t="n">
        <v>1.58</v>
      </c>
      <c r="F49" s="3" t="n">
        <v>1.755648</v>
      </c>
      <c r="G49" s="4">
        <f>IF(F49=0,"",E49/F49)</f>
        <v/>
      </c>
      <c r="H49" s="5" t="n">
        <v>38.316</v>
      </c>
      <c r="I49" s="5" t="n">
        <v>15.821</v>
      </c>
      <c r="J49" s="4" t="n">
        <v>0.112556</v>
      </c>
      <c r="K49" s="5">
        <f>IF(E49=0,"",H49/E49)</f>
        <v/>
      </c>
      <c r="L49" s="6">
        <f>COUNTIF($D$2:$D49,D49)</f>
        <v/>
      </c>
      <c r="M49" s="3">
        <f>SUMIFS($E$2:$E49,$D$2:$D49,D49)</f>
        <v/>
      </c>
      <c r="N49" s="6">
        <f>IF(D49="Carmex",E49,"")</f>
        <v/>
      </c>
      <c r="O49" s="6">
        <f>IF(D49="Fanel",E49,"")</f>
        <v/>
      </c>
    </row>
    <row r="50">
      <c r="A50" s="2" t="inlineStr">
        <is>
          <t>2026-09-14</t>
        </is>
      </c>
      <c r="B50" s="2" t="inlineStr">
        <is>
          <t>D</t>
        </is>
      </c>
      <c r="C50" s="2" t="inlineStr">
        <is>
          <t>CR NE</t>
        </is>
      </c>
      <c r="D50" s="2" t="inlineStr">
        <is>
          <t>Fanel</t>
        </is>
      </c>
      <c r="E50" s="3" t="n">
        <v>1.58</v>
      </c>
      <c r="F50" s="3" t="n">
        <v>1.755648</v>
      </c>
      <c r="G50" s="4">
        <f>IF(F50=0,"",E50/F50)</f>
        <v/>
      </c>
      <c r="H50" s="5" t="n">
        <v>38.316</v>
      </c>
      <c r="I50" s="5" t="n">
        <v>15.821</v>
      </c>
      <c r="J50" s="4" t="n">
        <v>0.112556</v>
      </c>
      <c r="K50" s="5">
        <f>IF(E50=0,"",H50/E50)</f>
        <v/>
      </c>
      <c r="L50" s="6">
        <f>COUNTIF($D$2:$D50,D50)</f>
        <v/>
      </c>
      <c r="M50" s="3">
        <f>SUMIFS($E$2:$E50,$D$2:$D50,D50)</f>
        <v/>
      </c>
      <c r="N50" s="6">
        <f>IF(D50="Carmex",E50,"")</f>
        <v/>
      </c>
      <c r="O50" s="6">
        <f>IF(D50="Fanel",E50,"")</f>
        <v/>
      </c>
    </row>
    <row r="51">
      <c r="A51" s="2" t="inlineStr">
        <is>
          <t>2026-09-15</t>
        </is>
      </c>
      <c r="B51" s="2" t="inlineStr">
        <is>
          <t>N</t>
        </is>
      </c>
      <c r="C51" s="2" t="inlineStr">
        <is>
          <t>CR NE</t>
        </is>
      </c>
      <c r="D51" s="2" t="inlineStr">
        <is>
          <t>Fanel</t>
        </is>
      </c>
      <c r="E51" s="3" t="n">
        <v>1.6</v>
      </c>
      <c r="F51" s="3" t="n">
        <v>1.755648</v>
      </c>
      <c r="G51" s="4">
        <f>IF(F51=0,"",E51/F51)</f>
        <v/>
      </c>
      <c r="H51" s="5" t="n">
        <v>38.316</v>
      </c>
      <c r="I51" s="5" t="n">
        <v>16.021</v>
      </c>
      <c r="J51" s="4" t="n">
        <v>0.112556</v>
      </c>
      <c r="K51" s="5">
        <f>IF(E51=0,"",H51/E51)</f>
        <v/>
      </c>
      <c r="L51" s="6">
        <f>COUNTIF($D$2:$D51,D51)</f>
        <v/>
      </c>
      <c r="M51" s="3">
        <f>SUMIFS($E$2:$E51,$D$2:$D51,D51)</f>
        <v/>
      </c>
      <c r="N51" s="6">
        <f>IF(D51="Carmex",E51,"")</f>
        <v/>
      </c>
      <c r="O51" s="6">
        <f>IF(D51="Fanel",E51,"")</f>
        <v/>
      </c>
    </row>
    <row r="52">
      <c r="A52" s="2" t="inlineStr">
        <is>
          <t>2026-09-15</t>
        </is>
      </c>
      <c r="B52" s="2" t="inlineStr">
        <is>
          <t>N</t>
        </is>
      </c>
      <c r="C52" s="2" t="inlineStr">
        <is>
          <t>CR NE</t>
        </is>
      </c>
      <c r="D52" s="2" t="inlineStr">
        <is>
          <t>Fanel</t>
        </is>
      </c>
      <c r="E52" s="3" t="n">
        <v>1.6</v>
      </c>
      <c r="F52" s="3" t="n">
        <v>1.755648</v>
      </c>
      <c r="G52" s="4">
        <f>IF(F52=0,"",E52/F52)</f>
        <v/>
      </c>
      <c r="H52" s="5" t="n">
        <v>38.316</v>
      </c>
      <c r="I52" s="5" t="n">
        <v>16.021</v>
      </c>
      <c r="J52" s="4" t="n">
        <v>0.112556</v>
      </c>
      <c r="K52" s="5">
        <f>IF(E52=0,"",H52/E52)</f>
        <v/>
      </c>
      <c r="L52" s="6">
        <f>COUNTIF($D$2:$D52,D52)</f>
        <v/>
      </c>
      <c r="M52" s="3">
        <f>SUMIFS($E$2:$E52,$D$2:$D52,D52)</f>
        <v/>
      </c>
      <c r="N52" s="6">
        <f>IF(D52="Carmex",E52,"")</f>
        <v/>
      </c>
      <c r="O52" s="6">
        <f>IF(D52="Fanel",E52,"")</f>
        <v/>
      </c>
    </row>
    <row r="53">
      <c r="A53" s="2" t="inlineStr">
        <is>
          <t>2026-09-15</t>
        </is>
      </c>
      <c r="B53" s="2" t="inlineStr">
        <is>
          <t>D</t>
        </is>
      </c>
      <c r="C53" s="2" t="inlineStr">
        <is>
          <t>CR NE</t>
        </is>
      </c>
      <c r="D53" s="2" t="inlineStr">
        <is>
          <t>Fanel</t>
        </is>
      </c>
      <c r="E53" s="3" t="n">
        <v>1.58</v>
      </c>
      <c r="F53" s="3" t="n">
        <v>1.755648</v>
      </c>
      <c r="G53" s="4">
        <f>IF(F53=0,"",E53/F53)</f>
        <v/>
      </c>
      <c r="H53" s="5" t="n">
        <v>38.316</v>
      </c>
      <c r="I53" s="5" t="n">
        <v>15.821</v>
      </c>
      <c r="J53" s="4" t="n">
        <v>0.112556</v>
      </c>
      <c r="K53" s="5">
        <f>IF(E53=0,"",H53/E53)</f>
        <v/>
      </c>
      <c r="L53" s="6">
        <f>COUNTIF($D$2:$D53,D53)</f>
        <v/>
      </c>
      <c r="M53" s="3">
        <f>SUMIFS($E$2:$E53,$D$2:$D53,D53)</f>
        <v/>
      </c>
      <c r="N53" s="6">
        <f>IF(D53="Carmex",E53,"")</f>
        <v/>
      </c>
      <c r="O53" s="6">
        <f>IF(D53="Fanel",E53,"")</f>
        <v/>
      </c>
    </row>
    <row r="54">
      <c r="A54" s="2" t="inlineStr">
        <is>
          <t>2026-09-16</t>
        </is>
      </c>
      <c r="B54" s="2" t="inlineStr">
        <is>
          <t>N</t>
        </is>
      </c>
      <c r="C54" s="2" t="inlineStr">
        <is>
          <t>CR NE</t>
        </is>
      </c>
      <c r="D54" s="2" t="inlineStr">
        <is>
          <t>Fanel</t>
        </is>
      </c>
      <c r="E54" s="3" t="n">
        <v>1.5</v>
      </c>
      <c r="F54" s="3" t="n">
        <v>1.755648</v>
      </c>
      <c r="G54" s="4">
        <f>IF(F54=0,"",E54/F54)</f>
        <v/>
      </c>
      <c r="H54" s="5" t="n">
        <v>38.316</v>
      </c>
      <c r="I54" s="5" t="n">
        <v>15.02</v>
      </c>
      <c r="J54" s="4" t="n">
        <v>0.112556</v>
      </c>
      <c r="K54" s="5">
        <f>IF(E54=0,"",H54/E54)</f>
        <v/>
      </c>
      <c r="L54" s="6">
        <f>COUNTIF($D$2:$D54,D54)</f>
        <v/>
      </c>
      <c r="M54" s="3">
        <f>SUMIFS($E$2:$E54,$D$2:$D54,D54)</f>
        <v/>
      </c>
      <c r="N54" s="6">
        <f>IF(D54="Carmex",E54,"")</f>
        <v/>
      </c>
      <c r="O54" s="6">
        <f>IF(D54="Fanel",E54,"")</f>
        <v/>
      </c>
    </row>
    <row r="55">
      <c r="A55" s="2" t="inlineStr">
        <is>
          <t>2026-09-16</t>
        </is>
      </c>
      <c r="B55" s="2" t="inlineStr">
        <is>
          <t>D</t>
        </is>
      </c>
      <c r="C55" s="2" t="inlineStr">
        <is>
          <t>CR NE</t>
        </is>
      </c>
      <c r="D55" s="2" t="inlineStr">
        <is>
          <t>Fanel</t>
        </is>
      </c>
      <c r="E55" s="3" t="n">
        <v>1.6</v>
      </c>
      <c r="F55" s="3" t="n">
        <v>1.755648</v>
      </c>
      <c r="G55" s="4">
        <f>IF(F55=0,"",E55/F55)</f>
        <v/>
      </c>
      <c r="H55" s="5" t="n">
        <v>38.316</v>
      </c>
      <c r="I55" s="5" t="n">
        <v>16.021</v>
      </c>
      <c r="J55" s="4" t="n">
        <v>0.112556</v>
      </c>
      <c r="K55" s="5">
        <f>IF(E55=0,"",H55/E55)</f>
        <v/>
      </c>
      <c r="L55" s="6">
        <f>COUNTIF($D$2:$D55,D55)</f>
        <v/>
      </c>
      <c r="M55" s="3">
        <f>SUMIFS($E$2:$E55,$D$2:$D55,D55)</f>
        <v/>
      </c>
      <c r="N55" s="6">
        <f>IF(D55="Carmex",E55,"")</f>
        <v/>
      </c>
      <c r="O55" s="6">
        <f>IF(D55="Fanel",E55,"")</f>
        <v/>
      </c>
    </row>
    <row r="56">
      <c r="A56" s="2" t="inlineStr">
        <is>
          <t>2026-09-16</t>
        </is>
      </c>
      <c r="B56" s="2" t="inlineStr">
        <is>
          <t>N</t>
        </is>
      </c>
      <c r="C56" s="2" t="inlineStr">
        <is>
          <t>Rampa Brenda</t>
        </is>
      </c>
      <c r="D56" s="2" t="inlineStr">
        <is>
          <t>Fanel</t>
        </is>
      </c>
      <c r="E56" s="3" t="n">
        <v>1.52</v>
      </c>
      <c r="F56" s="3" t="n">
        <v>1.755648</v>
      </c>
      <c r="G56" s="4">
        <f>IF(F56=0,"",E56/F56)</f>
        <v/>
      </c>
      <c r="H56" s="5" t="n">
        <v>36.641</v>
      </c>
      <c r="I56" s="5" t="n">
        <v>21.034</v>
      </c>
      <c r="J56" s="4" t="n">
        <v>0.129657</v>
      </c>
      <c r="K56" s="5">
        <f>IF(E56=0,"",H56/E56)</f>
        <v/>
      </c>
      <c r="L56" s="6">
        <f>COUNTIF($D$2:$D56,D56)</f>
        <v/>
      </c>
      <c r="M56" s="3">
        <f>SUMIFS($E$2:$E56,$D$2:$D56,D56)</f>
        <v/>
      </c>
      <c r="N56" s="6">
        <f>IF(D56="Carmex",E56,"")</f>
        <v/>
      </c>
      <c r="O56" s="6">
        <f>IF(D56="Fanel",E56,"")</f>
        <v/>
      </c>
    </row>
    <row r="57">
      <c r="A57" s="2" t="inlineStr">
        <is>
          <t>2026-09-16</t>
        </is>
      </c>
      <c r="B57" s="2" t="inlineStr">
        <is>
          <t>D</t>
        </is>
      </c>
      <c r="C57" s="2" t="inlineStr">
        <is>
          <t>Rampa Brenda</t>
        </is>
      </c>
      <c r="D57" s="2" t="inlineStr">
        <is>
          <t>Fanel</t>
        </is>
      </c>
      <c r="E57" s="3" t="n">
        <v>1.52</v>
      </c>
      <c r="F57" s="3" t="n">
        <v>1.755648</v>
      </c>
      <c r="G57" s="4">
        <f>IF(F57=0,"",E57/F57)</f>
        <v/>
      </c>
      <c r="H57" s="5" t="n">
        <v>36.641</v>
      </c>
      <c r="I57" s="5" t="n">
        <v>21.034</v>
      </c>
      <c r="J57" s="4" t="n">
        <v>0.129657</v>
      </c>
      <c r="K57" s="5">
        <f>IF(E57=0,"",H57/E57)</f>
        <v/>
      </c>
      <c r="L57" s="6">
        <f>COUNTIF($D$2:$D57,D57)</f>
        <v/>
      </c>
      <c r="M57" s="3">
        <f>SUMIFS($E$2:$E57,$D$2:$D57,D57)</f>
        <v/>
      </c>
      <c r="N57" s="6">
        <f>IF(D57="Carmex",E57,"")</f>
        <v/>
      </c>
      <c r="O57" s="6">
        <f>IF(D57="Fanel",E57,"")</f>
        <v/>
      </c>
    </row>
    <row r="58">
      <c r="A58" s="2" t="inlineStr">
        <is>
          <t>2026-09-17</t>
        </is>
      </c>
      <c r="B58" s="2" t="inlineStr">
        <is>
          <t>N</t>
        </is>
      </c>
      <c r="C58" s="2" t="inlineStr">
        <is>
          <t>CR NE</t>
        </is>
      </c>
      <c r="D58" s="2" t="inlineStr">
        <is>
          <t>Fanel</t>
        </is>
      </c>
      <c r="E58" s="3" t="n">
        <v>1.62</v>
      </c>
      <c r="F58" s="3" t="n">
        <v>1.755648</v>
      </c>
      <c r="G58" s="4">
        <f>IF(F58=0,"",E58/F58)</f>
        <v/>
      </c>
      <c r="H58" s="5" t="n">
        <v>38.316</v>
      </c>
      <c r="I58" s="5" t="n">
        <v>16.221</v>
      </c>
      <c r="J58" s="4" t="n">
        <v>0.112556</v>
      </c>
      <c r="K58" s="5">
        <f>IF(E58=0,"",H58/E58)</f>
        <v/>
      </c>
      <c r="L58" s="6">
        <f>COUNTIF($D$2:$D58,D58)</f>
        <v/>
      </c>
      <c r="M58" s="3">
        <f>SUMIFS($E$2:$E58,$D$2:$D58,D58)</f>
        <v/>
      </c>
      <c r="N58" s="6">
        <f>IF(D58="Carmex",E58,"")</f>
        <v/>
      </c>
      <c r="O58" s="6">
        <f>IF(D58="Fanel",E58,"")</f>
        <v/>
      </c>
    </row>
    <row r="59">
      <c r="A59" s="2" t="inlineStr">
        <is>
          <t>2026-09-17</t>
        </is>
      </c>
      <c r="B59" s="2" t="inlineStr">
        <is>
          <t>N</t>
        </is>
      </c>
      <c r="C59" s="2" t="inlineStr">
        <is>
          <t>CR NE</t>
        </is>
      </c>
      <c r="D59" s="2" t="inlineStr">
        <is>
          <t>Fanel</t>
        </is>
      </c>
      <c r="E59" s="3" t="n">
        <v>1.6</v>
      </c>
      <c r="F59" s="3" t="n">
        <v>1.755648</v>
      </c>
      <c r="G59" s="4">
        <f>IF(F59=0,"",E59/F59)</f>
        <v/>
      </c>
      <c r="H59" s="5" t="n">
        <v>38.316</v>
      </c>
      <c r="I59" s="5" t="n">
        <v>16.021</v>
      </c>
      <c r="J59" s="4" t="n">
        <v>0.112556</v>
      </c>
      <c r="K59" s="5">
        <f>IF(E59=0,"",H59/E59)</f>
        <v/>
      </c>
      <c r="L59" s="6">
        <f>COUNTIF($D$2:$D59,D59)</f>
        <v/>
      </c>
      <c r="M59" s="3">
        <f>SUMIFS($E$2:$E59,$D$2:$D59,D59)</f>
        <v/>
      </c>
      <c r="N59" s="6">
        <f>IF(D59="Carmex",E59,"")</f>
        <v/>
      </c>
      <c r="O59" s="6">
        <f>IF(D59="Fanel",E59,"")</f>
        <v/>
      </c>
    </row>
    <row r="60">
      <c r="A60" s="2" t="inlineStr">
        <is>
          <t>2026-09-17</t>
        </is>
      </c>
      <c r="B60" s="2" t="inlineStr">
        <is>
          <t>D</t>
        </is>
      </c>
      <c r="C60" s="2" t="inlineStr">
        <is>
          <t>CR NE</t>
        </is>
      </c>
      <c r="D60" s="2" t="inlineStr">
        <is>
          <t>Fanel</t>
        </is>
      </c>
      <c r="E60" s="3" t="n">
        <v>1.58</v>
      </c>
      <c r="F60" s="3" t="n">
        <v>1.755648</v>
      </c>
      <c r="G60" s="4">
        <f>IF(F60=0,"",E60/F60)</f>
        <v/>
      </c>
      <c r="H60" s="5" t="n">
        <v>38.316</v>
      </c>
      <c r="I60" s="5" t="n">
        <v>15.821</v>
      </c>
      <c r="J60" s="4" t="n">
        <v>0.112556</v>
      </c>
      <c r="K60" s="5">
        <f>IF(E60=0,"",H60/E60)</f>
        <v/>
      </c>
      <c r="L60" s="6">
        <f>COUNTIF($D$2:$D60,D60)</f>
        <v/>
      </c>
      <c r="M60" s="3">
        <f>SUMIFS($E$2:$E60,$D$2:$D60,D60)</f>
        <v/>
      </c>
      <c r="N60" s="6">
        <f>IF(D60="Carmex",E60,"")</f>
        <v/>
      </c>
      <c r="O60" s="6">
        <f>IF(D60="Fanel",E60,"")</f>
        <v/>
      </c>
    </row>
    <row r="61">
      <c r="A61" s="2" t="inlineStr">
        <is>
          <t>2026-09-17</t>
        </is>
      </c>
      <c r="B61" s="2" t="inlineStr">
        <is>
          <t>N</t>
        </is>
      </c>
      <c r="C61" s="2" t="inlineStr">
        <is>
          <t>Rampa Brenda</t>
        </is>
      </c>
      <c r="D61" s="2" t="inlineStr">
        <is>
          <t>Fanel</t>
        </is>
      </c>
      <c r="E61" s="3" t="n">
        <v>1.58</v>
      </c>
      <c r="F61" s="3" t="n">
        <v>1.755648</v>
      </c>
      <c r="G61" s="4">
        <f>IF(F61=0,"",E61/F61)</f>
        <v/>
      </c>
      <c r="H61" s="5" t="n">
        <v>36.641</v>
      </c>
      <c r="I61" s="5" t="n">
        <v>21.865</v>
      </c>
      <c r="J61" s="4" t="n">
        <v>0.129657</v>
      </c>
      <c r="K61" s="5">
        <f>IF(E61=0,"",H61/E61)</f>
        <v/>
      </c>
      <c r="L61" s="6">
        <f>COUNTIF($D$2:$D61,D61)</f>
        <v/>
      </c>
      <c r="M61" s="3">
        <f>SUMIFS($E$2:$E61,$D$2:$D61,D61)</f>
        <v/>
      </c>
      <c r="N61" s="6">
        <f>IF(D61="Carmex",E61,"")</f>
        <v/>
      </c>
      <c r="O61" s="6">
        <f>IF(D61="Fanel",E61,"")</f>
        <v/>
      </c>
    </row>
    <row r="62">
      <c r="A62" s="2" t="inlineStr">
        <is>
          <t>2026-09-17</t>
        </is>
      </c>
      <c r="B62" s="2" t="inlineStr">
        <is>
          <t>D</t>
        </is>
      </c>
      <c r="C62" s="2" t="inlineStr">
        <is>
          <t>Rampa Brenda</t>
        </is>
      </c>
      <c r="D62" s="2" t="inlineStr">
        <is>
          <t>Fanel</t>
        </is>
      </c>
      <c r="E62" s="3" t="n">
        <v>1.6</v>
      </c>
      <c r="F62" s="3" t="n">
        <v>1.755648</v>
      </c>
      <c r="G62" s="4">
        <f>IF(F62=0,"",E62/F62)</f>
        <v/>
      </c>
      <c r="H62" s="5" t="n">
        <v>36.641</v>
      </c>
      <c r="I62" s="5" t="n">
        <v>22.141</v>
      </c>
      <c r="J62" s="4" t="n">
        <v>0.129657</v>
      </c>
      <c r="K62" s="5">
        <f>IF(E62=0,"",H62/E62)</f>
        <v/>
      </c>
      <c r="L62" s="6">
        <f>COUNTIF($D$2:$D62,D62)</f>
        <v/>
      </c>
      <c r="M62" s="3">
        <f>SUMIFS($E$2:$E62,$D$2:$D62,D62)</f>
        <v/>
      </c>
      <c r="N62" s="6">
        <f>IF(D62="Carmex",E62,"")</f>
        <v/>
      </c>
      <c r="O62" s="6">
        <f>IF(D62="Fanel",E62,"")</f>
        <v/>
      </c>
    </row>
    <row r="63">
      <c r="A63" s="2" t="inlineStr">
        <is>
          <t>2026-09-18</t>
        </is>
      </c>
      <c r="B63" s="2" t="inlineStr">
        <is>
          <t>N</t>
        </is>
      </c>
      <c r="C63" s="2" t="inlineStr">
        <is>
          <t>CR NE</t>
        </is>
      </c>
      <c r="D63" s="2" t="inlineStr">
        <is>
          <t>Fanel</t>
        </is>
      </c>
      <c r="E63" s="3" t="n">
        <v>1.58</v>
      </c>
      <c r="F63" s="3" t="n">
        <v>1.755648</v>
      </c>
      <c r="G63" s="4">
        <f>IF(F63=0,"",E63/F63)</f>
        <v/>
      </c>
      <c r="H63" s="5" t="n">
        <v>38.316</v>
      </c>
      <c r="I63" s="5" t="n">
        <v>15.821</v>
      </c>
      <c r="J63" s="4" t="n">
        <v>0.112556</v>
      </c>
      <c r="K63" s="5">
        <f>IF(E63=0,"",H63/E63)</f>
        <v/>
      </c>
      <c r="L63" s="6">
        <f>COUNTIF($D$2:$D63,D63)</f>
        <v/>
      </c>
      <c r="M63" s="3">
        <f>SUMIFS($E$2:$E63,$D$2:$D63,D63)</f>
        <v/>
      </c>
      <c r="N63" s="6">
        <f>IF(D63="Carmex",E63,"")</f>
        <v/>
      </c>
      <c r="O63" s="6">
        <f>IF(D63="Fanel",E63,"")</f>
        <v/>
      </c>
    </row>
    <row r="64">
      <c r="A64" s="2" t="inlineStr">
        <is>
          <t>2026-09-18</t>
        </is>
      </c>
      <c r="B64" s="2" t="inlineStr">
        <is>
          <t>D</t>
        </is>
      </c>
      <c r="C64" s="2" t="inlineStr">
        <is>
          <t>CR NE</t>
        </is>
      </c>
      <c r="D64" s="2" t="inlineStr">
        <is>
          <t>Fanel</t>
        </is>
      </c>
      <c r="E64" s="3" t="n">
        <v>1.55</v>
      </c>
      <c r="F64" s="3" t="n">
        <v>1.755648</v>
      </c>
      <c r="G64" s="4">
        <f>IF(F64=0,"",E64/F64)</f>
        <v/>
      </c>
      <c r="H64" s="5" t="n">
        <v>38.316</v>
      </c>
      <c r="I64" s="5" t="n">
        <v>15.52</v>
      </c>
      <c r="J64" s="4" t="n">
        <v>0.112556</v>
      </c>
      <c r="K64" s="5">
        <f>IF(E64=0,"",H64/E64)</f>
        <v/>
      </c>
      <c r="L64" s="6">
        <f>COUNTIF($D$2:$D64,D64)</f>
        <v/>
      </c>
      <c r="M64" s="3">
        <f>SUMIFS($E$2:$E64,$D$2:$D64,D64)</f>
        <v/>
      </c>
      <c r="N64" s="6">
        <f>IF(D64="Carmex",E64,"")</f>
        <v/>
      </c>
      <c r="O64" s="6">
        <f>IF(D64="Fanel",E64,"")</f>
        <v/>
      </c>
    </row>
    <row r="65">
      <c r="A65" s="2" t="inlineStr">
        <is>
          <t>2026-09-18</t>
        </is>
      </c>
      <c r="B65" s="2" t="inlineStr">
        <is>
          <t>N</t>
        </is>
      </c>
      <c r="C65" s="2" t="inlineStr">
        <is>
          <t>Rampa Brenda</t>
        </is>
      </c>
      <c r="D65" s="2" t="inlineStr">
        <is>
          <t>Fanel</t>
        </is>
      </c>
      <c r="E65" s="3" t="n">
        <v>1.55</v>
      </c>
      <c r="F65" s="3" t="n">
        <v>1.755648</v>
      </c>
      <c r="G65" s="4">
        <f>IF(F65=0,"",E65/F65)</f>
        <v/>
      </c>
      <c r="H65" s="5" t="n">
        <v>36.641</v>
      </c>
      <c r="I65" s="5" t="n">
        <v>21.449</v>
      </c>
      <c r="J65" s="4" t="n">
        <v>0.129657</v>
      </c>
      <c r="K65" s="5">
        <f>IF(E65=0,"",H65/E65)</f>
        <v/>
      </c>
      <c r="L65" s="6">
        <f>COUNTIF($D$2:$D65,D65)</f>
        <v/>
      </c>
      <c r="M65" s="3">
        <f>SUMIFS($E$2:$E65,$D$2:$D65,D65)</f>
        <v/>
      </c>
      <c r="N65" s="6">
        <f>IF(D65="Carmex",E65,"")</f>
        <v/>
      </c>
      <c r="O65" s="6">
        <f>IF(D65="Fanel",E65,"")</f>
        <v/>
      </c>
    </row>
    <row r="66">
      <c r="A66" s="2" t="inlineStr">
        <is>
          <t>2026-09-18</t>
        </is>
      </c>
      <c r="B66" s="2" t="inlineStr">
        <is>
          <t>N</t>
        </is>
      </c>
      <c r="C66" s="2" t="inlineStr">
        <is>
          <t>Rampa Brenda</t>
        </is>
      </c>
      <c r="D66" s="2" t="inlineStr">
        <is>
          <t>Fanel</t>
        </is>
      </c>
      <c r="E66" s="3" t="n">
        <v>1.55</v>
      </c>
      <c r="F66" s="3" t="n">
        <v>1.755648</v>
      </c>
      <c r="G66" s="4">
        <f>IF(F66=0,"",E66/F66)</f>
        <v/>
      </c>
      <c r="H66" s="5" t="n">
        <v>36.641</v>
      </c>
      <c r="I66" s="5" t="n">
        <v>21.449</v>
      </c>
      <c r="J66" s="4" t="n">
        <v>0.129657</v>
      </c>
      <c r="K66" s="5">
        <f>IF(E66=0,"",H66/E66)</f>
        <v/>
      </c>
      <c r="L66" s="6">
        <f>COUNTIF($D$2:$D66,D66)</f>
        <v/>
      </c>
      <c r="M66" s="3">
        <f>SUMIFS($E$2:$E66,$D$2:$D66,D66)</f>
        <v/>
      </c>
      <c r="N66" s="6">
        <f>IF(D66="Carmex",E66,"")</f>
        <v/>
      </c>
      <c r="O66" s="6">
        <f>IF(D66="Fanel",E66,"")</f>
        <v/>
      </c>
    </row>
    <row r="67">
      <c r="A67" s="2" t="inlineStr">
        <is>
          <t>2026-09-18</t>
        </is>
      </c>
      <c r="B67" s="2" t="inlineStr">
        <is>
          <t>D</t>
        </is>
      </c>
      <c r="C67" s="2" t="inlineStr">
        <is>
          <t>Rampa Brenda</t>
        </is>
      </c>
      <c r="D67" s="2" t="inlineStr">
        <is>
          <t>Fanel</t>
        </is>
      </c>
      <c r="E67" s="3" t="n">
        <v>1.6</v>
      </c>
      <c r="F67" s="3" t="n">
        <v>1.755648</v>
      </c>
      <c r="G67" s="4">
        <f>IF(F67=0,"",E67/F67)</f>
        <v/>
      </c>
      <c r="H67" s="5" t="n">
        <v>36.641</v>
      </c>
      <c r="I67" s="5" t="n">
        <v>22.141</v>
      </c>
      <c r="J67" s="4" t="n">
        <v>0.129657</v>
      </c>
      <c r="K67" s="5">
        <f>IF(E67=0,"",H67/E67)</f>
        <v/>
      </c>
      <c r="L67" s="6">
        <f>COUNTIF($D$2:$D67,D67)</f>
        <v/>
      </c>
      <c r="M67" s="3">
        <f>SUMIFS($E$2:$E67,$D$2:$D67,D67)</f>
        <v/>
      </c>
      <c r="N67" s="6">
        <f>IF(D67="Carmex",E67,"")</f>
        <v/>
      </c>
      <c r="O67" s="6">
        <f>IF(D67="Fanel",E67,"")</f>
        <v/>
      </c>
    </row>
    <row r="68">
      <c r="A68" s="2" t="inlineStr">
        <is>
          <t>2026-09-18</t>
        </is>
      </c>
      <c r="B68" s="2" t="inlineStr">
        <is>
          <t>D</t>
        </is>
      </c>
      <c r="C68" s="2" t="inlineStr">
        <is>
          <t>Rampa Brenda</t>
        </is>
      </c>
      <c r="D68" s="2" t="inlineStr">
        <is>
          <t>Fanel</t>
        </is>
      </c>
      <c r="E68" s="3" t="n">
        <v>1.58</v>
      </c>
      <c r="F68" s="3" t="n">
        <v>1.755648</v>
      </c>
      <c r="G68" s="4">
        <f>IF(F68=0,"",E68/F68)</f>
        <v/>
      </c>
      <c r="H68" s="5" t="n">
        <v>36.641</v>
      </c>
      <c r="I68" s="5" t="n">
        <v>21.865</v>
      </c>
      <c r="J68" s="4" t="n">
        <v>0.129657</v>
      </c>
      <c r="K68" s="5">
        <f>IF(E68=0,"",H68/E68)</f>
        <v/>
      </c>
      <c r="L68" s="6">
        <f>COUNTIF($D$2:$D68,D68)</f>
        <v/>
      </c>
      <c r="M68" s="3">
        <f>SUMIFS($E$2:$E68,$D$2:$D68,D68)</f>
        <v/>
      </c>
      <c r="N68" s="6">
        <f>IF(D68="Carmex",E68,"")</f>
        <v/>
      </c>
      <c r="O68" s="6">
        <f>IF(D68="Fanel",E68,"")</f>
        <v/>
      </c>
    </row>
    <row r="69">
      <c r="A69" s="2" t="inlineStr">
        <is>
          <t>2026-09-19</t>
        </is>
      </c>
      <c r="B69" s="2" t="inlineStr">
        <is>
          <t>N</t>
        </is>
      </c>
      <c r="C69" s="2" t="inlineStr">
        <is>
          <t>CR NE</t>
        </is>
      </c>
      <c r="D69" s="2" t="inlineStr">
        <is>
          <t>Fanel</t>
        </is>
      </c>
      <c r="E69" s="3" t="n">
        <v>1.6</v>
      </c>
      <c r="F69" s="3" t="n">
        <v>1.755648</v>
      </c>
      <c r="G69" s="4">
        <f>IF(F69=0,"",E69/F69)</f>
        <v/>
      </c>
      <c r="H69" s="5" t="n">
        <v>38.316</v>
      </c>
      <c r="I69" s="5" t="n">
        <v>16.021</v>
      </c>
      <c r="J69" s="4" t="n">
        <v>0.112556</v>
      </c>
      <c r="K69" s="5">
        <f>IF(E69=0,"",H69/E69)</f>
        <v/>
      </c>
      <c r="L69" s="6">
        <f>COUNTIF($D$2:$D69,D69)</f>
        <v/>
      </c>
      <c r="M69" s="3">
        <f>SUMIFS($E$2:$E69,$D$2:$D69,D69)</f>
        <v/>
      </c>
      <c r="N69" s="6">
        <f>IF(D69="Carmex",E69,"")</f>
        <v/>
      </c>
      <c r="O69" s="6">
        <f>IF(D69="Fanel",E69,"")</f>
        <v/>
      </c>
    </row>
    <row r="70">
      <c r="A70" s="2" t="inlineStr">
        <is>
          <t>2026-09-19</t>
        </is>
      </c>
      <c r="B70" s="2" t="inlineStr">
        <is>
          <t>N</t>
        </is>
      </c>
      <c r="C70" s="2" t="inlineStr">
        <is>
          <t>CR NE</t>
        </is>
      </c>
      <c r="D70" s="2" t="inlineStr">
        <is>
          <t>Fanel</t>
        </is>
      </c>
      <c r="E70" s="3" t="n">
        <v>1.6</v>
      </c>
      <c r="F70" s="3" t="n">
        <v>1.755648</v>
      </c>
      <c r="G70" s="4">
        <f>IF(F70=0,"",E70/F70)</f>
        <v/>
      </c>
      <c r="H70" s="5" t="n">
        <v>38.316</v>
      </c>
      <c r="I70" s="5" t="n">
        <v>16.021</v>
      </c>
      <c r="J70" s="4" t="n">
        <v>0.112556</v>
      </c>
      <c r="K70" s="5">
        <f>IF(E70=0,"",H70/E70)</f>
        <v/>
      </c>
      <c r="L70" s="6">
        <f>COUNTIF($D$2:$D70,D70)</f>
        <v/>
      </c>
      <c r="M70" s="3">
        <f>SUMIFS($E$2:$E70,$D$2:$D70,D70)</f>
        <v/>
      </c>
      <c r="N70" s="6">
        <f>IF(D70="Carmex",E70,"")</f>
        <v/>
      </c>
      <c r="O70" s="6">
        <f>IF(D70="Fanel",E70,"")</f>
        <v/>
      </c>
    </row>
    <row r="71">
      <c r="A71" s="2" t="inlineStr">
        <is>
          <t>2026-09-19</t>
        </is>
      </c>
      <c r="B71" s="2" t="inlineStr">
        <is>
          <t>D</t>
        </is>
      </c>
      <c r="C71" s="2" t="inlineStr">
        <is>
          <t>CR NE</t>
        </is>
      </c>
      <c r="D71" s="2" t="inlineStr">
        <is>
          <t>Fanel</t>
        </is>
      </c>
      <c r="E71" s="3" t="n">
        <v>1.58</v>
      </c>
      <c r="F71" s="3" t="n">
        <v>1.755648</v>
      </c>
      <c r="G71" s="4">
        <f>IF(F71=0,"",E71/F71)</f>
        <v/>
      </c>
      <c r="H71" s="5" t="n">
        <v>38.316</v>
      </c>
      <c r="I71" s="5" t="n">
        <v>15.821</v>
      </c>
      <c r="J71" s="4" t="n">
        <v>0.112556</v>
      </c>
      <c r="K71" s="5">
        <f>IF(E71=0,"",H71/E71)</f>
        <v/>
      </c>
      <c r="L71" s="6">
        <f>COUNTIF($D$2:$D71,D71)</f>
        <v/>
      </c>
      <c r="M71" s="3">
        <f>SUMIFS($E$2:$E71,$D$2:$D71,D71)</f>
        <v/>
      </c>
      <c r="N71" s="6">
        <f>IF(D71="Carmex",E71,"")</f>
        <v/>
      </c>
      <c r="O71" s="6">
        <f>IF(D71="Fanel",E71,"")</f>
        <v/>
      </c>
    </row>
    <row r="72">
      <c r="A72" s="2" t="inlineStr">
        <is>
          <t>2026-09-19</t>
        </is>
      </c>
      <c r="B72" s="2" t="inlineStr">
        <is>
          <t>N</t>
        </is>
      </c>
      <c r="C72" s="2" t="inlineStr">
        <is>
          <t>Rampa Brenda</t>
        </is>
      </c>
      <c r="D72" s="2" t="inlineStr">
        <is>
          <t>Fanel</t>
        </is>
      </c>
      <c r="E72" s="3" t="n">
        <v>1.51</v>
      </c>
      <c r="F72" s="3" t="n">
        <v>1.755648</v>
      </c>
      <c r="G72" s="4">
        <f>IF(F72=0,"",E72/F72)</f>
        <v/>
      </c>
      <c r="H72" s="5" t="n">
        <v>36.641</v>
      </c>
      <c r="I72" s="5" t="n">
        <v>20.896</v>
      </c>
      <c r="J72" s="4" t="n">
        <v>0.129657</v>
      </c>
      <c r="K72" s="5">
        <f>IF(E72=0,"",H72/E72)</f>
        <v/>
      </c>
      <c r="L72" s="6">
        <f>COUNTIF($D$2:$D72,D72)</f>
        <v/>
      </c>
      <c r="M72" s="3">
        <f>SUMIFS($E$2:$E72,$D$2:$D72,D72)</f>
        <v/>
      </c>
      <c r="N72" s="6">
        <f>IF(D72="Carmex",E72,"")</f>
        <v/>
      </c>
      <c r="O72" s="6">
        <f>IF(D72="Fanel",E72,"")</f>
        <v/>
      </c>
    </row>
    <row r="73">
      <c r="A73" s="2" t="inlineStr">
        <is>
          <t>2026-09-19</t>
        </is>
      </c>
      <c r="B73" s="2" t="inlineStr">
        <is>
          <t>D</t>
        </is>
      </c>
      <c r="C73" s="2" t="inlineStr">
        <is>
          <t>Rampa Brenda</t>
        </is>
      </c>
      <c r="D73" s="2" t="inlineStr">
        <is>
          <t>Fanel</t>
        </is>
      </c>
      <c r="E73" s="3" t="n">
        <v>1.5</v>
      </c>
      <c r="F73" s="3" t="n">
        <v>1.755648</v>
      </c>
      <c r="G73" s="4">
        <f>IF(F73=0,"",E73/F73)</f>
        <v/>
      </c>
      <c r="H73" s="5" t="n">
        <v>36.641</v>
      </c>
      <c r="I73" s="5" t="n">
        <v>20.757</v>
      </c>
      <c r="J73" s="4" t="n">
        <v>0.129657</v>
      </c>
      <c r="K73" s="5">
        <f>IF(E73=0,"",H73/E73)</f>
        <v/>
      </c>
      <c r="L73" s="6">
        <f>COUNTIF($D$2:$D73,D73)</f>
        <v/>
      </c>
      <c r="M73" s="3">
        <f>SUMIFS($E$2:$E73,$D$2:$D73,D73)</f>
        <v/>
      </c>
      <c r="N73" s="6">
        <f>IF(D73="Carmex",E73,"")</f>
        <v/>
      </c>
      <c r="O73" s="6">
        <f>IF(D73="Fanel",E73,"")</f>
        <v/>
      </c>
    </row>
    <row r="74">
      <c r="A74" s="2" t="inlineStr">
        <is>
          <t>2026-09-19</t>
        </is>
      </c>
      <c r="B74" s="2" t="inlineStr">
        <is>
          <t>D</t>
        </is>
      </c>
      <c r="C74" s="2" t="inlineStr">
        <is>
          <t>Rampa Brenda</t>
        </is>
      </c>
      <c r="D74" s="2" t="inlineStr">
        <is>
          <t>Fanel</t>
        </is>
      </c>
      <c r="E74" s="3" t="n">
        <v>1.5</v>
      </c>
      <c r="F74" s="3" t="n">
        <v>1.755648</v>
      </c>
      <c r="G74" s="4">
        <f>IF(F74=0,"",E74/F74)</f>
        <v/>
      </c>
      <c r="H74" s="5" t="n">
        <v>36.641</v>
      </c>
      <c r="I74" s="5" t="n">
        <v>20.757</v>
      </c>
      <c r="J74" s="4" t="n">
        <v>0.129657</v>
      </c>
      <c r="K74" s="5">
        <f>IF(E74=0,"",H74/E74)</f>
        <v/>
      </c>
      <c r="L74" s="6">
        <f>COUNTIF($D$2:$D74,D74)</f>
        <v/>
      </c>
      <c r="M74" s="3">
        <f>SUMIFS($E$2:$E74,$D$2:$D74,D74)</f>
        <v/>
      </c>
      <c r="N74" s="6">
        <f>IF(D74="Carmex",E74,"")</f>
        <v/>
      </c>
      <c r="O74" s="6">
        <f>IF(D74="Fanel",E74,"")</f>
        <v/>
      </c>
    </row>
    <row r="75">
      <c r="A75" s="2" t="inlineStr">
        <is>
          <t>2026-09-20</t>
        </is>
      </c>
      <c r="B75" s="2" t="inlineStr">
        <is>
          <t>N</t>
        </is>
      </c>
      <c r="C75" s="2" t="inlineStr">
        <is>
          <t>CR NE</t>
        </is>
      </c>
      <c r="D75" s="2" t="inlineStr">
        <is>
          <t>Fanel</t>
        </is>
      </c>
      <c r="E75" s="3" t="n">
        <v>1.58</v>
      </c>
      <c r="F75" s="3" t="n">
        <v>1.755648</v>
      </c>
      <c r="G75" s="4">
        <f>IF(F75=0,"",E75/F75)</f>
        <v/>
      </c>
      <c r="H75" s="5" t="n">
        <v>38.316</v>
      </c>
      <c r="I75" s="5" t="n">
        <v>15.821</v>
      </c>
      <c r="J75" s="4" t="n">
        <v>0.112556</v>
      </c>
      <c r="K75" s="5">
        <f>IF(E75=0,"",H75/E75)</f>
        <v/>
      </c>
      <c r="L75" s="6">
        <f>COUNTIF($D$2:$D75,D75)</f>
        <v/>
      </c>
      <c r="M75" s="3">
        <f>SUMIFS($E$2:$E75,$D$2:$D75,D75)</f>
        <v/>
      </c>
      <c r="N75" s="6">
        <f>IF(D75="Carmex",E75,"")</f>
        <v/>
      </c>
      <c r="O75" s="6">
        <f>IF(D75="Fanel",E75,"")</f>
        <v/>
      </c>
    </row>
    <row r="76">
      <c r="A76" s="2" t="inlineStr">
        <is>
          <t>2026-09-20</t>
        </is>
      </c>
      <c r="B76" s="2" t="inlineStr">
        <is>
          <t>N</t>
        </is>
      </c>
      <c r="C76" s="2" t="inlineStr">
        <is>
          <t>CR NE</t>
        </is>
      </c>
      <c r="D76" s="2" t="inlineStr">
        <is>
          <t>Fanel</t>
        </is>
      </c>
      <c r="E76" s="3" t="n">
        <v>1.58</v>
      </c>
      <c r="F76" s="3" t="n">
        <v>1.755648</v>
      </c>
      <c r="G76" s="4">
        <f>IF(F76=0,"",E76/F76)</f>
        <v/>
      </c>
      <c r="H76" s="5" t="n">
        <v>38.316</v>
      </c>
      <c r="I76" s="5" t="n">
        <v>15.821</v>
      </c>
      <c r="J76" s="4" t="n">
        <v>0.112556</v>
      </c>
      <c r="K76" s="5">
        <f>IF(E76=0,"",H76/E76)</f>
        <v/>
      </c>
      <c r="L76" s="6">
        <f>COUNTIF($D$2:$D76,D76)</f>
        <v/>
      </c>
      <c r="M76" s="3">
        <f>SUMIFS($E$2:$E76,$D$2:$D76,D76)</f>
        <v/>
      </c>
      <c r="N76" s="6">
        <f>IF(D76="Carmex",E76,"")</f>
        <v/>
      </c>
      <c r="O76" s="6">
        <f>IF(D76="Fanel",E76,"")</f>
        <v/>
      </c>
    </row>
    <row r="77">
      <c r="A77" s="2" t="inlineStr">
        <is>
          <t>2026-09-20</t>
        </is>
      </c>
      <c r="B77" s="2" t="inlineStr">
        <is>
          <t>D</t>
        </is>
      </c>
      <c r="C77" s="2" t="inlineStr">
        <is>
          <t>CR NE</t>
        </is>
      </c>
      <c r="D77" s="2" t="inlineStr">
        <is>
          <t>Fanel</t>
        </is>
      </c>
      <c r="E77" s="3" t="n">
        <v>1.6</v>
      </c>
      <c r="F77" s="3" t="n">
        <v>1.755648</v>
      </c>
      <c r="G77" s="4">
        <f>IF(F77=0,"",E77/F77)</f>
        <v/>
      </c>
      <c r="H77" s="5" t="n">
        <v>38.316</v>
      </c>
      <c r="I77" s="5" t="n">
        <v>16.021</v>
      </c>
      <c r="J77" s="4" t="n">
        <v>0.112556</v>
      </c>
      <c r="K77" s="5">
        <f>IF(E77=0,"",H77/E77)</f>
        <v/>
      </c>
      <c r="L77" s="6">
        <f>COUNTIF($D$2:$D77,D77)</f>
        <v/>
      </c>
      <c r="M77" s="3">
        <f>SUMIFS($E$2:$E77,$D$2:$D77,D77)</f>
        <v/>
      </c>
      <c r="N77" s="6">
        <f>IF(D77="Carmex",E77,"")</f>
        <v/>
      </c>
      <c r="O77" s="6">
        <f>IF(D77="Fanel",E77,"")</f>
        <v/>
      </c>
    </row>
    <row r="78">
      <c r="A78" s="2" t="inlineStr">
        <is>
          <t>2026-09-20</t>
        </is>
      </c>
      <c r="B78" s="2" t="inlineStr">
        <is>
          <t>D</t>
        </is>
      </c>
      <c r="C78" s="2" t="inlineStr">
        <is>
          <t>CR NE</t>
        </is>
      </c>
      <c r="D78" s="2" t="inlineStr">
        <is>
          <t>Fanel</t>
        </is>
      </c>
      <c r="E78" s="3" t="n">
        <v>1.58</v>
      </c>
      <c r="F78" s="3" t="n">
        <v>1.755648</v>
      </c>
      <c r="G78" s="4">
        <f>IF(F78=0,"",E78/F78)</f>
        <v/>
      </c>
      <c r="H78" s="5" t="n">
        <v>38.316</v>
      </c>
      <c r="I78" s="5" t="n">
        <v>15.821</v>
      </c>
      <c r="J78" s="4" t="n">
        <v>0.112556</v>
      </c>
      <c r="K78" s="5">
        <f>IF(E78=0,"",H78/E78)</f>
        <v/>
      </c>
      <c r="L78" s="6">
        <f>COUNTIF($D$2:$D78,D78)</f>
        <v/>
      </c>
      <c r="M78" s="3">
        <f>SUMIFS($E$2:$E78,$D$2:$D78,D78)</f>
        <v/>
      </c>
      <c r="N78" s="6">
        <f>IF(D78="Carmex",E78,"")</f>
        <v/>
      </c>
      <c r="O78" s="6">
        <f>IF(D78="Fanel",E78,"")</f>
        <v/>
      </c>
    </row>
    <row r="79">
      <c r="A79" s="2" t="inlineStr">
        <is>
          <t>2026-09-20</t>
        </is>
      </c>
      <c r="B79" s="2" t="inlineStr">
        <is>
          <t>N</t>
        </is>
      </c>
      <c r="C79" s="2" t="inlineStr">
        <is>
          <t>Rampa Brenda</t>
        </is>
      </c>
      <c r="D79" s="2" t="inlineStr">
        <is>
          <t>Fanel</t>
        </is>
      </c>
      <c r="E79" s="3" t="n">
        <v>1.5</v>
      </c>
      <c r="F79" s="3" t="n">
        <v>1.755648</v>
      </c>
      <c r="G79" s="4">
        <f>IF(F79=0,"",E79/F79)</f>
        <v/>
      </c>
      <c r="H79" s="5" t="n">
        <v>36.641</v>
      </c>
      <c r="I79" s="5" t="n">
        <v>20.757</v>
      </c>
      <c r="J79" s="4" t="n">
        <v>0.129657</v>
      </c>
      <c r="K79" s="5">
        <f>IF(E79=0,"",H79/E79)</f>
        <v/>
      </c>
      <c r="L79" s="6">
        <f>COUNTIF($D$2:$D79,D79)</f>
        <v/>
      </c>
      <c r="M79" s="3">
        <f>SUMIFS($E$2:$E79,$D$2:$D79,D79)</f>
        <v/>
      </c>
      <c r="N79" s="6">
        <f>IF(D79="Carmex",E79,"")</f>
        <v/>
      </c>
      <c r="O79" s="6">
        <f>IF(D79="Fanel",E79,"")</f>
        <v/>
      </c>
    </row>
    <row r="80">
      <c r="A80" s="2" t="inlineStr">
        <is>
          <t>2026-09-20</t>
        </is>
      </c>
      <c r="B80" s="2" t="inlineStr">
        <is>
          <t>N</t>
        </is>
      </c>
      <c r="C80" s="2" t="inlineStr">
        <is>
          <t>Rampa Brenda</t>
        </is>
      </c>
      <c r="D80" s="2" t="inlineStr">
        <is>
          <t>Fanel</t>
        </is>
      </c>
      <c r="E80" s="3" t="n">
        <v>1.55</v>
      </c>
      <c r="F80" s="3" t="n">
        <v>1.755648</v>
      </c>
      <c r="G80" s="4">
        <f>IF(F80=0,"",E80/F80)</f>
        <v/>
      </c>
      <c r="H80" s="5" t="n">
        <v>36.641</v>
      </c>
      <c r="I80" s="5" t="n">
        <v>21.449</v>
      </c>
      <c r="J80" s="4" t="n">
        <v>0.129657</v>
      </c>
      <c r="K80" s="5">
        <f>IF(E80=0,"",H80/E80)</f>
        <v/>
      </c>
      <c r="L80" s="6">
        <f>COUNTIF($D$2:$D80,D80)</f>
        <v/>
      </c>
      <c r="M80" s="3">
        <f>SUMIFS($E$2:$E80,$D$2:$D80,D80)</f>
        <v/>
      </c>
      <c r="N80" s="6">
        <f>IF(D80="Carmex",E80,"")</f>
        <v/>
      </c>
      <c r="O80" s="6">
        <f>IF(D80="Fanel",E80,"")</f>
        <v/>
      </c>
    </row>
    <row r="81">
      <c r="A81" s="2" t="inlineStr">
        <is>
          <t>2026-09-20</t>
        </is>
      </c>
      <c r="B81" s="2" t="inlineStr">
        <is>
          <t>D</t>
        </is>
      </c>
      <c r="C81" s="2" t="inlineStr">
        <is>
          <t>Rampa Brenda</t>
        </is>
      </c>
      <c r="D81" s="2" t="inlineStr">
        <is>
          <t>Fanel</t>
        </is>
      </c>
      <c r="E81" s="3" t="n">
        <v>1.55</v>
      </c>
      <c r="F81" s="3" t="n">
        <v>1.755648</v>
      </c>
      <c r="G81" s="4">
        <f>IF(F81=0,"",E81/F81)</f>
        <v/>
      </c>
      <c r="H81" s="5" t="n">
        <v>36.641</v>
      </c>
      <c r="I81" s="5" t="n">
        <v>21.449</v>
      </c>
      <c r="J81" s="4" t="n">
        <v>0.129657</v>
      </c>
      <c r="K81" s="5">
        <f>IF(E81=0,"",H81/E81)</f>
        <v/>
      </c>
      <c r="L81" s="6">
        <f>COUNTIF($D$2:$D81,D81)</f>
        <v/>
      </c>
      <c r="M81" s="3">
        <f>SUMIFS($E$2:$E81,$D$2:$D81,D81)</f>
        <v/>
      </c>
      <c r="N81" s="6">
        <f>IF(D81="Carmex",E81,"")</f>
        <v/>
      </c>
      <c r="O81" s="6">
        <f>IF(D81="Fanel",E81,"")</f>
        <v/>
      </c>
    </row>
    <row r="82">
      <c r="A82" s="2" t="inlineStr">
        <is>
          <t>2026-09-20</t>
        </is>
      </c>
      <c r="B82" s="2" t="inlineStr">
        <is>
          <t>D</t>
        </is>
      </c>
      <c r="C82" s="2" t="inlineStr">
        <is>
          <t>Rampa Brenda</t>
        </is>
      </c>
      <c r="D82" s="2" t="inlineStr">
        <is>
          <t>Fanel</t>
        </is>
      </c>
      <c r="E82" s="3" t="n">
        <v>1.6</v>
      </c>
      <c r="F82" s="3" t="n">
        <v>1.755648</v>
      </c>
      <c r="G82" s="4">
        <f>IF(F82=0,"",E82/F82)</f>
        <v/>
      </c>
      <c r="H82" s="5" t="n">
        <v>36.641</v>
      </c>
      <c r="I82" s="5" t="n">
        <v>22.141</v>
      </c>
      <c r="J82" s="4" t="n">
        <v>0.129657</v>
      </c>
      <c r="K82" s="5">
        <f>IF(E82=0,"",H82/E82)</f>
        <v/>
      </c>
      <c r="L82" s="6">
        <f>COUNTIF($D$2:$D82,D82)</f>
        <v/>
      </c>
      <c r="M82" s="3">
        <f>SUMIFS($E$2:$E82,$D$2:$D82,D82)</f>
        <v/>
      </c>
      <c r="N82" s="6">
        <f>IF(D82="Carmex",E82,"")</f>
        <v/>
      </c>
      <c r="O82" s="6">
        <f>IF(D82="Fanel",E82,"")</f>
        <v/>
      </c>
    </row>
    <row r="83">
      <c r="A83" s="2" t="inlineStr">
        <is>
          <t>2026-09-21</t>
        </is>
      </c>
      <c r="B83" s="2" t="inlineStr">
        <is>
          <t>N</t>
        </is>
      </c>
      <c r="C83" s="2" t="inlineStr">
        <is>
          <t>CR NE</t>
        </is>
      </c>
      <c r="D83" s="2" t="inlineStr">
        <is>
          <t>Fanel</t>
        </is>
      </c>
      <c r="E83" s="3" t="n">
        <v>1.58</v>
      </c>
      <c r="F83" s="3" t="n">
        <v>1.755648</v>
      </c>
      <c r="G83" s="4">
        <f>IF(F83=0,"",E83/F83)</f>
        <v/>
      </c>
      <c r="H83" s="5" t="n">
        <v>38.316</v>
      </c>
      <c r="I83" s="5" t="n">
        <v>15.821</v>
      </c>
      <c r="J83" s="4" t="n">
        <v>0.112556</v>
      </c>
      <c r="K83" s="5">
        <f>IF(E83=0,"",H83/E83)</f>
        <v/>
      </c>
      <c r="L83" s="6">
        <f>COUNTIF($D$2:$D83,D83)</f>
        <v/>
      </c>
      <c r="M83" s="3">
        <f>SUMIFS($E$2:$E83,$D$2:$D83,D83)</f>
        <v/>
      </c>
      <c r="N83" s="6">
        <f>IF(D83="Carmex",E83,"")</f>
        <v/>
      </c>
      <c r="O83" s="6">
        <f>IF(D83="Fanel",E83,"")</f>
        <v/>
      </c>
    </row>
    <row r="84">
      <c r="A84" s="2" t="inlineStr">
        <is>
          <t>2026-09-21</t>
        </is>
      </c>
      <c r="B84" s="2" t="inlineStr">
        <is>
          <t>D</t>
        </is>
      </c>
      <c r="C84" s="2" t="inlineStr">
        <is>
          <t>CR NE</t>
        </is>
      </c>
      <c r="D84" s="2" t="inlineStr">
        <is>
          <t>Fanel</t>
        </is>
      </c>
      <c r="E84" s="3" t="n">
        <v>1.6</v>
      </c>
      <c r="F84" s="3" t="n">
        <v>1.755648</v>
      </c>
      <c r="G84" s="4">
        <f>IF(F84=0,"",E84/F84)</f>
        <v/>
      </c>
      <c r="H84" s="5" t="n">
        <v>38.316</v>
      </c>
      <c r="I84" s="5" t="n">
        <v>16.021</v>
      </c>
      <c r="J84" s="4" t="n">
        <v>0.112556</v>
      </c>
      <c r="K84" s="5">
        <f>IF(E84=0,"",H84/E84)</f>
        <v/>
      </c>
      <c r="L84" s="6">
        <f>COUNTIF($D$2:$D84,D84)</f>
        <v/>
      </c>
      <c r="M84" s="3">
        <f>SUMIFS($E$2:$E84,$D$2:$D84,D84)</f>
        <v/>
      </c>
      <c r="N84" s="6">
        <f>IF(D84="Carmex",E84,"")</f>
        <v/>
      </c>
      <c r="O84" s="6">
        <f>IF(D84="Fanel",E84,"")</f>
        <v/>
      </c>
    </row>
    <row r="85">
      <c r="A85" s="2" t="inlineStr">
        <is>
          <t>2026-09-21</t>
        </is>
      </c>
      <c r="B85" s="2" t="inlineStr">
        <is>
          <t>N</t>
        </is>
      </c>
      <c r="C85" s="2" t="inlineStr">
        <is>
          <t>CR NE</t>
        </is>
      </c>
      <c r="D85" s="2" t="inlineStr">
        <is>
          <t>Fanel</t>
        </is>
      </c>
      <c r="E85" s="3" t="n">
        <v>1.6</v>
      </c>
      <c r="F85" s="3" t="n">
        <v>1.755648</v>
      </c>
      <c r="G85" s="4">
        <f>IF(F85=0,"",E85/F85)</f>
        <v/>
      </c>
      <c r="H85" s="5" t="n">
        <v>38.316</v>
      </c>
      <c r="I85" s="5" t="n">
        <v>16.021</v>
      </c>
      <c r="J85" s="4" t="n">
        <v>0.112556</v>
      </c>
      <c r="K85" s="5">
        <f>IF(E85=0,"",H85/E85)</f>
        <v/>
      </c>
      <c r="L85" s="6">
        <f>COUNTIF($D$2:$D85,D85)</f>
        <v/>
      </c>
      <c r="M85" s="3">
        <f>SUMIFS($E$2:$E85,$D$2:$D85,D85)</f>
        <v/>
      </c>
      <c r="N85" s="6">
        <f>IF(D85="Carmex",E85,"")</f>
        <v/>
      </c>
      <c r="O85" s="6">
        <f>IF(D85="Fanel",E85,"")</f>
        <v/>
      </c>
    </row>
    <row r="86">
      <c r="A86" s="2" t="inlineStr">
        <is>
          <t>2026-09-21</t>
        </is>
      </c>
      <c r="B86" s="2" t="inlineStr">
        <is>
          <t>D</t>
        </is>
      </c>
      <c r="C86" s="2" t="inlineStr">
        <is>
          <t>CR NE</t>
        </is>
      </c>
      <c r="D86" s="2" t="inlineStr">
        <is>
          <t>Fanel</t>
        </is>
      </c>
      <c r="E86" s="3" t="n">
        <v>1.6</v>
      </c>
      <c r="F86" s="3" t="n">
        <v>1.755648</v>
      </c>
      <c r="G86" s="4">
        <f>IF(F86=0,"",E86/F86)</f>
        <v/>
      </c>
      <c r="H86" s="5" t="n">
        <v>38.316</v>
      </c>
      <c r="I86" s="5" t="n">
        <v>16.021</v>
      </c>
      <c r="J86" s="4" t="n">
        <v>0.112556</v>
      </c>
      <c r="K86" s="5">
        <f>IF(E86=0,"",H86/E86)</f>
        <v/>
      </c>
      <c r="L86" s="6">
        <f>COUNTIF($D$2:$D86,D86)</f>
        <v/>
      </c>
      <c r="M86" s="3">
        <f>SUMIFS($E$2:$E86,$D$2:$D86,D86)</f>
        <v/>
      </c>
      <c r="N86" s="6">
        <f>IF(D86="Carmex",E86,"")</f>
        <v/>
      </c>
      <c r="O86" s="6">
        <f>IF(D86="Fanel",E86,"")</f>
        <v/>
      </c>
    </row>
    <row r="87">
      <c r="A87" s="2" t="inlineStr">
        <is>
          <t>2026-09-21</t>
        </is>
      </c>
      <c r="B87" s="2" t="inlineStr">
        <is>
          <t>N</t>
        </is>
      </c>
      <c r="C87" s="2" t="inlineStr">
        <is>
          <t>Rampa Brenda</t>
        </is>
      </c>
      <c r="D87" s="2" t="inlineStr">
        <is>
          <t>Fanel</t>
        </is>
      </c>
      <c r="E87" s="3" t="n">
        <v>1.52</v>
      </c>
      <c r="F87" s="3" t="n">
        <v>1.755648</v>
      </c>
      <c r="G87" s="4">
        <f>IF(F87=0,"",E87/F87)</f>
        <v/>
      </c>
      <c r="H87" s="5" t="n">
        <v>36.641</v>
      </c>
      <c r="I87" s="5" t="n">
        <v>21.034</v>
      </c>
      <c r="J87" s="4" t="n">
        <v>0.129657</v>
      </c>
      <c r="K87" s="5">
        <f>IF(E87=0,"",H87/E87)</f>
        <v/>
      </c>
      <c r="L87" s="6">
        <f>COUNTIF($D$2:$D87,D87)</f>
        <v/>
      </c>
      <c r="M87" s="3">
        <f>SUMIFS($E$2:$E87,$D$2:$D87,D87)</f>
        <v/>
      </c>
      <c r="N87" s="6">
        <f>IF(D87="Carmex",E87,"")</f>
        <v/>
      </c>
      <c r="O87" s="6">
        <f>IF(D87="Fanel",E87,"")</f>
        <v/>
      </c>
    </row>
    <row r="88">
      <c r="A88" s="2" t="inlineStr">
        <is>
          <t>2026-09-21</t>
        </is>
      </c>
      <c r="B88" s="2" t="inlineStr">
        <is>
          <t>N</t>
        </is>
      </c>
      <c r="C88" s="2" t="inlineStr">
        <is>
          <t>Rampa Brenda</t>
        </is>
      </c>
      <c r="D88" s="2" t="inlineStr">
        <is>
          <t>Fanel</t>
        </is>
      </c>
      <c r="E88" s="3" t="n">
        <v>1.55</v>
      </c>
      <c r="F88" s="3" t="n">
        <v>1.755648</v>
      </c>
      <c r="G88" s="4">
        <f>IF(F88=0,"",E88/F88)</f>
        <v/>
      </c>
      <c r="H88" s="5" t="n">
        <v>36.641</v>
      </c>
      <c r="I88" s="5" t="n">
        <v>21.449</v>
      </c>
      <c r="J88" s="4" t="n">
        <v>0.129657</v>
      </c>
      <c r="K88" s="5">
        <f>IF(E88=0,"",H88/E88)</f>
        <v/>
      </c>
      <c r="L88" s="6">
        <f>COUNTIF($D$2:$D88,D88)</f>
        <v/>
      </c>
      <c r="M88" s="3">
        <f>SUMIFS($E$2:$E88,$D$2:$D88,D88)</f>
        <v/>
      </c>
      <c r="N88" s="6">
        <f>IF(D88="Carmex",E88,"")</f>
        <v/>
      </c>
      <c r="O88" s="6">
        <f>IF(D88="Fanel",E88,"")</f>
        <v/>
      </c>
    </row>
    <row r="89">
      <c r="A89" s="2" t="inlineStr">
        <is>
          <t>2026-09-22</t>
        </is>
      </c>
      <c r="B89" s="2" t="inlineStr">
        <is>
          <t>N</t>
        </is>
      </c>
      <c r="C89" s="2" t="inlineStr">
        <is>
          <t>CR NE</t>
        </is>
      </c>
      <c r="D89" s="2" t="inlineStr">
        <is>
          <t>Fanel</t>
        </is>
      </c>
      <c r="E89" s="3" t="n">
        <v>1.58</v>
      </c>
      <c r="F89" s="3" t="n">
        <v>1.755648</v>
      </c>
      <c r="G89" s="4">
        <f>IF(F89=0,"",E89/F89)</f>
        <v/>
      </c>
      <c r="H89" s="5" t="n">
        <v>38.316</v>
      </c>
      <c r="I89" s="5" t="n">
        <v>15.821</v>
      </c>
      <c r="J89" s="4" t="n">
        <v>0.112556</v>
      </c>
      <c r="K89" s="5">
        <f>IF(E89=0,"",H89/E89)</f>
        <v/>
      </c>
      <c r="L89" s="6">
        <f>COUNTIF($D$2:$D89,D89)</f>
        <v/>
      </c>
      <c r="M89" s="3">
        <f>SUMIFS($E$2:$E89,$D$2:$D89,D89)</f>
        <v/>
      </c>
      <c r="N89" s="6">
        <f>IF(D89="Carmex",E89,"")</f>
        <v/>
      </c>
      <c r="O89" s="6">
        <f>IF(D89="Fanel",E89,"")</f>
        <v/>
      </c>
    </row>
    <row r="90">
      <c r="A90" s="2" t="inlineStr">
        <is>
          <t>2026-09-22</t>
        </is>
      </c>
      <c r="B90" s="2" t="inlineStr">
        <is>
          <t>N</t>
        </is>
      </c>
      <c r="C90" s="2" t="inlineStr">
        <is>
          <t>CR NE</t>
        </is>
      </c>
      <c r="D90" s="2" t="inlineStr">
        <is>
          <t>Fanel</t>
        </is>
      </c>
      <c r="E90" s="3" t="n">
        <v>1.6</v>
      </c>
      <c r="F90" s="3" t="n">
        <v>1.755648</v>
      </c>
      <c r="G90" s="4">
        <f>IF(F90=0,"",E90/F90)</f>
        <v/>
      </c>
      <c r="H90" s="5" t="n">
        <v>38.316</v>
      </c>
      <c r="I90" s="5" t="n">
        <v>16.021</v>
      </c>
      <c r="J90" s="4" t="n">
        <v>0.112556</v>
      </c>
      <c r="K90" s="5">
        <f>IF(E90=0,"",H90/E90)</f>
        <v/>
      </c>
      <c r="L90" s="6">
        <f>COUNTIF($D$2:$D90,D90)</f>
        <v/>
      </c>
      <c r="M90" s="3">
        <f>SUMIFS($E$2:$E90,$D$2:$D90,D90)</f>
        <v/>
      </c>
      <c r="N90" s="6">
        <f>IF(D90="Carmex",E90,"")</f>
        <v/>
      </c>
      <c r="O90" s="6">
        <f>IF(D90="Fanel",E90,"")</f>
        <v/>
      </c>
    </row>
    <row r="91">
      <c r="A91" s="2" t="inlineStr">
        <is>
          <t>2026-09-22</t>
        </is>
      </c>
      <c r="B91" s="2" t="inlineStr">
        <is>
          <t>D</t>
        </is>
      </c>
      <c r="C91" s="2" t="inlineStr">
        <is>
          <t>CR NE</t>
        </is>
      </c>
      <c r="D91" s="2" t="inlineStr">
        <is>
          <t>Fanel</t>
        </is>
      </c>
      <c r="E91" s="3" t="n">
        <v>1.6</v>
      </c>
      <c r="F91" s="3" t="n">
        <v>1.755648</v>
      </c>
      <c r="G91" s="4">
        <f>IF(F91=0,"",E91/F91)</f>
        <v/>
      </c>
      <c r="H91" s="5" t="n">
        <v>38.316</v>
      </c>
      <c r="I91" s="5" t="n">
        <v>16.021</v>
      </c>
      <c r="J91" s="4" t="n">
        <v>0.112556</v>
      </c>
      <c r="K91" s="5">
        <f>IF(E91=0,"",H91/E91)</f>
        <v/>
      </c>
      <c r="L91" s="6">
        <f>COUNTIF($D$2:$D91,D91)</f>
        <v/>
      </c>
      <c r="M91" s="3">
        <f>SUMIFS($E$2:$E91,$D$2:$D91,D91)</f>
        <v/>
      </c>
      <c r="N91" s="6">
        <f>IF(D91="Carmex",E91,"")</f>
        <v/>
      </c>
      <c r="O91" s="6">
        <f>IF(D91="Fanel",E91,"")</f>
        <v/>
      </c>
    </row>
    <row r="92">
      <c r="A92" s="2" t="inlineStr">
        <is>
          <t>2026-09-23</t>
        </is>
      </c>
      <c r="B92" s="2" t="inlineStr">
        <is>
          <t>N</t>
        </is>
      </c>
      <c r="C92" s="2" t="inlineStr">
        <is>
          <t>CR NE</t>
        </is>
      </c>
      <c r="D92" s="2" t="inlineStr">
        <is>
          <t>Fanel</t>
        </is>
      </c>
      <c r="E92" s="3" t="n">
        <v>1.62</v>
      </c>
      <c r="F92" s="3" t="n">
        <v>1.755648</v>
      </c>
      <c r="G92" s="4">
        <f>IF(F92=0,"",E92/F92)</f>
        <v/>
      </c>
      <c r="H92" s="5" t="n">
        <v>38.316</v>
      </c>
      <c r="I92" s="5" t="n">
        <v>16.221</v>
      </c>
      <c r="J92" s="4" t="n">
        <v>0.112556</v>
      </c>
      <c r="K92" s="5">
        <f>IF(E92=0,"",H92/E92)</f>
        <v/>
      </c>
      <c r="L92" s="6">
        <f>COUNTIF($D$2:$D92,D92)</f>
        <v/>
      </c>
      <c r="M92" s="3">
        <f>SUMIFS($E$2:$E92,$D$2:$D92,D92)</f>
        <v/>
      </c>
      <c r="N92" s="6">
        <f>IF(D92="Carmex",E92,"")</f>
        <v/>
      </c>
      <c r="O92" s="6">
        <f>IF(D92="Fanel",E92,"")</f>
        <v/>
      </c>
    </row>
    <row r="93">
      <c r="A93" s="2" t="inlineStr">
        <is>
          <t>2026-09-23</t>
        </is>
      </c>
      <c r="B93" s="2" t="inlineStr">
        <is>
          <t>D</t>
        </is>
      </c>
      <c r="C93" s="2" t="inlineStr">
        <is>
          <t>CR NE</t>
        </is>
      </c>
      <c r="D93" s="2" t="inlineStr">
        <is>
          <t>Fanel</t>
        </is>
      </c>
      <c r="E93" s="3" t="n">
        <v>1.58</v>
      </c>
      <c r="F93" s="3" t="n">
        <v>1.755648</v>
      </c>
      <c r="G93" s="4">
        <f>IF(F93=0,"",E93/F93)</f>
        <v/>
      </c>
      <c r="H93" s="5" t="n">
        <v>38.316</v>
      </c>
      <c r="I93" s="5" t="n">
        <v>15.821</v>
      </c>
      <c r="J93" s="4" t="n">
        <v>0.112556</v>
      </c>
      <c r="K93" s="5">
        <f>IF(E93=0,"",H93/E93)</f>
        <v/>
      </c>
      <c r="L93" s="6">
        <f>COUNTIF($D$2:$D93,D93)</f>
        <v/>
      </c>
      <c r="M93" s="3">
        <f>SUMIFS($E$2:$E93,$D$2:$D93,D93)</f>
        <v/>
      </c>
      <c r="N93" s="6">
        <f>IF(D93="Carmex",E93,"")</f>
        <v/>
      </c>
      <c r="O93" s="6">
        <f>IF(D93="Fanel",E93,"")</f>
        <v/>
      </c>
    </row>
    <row r="94">
      <c r="A94" s="2" t="inlineStr">
        <is>
          <t>2026-09-23</t>
        </is>
      </c>
      <c r="B94" s="2" t="inlineStr">
        <is>
          <t>D</t>
        </is>
      </c>
      <c r="C94" s="2" t="inlineStr">
        <is>
          <t>Rampa Brenda</t>
        </is>
      </c>
      <c r="D94" s="2" t="inlineStr">
        <is>
          <t>Fanel</t>
        </is>
      </c>
      <c r="E94" s="3" t="n">
        <v>1.58</v>
      </c>
      <c r="F94" s="3" t="n">
        <v>1.755648</v>
      </c>
      <c r="G94" s="4">
        <f>IF(F94=0,"",E94/F94)</f>
        <v/>
      </c>
      <c r="H94" s="5" t="n">
        <v>36.641</v>
      </c>
      <c r="I94" s="5" t="n">
        <v>21.865</v>
      </c>
      <c r="J94" s="4" t="n">
        <v>0.129657</v>
      </c>
      <c r="K94" s="5">
        <f>IF(E94=0,"",H94/E94)</f>
        <v/>
      </c>
      <c r="L94" s="6">
        <f>COUNTIF($D$2:$D94,D94)</f>
        <v/>
      </c>
      <c r="M94" s="3">
        <f>SUMIFS($E$2:$E94,$D$2:$D94,D94)</f>
        <v/>
      </c>
      <c r="N94" s="6">
        <f>IF(D94="Carmex",E94,"")</f>
        <v/>
      </c>
      <c r="O94" s="6">
        <f>IF(D94="Fanel",E94,"")</f>
        <v/>
      </c>
    </row>
    <row r="95">
      <c r="A95" s="2" t="inlineStr">
        <is>
          <t>2026-09-24</t>
        </is>
      </c>
      <c r="B95" s="2" t="inlineStr">
        <is>
          <t>N</t>
        </is>
      </c>
      <c r="C95" s="2" t="inlineStr">
        <is>
          <t>CR NE</t>
        </is>
      </c>
      <c r="D95" s="2" t="inlineStr">
        <is>
          <t>Fanel</t>
        </is>
      </c>
      <c r="E95" s="3" t="n">
        <v>1.6</v>
      </c>
      <c r="F95" s="3" t="n">
        <v>1.755648</v>
      </c>
      <c r="G95" s="4">
        <f>IF(F95=0,"",E95/F95)</f>
        <v/>
      </c>
      <c r="H95" s="5" t="n">
        <v>38.316</v>
      </c>
      <c r="I95" s="5" t="n">
        <v>16.021</v>
      </c>
      <c r="J95" s="4" t="n">
        <v>0.112556</v>
      </c>
      <c r="K95" s="5">
        <f>IF(E95=0,"",H95/E95)</f>
        <v/>
      </c>
      <c r="L95" s="6">
        <f>COUNTIF($D$2:$D95,D95)</f>
        <v/>
      </c>
      <c r="M95" s="3">
        <f>SUMIFS($E$2:$E95,$D$2:$D95,D95)</f>
        <v/>
      </c>
      <c r="N95" s="6">
        <f>IF(D95="Carmex",E95,"")</f>
        <v/>
      </c>
      <c r="O95" s="6">
        <f>IF(D95="Fanel",E95,"")</f>
        <v/>
      </c>
    </row>
    <row r="96">
      <c r="A96" s="2" t="inlineStr">
        <is>
          <t>2026-09-24</t>
        </is>
      </c>
      <c r="B96" s="2" t="inlineStr">
        <is>
          <t>D</t>
        </is>
      </c>
      <c r="C96" s="2" t="inlineStr">
        <is>
          <t>CR NE</t>
        </is>
      </c>
      <c r="D96" s="2" t="inlineStr">
        <is>
          <t>Fanel</t>
        </is>
      </c>
      <c r="E96" s="3" t="n">
        <v>1.58</v>
      </c>
      <c r="F96" s="3" t="n">
        <v>1.755648</v>
      </c>
      <c r="G96" s="4">
        <f>IF(F96=0,"",E96/F96)</f>
        <v/>
      </c>
      <c r="H96" s="5" t="n">
        <v>38.316</v>
      </c>
      <c r="I96" s="5" t="n">
        <v>15.821</v>
      </c>
      <c r="J96" s="4" t="n">
        <v>0.112556</v>
      </c>
      <c r="K96" s="5">
        <f>IF(E96=0,"",H96/E96)</f>
        <v/>
      </c>
      <c r="L96" s="6">
        <f>COUNTIF($D$2:$D96,D96)</f>
        <v/>
      </c>
      <c r="M96" s="3">
        <f>SUMIFS($E$2:$E96,$D$2:$D96,D96)</f>
        <v/>
      </c>
      <c r="N96" s="6">
        <f>IF(D96="Carmex",E96,"")</f>
        <v/>
      </c>
      <c r="O96" s="6">
        <f>IF(D96="Fanel",E96,"")</f>
        <v/>
      </c>
    </row>
    <row r="97">
      <c r="A97" s="2" t="inlineStr">
        <is>
          <t>2026-09-24</t>
        </is>
      </c>
      <c r="B97" s="2" t="inlineStr">
        <is>
          <t>N</t>
        </is>
      </c>
      <c r="C97" s="2" t="inlineStr">
        <is>
          <t>Rampa Brenda</t>
        </is>
      </c>
      <c r="D97" s="2" t="inlineStr">
        <is>
          <t>Fanel</t>
        </is>
      </c>
      <c r="E97" s="3" t="n">
        <v>1.49</v>
      </c>
      <c r="F97" s="3" t="n">
        <v>1.755648</v>
      </c>
      <c r="G97" s="4">
        <f>IF(F97=0,"",E97/F97)</f>
        <v/>
      </c>
      <c r="H97" s="5" t="n">
        <v>36.641</v>
      </c>
      <c r="I97" s="5" t="n">
        <v>20.619</v>
      </c>
      <c r="J97" s="4" t="n">
        <v>0.129657</v>
      </c>
      <c r="K97" s="5">
        <f>IF(E97=0,"",H97/E97)</f>
        <v/>
      </c>
      <c r="L97" s="6">
        <f>COUNTIF($D$2:$D97,D97)</f>
        <v/>
      </c>
      <c r="M97" s="3">
        <f>SUMIFS($E$2:$E97,$D$2:$D97,D97)</f>
        <v/>
      </c>
      <c r="N97" s="6">
        <f>IF(D97="Carmex",E97,"")</f>
        <v/>
      </c>
      <c r="O97" s="6">
        <f>IF(D97="Fanel",E97,"")</f>
        <v/>
      </c>
    </row>
    <row r="98">
      <c r="A98" s="2" t="inlineStr">
        <is>
          <t>2026-09-25</t>
        </is>
      </c>
      <c r="B98" s="2" t="inlineStr">
        <is>
          <t>D</t>
        </is>
      </c>
      <c r="C98" s="2" t="inlineStr">
        <is>
          <t>CR NE</t>
        </is>
      </c>
      <c r="D98" s="2" t="inlineStr">
        <is>
          <t>Fanel</t>
        </is>
      </c>
      <c r="E98" s="3" t="n">
        <v>1.61</v>
      </c>
      <c r="F98" s="3" t="n">
        <v>1.755648</v>
      </c>
      <c r="G98" s="4">
        <f>IF(F98=0,"",E98/F98)</f>
        <v/>
      </c>
      <c r="H98" s="5" t="n">
        <v>38.316</v>
      </c>
      <c r="I98" s="5" t="n">
        <v>16.121</v>
      </c>
      <c r="J98" s="4" t="n">
        <v>0.112556</v>
      </c>
      <c r="K98" s="5">
        <f>IF(E98=0,"",H98/E98)</f>
        <v/>
      </c>
      <c r="L98" s="6">
        <f>COUNTIF($D$2:$D98,D98)</f>
        <v/>
      </c>
      <c r="M98" s="3">
        <f>SUMIFS($E$2:$E98,$D$2:$D98,D98)</f>
        <v/>
      </c>
      <c r="N98" s="6">
        <f>IF(D98="Carmex",E98,"")</f>
        <v/>
      </c>
      <c r="O98" s="6">
        <f>IF(D98="Fanel",E98,"")</f>
        <v/>
      </c>
    </row>
    <row r="99">
      <c r="A99" s="2" t="inlineStr">
        <is>
          <t>2026-09-25</t>
        </is>
      </c>
      <c r="B99" s="2" t="inlineStr">
        <is>
          <t>D</t>
        </is>
      </c>
      <c r="C99" s="2" t="inlineStr">
        <is>
          <t>Rampa Brenda</t>
        </is>
      </c>
      <c r="D99" s="2" t="inlineStr">
        <is>
          <t>Fanel</t>
        </is>
      </c>
      <c r="E99" s="3" t="n">
        <v>1.49</v>
      </c>
      <c r="F99" s="3" t="n">
        <v>1.755648</v>
      </c>
      <c r="G99" s="4">
        <f>IF(F99=0,"",E99/F99)</f>
        <v/>
      </c>
      <c r="H99" s="5" t="n">
        <v>36.641</v>
      </c>
      <c r="I99" s="5" t="n">
        <v>20.619</v>
      </c>
      <c r="J99" s="4" t="n">
        <v>0.129657</v>
      </c>
      <c r="K99" s="5">
        <f>IF(E99=0,"",H99/E99)</f>
        <v/>
      </c>
      <c r="L99" s="6">
        <f>COUNTIF($D$2:$D99,D99)</f>
        <v/>
      </c>
      <c r="M99" s="3">
        <f>SUMIFS($E$2:$E99,$D$2:$D99,D99)</f>
        <v/>
      </c>
      <c r="N99" s="6">
        <f>IF(D99="Carmex",E99,"")</f>
        <v/>
      </c>
      <c r="O99" s="6">
        <f>IF(D99="Fanel",E99,"")</f>
        <v/>
      </c>
    </row>
  </sheetData>
  <autoFilter ref="A1:O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7" t="inlineStr">
        <is>
          <t>CURVA S · AVANCE ACUMULADO POR DISPARO</t>
        </is>
      </c>
    </row>
    <row r="2" ht="16" customHeight="1">
      <c r="A2" s="8" t="inlineStr">
        <is>
          <t>Acumulado contra el NÚMERO DE DISPAROS, no contra los días. En estas dos labores se disparó a ritmos distintos (2.87 por día con Carmex y 3.93 con Fanel) porque en el periodo Fanel la unidad concentró aquí el trabajo: GL NW 4 pasó de 15 disparos a ninguno y CR NE subió de 22 a 35. Contar por día mezclaría ese traslado de frentes con lo que aporta el iniciador; contado por disparo, la pendiente de cada curva ES el metraje por disparo.</t>
        </is>
      </c>
    </row>
    <row r="3"/>
    <row r="4"/>
    <row r="5"/>
    <row r="6"/>
    <row r="8">
      <c r="A8" s="1" t="inlineStr">
        <is>
          <t>N° disparo</t>
        </is>
      </c>
      <c r="B8" s="1" t="inlineStr">
        <is>
          <t>Carmex (m acum.)</t>
        </is>
      </c>
      <c r="C8" s="1" t="inlineStr">
        <is>
          <t>Fanel (m acum.)</t>
        </is>
      </c>
    </row>
    <row r="9">
      <c r="A9" s="9" t="n">
        <v>1</v>
      </c>
      <c r="B9" s="10">
        <f>IF(1&gt;43,NA(),SUMIFS(DATOS!$E$2:$E$99,DATOS!$D$2:$D$99,"Carmex",DATOS!$L$2:$L$99,"&lt;="&amp;A9))</f>
        <v/>
      </c>
      <c r="C9" s="10">
        <f>IF(1&gt;55,NA(),SUMIFS(DATOS!$E$2:$E$99,DATOS!$D$2:$D$99,"Fanel",DATOS!$L$2:$L$99,"&lt;="&amp;A9))</f>
        <v/>
      </c>
    </row>
    <row r="10">
      <c r="A10" s="9" t="n">
        <v>2</v>
      </c>
      <c r="B10" s="10">
        <f>IF(2&gt;43,NA(),SUMIFS(DATOS!$E$2:$E$99,DATOS!$D$2:$D$99,"Carmex",DATOS!$L$2:$L$99,"&lt;="&amp;A10))</f>
        <v/>
      </c>
      <c r="C10" s="10">
        <f>IF(2&gt;55,NA(),SUMIFS(DATOS!$E$2:$E$99,DATOS!$D$2:$D$99,"Fanel",DATOS!$L$2:$L$99,"&lt;="&amp;A10))</f>
        <v/>
      </c>
    </row>
    <row r="11">
      <c r="A11" s="9" t="n">
        <v>3</v>
      </c>
      <c r="B11" s="10">
        <f>IF(3&gt;43,NA(),SUMIFS(DATOS!$E$2:$E$99,DATOS!$D$2:$D$99,"Carmex",DATOS!$L$2:$L$99,"&lt;="&amp;A11))</f>
        <v/>
      </c>
      <c r="C11" s="10">
        <f>IF(3&gt;55,NA(),SUMIFS(DATOS!$E$2:$E$99,DATOS!$D$2:$D$99,"Fanel",DATOS!$L$2:$L$99,"&lt;="&amp;A11))</f>
        <v/>
      </c>
    </row>
    <row r="12">
      <c r="A12" s="9" t="n">
        <v>4</v>
      </c>
      <c r="B12" s="10">
        <f>IF(4&gt;43,NA(),SUMIFS(DATOS!$E$2:$E$99,DATOS!$D$2:$D$99,"Carmex",DATOS!$L$2:$L$99,"&lt;="&amp;A12))</f>
        <v/>
      </c>
      <c r="C12" s="10">
        <f>IF(4&gt;55,NA(),SUMIFS(DATOS!$E$2:$E$99,DATOS!$D$2:$D$99,"Fanel",DATOS!$L$2:$L$99,"&lt;="&amp;A12))</f>
        <v/>
      </c>
    </row>
    <row r="13">
      <c r="A13" s="9" t="n">
        <v>5</v>
      </c>
      <c r="B13" s="10">
        <f>IF(5&gt;43,NA(),SUMIFS(DATOS!$E$2:$E$99,DATOS!$D$2:$D$99,"Carmex",DATOS!$L$2:$L$99,"&lt;="&amp;A13))</f>
        <v/>
      </c>
      <c r="C13" s="10">
        <f>IF(5&gt;55,NA(),SUMIFS(DATOS!$E$2:$E$99,DATOS!$D$2:$D$99,"Fanel",DATOS!$L$2:$L$99,"&lt;="&amp;A13))</f>
        <v/>
      </c>
    </row>
    <row r="14">
      <c r="A14" s="9" t="n">
        <v>6</v>
      </c>
      <c r="B14" s="10">
        <f>IF(6&gt;43,NA(),SUMIFS(DATOS!$E$2:$E$99,DATOS!$D$2:$D$99,"Carmex",DATOS!$L$2:$L$99,"&lt;="&amp;A14))</f>
        <v/>
      </c>
      <c r="C14" s="10">
        <f>IF(6&gt;55,NA(),SUMIFS(DATOS!$E$2:$E$99,DATOS!$D$2:$D$99,"Fanel",DATOS!$L$2:$L$99,"&lt;="&amp;A14))</f>
        <v/>
      </c>
    </row>
    <row r="15">
      <c r="A15" s="9" t="n">
        <v>7</v>
      </c>
      <c r="B15" s="10">
        <f>IF(7&gt;43,NA(),SUMIFS(DATOS!$E$2:$E$99,DATOS!$D$2:$D$99,"Carmex",DATOS!$L$2:$L$99,"&lt;="&amp;A15))</f>
        <v/>
      </c>
      <c r="C15" s="10">
        <f>IF(7&gt;55,NA(),SUMIFS(DATOS!$E$2:$E$99,DATOS!$D$2:$D$99,"Fanel",DATOS!$L$2:$L$99,"&lt;="&amp;A15))</f>
        <v/>
      </c>
    </row>
    <row r="16">
      <c r="A16" s="9" t="n">
        <v>8</v>
      </c>
      <c r="B16" s="10">
        <f>IF(8&gt;43,NA(),SUMIFS(DATOS!$E$2:$E$99,DATOS!$D$2:$D$99,"Carmex",DATOS!$L$2:$L$99,"&lt;="&amp;A16))</f>
        <v/>
      </c>
      <c r="C16" s="10">
        <f>IF(8&gt;55,NA(),SUMIFS(DATOS!$E$2:$E$99,DATOS!$D$2:$D$99,"Fanel",DATOS!$L$2:$L$99,"&lt;="&amp;A16))</f>
        <v/>
      </c>
    </row>
    <row r="17">
      <c r="A17" s="9" t="n">
        <v>9</v>
      </c>
      <c r="B17" s="10">
        <f>IF(9&gt;43,NA(),SUMIFS(DATOS!$E$2:$E$99,DATOS!$D$2:$D$99,"Carmex",DATOS!$L$2:$L$99,"&lt;="&amp;A17))</f>
        <v/>
      </c>
      <c r="C17" s="10">
        <f>IF(9&gt;55,NA(),SUMIFS(DATOS!$E$2:$E$99,DATOS!$D$2:$D$99,"Fanel",DATOS!$L$2:$L$99,"&lt;="&amp;A17))</f>
        <v/>
      </c>
    </row>
    <row r="18">
      <c r="A18" s="9" t="n">
        <v>10</v>
      </c>
      <c r="B18" s="10">
        <f>IF(10&gt;43,NA(),SUMIFS(DATOS!$E$2:$E$99,DATOS!$D$2:$D$99,"Carmex",DATOS!$L$2:$L$99,"&lt;="&amp;A18))</f>
        <v/>
      </c>
      <c r="C18" s="10">
        <f>IF(10&gt;55,NA(),SUMIFS(DATOS!$E$2:$E$99,DATOS!$D$2:$D$99,"Fanel",DATOS!$L$2:$L$99,"&lt;="&amp;A18))</f>
        <v/>
      </c>
    </row>
    <row r="19">
      <c r="A19" s="9" t="n">
        <v>11</v>
      </c>
      <c r="B19" s="10">
        <f>IF(11&gt;43,NA(),SUMIFS(DATOS!$E$2:$E$99,DATOS!$D$2:$D$99,"Carmex",DATOS!$L$2:$L$99,"&lt;="&amp;A19))</f>
        <v/>
      </c>
      <c r="C19" s="10">
        <f>IF(11&gt;55,NA(),SUMIFS(DATOS!$E$2:$E$99,DATOS!$D$2:$D$99,"Fanel",DATOS!$L$2:$L$99,"&lt;="&amp;A19))</f>
        <v/>
      </c>
    </row>
    <row r="20">
      <c r="A20" s="9" t="n">
        <v>12</v>
      </c>
      <c r="B20" s="10">
        <f>IF(12&gt;43,NA(),SUMIFS(DATOS!$E$2:$E$99,DATOS!$D$2:$D$99,"Carmex",DATOS!$L$2:$L$99,"&lt;="&amp;A20))</f>
        <v/>
      </c>
      <c r="C20" s="10">
        <f>IF(12&gt;55,NA(),SUMIFS(DATOS!$E$2:$E$99,DATOS!$D$2:$D$99,"Fanel",DATOS!$L$2:$L$99,"&lt;="&amp;A20))</f>
        <v/>
      </c>
    </row>
    <row r="21">
      <c r="A21" s="9" t="n">
        <v>13</v>
      </c>
      <c r="B21" s="10">
        <f>IF(13&gt;43,NA(),SUMIFS(DATOS!$E$2:$E$99,DATOS!$D$2:$D$99,"Carmex",DATOS!$L$2:$L$99,"&lt;="&amp;A21))</f>
        <v/>
      </c>
      <c r="C21" s="10">
        <f>IF(13&gt;55,NA(),SUMIFS(DATOS!$E$2:$E$99,DATOS!$D$2:$D$99,"Fanel",DATOS!$L$2:$L$99,"&lt;="&amp;A21))</f>
        <v/>
      </c>
    </row>
    <row r="22">
      <c r="A22" s="9" t="n">
        <v>14</v>
      </c>
      <c r="B22" s="10">
        <f>IF(14&gt;43,NA(),SUMIFS(DATOS!$E$2:$E$99,DATOS!$D$2:$D$99,"Carmex",DATOS!$L$2:$L$99,"&lt;="&amp;A22))</f>
        <v/>
      </c>
      <c r="C22" s="10">
        <f>IF(14&gt;55,NA(),SUMIFS(DATOS!$E$2:$E$99,DATOS!$D$2:$D$99,"Fanel",DATOS!$L$2:$L$99,"&lt;="&amp;A22))</f>
        <v/>
      </c>
    </row>
    <row r="23">
      <c r="A23" s="9" t="n">
        <v>15</v>
      </c>
      <c r="B23" s="10">
        <f>IF(15&gt;43,NA(),SUMIFS(DATOS!$E$2:$E$99,DATOS!$D$2:$D$99,"Carmex",DATOS!$L$2:$L$99,"&lt;="&amp;A23))</f>
        <v/>
      </c>
      <c r="C23" s="10">
        <f>IF(15&gt;55,NA(),SUMIFS(DATOS!$E$2:$E$99,DATOS!$D$2:$D$99,"Fanel",DATOS!$L$2:$L$99,"&lt;="&amp;A23))</f>
        <v/>
      </c>
    </row>
    <row r="24">
      <c r="A24" s="9" t="n">
        <v>16</v>
      </c>
      <c r="B24" s="10">
        <f>IF(16&gt;43,NA(),SUMIFS(DATOS!$E$2:$E$99,DATOS!$D$2:$D$99,"Carmex",DATOS!$L$2:$L$99,"&lt;="&amp;A24))</f>
        <v/>
      </c>
      <c r="C24" s="10">
        <f>IF(16&gt;55,NA(),SUMIFS(DATOS!$E$2:$E$99,DATOS!$D$2:$D$99,"Fanel",DATOS!$L$2:$L$99,"&lt;="&amp;A24))</f>
        <v/>
      </c>
    </row>
    <row r="25">
      <c r="A25" s="9" t="n">
        <v>17</v>
      </c>
      <c r="B25" s="10">
        <f>IF(17&gt;43,NA(),SUMIFS(DATOS!$E$2:$E$99,DATOS!$D$2:$D$99,"Carmex",DATOS!$L$2:$L$99,"&lt;="&amp;A25))</f>
        <v/>
      </c>
      <c r="C25" s="10">
        <f>IF(17&gt;55,NA(),SUMIFS(DATOS!$E$2:$E$99,DATOS!$D$2:$D$99,"Fanel",DATOS!$L$2:$L$99,"&lt;="&amp;A25))</f>
        <v/>
      </c>
    </row>
    <row r="26">
      <c r="A26" s="9" t="n">
        <v>18</v>
      </c>
      <c r="B26" s="10">
        <f>IF(18&gt;43,NA(),SUMIFS(DATOS!$E$2:$E$99,DATOS!$D$2:$D$99,"Carmex",DATOS!$L$2:$L$99,"&lt;="&amp;A26))</f>
        <v/>
      </c>
      <c r="C26" s="10">
        <f>IF(18&gt;55,NA(),SUMIFS(DATOS!$E$2:$E$99,DATOS!$D$2:$D$99,"Fanel",DATOS!$L$2:$L$99,"&lt;="&amp;A26))</f>
        <v/>
      </c>
    </row>
    <row r="27">
      <c r="A27" s="9" t="n">
        <v>19</v>
      </c>
      <c r="B27" s="10">
        <f>IF(19&gt;43,NA(),SUMIFS(DATOS!$E$2:$E$99,DATOS!$D$2:$D$99,"Carmex",DATOS!$L$2:$L$99,"&lt;="&amp;A27))</f>
        <v/>
      </c>
      <c r="C27" s="10">
        <f>IF(19&gt;55,NA(),SUMIFS(DATOS!$E$2:$E$99,DATOS!$D$2:$D$99,"Fanel",DATOS!$L$2:$L$99,"&lt;="&amp;A27))</f>
        <v/>
      </c>
    </row>
    <row r="28">
      <c r="A28" s="9" t="n">
        <v>20</v>
      </c>
      <c r="B28" s="10">
        <f>IF(20&gt;43,NA(),SUMIFS(DATOS!$E$2:$E$99,DATOS!$D$2:$D$99,"Carmex",DATOS!$L$2:$L$99,"&lt;="&amp;A28))</f>
        <v/>
      </c>
      <c r="C28" s="10">
        <f>IF(20&gt;55,NA(),SUMIFS(DATOS!$E$2:$E$99,DATOS!$D$2:$D$99,"Fanel",DATOS!$L$2:$L$99,"&lt;="&amp;A28))</f>
        <v/>
      </c>
    </row>
    <row r="29">
      <c r="A29" s="9" t="n">
        <v>21</v>
      </c>
      <c r="B29" s="10">
        <f>IF(21&gt;43,NA(),SUMIFS(DATOS!$E$2:$E$99,DATOS!$D$2:$D$99,"Carmex",DATOS!$L$2:$L$99,"&lt;="&amp;A29))</f>
        <v/>
      </c>
      <c r="C29" s="10">
        <f>IF(21&gt;55,NA(),SUMIFS(DATOS!$E$2:$E$99,DATOS!$D$2:$D$99,"Fanel",DATOS!$L$2:$L$99,"&lt;="&amp;A29))</f>
        <v/>
      </c>
    </row>
    <row r="30">
      <c r="A30" s="9" t="n">
        <v>22</v>
      </c>
      <c r="B30" s="10">
        <f>IF(22&gt;43,NA(),SUMIFS(DATOS!$E$2:$E$99,DATOS!$D$2:$D$99,"Carmex",DATOS!$L$2:$L$99,"&lt;="&amp;A30))</f>
        <v/>
      </c>
      <c r="C30" s="10">
        <f>IF(22&gt;55,NA(),SUMIFS(DATOS!$E$2:$E$99,DATOS!$D$2:$D$99,"Fanel",DATOS!$L$2:$L$99,"&lt;="&amp;A30))</f>
        <v/>
      </c>
    </row>
    <row r="31">
      <c r="A31" s="9" t="n">
        <v>23</v>
      </c>
      <c r="B31" s="10">
        <f>IF(23&gt;43,NA(),SUMIFS(DATOS!$E$2:$E$99,DATOS!$D$2:$D$99,"Carmex",DATOS!$L$2:$L$99,"&lt;="&amp;A31))</f>
        <v/>
      </c>
      <c r="C31" s="10">
        <f>IF(23&gt;55,NA(),SUMIFS(DATOS!$E$2:$E$99,DATOS!$D$2:$D$99,"Fanel",DATOS!$L$2:$L$99,"&lt;="&amp;A31))</f>
        <v/>
      </c>
    </row>
    <row r="32">
      <c r="A32" s="9" t="n">
        <v>24</v>
      </c>
      <c r="B32" s="10">
        <f>IF(24&gt;43,NA(),SUMIFS(DATOS!$E$2:$E$99,DATOS!$D$2:$D$99,"Carmex",DATOS!$L$2:$L$99,"&lt;="&amp;A32))</f>
        <v/>
      </c>
      <c r="C32" s="10">
        <f>IF(24&gt;55,NA(),SUMIFS(DATOS!$E$2:$E$99,DATOS!$D$2:$D$99,"Fanel",DATOS!$L$2:$L$99,"&lt;="&amp;A32))</f>
        <v/>
      </c>
    </row>
    <row r="33">
      <c r="A33" s="9" t="n">
        <v>25</v>
      </c>
      <c r="B33" s="10">
        <f>IF(25&gt;43,NA(),SUMIFS(DATOS!$E$2:$E$99,DATOS!$D$2:$D$99,"Carmex",DATOS!$L$2:$L$99,"&lt;="&amp;A33))</f>
        <v/>
      </c>
      <c r="C33" s="10">
        <f>IF(25&gt;55,NA(),SUMIFS(DATOS!$E$2:$E$99,DATOS!$D$2:$D$99,"Fanel",DATOS!$L$2:$L$99,"&lt;="&amp;A33))</f>
        <v/>
      </c>
    </row>
    <row r="34">
      <c r="A34" s="9" t="n">
        <v>26</v>
      </c>
      <c r="B34" s="10">
        <f>IF(26&gt;43,NA(),SUMIFS(DATOS!$E$2:$E$99,DATOS!$D$2:$D$99,"Carmex",DATOS!$L$2:$L$99,"&lt;="&amp;A34))</f>
        <v/>
      </c>
      <c r="C34" s="10">
        <f>IF(26&gt;55,NA(),SUMIFS(DATOS!$E$2:$E$99,DATOS!$D$2:$D$99,"Fanel",DATOS!$L$2:$L$99,"&lt;="&amp;A34))</f>
        <v/>
      </c>
    </row>
    <row r="35">
      <c r="A35" s="9" t="n">
        <v>27</v>
      </c>
      <c r="B35" s="10">
        <f>IF(27&gt;43,NA(),SUMIFS(DATOS!$E$2:$E$99,DATOS!$D$2:$D$99,"Carmex",DATOS!$L$2:$L$99,"&lt;="&amp;A35))</f>
        <v/>
      </c>
      <c r="C35" s="10">
        <f>IF(27&gt;55,NA(),SUMIFS(DATOS!$E$2:$E$99,DATOS!$D$2:$D$99,"Fanel",DATOS!$L$2:$L$99,"&lt;="&amp;A35))</f>
        <v/>
      </c>
    </row>
    <row r="36">
      <c r="A36" s="9" t="n">
        <v>28</v>
      </c>
      <c r="B36" s="10">
        <f>IF(28&gt;43,NA(),SUMIFS(DATOS!$E$2:$E$99,DATOS!$D$2:$D$99,"Carmex",DATOS!$L$2:$L$99,"&lt;="&amp;A36))</f>
        <v/>
      </c>
      <c r="C36" s="10">
        <f>IF(28&gt;55,NA(),SUMIFS(DATOS!$E$2:$E$99,DATOS!$D$2:$D$99,"Fanel",DATOS!$L$2:$L$99,"&lt;="&amp;A36))</f>
        <v/>
      </c>
    </row>
    <row r="37">
      <c r="A37" s="9" t="n">
        <v>29</v>
      </c>
      <c r="B37" s="10">
        <f>IF(29&gt;43,NA(),SUMIFS(DATOS!$E$2:$E$99,DATOS!$D$2:$D$99,"Carmex",DATOS!$L$2:$L$99,"&lt;="&amp;A37))</f>
        <v/>
      </c>
      <c r="C37" s="10">
        <f>IF(29&gt;55,NA(),SUMIFS(DATOS!$E$2:$E$99,DATOS!$D$2:$D$99,"Fanel",DATOS!$L$2:$L$99,"&lt;="&amp;A37))</f>
        <v/>
      </c>
    </row>
    <row r="38">
      <c r="A38" s="9" t="n">
        <v>30</v>
      </c>
      <c r="B38" s="10">
        <f>IF(30&gt;43,NA(),SUMIFS(DATOS!$E$2:$E$99,DATOS!$D$2:$D$99,"Carmex",DATOS!$L$2:$L$99,"&lt;="&amp;A38))</f>
        <v/>
      </c>
      <c r="C38" s="10">
        <f>IF(30&gt;55,NA(),SUMIFS(DATOS!$E$2:$E$99,DATOS!$D$2:$D$99,"Fanel",DATOS!$L$2:$L$99,"&lt;="&amp;A38))</f>
        <v/>
      </c>
    </row>
    <row r="39">
      <c r="A39" s="9" t="n">
        <v>31</v>
      </c>
      <c r="B39" s="10">
        <f>IF(31&gt;43,NA(),SUMIFS(DATOS!$E$2:$E$99,DATOS!$D$2:$D$99,"Carmex",DATOS!$L$2:$L$99,"&lt;="&amp;A39))</f>
        <v/>
      </c>
      <c r="C39" s="10">
        <f>IF(31&gt;55,NA(),SUMIFS(DATOS!$E$2:$E$99,DATOS!$D$2:$D$99,"Fanel",DATOS!$L$2:$L$99,"&lt;="&amp;A39))</f>
        <v/>
      </c>
    </row>
    <row r="40">
      <c r="A40" s="9" t="n">
        <v>32</v>
      </c>
      <c r="B40" s="10">
        <f>IF(32&gt;43,NA(),SUMIFS(DATOS!$E$2:$E$99,DATOS!$D$2:$D$99,"Carmex",DATOS!$L$2:$L$99,"&lt;="&amp;A40))</f>
        <v/>
      </c>
      <c r="C40" s="10">
        <f>IF(32&gt;55,NA(),SUMIFS(DATOS!$E$2:$E$99,DATOS!$D$2:$D$99,"Fanel",DATOS!$L$2:$L$99,"&lt;="&amp;A40))</f>
        <v/>
      </c>
    </row>
    <row r="41">
      <c r="A41" s="9" t="n">
        <v>33</v>
      </c>
      <c r="B41" s="10">
        <f>IF(33&gt;43,NA(),SUMIFS(DATOS!$E$2:$E$99,DATOS!$D$2:$D$99,"Carmex",DATOS!$L$2:$L$99,"&lt;="&amp;A41))</f>
        <v/>
      </c>
      <c r="C41" s="10">
        <f>IF(33&gt;55,NA(),SUMIFS(DATOS!$E$2:$E$99,DATOS!$D$2:$D$99,"Fanel",DATOS!$L$2:$L$99,"&lt;="&amp;A41))</f>
        <v/>
      </c>
    </row>
    <row r="42">
      <c r="A42" s="9" t="n">
        <v>34</v>
      </c>
      <c r="B42" s="10">
        <f>IF(34&gt;43,NA(),SUMIFS(DATOS!$E$2:$E$99,DATOS!$D$2:$D$99,"Carmex",DATOS!$L$2:$L$99,"&lt;="&amp;A42))</f>
        <v/>
      </c>
      <c r="C42" s="10">
        <f>IF(34&gt;55,NA(),SUMIFS(DATOS!$E$2:$E$99,DATOS!$D$2:$D$99,"Fanel",DATOS!$L$2:$L$99,"&lt;="&amp;A42))</f>
        <v/>
      </c>
    </row>
    <row r="43">
      <c r="A43" s="9" t="n">
        <v>35</v>
      </c>
      <c r="B43" s="10">
        <f>IF(35&gt;43,NA(),SUMIFS(DATOS!$E$2:$E$99,DATOS!$D$2:$D$99,"Carmex",DATOS!$L$2:$L$99,"&lt;="&amp;A43))</f>
        <v/>
      </c>
      <c r="C43" s="10">
        <f>IF(35&gt;55,NA(),SUMIFS(DATOS!$E$2:$E$99,DATOS!$D$2:$D$99,"Fanel",DATOS!$L$2:$L$99,"&lt;="&amp;A43))</f>
        <v/>
      </c>
    </row>
    <row r="44">
      <c r="A44" s="9" t="n">
        <v>36</v>
      </c>
      <c r="B44" s="10">
        <f>IF(36&gt;43,NA(),SUMIFS(DATOS!$E$2:$E$99,DATOS!$D$2:$D$99,"Carmex",DATOS!$L$2:$L$99,"&lt;="&amp;A44))</f>
        <v/>
      </c>
      <c r="C44" s="10">
        <f>IF(36&gt;55,NA(),SUMIFS(DATOS!$E$2:$E$99,DATOS!$D$2:$D$99,"Fanel",DATOS!$L$2:$L$99,"&lt;="&amp;A44))</f>
        <v/>
      </c>
    </row>
    <row r="45">
      <c r="A45" s="9" t="n">
        <v>37</v>
      </c>
      <c r="B45" s="10">
        <f>IF(37&gt;43,NA(),SUMIFS(DATOS!$E$2:$E$99,DATOS!$D$2:$D$99,"Carmex",DATOS!$L$2:$L$99,"&lt;="&amp;A45))</f>
        <v/>
      </c>
      <c r="C45" s="10">
        <f>IF(37&gt;55,NA(),SUMIFS(DATOS!$E$2:$E$99,DATOS!$D$2:$D$99,"Fanel",DATOS!$L$2:$L$99,"&lt;="&amp;A45))</f>
        <v/>
      </c>
    </row>
    <row r="46">
      <c r="A46" s="9" t="n">
        <v>38</v>
      </c>
      <c r="B46" s="10">
        <f>IF(38&gt;43,NA(),SUMIFS(DATOS!$E$2:$E$99,DATOS!$D$2:$D$99,"Carmex",DATOS!$L$2:$L$99,"&lt;="&amp;A46))</f>
        <v/>
      </c>
      <c r="C46" s="10">
        <f>IF(38&gt;55,NA(),SUMIFS(DATOS!$E$2:$E$99,DATOS!$D$2:$D$99,"Fanel",DATOS!$L$2:$L$99,"&lt;="&amp;A46))</f>
        <v/>
      </c>
    </row>
    <row r="47">
      <c r="A47" s="9" t="n">
        <v>39</v>
      </c>
      <c r="B47" s="10">
        <f>IF(39&gt;43,NA(),SUMIFS(DATOS!$E$2:$E$99,DATOS!$D$2:$D$99,"Carmex",DATOS!$L$2:$L$99,"&lt;="&amp;A47))</f>
        <v/>
      </c>
      <c r="C47" s="10">
        <f>IF(39&gt;55,NA(),SUMIFS(DATOS!$E$2:$E$99,DATOS!$D$2:$D$99,"Fanel",DATOS!$L$2:$L$99,"&lt;="&amp;A47))</f>
        <v/>
      </c>
    </row>
    <row r="48">
      <c r="A48" s="9" t="n">
        <v>40</v>
      </c>
      <c r="B48" s="10">
        <f>IF(40&gt;43,NA(),SUMIFS(DATOS!$E$2:$E$99,DATOS!$D$2:$D$99,"Carmex",DATOS!$L$2:$L$99,"&lt;="&amp;A48))</f>
        <v/>
      </c>
      <c r="C48" s="10">
        <f>IF(40&gt;55,NA(),SUMIFS(DATOS!$E$2:$E$99,DATOS!$D$2:$D$99,"Fanel",DATOS!$L$2:$L$99,"&lt;="&amp;A48))</f>
        <v/>
      </c>
    </row>
    <row r="49">
      <c r="A49" s="9" t="n">
        <v>41</v>
      </c>
      <c r="B49" s="10">
        <f>IF(41&gt;43,NA(),SUMIFS(DATOS!$E$2:$E$99,DATOS!$D$2:$D$99,"Carmex",DATOS!$L$2:$L$99,"&lt;="&amp;A49))</f>
        <v/>
      </c>
      <c r="C49" s="10">
        <f>IF(41&gt;55,NA(),SUMIFS(DATOS!$E$2:$E$99,DATOS!$D$2:$D$99,"Fanel",DATOS!$L$2:$L$99,"&lt;="&amp;A49))</f>
        <v/>
      </c>
    </row>
    <row r="50">
      <c r="A50" s="9" t="n">
        <v>42</v>
      </c>
      <c r="B50" s="10">
        <f>IF(42&gt;43,NA(),SUMIFS(DATOS!$E$2:$E$99,DATOS!$D$2:$D$99,"Carmex",DATOS!$L$2:$L$99,"&lt;="&amp;A50))</f>
        <v/>
      </c>
      <c r="C50" s="10">
        <f>IF(42&gt;55,NA(),SUMIFS(DATOS!$E$2:$E$99,DATOS!$D$2:$D$99,"Fanel",DATOS!$L$2:$L$99,"&lt;="&amp;A50))</f>
        <v/>
      </c>
    </row>
    <row r="51">
      <c r="A51" s="9" t="n">
        <v>43</v>
      </c>
      <c r="B51" s="10">
        <f>IF(43&gt;43,NA(),SUMIFS(DATOS!$E$2:$E$99,DATOS!$D$2:$D$99,"Carmex",DATOS!$L$2:$L$99,"&lt;="&amp;A51))</f>
        <v/>
      </c>
      <c r="C51" s="10">
        <f>IF(43&gt;55,NA(),SUMIFS(DATOS!$E$2:$E$99,DATOS!$D$2:$D$99,"Fanel",DATOS!$L$2:$L$99,"&lt;="&amp;A51))</f>
        <v/>
      </c>
    </row>
    <row r="52">
      <c r="A52" s="9" t="n">
        <v>44</v>
      </c>
      <c r="B52" s="10">
        <f>IF(44&gt;43,NA(),SUMIFS(DATOS!$E$2:$E$99,DATOS!$D$2:$D$99,"Carmex",DATOS!$L$2:$L$99,"&lt;="&amp;A52))</f>
        <v/>
      </c>
      <c r="C52" s="10">
        <f>IF(44&gt;55,NA(),SUMIFS(DATOS!$E$2:$E$99,DATOS!$D$2:$D$99,"Fanel",DATOS!$L$2:$L$99,"&lt;="&amp;A52))</f>
        <v/>
      </c>
    </row>
    <row r="53">
      <c r="A53" s="9" t="n">
        <v>45</v>
      </c>
      <c r="B53" s="10">
        <f>IF(45&gt;43,NA(),SUMIFS(DATOS!$E$2:$E$99,DATOS!$D$2:$D$99,"Carmex",DATOS!$L$2:$L$99,"&lt;="&amp;A53))</f>
        <v/>
      </c>
      <c r="C53" s="10">
        <f>IF(45&gt;55,NA(),SUMIFS(DATOS!$E$2:$E$99,DATOS!$D$2:$D$99,"Fanel",DATOS!$L$2:$L$99,"&lt;="&amp;A53))</f>
        <v/>
      </c>
    </row>
    <row r="54">
      <c r="A54" s="9" t="n">
        <v>46</v>
      </c>
      <c r="B54" s="10">
        <f>IF(46&gt;43,NA(),SUMIFS(DATOS!$E$2:$E$99,DATOS!$D$2:$D$99,"Carmex",DATOS!$L$2:$L$99,"&lt;="&amp;A54))</f>
        <v/>
      </c>
      <c r="C54" s="10">
        <f>IF(46&gt;55,NA(),SUMIFS(DATOS!$E$2:$E$99,DATOS!$D$2:$D$99,"Fanel",DATOS!$L$2:$L$99,"&lt;="&amp;A54))</f>
        <v/>
      </c>
    </row>
    <row r="55">
      <c r="A55" s="9" t="n">
        <v>47</v>
      </c>
      <c r="B55" s="10">
        <f>IF(47&gt;43,NA(),SUMIFS(DATOS!$E$2:$E$99,DATOS!$D$2:$D$99,"Carmex",DATOS!$L$2:$L$99,"&lt;="&amp;A55))</f>
        <v/>
      </c>
      <c r="C55" s="10">
        <f>IF(47&gt;55,NA(),SUMIFS(DATOS!$E$2:$E$99,DATOS!$D$2:$D$99,"Fanel",DATOS!$L$2:$L$99,"&lt;="&amp;A55))</f>
        <v/>
      </c>
    </row>
    <row r="56">
      <c r="A56" s="9" t="n">
        <v>48</v>
      </c>
      <c r="B56" s="10">
        <f>IF(48&gt;43,NA(),SUMIFS(DATOS!$E$2:$E$99,DATOS!$D$2:$D$99,"Carmex",DATOS!$L$2:$L$99,"&lt;="&amp;A56))</f>
        <v/>
      </c>
      <c r="C56" s="10">
        <f>IF(48&gt;55,NA(),SUMIFS(DATOS!$E$2:$E$99,DATOS!$D$2:$D$99,"Fanel",DATOS!$L$2:$L$99,"&lt;="&amp;A56))</f>
        <v/>
      </c>
    </row>
    <row r="57">
      <c r="A57" s="9" t="n">
        <v>49</v>
      </c>
      <c r="B57" s="10">
        <f>IF(49&gt;43,NA(),SUMIFS(DATOS!$E$2:$E$99,DATOS!$D$2:$D$99,"Carmex",DATOS!$L$2:$L$99,"&lt;="&amp;A57))</f>
        <v/>
      </c>
      <c r="C57" s="10">
        <f>IF(49&gt;55,NA(),SUMIFS(DATOS!$E$2:$E$99,DATOS!$D$2:$D$99,"Fanel",DATOS!$L$2:$L$99,"&lt;="&amp;A57))</f>
        <v/>
      </c>
    </row>
    <row r="58">
      <c r="A58" s="9" t="n">
        <v>50</v>
      </c>
      <c r="B58" s="10">
        <f>IF(50&gt;43,NA(),SUMIFS(DATOS!$E$2:$E$99,DATOS!$D$2:$D$99,"Carmex",DATOS!$L$2:$L$99,"&lt;="&amp;A58))</f>
        <v/>
      </c>
      <c r="C58" s="10">
        <f>IF(50&gt;55,NA(),SUMIFS(DATOS!$E$2:$E$99,DATOS!$D$2:$D$99,"Fanel",DATOS!$L$2:$L$99,"&lt;="&amp;A58))</f>
        <v/>
      </c>
    </row>
    <row r="59">
      <c r="A59" s="9" t="n">
        <v>51</v>
      </c>
      <c r="B59" s="10">
        <f>IF(51&gt;43,NA(),SUMIFS(DATOS!$E$2:$E$99,DATOS!$D$2:$D$99,"Carmex",DATOS!$L$2:$L$99,"&lt;="&amp;A59))</f>
        <v/>
      </c>
      <c r="C59" s="10">
        <f>IF(51&gt;55,NA(),SUMIFS(DATOS!$E$2:$E$99,DATOS!$D$2:$D$99,"Fanel",DATOS!$L$2:$L$99,"&lt;="&amp;A59))</f>
        <v/>
      </c>
    </row>
    <row r="60">
      <c r="A60" s="9" t="n">
        <v>52</v>
      </c>
      <c r="B60" s="10">
        <f>IF(52&gt;43,NA(),SUMIFS(DATOS!$E$2:$E$99,DATOS!$D$2:$D$99,"Carmex",DATOS!$L$2:$L$99,"&lt;="&amp;A60))</f>
        <v/>
      </c>
      <c r="C60" s="10">
        <f>IF(52&gt;55,NA(),SUMIFS(DATOS!$E$2:$E$99,DATOS!$D$2:$D$99,"Fanel",DATOS!$L$2:$L$99,"&lt;="&amp;A60))</f>
        <v/>
      </c>
    </row>
    <row r="61">
      <c r="A61" s="9" t="n">
        <v>53</v>
      </c>
      <c r="B61" s="10">
        <f>IF(53&gt;43,NA(),SUMIFS(DATOS!$E$2:$E$99,DATOS!$D$2:$D$99,"Carmex",DATOS!$L$2:$L$99,"&lt;="&amp;A61))</f>
        <v/>
      </c>
      <c r="C61" s="10">
        <f>IF(53&gt;55,NA(),SUMIFS(DATOS!$E$2:$E$99,DATOS!$D$2:$D$99,"Fanel",DATOS!$L$2:$L$99,"&lt;="&amp;A61))</f>
        <v/>
      </c>
    </row>
    <row r="62">
      <c r="A62" s="9" t="n">
        <v>54</v>
      </c>
      <c r="B62" s="10">
        <f>IF(54&gt;43,NA(),SUMIFS(DATOS!$E$2:$E$99,DATOS!$D$2:$D$99,"Carmex",DATOS!$L$2:$L$99,"&lt;="&amp;A62))</f>
        <v/>
      </c>
      <c r="C62" s="10">
        <f>IF(54&gt;55,NA(),SUMIFS(DATOS!$E$2:$E$99,DATOS!$D$2:$D$99,"Fanel",DATOS!$L$2:$L$99,"&lt;="&amp;A62))</f>
        <v/>
      </c>
    </row>
    <row r="63">
      <c r="A63" s="9" t="n">
        <v>55</v>
      </c>
      <c r="B63" s="10">
        <f>IF(55&gt;43,NA(),SUMIFS(DATOS!$E$2:$E$99,DATOS!$D$2:$D$99,"Carmex",DATOS!$L$2:$L$99,"&lt;="&amp;A63))</f>
        <v/>
      </c>
      <c r="C63" s="10">
        <f>IF(55&gt;55,NA(),SUMIFS(DATOS!$E$2:$E$99,DATOS!$D$2:$D$99,"Fanel",DATOS!$L$2:$L$99,"&lt;="&amp;A63))</f>
        <v/>
      </c>
    </row>
  </sheetData>
  <mergeCells count="1">
    <mergeCell ref="A2:H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2026-10-03T21:30:13Z</dcterms:created>
  <dcterms:modified xsi:type="dcterms:W3CDTF">2026-10-03T21:31:07Z</dcterms:modified>
</cp:coreProperties>
</file>