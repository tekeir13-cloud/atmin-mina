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" sheetId="1" state="visible" r:id="rId1"/>
    <sheet name="RESUMEN MES" sheetId="2" state="visible" r:id="rId2"/>
    <sheet name="Materiales" sheetId="3" state="visible" r:id="rId3"/>
    <sheet name="Plan" sheetId="4" state="visible" r:id="rId4"/>
    <sheet name="Consumo" sheetId="5" state="visible" r:id="rId5"/>
    <sheet name="Inventario" sheetId="6" state="visible" r:id="rId6"/>
    <sheet name="MRP" sheetId="7" state="visible" r:id="rId7"/>
    <sheet name="Orde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S/&quot; #,##0.00;(&quot;S/&quot; #,##0.00);-"/>
    <numFmt numFmtId="165" formatCode="#,##0;(#,##0);-"/>
    <numFmt numFmtId="166" formatCode="#,##0.00;(#,##0.00);-"/>
    <numFmt numFmtId="167" formatCode="dd/mm/yyyy"/>
    <numFmt numFmtId="168" formatCode="#,##0.0000"/>
    <numFmt numFmtId="169" formatCode="0.0&quot; m&quot;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1E7B34"/>
      <sz val="10"/>
    </font>
    <font>
      <name val="Arial"/>
      <color rgb="000000FF"/>
      <sz val="10"/>
    </font>
    <font>
      <name val="Arial"/>
      <color rgb="009C0006"/>
      <sz val="10"/>
    </font>
    <font>
      <name val="Arial"/>
      <i val="1"/>
      <color rgb="00000000"/>
      <sz val="10"/>
    </font>
    <font>
      <name val="Arial"/>
      <i val="1"/>
      <color rgb="00808080"/>
      <sz val="9"/>
    </font>
    <font>
      <name val="Arial"/>
      <b val="1"/>
      <color rgb="001F4E79"/>
      <sz val="9"/>
    </font>
    <font>
      <name val="Arial"/>
      <color rgb="00008000"/>
      <sz val="10"/>
    </font>
    <font>
      <name val="Arial"/>
      <b val="1"/>
      <color rgb="00008000"/>
      <sz val="9"/>
    </font>
    <font>
      <name val="Arial"/>
      <b val="1"/>
      <color rgb="00008000"/>
      <sz val="10"/>
    </font>
    <font>
      <name val="Arial"/>
      <color rgb="00808080"/>
      <sz val="9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b val="1"/>
      <color rgb="000000FF"/>
      <sz val="10"/>
    </font>
    <font>
      <name val="Arial"/>
      <color rgb="00C55A11"/>
      <sz val="10"/>
    </font>
    <font>
      <name val="Arial"/>
      <b val="1"/>
      <color rgb="009C0006"/>
      <sz val="10"/>
    </font>
    <font>
      <name val="Arial"/>
      <b val="1"/>
      <color rgb="00C55A11"/>
      <sz val="9"/>
    </font>
  </fonts>
  <fills count="12">
    <fill>
      <patternFill/>
    </fill>
    <fill>
      <patternFill patternType="gray125"/>
    </fill>
    <fill>
      <patternFill patternType="solid">
        <fgColor rgb="000F2E4D"/>
        <bgColor rgb="000F2E4D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7F9FB"/>
        <bgColor rgb="00F7F9F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DE9D9"/>
        <bgColor rgb="00FDE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 wrapText="1"/>
    </xf>
    <xf numFmtId="0" fontId="0" fillId="7" borderId="1" pivotButton="0" quotePrefix="0" xfId="0"/>
    <xf numFmtId="0" fontId="10" fillId="0" borderId="0" pivotButton="0" quotePrefix="0" xfId="0"/>
    <xf numFmtId="0" fontId="0" fillId="8" borderId="1" pivotButton="0" quotePrefix="0" xfId="0"/>
    <xf numFmtId="0" fontId="4" fillId="0" borderId="0" pivotButton="0" quotePrefix="0" xfId="0"/>
    <xf numFmtId="0" fontId="0" fillId="9" borderId="1" pivotButton="0" quotePrefix="0" xfId="0"/>
    <xf numFmtId="0" fontId="0" fillId="6" borderId="1" pivotButton="0" quotePrefix="0" xfId="0"/>
    <xf numFmtId="0" fontId="0" fillId="10" borderId="1" pivotButton="0" quotePrefix="0" xfId="0"/>
    <xf numFmtId="0" fontId="11" fillId="0" borderId="0" pivotButton="0" quotePrefix="0" xfId="0"/>
    <xf numFmtId="0" fontId="12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/>
    </xf>
    <xf numFmtId="164" fontId="12" fillId="8" borderId="1" applyAlignment="1" pivotButton="0" quotePrefix="0" xfId="0">
      <alignment horizontal="left" vertical="center"/>
    </xf>
    <xf numFmtId="165" fontId="12" fillId="8" borderId="1" applyAlignment="1" pivotButton="0" quotePrefix="0" xfId="0">
      <alignment horizontal="center" vertical="center"/>
    </xf>
    <xf numFmtId="166" fontId="12" fillId="8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left" vertical="center"/>
    </xf>
    <xf numFmtId="165" fontId="10" fillId="7" borderId="1" applyAlignment="1" pivotButton="0" quotePrefix="0" xfId="0">
      <alignment horizontal="center" vertical="center"/>
    </xf>
    <xf numFmtId="166" fontId="10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167" fontId="10" fillId="7" borderId="1" applyAlignment="1" pivotButton="0" quotePrefix="0" xfId="0">
      <alignment horizontal="center" vertical="center"/>
    </xf>
    <xf numFmtId="0" fontId="13" fillId="0" borderId="0" pivotButton="0" quotePrefix="0" xfId="0"/>
    <xf numFmtId="167" fontId="14" fillId="9" borderId="1" applyAlignment="1" pivotButton="0" quotePrefix="0" xfId="0">
      <alignment horizontal="center" vertical="center"/>
    </xf>
    <xf numFmtId="166" fontId="4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167" fontId="16" fillId="9" borderId="1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indent="1"/>
    </xf>
    <xf numFmtId="166" fontId="18" fillId="9" borderId="1" applyAlignment="1" pivotButton="0" quotePrefix="0" xfId="0">
      <alignment horizontal="center" vertical="center"/>
    </xf>
    <xf numFmtId="166" fontId="7" fillId="9" borderId="1" applyAlignment="1" pivotButton="0" quotePrefix="0" xfId="0">
      <alignment horizontal="center" vertical="center"/>
    </xf>
    <xf numFmtId="0" fontId="0" fillId="0" borderId="1" pivotButton="0" quotePrefix="0" xfId="0"/>
    <xf numFmtId="166" fontId="8" fillId="4" borderId="1" applyAlignment="1" pivotButton="0" quotePrefix="0" xfId="0">
      <alignment horizontal="center" vertical="center"/>
    </xf>
    <xf numFmtId="166" fontId="19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indent="1"/>
    </xf>
    <xf numFmtId="166" fontId="9" fillId="6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0" fillId="4" borderId="0" pivotButton="0" quotePrefix="0" xfId="0"/>
    <xf numFmtId="164" fontId="15" fillId="9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166" fontId="8" fillId="9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right" vertical="center" indent="1"/>
    </xf>
    <xf numFmtId="166" fontId="6" fillId="3" borderId="1" applyAlignment="1" pivotButton="0" quotePrefix="0" xfId="0">
      <alignment horizontal="center" vertical="center"/>
    </xf>
    <xf numFmtId="166" fontId="20" fillId="3" borderId="1" applyAlignment="1" pivotButton="0" quotePrefix="0" xfId="0">
      <alignment horizontal="center" vertical="center"/>
    </xf>
    <xf numFmtId="164" fontId="20" fillId="3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20" fillId="3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169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8" fontId="17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166" fontId="1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21" fillId="7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left" vertical="center" wrapText="1"/>
    </xf>
    <xf numFmtId="164" fontId="22" fillId="11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left" vertical="center" wrapText="1"/>
    </xf>
    <xf numFmtId="165" fontId="22" fillId="11" borderId="1" applyAlignment="1" pivotButton="0" quotePrefix="0" xfId="0">
      <alignment horizontal="center" vertical="center"/>
    </xf>
    <xf numFmtId="166" fontId="22" fillId="11" borderId="1" applyAlignment="1" pivotButton="0" quotePrefix="0" xfId="0">
      <alignment horizontal="center" vertical="center"/>
    </xf>
    <xf numFmtId="167" fontId="10" fillId="7" borderId="1" applyAlignment="1" pivotButton="0" quotePrefix="0" xfId="0">
      <alignment horizontal="center" vertical="center"/>
    </xf>
    <xf numFmtId="167" fontId="14" fillId="9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166" fontId="21" fillId="7" borderId="1" applyAlignment="1" pivotButton="0" quotePrefix="0" xfId="0">
      <alignment horizontal="center" vertical="center"/>
    </xf>
    <xf numFmtId="166" fontId="10" fillId="7" borderId="1" applyAlignment="1" pivotButton="0" quotePrefix="0" xfId="0">
      <alignment horizontal="center" vertical="center"/>
    </xf>
    <xf numFmtId="168" fontId="21" fillId="7" borderId="1" applyAlignment="1" pivotButton="0" quotePrefix="0" xfId="0">
      <alignment horizontal="center" vertical="center"/>
    </xf>
    <xf numFmtId="167" fontId="16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Arial"/>
        <b val="1"/>
        <color rgb="009C0006"/>
        <sz val="9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E4D"/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6" customWidth="1" min="3" max="3"/>
    <col width="40" customWidth="1" min="4" max="4"/>
    <col width="44" customWidth="1" min="5" max="5"/>
  </cols>
  <sheetData>
    <row r="1" ht="26" customHeight="1">
      <c r="A1" s="1" t="inlineStr">
        <is>
          <t>MRP — Planificacion de Requerimientos de Materiales  |  ATMIN / MukiCloud</t>
        </is>
      </c>
    </row>
    <row r="2" ht="18" customHeight="1">
      <c r="A2" s="62" t="inlineStr">
        <is>
          <t>ARCHIVO DE CORRIDA (ejemplo llenado). Las celdas naranjas son SUPUESTOS mios: precio, proveedor, lead time, lote, stock de seguridad y stock actual. El consumo por metro es el dato real que diste.</t>
        </is>
      </c>
    </row>
    <row r="4" ht="22" customHeight="1">
      <c r="B4" s="3" t="inlineStr">
        <is>
          <t>1.  ¿Que es un MRP y que te responde?</t>
        </is>
      </c>
    </row>
    <row r="6" ht="15" customHeight="1">
      <c r="B6" s="4" t="inlineStr">
        <is>
          <t>Un MRP responde tres preguntas: QUE material pedir, CUANTO pedir y CUANDO lanzar el pedido.</t>
        </is>
      </c>
    </row>
    <row r="7" ht="45" customHeight="1">
      <c r="B7" s="4" t="inlineStr">
        <is>
          <t>Parte del plan de avance (metros por frente), lo multiplica por el estandar de consumo, le resta lo que ya tienes en almacen y lo que ya esta pedido, y te dice cuanto falta y en que semana debes emitir la orden para que llegue a tiempo.</t>
        </is>
      </c>
    </row>
    <row r="9" ht="15" customHeight="1">
      <c r="B9" s="5" t="inlineStr">
        <is>
          <t>Necesidad neta  =  Necesidad bruta  −  Stock disponible  −  Ordenes en transito  +  Stock de seguridad</t>
        </is>
      </c>
    </row>
    <row r="10" ht="15" customHeight="1">
      <c r="B10" s="5" t="inlineStr">
        <is>
          <t>Fecha de pedido  =  Semana en que se necesita  −  Lead time del proveedor</t>
        </is>
      </c>
    </row>
    <row r="12" ht="22" customHeight="1">
      <c r="B12" s="3" t="inlineStr">
        <is>
          <t>2.  Orden de llenado (sigue las pestañas de izquierda a derecha)</t>
        </is>
      </c>
    </row>
    <row r="14" ht="22" customHeight="1">
      <c r="A14" s="6" t="inlineStr">
        <is>
          <t>Paso</t>
        </is>
      </c>
      <c r="B14" s="6" t="inlineStr">
        <is>
          <t>Pestaña</t>
        </is>
      </c>
      <c r="C14" s="6" t="inlineStr">
        <is>
          <t>Que llenas ahi</t>
        </is>
      </c>
      <c r="D14" s="6" t="inlineStr">
        <is>
          <t>Ejemplo concreto</t>
        </is>
      </c>
      <c r="E14" s="6" t="inlineStr">
        <is>
          <t>Ojo con esto</t>
        </is>
      </c>
    </row>
    <row r="15" ht="60" customHeight="1">
      <c r="A15" s="7" t="inlineStr">
        <is>
          <t>1</t>
        </is>
      </c>
      <c r="B15" s="8" t="inlineStr">
        <is>
          <t>Materiales</t>
        </is>
      </c>
      <c r="C15" s="9" t="inlineStr">
        <is>
          <t>El maestro: un renglon por material que quieras planificar. Codigo, unidad, precio, proveedor, lead time, lote de compra y stock de seguridad.</t>
        </is>
      </c>
      <c r="D15" s="9" t="inlineStr">
        <is>
          <t>EXP-001 · Emulsion 1"x7" · UND · S/ 3.80 · Famesa · 2 semanas · lote 500 · seguridad 800</t>
        </is>
      </c>
      <c r="E15" s="9" t="inlineStr">
        <is>
          <t>El LEAD TIME va en SEMANAS enteras (2 = llega a las 2 semanas). El LOTE es el multiplo de compra: si pones 500, el MRP siempre redondea hacia arriba a 500, 1000, 1500.</t>
        </is>
      </c>
    </row>
    <row r="16" ht="60" customHeight="1">
      <c r="A16" s="10" t="inlineStr">
        <is>
          <t>2</t>
        </is>
      </c>
      <c r="B16" s="11" t="inlineStr">
        <is>
          <t>Plan</t>
        </is>
      </c>
      <c r="C16" s="12" t="inlineStr">
        <is>
          <t>El plan de avance: cuantos metros (o unidades) vas a producir por frente y por semana. Tambien la fecha de inicio de la Semana 1.</t>
        </is>
      </c>
      <c r="D16" s="12" t="inlineStr">
        <is>
          <t>RA Brenda · Metros de avance · Sem1 20 · Sem2 25 · Sem3 25 ...</t>
        </is>
      </c>
      <c r="E16" s="12" t="inlineStr">
        <is>
          <t>Tus 6 frentes ya vienen escritos. Si el frente no tiene meta esa semana, deja la celda vacia (=0). La fecha de la Semana 1 manda el calendario de TODAS las hojas.</t>
        </is>
      </c>
    </row>
    <row r="17" ht="60" customHeight="1">
      <c r="A17" s="7" t="inlineStr">
        <is>
          <t>3</t>
        </is>
      </c>
      <c r="B17" s="8" t="inlineStr">
        <is>
          <t>Consumo</t>
        </is>
      </c>
      <c r="C17" s="9" t="inlineStr">
        <is>
          <t>El estandar de consumo (BOM): cuanto material se gasta por CADA metro de avance, por frente. Una linea por combinacion frente + material.</t>
        </is>
      </c>
      <c r="D17" s="9" t="inlineStr">
        <is>
          <t>RA Brenda · EXP-001 · 45 unidades por metro de avance</t>
        </is>
      </c>
      <c r="E17" s="9" t="inlineStr">
        <is>
          <t>Aca esta el 80% de la exactitud del MRP. Saca el numero del consumo real historico del Compresorista (consumo del mes / metros del mes), no del catalogo teorico.</t>
        </is>
      </c>
    </row>
    <row r="18" ht="60" customHeight="1">
      <c r="A18" s="10" t="inlineStr">
        <is>
          <t>4</t>
        </is>
      </c>
      <c r="B18" s="11" t="inlineStr">
        <is>
          <t>Inventario</t>
        </is>
      </c>
      <c r="C18" s="12" t="inlineStr">
        <is>
          <t>Lo que HOY tienes en almacen (stock actual) y las ordenes de compra ya emitidas que aun no llegan, puestas en la semana en que llegaran.</t>
        </is>
      </c>
      <c r="D18" s="12" t="inlineStr">
        <is>
          <t>EXP-001 · stock 1,200 · OC-1024 Famesa · llegan 500 en Sem 2</t>
        </is>
      </c>
      <c r="E18" s="12" t="inlineStr">
        <is>
          <t>El stock actual es el del Almacen General + NV2820 juntos. Si un material tiene 2 ordenes en camino, usa 2 renglones con el mismo codigo.</t>
        </is>
      </c>
    </row>
    <row r="19" ht="60" customHeight="1">
      <c r="A19" s="7" t="inlineStr">
        <is>
          <t>—</t>
        </is>
      </c>
      <c r="B19" s="8" t="inlineStr">
        <is>
          <t>MRP</t>
        </is>
      </c>
      <c r="C19" s="9" t="inlineStr">
        <is>
          <t>NO SE LLENA. Es el calculo semana por semana, 6 renglones por material.</t>
        </is>
      </c>
      <c r="D19" s="9" t="inlineStr">
        <is>
          <t>Mira el renglon verde: LANZAMIENTO DE ORDEN.</t>
        </is>
      </c>
      <c r="E19" s="9" t="inlineStr">
        <is>
          <t>Si el stock proyectado sale en rojo, te vas a quedar sin material esa semana.</t>
        </is>
      </c>
    </row>
    <row r="20" ht="60" customHeight="1">
      <c r="A20" s="10" t="inlineStr">
        <is>
          <t>—</t>
        </is>
      </c>
      <c r="B20" s="11" t="inlineStr">
        <is>
          <t>Ordenes</t>
        </is>
      </c>
      <c r="C20" s="12" t="inlineStr">
        <is>
          <t>NO SE LLENA. El resumen para comprar: que pedir, cuanto, en que semana y cuanta plata.</t>
        </is>
      </c>
      <c r="D20" s="12" t="inlineStr">
        <is>
          <t>Esta es la hoja que le mandas a Logistica.</t>
        </is>
      </c>
      <c r="E20" s="12" t="inlineStr">
        <is>
          <t>Si dice PEDIR YA (atrasado) es porque el material se necesita antes de lo que alcanza el lead time.</t>
        </is>
      </c>
    </row>
    <row r="22" ht="22" customHeight="1">
      <c r="B22" s="3" t="inlineStr">
        <is>
          <t>3.  Como leer la hoja MRP (los 6 renglones de cada material)</t>
        </is>
      </c>
    </row>
    <row r="24" ht="26" customHeight="1">
      <c r="B24" s="13" t="inlineStr">
        <is>
          <t>Necesidad bruta</t>
        </is>
      </c>
      <c r="C24" s="14" t="inlineStr">
        <is>
          <t>Lo que el plan de avance va a consumir esa semana. = metros del frente × consumo por metro.</t>
        </is>
      </c>
      <c r="D24" s="63" t="n"/>
      <c r="E24" s="64" t="n"/>
    </row>
    <row r="25" ht="26" customHeight="1">
      <c r="B25" s="13" t="inlineStr">
        <is>
          <t>Recepciones programadas</t>
        </is>
      </c>
      <c r="C25" s="14" t="inlineStr">
        <is>
          <t>Lo que YA esta pedido y llega esa semana (lo escribiste en Inventario).</t>
        </is>
      </c>
      <c r="D25" s="63" t="n"/>
      <c r="E25" s="64" t="n"/>
    </row>
    <row r="26" ht="26" customHeight="1">
      <c r="B26" s="13" t="inlineStr">
        <is>
          <t>Stock proyectado disponible</t>
        </is>
      </c>
      <c r="C26" s="14" t="inlineStr">
        <is>
          <t>Lo que quedara en almacen al cerrar la semana. En rojo = quiebre de stock.</t>
        </is>
      </c>
      <c r="D26" s="63" t="n"/>
      <c r="E26" s="64" t="n"/>
    </row>
    <row r="27" ht="26" customHeight="1">
      <c r="B27" s="13" t="inlineStr">
        <is>
          <t>Necesidad neta</t>
        </is>
      </c>
      <c r="C27" s="14" t="inlineStr">
        <is>
          <t>Lo que realmente falta comprar, ya descontado el stock y lo que viene en camino.</t>
        </is>
      </c>
      <c r="D27" s="63" t="n"/>
      <c r="E27" s="64" t="n"/>
    </row>
    <row r="28" ht="26" customHeight="1">
      <c r="B28" s="13" t="inlineStr">
        <is>
          <t>Recepcion de orden planificada</t>
        </is>
      </c>
      <c r="C28" s="14" t="inlineStr">
        <is>
          <t>La necesidad neta redondeada al lote de compra. Es lo que debe LLEGAR esa semana.</t>
        </is>
      </c>
      <c r="D28" s="63" t="n"/>
      <c r="E28" s="64" t="n"/>
    </row>
    <row r="29" ht="26" customHeight="1">
      <c r="B29" s="15" t="inlineStr">
        <is>
          <t>LANZAMIENTO DE ORDEN</t>
        </is>
      </c>
      <c r="C29" s="14" t="inlineStr">
        <is>
          <t>La misma cantidad pero corrida hacia atras por el lead time. ES LA SEMANA EN QUE DEBES PEDIR.</t>
        </is>
      </c>
      <c r="D29" s="63" t="n"/>
      <c r="E29" s="64" t="n"/>
    </row>
    <row r="31" ht="22" customHeight="1">
      <c r="B31" s="3" t="inlineStr">
        <is>
          <t>4.  Leyenda de colores</t>
        </is>
      </c>
    </row>
    <row r="33">
      <c r="B33" s="16" t="inlineStr"/>
      <c r="C33" s="17" t="inlineStr">
        <is>
          <t>Celda que TU llenas (texto azul sobre amarillo)</t>
        </is>
      </c>
    </row>
    <row r="34">
      <c r="B34" s="18" t="inlineStr"/>
      <c r="C34" s="19" t="inlineStr">
        <is>
          <t>Fila de EJEMPLO ya llenada: reemplazala con tus datos reales</t>
        </is>
      </c>
    </row>
    <row r="35">
      <c r="B35" s="20" t="inlineStr"/>
      <c r="C35" s="19" t="inlineStr">
        <is>
          <t>Celda calculada por formula: no la toques</t>
        </is>
      </c>
    </row>
    <row r="36">
      <c r="B36" s="21" t="inlineStr"/>
      <c r="C36" s="19" t="inlineStr">
        <is>
          <t>Resultado accionable: la orden que debes lanzar</t>
        </is>
      </c>
    </row>
    <row r="37">
      <c r="B37" s="22" t="inlineStr"/>
      <c r="C37" s="23" t="inlineStr">
        <is>
          <t>Rojo = quiebre de stock proyectado esa semana</t>
        </is>
      </c>
    </row>
    <row r="39" ht="22" customHeight="1">
      <c r="B39" s="3" t="inlineStr">
        <is>
          <t>5.  Supuestos de esta plantilla</t>
        </is>
      </c>
    </row>
    <row r="41" ht="15" customHeight="1">
      <c r="B41" s="4" t="inlineStr">
        <is>
          <t>•  Horizonte de 8 semanas. La Semana 1 arranca en la fecha que pongas en la hoja Plan (celda C2).</t>
        </is>
      </c>
    </row>
    <row r="42" ht="15" customHeight="1">
      <c r="B42" s="4" t="inlineStr">
        <is>
          <t>•  Moneda: Soles (S/). Si trabajas en dolares, cambia el formato de las columnas de precio.</t>
        </is>
      </c>
    </row>
    <row r="43" ht="15" customHeight="1">
      <c r="B43" s="4" t="inlineStr">
        <is>
          <t>•  Capacidad: 15 materiales, 20 frentes, 100 lineas de estandar de consumo, 25 lineas de inventario.</t>
        </is>
      </c>
    </row>
    <row r="44" ht="30" customHeight="1">
      <c r="B44" s="4" t="inlineStr">
        <is>
          <t>•  Lead time expresado en semanas enteras. Lote de compra = multiplo; si lo dejas en 0 se pide la cantidad exacta.</t>
        </is>
      </c>
    </row>
    <row r="45" ht="30" customHeight="1">
      <c r="B45" s="4" t="inlineStr">
        <is>
          <t>•  Los 6 frentes vienen precargados de la constante FRENTES de index.html (RA Brenda, CRNE, GLSE-2, ESCM 4430, ESCM 4410, SN 5100 NW).</t>
        </is>
      </c>
    </row>
  </sheetData>
  <mergeCells count="27">
    <mergeCell ref="B9:E9"/>
    <mergeCell ref="B6:E6"/>
    <mergeCell ref="A1:E1"/>
    <mergeCell ref="B45:E45"/>
    <mergeCell ref="C36:E36"/>
    <mergeCell ref="B41:E41"/>
    <mergeCell ref="C27:E27"/>
    <mergeCell ref="B4:E4"/>
    <mergeCell ref="B7:E7"/>
    <mergeCell ref="B22:E22"/>
    <mergeCell ref="B31:E31"/>
    <mergeCell ref="C28:E28"/>
    <mergeCell ref="A2:E2"/>
    <mergeCell ref="C37:E37"/>
    <mergeCell ref="B12:E12"/>
    <mergeCell ref="B43:E43"/>
    <mergeCell ref="B39:E39"/>
    <mergeCell ref="C34:E34"/>
    <mergeCell ref="B42:E42"/>
    <mergeCell ref="C24:E24"/>
    <mergeCell ref="C33:E33"/>
    <mergeCell ref="B44:E44"/>
    <mergeCell ref="C26:E26"/>
    <mergeCell ref="C29:E29"/>
    <mergeCell ref="B10:E10"/>
    <mergeCell ref="C35:E35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2EFDA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6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 ht="28" customHeight="1">
      <c r="A1" s="1" t="inlineStr">
        <is>
          <t>CORRIDA MRP — MES DE SETIEMBRE 2026 (semanas 1 a 4)</t>
        </is>
      </c>
    </row>
    <row r="2">
      <c r="A2" s="2" t="inlineStr">
        <is>
          <t>Corrida de ejemplo con los estandares de sostenimiento reales de RA Brenda y CRNE. Todo se recalcula solo si cambias el plan de avance en la hoja Plan.</t>
        </is>
      </c>
    </row>
    <row r="4" ht="20" customHeight="1">
      <c r="B4" s="65" t="inlineStr">
        <is>
          <t>A.  El estandar que me diste, convertido a consumo por metro</t>
        </is>
      </c>
    </row>
    <row r="6" ht="30" customHeight="1">
      <c r="B6" s="6" t="inlineStr">
        <is>
          <t>Frente</t>
        </is>
      </c>
      <c r="C6" s="6" t="inlineStr">
        <is>
          <t>Regla de sostenimiento</t>
        </is>
      </c>
      <c r="D6" s="6" t="inlineStr">
        <is>
          <t>Disparo</t>
        </is>
      </c>
      <c r="E6" s="6" t="inlineStr">
        <is>
          <t>Material</t>
        </is>
      </c>
      <c r="F6" s="6" t="inlineStr">
        <is>
          <t>Por disparo</t>
        </is>
      </c>
      <c r="G6" s="6" t="inlineStr">
        <is>
          <t>Por metro</t>
        </is>
      </c>
      <c r="H6" s="6" t="inlineStr"/>
      <c r="I6" s="6" t="inlineStr"/>
    </row>
    <row r="7" ht="22" customHeight="1">
      <c r="B7" s="66" t="inlineStr">
        <is>
          <t>RA Brenda</t>
        </is>
      </c>
      <c r="C7" s="67" t="inlineStr">
        <is>
          <t>Sostenimiento pesado: cimbra en cada disparo</t>
        </is>
      </c>
      <c r="D7" s="68" t="n">
        <v>1.5</v>
      </c>
      <c r="E7" s="66" t="inlineStr">
        <is>
          <t>Cimbra</t>
        </is>
      </c>
      <c r="F7" s="69" t="n">
        <v>1</v>
      </c>
      <c r="G7" s="70" t="n">
        <v>0.6667</v>
      </c>
    </row>
    <row r="8" ht="22" customHeight="1">
      <c r="B8" s="66" t="inlineStr">
        <is>
          <t>CRNE</t>
        </is>
      </c>
      <c r="C8" s="67" t="inlineStr">
        <is>
          <t>Malla electrosoldada, seccion 3.5 x 3.5 m</t>
        </is>
      </c>
      <c r="D8" s="68" t="n">
        <v>1.5</v>
      </c>
      <c r="E8" s="66" t="inlineStr">
        <is>
          <t>Malla</t>
        </is>
      </c>
      <c r="F8" s="69" t="n">
        <v>1</v>
      </c>
      <c r="G8" s="70" t="n">
        <v>0.6667</v>
      </c>
    </row>
    <row r="9" ht="22" customHeight="1">
      <c r="B9" s="66" t="inlineStr">
        <is>
          <t>CRNE</t>
        </is>
      </c>
      <c r="C9" s="67" t="inlineStr">
        <is>
          <t>Pernos, seccion 3.5 x 3.5 m</t>
        </is>
      </c>
      <c r="D9" s="68" t="n">
        <v>1.5</v>
      </c>
      <c r="E9" s="66" t="inlineStr">
        <is>
          <t>Perno helicoidal</t>
        </is>
      </c>
      <c r="F9" s="69" t="n">
        <v>11</v>
      </c>
      <c r="G9" s="70" t="n">
        <v>7.3333</v>
      </c>
    </row>
    <row r="11" ht="20" customHeight="1">
      <c r="B11" s="65" t="inlineStr">
        <is>
          <t>B.  Plan de avance del mes</t>
        </is>
      </c>
    </row>
    <row r="13" ht="30" customHeight="1">
      <c r="B13" s="6" t="inlineStr">
        <is>
          <t>Frente</t>
        </is>
      </c>
      <c r="C13" s="6" t="inlineStr">
        <is>
          <t>Unidad</t>
        </is>
      </c>
      <c r="D13" s="6" t="inlineStr">
        <is>
          <t>Sem 1</t>
        </is>
      </c>
      <c r="E13" s="6" t="inlineStr">
        <is>
          <t>Sem 2</t>
        </is>
      </c>
      <c r="F13" s="6" t="inlineStr">
        <is>
          <t>Sem 3</t>
        </is>
      </c>
      <c r="G13" s="6" t="inlineStr">
        <is>
          <t>Sem 4</t>
        </is>
      </c>
      <c r="H13" s="6" t="inlineStr">
        <is>
          <t>Metros del mes</t>
        </is>
      </c>
      <c r="I13" s="6" t="inlineStr">
        <is>
          <t>Disparos del mes</t>
        </is>
      </c>
    </row>
    <row r="14">
      <c r="B14" s="71">
        <f>Plan!A5</f>
        <v/>
      </c>
      <c r="C14" s="71">
        <f>Plan!B5</f>
        <v/>
      </c>
      <c r="D14" s="72">
        <f>Plan!E5</f>
        <v/>
      </c>
      <c r="E14" s="72">
        <f>Plan!F5</f>
        <v/>
      </c>
      <c r="F14" s="72">
        <f>Plan!G5</f>
        <v/>
      </c>
      <c r="G14" s="72">
        <f>Plan!H5</f>
        <v/>
      </c>
      <c r="H14" s="56">
        <f>SUM(D14:G14)</f>
        <v/>
      </c>
      <c r="I14" s="56">
        <f>H14/1.5</f>
        <v/>
      </c>
    </row>
    <row r="15">
      <c r="B15" s="71">
        <f>Plan!A6</f>
        <v/>
      </c>
      <c r="C15" s="71">
        <f>Plan!B6</f>
        <v/>
      </c>
      <c r="D15" s="72">
        <f>Plan!E6</f>
        <v/>
      </c>
      <c r="E15" s="72">
        <f>Plan!F6</f>
        <v/>
      </c>
      <c r="F15" s="72">
        <f>Plan!G6</f>
        <v/>
      </c>
      <c r="G15" s="72">
        <f>Plan!H6</f>
        <v/>
      </c>
      <c r="H15" s="56">
        <f>SUM(D15:G15)</f>
        <v/>
      </c>
      <c r="I15" s="56">
        <f>H15/1.5</f>
        <v/>
      </c>
    </row>
    <row r="16">
      <c r="B16" s="73" t="inlineStr">
        <is>
          <t>TOTAL</t>
        </is>
      </c>
      <c r="C16" s="73" t="inlineStr"/>
      <c r="D16" s="59">
        <f>SUM(D14:D15)</f>
        <v/>
      </c>
      <c r="E16" s="59">
        <f>SUM(E14:E15)</f>
        <v/>
      </c>
      <c r="F16" s="59">
        <f>SUM(F14:F15)</f>
        <v/>
      </c>
      <c r="G16" s="59">
        <f>SUM(G14:G15)</f>
        <v/>
      </c>
      <c r="H16" s="59">
        <f>SUM(H14:H15)</f>
        <v/>
      </c>
      <c r="I16" s="59">
        <f>SUM(I14:I15)</f>
        <v/>
      </c>
    </row>
    <row r="18" ht="20" customHeight="1">
      <c r="B18" s="65" t="inlineStr">
        <is>
          <t>C.  Lo que el mes consume  (necesidad bruta = plan x estandar)</t>
        </is>
      </c>
    </row>
    <row r="20" ht="30" customHeight="1">
      <c r="B20" s="6" t="inlineStr">
        <is>
          <t>Codigo</t>
        </is>
      </c>
      <c r="C20" s="6" t="inlineStr">
        <is>
          <t>Material</t>
        </is>
      </c>
      <c r="D20" s="6" t="inlineStr">
        <is>
          <t>Sem 1</t>
        </is>
      </c>
      <c r="E20" s="6" t="inlineStr">
        <is>
          <t>Sem 2</t>
        </is>
      </c>
      <c r="F20" s="6" t="inlineStr">
        <is>
          <t>Sem 3</t>
        </is>
      </c>
      <c r="G20" s="6" t="inlineStr">
        <is>
          <t>Sem 4</t>
        </is>
      </c>
      <c r="H20" s="6" t="inlineStr">
        <is>
          <t>Total del mes</t>
        </is>
      </c>
      <c r="I20" s="6" t="inlineStr">
        <is>
          <t>Costo del mes (S/)</t>
        </is>
      </c>
    </row>
    <row r="21">
      <c r="B21" s="74">
        <f>Materiales!A4</f>
        <v/>
      </c>
      <c r="C21" s="71">
        <f>Materiales!B4</f>
        <v/>
      </c>
      <c r="D21" s="72">
        <f>MRP!E5</f>
        <v/>
      </c>
      <c r="E21" s="72">
        <f>MRP!F5</f>
        <v/>
      </c>
      <c r="F21" s="72">
        <f>MRP!G5</f>
        <v/>
      </c>
      <c r="G21" s="72">
        <f>MRP!H5</f>
        <v/>
      </c>
      <c r="H21" s="56">
        <f>SUM(D21:G21)</f>
        <v/>
      </c>
      <c r="I21" s="57">
        <f>H21*Materiales!D4</f>
        <v/>
      </c>
    </row>
    <row r="22">
      <c r="B22" s="74">
        <f>Materiales!A5</f>
        <v/>
      </c>
      <c r="C22" s="71">
        <f>Materiales!B5</f>
        <v/>
      </c>
      <c r="D22" s="72">
        <f>MRP!E12</f>
        <v/>
      </c>
      <c r="E22" s="72">
        <f>MRP!F12</f>
        <v/>
      </c>
      <c r="F22" s="72">
        <f>MRP!G12</f>
        <v/>
      </c>
      <c r="G22" s="72">
        <f>MRP!H12</f>
        <v/>
      </c>
      <c r="H22" s="56">
        <f>SUM(D22:G22)</f>
        <v/>
      </c>
      <c r="I22" s="57">
        <f>H22*Materiales!D5</f>
        <v/>
      </c>
    </row>
    <row r="23">
      <c r="B23" s="74">
        <f>Materiales!A6</f>
        <v/>
      </c>
      <c r="C23" s="71">
        <f>Materiales!B6</f>
        <v/>
      </c>
      <c r="D23" s="72">
        <f>MRP!E19</f>
        <v/>
      </c>
      <c r="E23" s="72">
        <f>MRP!F19</f>
        <v/>
      </c>
      <c r="F23" s="72">
        <f>MRP!G19</f>
        <v/>
      </c>
      <c r="G23" s="72">
        <f>MRP!H19</f>
        <v/>
      </c>
      <c r="H23" s="56">
        <f>SUM(D23:G23)</f>
        <v/>
      </c>
      <c r="I23" s="57">
        <f>H23*Materiales!D6</f>
        <v/>
      </c>
    </row>
    <row r="24">
      <c r="B24" s="75" t="inlineStr">
        <is>
          <t>TOTAL CONSUMO DEL MES</t>
        </is>
      </c>
      <c r="C24" s="63" t="n"/>
      <c r="D24" s="63" t="n"/>
      <c r="E24" s="63" t="n"/>
      <c r="F24" s="63" t="n"/>
      <c r="G24" s="63" t="n"/>
      <c r="H24" s="64" t="n"/>
      <c r="I24" s="61">
        <f>SUM(I21:I23)</f>
        <v/>
      </c>
    </row>
    <row r="26" ht="20" customHeight="1">
      <c r="B26" s="65" t="inlineStr">
        <is>
          <t>D.  Lo que hay que COMPRAR y en que semana lanzarlo  (esto es la salida del MRP)</t>
        </is>
      </c>
    </row>
    <row r="28" ht="30" customHeight="1">
      <c r="B28" s="6" t="inlineStr">
        <is>
          <t>Codigo</t>
        </is>
      </c>
      <c r="C28" s="6" t="inlineStr">
        <is>
          <t>Material</t>
        </is>
      </c>
      <c r="D28" s="6" t="inlineStr">
        <is>
          <t>Sem 1</t>
        </is>
      </c>
      <c r="E28" s="6" t="inlineStr">
        <is>
          <t>Sem 2</t>
        </is>
      </c>
      <c r="F28" s="6" t="inlineStr">
        <is>
          <t>Sem 3</t>
        </is>
      </c>
      <c r="G28" s="6" t="inlineStr">
        <is>
          <t>Sem 4</t>
        </is>
      </c>
      <c r="H28" s="6" t="inlineStr">
        <is>
          <t>Total a pedir</t>
        </is>
      </c>
      <c r="I28" s="6" t="inlineStr">
        <is>
          <t>Alerta</t>
        </is>
      </c>
    </row>
    <row r="29">
      <c r="B29" s="74">
        <f>Materiales!A4</f>
        <v/>
      </c>
      <c r="C29" s="71">
        <f>Materiales!B4</f>
        <v/>
      </c>
      <c r="D29" s="51">
        <f>MRP!E10</f>
        <v/>
      </c>
      <c r="E29" s="51">
        <f>MRP!F10</f>
        <v/>
      </c>
      <c r="F29" s="51">
        <f>MRP!G10</f>
        <v/>
      </c>
      <c r="G29" s="51">
        <f>MRP!H10</f>
        <v/>
      </c>
      <c r="H29" s="51">
        <f>SUM(D29:G29)</f>
        <v/>
      </c>
      <c r="I29" s="76">
        <f>MRP!M10</f>
        <v/>
      </c>
    </row>
    <row r="30">
      <c r="B30" s="74">
        <f>Materiales!A5</f>
        <v/>
      </c>
      <c r="C30" s="71">
        <f>Materiales!B5</f>
        <v/>
      </c>
      <c r="D30" s="51">
        <f>MRP!E17</f>
        <v/>
      </c>
      <c r="E30" s="51">
        <f>MRP!F17</f>
        <v/>
      </c>
      <c r="F30" s="51">
        <f>MRP!G17</f>
        <v/>
      </c>
      <c r="G30" s="51">
        <f>MRP!H17</f>
        <v/>
      </c>
      <c r="H30" s="51">
        <f>SUM(D30:G30)</f>
        <v/>
      </c>
      <c r="I30" s="76">
        <f>MRP!M17</f>
        <v/>
      </c>
    </row>
    <row r="31">
      <c r="B31" s="74">
        <f>Materiales!A6</f>
        <v/>
      </c>
      <c r="C31" s="71">
        <f>Materiales!B6</f>
        <v/>
      </c>
      <c r="D31" s="51">
        <f>MRP!E24</f>
        <v/>
      </c>
      <c r="E31" s="51">
        <f>MRP!F24</f>
        <v/>
      </c>
      <c r="F31" s="51">
        <f>MRP!G24</f>
        <v/>
      </c>
      <c r="G31" s="51">
        <f>MRP!H24</f>
        <v/>
      </c>
      <c r="H31" s="51">
        <f>SUM(D31:G31)</f>
        <v/>
      </c>
      <c r="I31" s="76">
        <f>MRP!M24</f>
        <v/>
      </c>
    </row>
    <row r="33" ht="20" customHeight="1">
      <c r="B33" s="65" t="inlineStr">
        <is>
          <t>E.  Como leer esta corrida</t>
        </is>
      </c>
    </row>
    <row r="35" ht="30" customHeight="1">
      <c r="B35" s="77" t="inlineStr">
        <is>
          <t>Las cimbras salen atrasadas.</t>
        </is>
      </c>
      <c r="C35" s="14" t="inlineStr">
        <is>
          <t>El lead time supuesto es de 3 semanas y el stock (4) no cubre ni la primera semana. Por eso el MRP marca PEDIR YA: las cimbras de las semanas 1 a 3 se debieron ordenar el mes pasado.</t>
        </is>
      </c>
    </row>
    <row r="36" ht="30" customHeight="1">
      <c r="B36" s="77" t="inlineStr">
        <is>
          <t>Las mallas y pernos aguantan el mes.</t>
        </is>
      </c>
      <c r="C36" s="14" t="inlineStr">
        <is>
          <t>Las ordenes en transito (20 mallas y 200 pernos que llegan en la Semana 2) cubren casi todo el mes. El MRP recien vuelve a pedir hacia el final del horizonte.</t>
        </is>
      </c>
    </row>
    <row r="37" ht="30" customHeight="1">
      <c r="B37" s="77" t="inlineStr">
        <is>
          <t>Si cambias un metro de avance, cambia todo.</t>
        </is>
      </c>
      <c r="C37" s="14" t="inlineStr">
        <is>
          <t>Toca la hoja Plan y este resumen, la hoja MRP y la hoja Ordenes se recalculan solas. Asi puedes simular: que pasa si Brenda avanza 18 m en vez de 15.</t>
        </is>
      </c>
    </row>
    <row r="38" ht="30" customHeight="1">
      <c r="B38" s="77" t="inlineStr">
        <is>
          <t>Lo unico que debes ajustar son los supuestos naranjas.</t>
        </is>
      </c>
      <c r="C38" s="14" t="inlineStr">
        <is>
          <t>Precio, proveedor, lead time, lote de compra, stock de seguridad y stock actual los puse yo como referencia. El consumo por metro si es el tuyo.</t>
        </is>
      </c>
    </row>
  </sheetData>
  <mergeCells count="12">
    <mergeCell ref="B18:I18"/>
    <mergeCell ref="C36:I36"/>
    <mergeCell ref="A2:I2"/>
    <mergeCell ref="B33:I33"/>
    <mergeCell ref="B11:I11"/>
    <mergeCell ref="C35:I35"/>
    <mergeCell ref="A1:I1"/>
    <mergeCell ref="B24:H24"/>
    <mergeCell ref="C38:I38"/>
    <mergeCell ref="B4:I4"/>
    <mergeCell ref="C37:I37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2CC"/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6" customWidth="1" min="4" max="4"/>
    <col width="20" customWidth="1" min="5" max="5"/>
    <col width="13" customWidth="1" min="6" max="6"/>
    <col width="15" customWidth="1" min="7" max="7"/>
    <col width="14" customWidth="1" min="8" max="8"/>
    <col width="30" customWidth="1" min="9" max="9"/>
  </cols>
  <sheetData>
    <row r="1" ht="26" customHeight="1">
      <c r="A1" s="1" t="inlineStr">
        <is>
          <t>PASO 1 — Maestro de materiales</t>
        </is>
      </c>
    </row>
    <row r="2" ht="18" customHeight="1">
      <c r="A2" s="2" t="inlineStr">
        <is>
          <t>Un renglon por material a planificar. Llena las celdas amarillas. La fila naranja es un ejemplo: reemplazala.</t>
        </is>
      </c>
    </row>
    <row r="3" ht="32" customHeight="1">
      <c r="A3" s="6" t="inlineStr">
        <is>
          <t>Codigo</t>
        </is>
      </c>
      <c r="B3" s="6" t="inlineStr">
        <is>
          <t>Material</t>
        </is>
      </c>
      <c r="C3" s="6" t="inlineStr">
        <is>
          <t>Unidad</t>
        </is>
      </c>
      <c r="D3" s="6" t="inlineStr">
        <is>
          <t>Precio unitario (S/)</t>
        </is>
      </c>
      <c r="E3" s="6" t="inlineStr">
        <is>
          <t>Proveedor</t>
        </is>
      </c>
      <c r="F3" s="6" t="inlineStr">
        <is>
          <t>Lead time (semanas)</t>
        </is>
      </c>
      <c r="G3" s="6" t="inlineStr">
        <is>
          <t>Lote de compra (multiplo)</t>
        </is>
      </c>
      <c r="H3" s="6" t="inlineStr">
        <is>
          <t>Stock de seguridad</t>
        </is>
      </c>
      <c r="I3" s="6" t="inlineStr">
        <is>
          <t>Notas</t>
        </is>
      </c>
    </row>
    <row r="4" ht="30" customHeight="1">
      <c r="A4" s="78" t="inlineStr">
        <is>
          <t>SOS-CIM-001</t>
        </is>
      </c>
      <c r="B4" s="79" t="inlineStr">
        <is>
          <t>Cimbra metalica 6"x4" — seccion 3.5x3.5 m</t>
        </is>
      </c>
      <c r="C4" s="78" t="inlineStr">
        <is>
          <t>UND</t>
        </is>
      </c>
      <c r="D4" s="80" t="n">
        <v>1850</v>
      </c>
      <c r="E4" s="81" t="inlineStr">
        <is>
          <t>Por definir</t>
        </is>
      </c>
      <c r="F4" s="82" t="n">
        <v>3</v>
      </c>
      <c r="G4" s="83" t="n">
        <v>5</v>
      </c>
      <c r="H4" s="83" t="n">
        <v>6</v>
      </c>
      <c r="I4" s="81" t="inlineStr">
        <is>
          <t>Consumo CONFIRMADO por operacion. Precio/proveedor/LT/lote/seguridad = SUPUESTO, ajustar.</t>
        </is>
      </c>
    </row>
    <row r="5" ht="30" customHeight="1">
      <c r="A5" s="78" t="inlineStr">
        <is>
          <t>SOS-MAL-001</t>
        </is>
      </c>
      <c r="B5" s="79" t="inlineStr">
        <is>
          <t>Malla electrosoldada 3.5x3.5 m</t>
        </is>
      </c>
      <c r="C5" s="78" t="inlineStr">
        <is>
          <t>UND</t>
        </is>
      </c>
      <c r="D5" s="80" t="n">
        <v>160</v>
      </c>
      <c r="E5" s="81" t="inlineStr">
        <is>
          <t>Por definir</t>
        </is>
      </c>
      <c r="F5" s="82" t="n">
        <v>2</v>
      </c>
      <c r="G5" s="83" t="n">
        <v>20</v>
      </c>
      <c r="H5" s="83" t="n">
        <v>8</v>
      </c>
      <c r="I5" s="81" t="inlineStr">
        <is>
          <t>Consumo CONFIRMADO por operacion. Precio/proveedor/LT/lote/seguridad = SUPUESTO, ajustar.</t>
        </is>
      </c>
    </row>
    <row r="6" ht="30" customHeight="1">
      <c r="A6" s="78" t="inlineStr">
        <is>
          <t>SOS-PER-001</t>
        </is>
      </c>
      <c r="B6" s="79" t="inlineStr">
        <is>
          <t>Perno helicoidal 7 pies</t>
        </is>
      </c>
      <c r="C6" s="78" t="inlineStr">
        <is>
          <t>UND</t>
        </is>
      </c>
      <c r="D6" s="80" t="n">
        <v>38</v>
      </c>
      <c r="E6" s="81" t="inlineStr">
        <is>
          <t>Por definir</t>
        </is>
      </c>
      <c r="F6" s="82" t="n">
        <v>2</v>
      </c>
      <c r="G6" s="83" t="n">
        <v>100</v>
      </c>
      <c r="H6" s="83" t="n">
        <v>90</v>
      </c>
      <c r="I6" s="81" t="inlineStr">
        <is>
          <t>Consumo CONFIRMADO por operacion. Precio/proveedor/LT/lote/seguridad = SUPUESTO, ajustar.</t>
        </is>
      </c>
    </row>
    <row r="7">
      <c r="A7" s="29" t="n"/>
      <c r="B7" s="29" t="n"/>
      <c r="C7" s="30" t="n"/>
      <c r="D7" s="31" t="n"/>
      <c r="E7" s="29" t="n"/>
      <c r="F7" s="32" t="n"/>
      <c r="G7" s="33" t="n"/>
      <c r="H7" s="33" t="n"/>
      <c r="I7" s="29" t="n"/>
    </row>
    <row r="8">
      <c r="A8" s="29" t="n"/>
      <c r="B8" s="29" t="n"/>
      <c r="C8" s="30" t="n"/>
      <c r="D8" s="31" t="n"/>
      <c r="E8" s="29" t="n"/>
      <c r="F8" s="32" t="n"/>
      <c r="G8" s="33" t="n"/>
      <c r="H8" s="33" t="n"/>
      <c r="I8" s="29" t="n"/>
    </row>
    <row r="9">
      <c r="A9" s="29" t="n"/>
      <c r="B9" s="29" t="n"/>
      <c r="C9" s="30" t="n"/>
      <c r="D9" s="31" t="n"/>
      <c r="E9" s="29" t="n"/>
      <c r="F9" s="32" t="n"/>
      <c r="G9" s="33" t="n"/>
      <c r="H9" s="33" t="n"/>
      <c r="I9" s="29" t="n"/>
    </row>
    <row r="10">
      <c r="A10" s="29" t="n"/>
      <c r="B10" s="29" t="n"/>
      <c r="C10" s="30" t="n"/>
      <c r="D10" s="31" t="n"/>
      <c r="E10" s="29" t="n"/>
      <c r="F10" s="32" t="n"/>
      <c r="G10" s="33" t="n"/>
      <c r="H10" s="33" t="n"/>
      <c r="I10" s="29" t="n"/>
    </row>
    <row r="11">
      <c r="A11" s="29" t="n"/>
      <c r="B11" s="29" t="n"/>
      <c r="C11" s="30" t="n"/>
      <c r="D11" s="31" t="n"/>
      <c r="E11" s="29" t="n"/>
      <c r="F11" s="32" t="n"/>
      <c r="G11" s="33" t="n"/>
      <c r="H11" s="33" t="n"/>
      <c r="I11" s="29" t="n"/>
    </row>
    <row r="12">
      <c r="A12" s="29" t="n"/>
      <c r="B12" s="29" t="n"/>
      <c r="C12" s="30" t="n"/>
      <c r="D12" s="31" t="n"/>
      <c r="E12" s="29" t="n"/>
      <c r="F12" s="32" t="n"/>
      <c r="G12" s="33" t="n"/>
      <c r="H12" s="33" t="n"/>
      <c r="I12" s="29" t="n"/>
    </row>
    <row r="13">
      <c r="A13" s="29" t="n"/>
      <c r="B13" s="29" t="n"/>
      <c r="C13" s="30" t="n"/>
      <c r="D13" s="31" t="n"/>
      <c r="E13" s="29" t="n"/>
      <c r="F13" s="32" t="n"/>
      <c r="G13" s="33" t="n"/>
      <c r="H13" s="33" t="n"/>
      <c r="I13" s="29" t="n"/>
    </row>
    <row r="14">
      <c r="A14" s="29" t="n"/>
      <c r="B14" s="29" t="n"/>
      <c r="C14" s="30" t="n"/>
      <c r="D14" s="31" t="n"/>
      <c r="E14" s="29" t="n"/>
      <c r="F14" s="32" t="n"/>
      <c r="G14" s="33" t="n"/>
      <c r="H14" s="33" t="n"/>
      <c r="I14" s="29" t="n"/>
    </row>
    <row r="15">
      <c r="A15" s="29" t="n"/>
      <c r="B15" s="29" t="n"/>
      <c r="C15" s="30" t="n"/>
      <c r="D15" s="31" t="n"/>
      <c r="E15" s="29" t="n"/>
      <c r="F15" s="32" t="n"/>
      <c r="G15" s="33" t="n"/>
      <c r="H15" s="33" t="n"/>
      <c r="I15" s="29" t="n"/>
    </row>
    <row r="16">
      <c r="A16" s="29" t="n"/>
      <c r="B16" s="29" t="n"/>
      <c r="C16" s="30" t="n"/>
      <c r="D16" s="31" t="n"/>
      <c r="E16" s="29" t="n"/>
      <c r="F16" s="32" t="n"/>
      <c r="G16" s="33" t="n"/>
      <c r="H16" s="33" t="n"/>
      <c r="I16" s="29" t="n"/>
    </row>
    <row r="17">
      <c r="A17" s="29" t="n"/>
      <c r="B17" s="29" t="n"/>
      <c r="C17" s="30" t="n"/>
      <c r="D17" s="31" t="n"/>
      <c r="E17" s="29" t="n"/>
      <c r="F17" s="32" t="n"/>
      <c r="G17" s="33" t="n"/>
      <c r="H17" s="33" t="n"/>
      <c r="I17" s="29" t="n"/>
    </row>
    <row r="18">
      <c r="A18" s="29" t="n"/>
      <c r="B18" s="29" t="n"/>
      <c r="C18" s="30" t="n"/>
      <c r="D18" s="31" t="n"/>
      <c r="E18" s="29" t="n"/>
      <c r="F18" s="32" t="n"/>
      <c r="G18" s="33" t="n"/>
      <c r="H18" s="33" t="n"/>
      <c r="I18" s="29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2CC"/>
    <outlinePr summaryBelow="1" summaryRight="1"/>
    <pageSetUpPr/>
  </sheetPr>
  <dimension ref="A1:L24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PASO 2 — Plan de avance por frente y semana (MPS)</t>
        </is>
      </c>
    </row>
    <row r="2" ht="18" customHeight="1">
      <c r="A2" s="2" t="inlineStr">
        <is>
          <t>Escribe la meta de produccion de cada frente en cada semana. Define tambien la fecha de inicio de la Semana 1.</t>
        </is>
      </c>
    </row>
    <row r="3">
      <c r="A3" s="34" t="inlineStr">
        <is>
          <t>Fecha de inicio de la Semana 1  →</t>
        </is>
      </c>
      <c r="C3" s="84" t="n">
        <v>46265</v>
      </c>
      <c r="D3" s="36" t="inlineStr">
        <is>
          <t>(Sem 1 a 4 = el mes; Sem 5 a 8 = continuidad, necesaria porque el lead time es de 2 a 3 semanas)</t>
        </is>
      </c>
      <c r="E3" s="85">
        <f>$C$3</f>
        <v/>
      </c>
      <c r="F3" s="85">
        <f>E3+7</f>
        <v/>
      </c>
      <c r="G3" s="85">
        <f>F3+7</f>
        <v/>
      </c>
      <c r="H3" s="85">
        <f>G3+7</f>
        <v/>
      </c>
      <c r="I3" s="85">
        <f>H3+7</f>
        <v/>
      </c>
      <c r="J3" s="85">
        <f>I3+7</f>
        <v/>
      </c>
      <c r="K3" s="85">
        <f>J3+7</f>
        <v/>
      </c>
      <c r="L3" s="85">
        <f>K3+7</f>
        <v/>
      </c>
    </row>
    <row r="4" ht="32" customHeight="1">
      <c r="A4" s="6" t="inlineStr">
        <is>
          <t>Frente</t>
        </is>
      </c>
      <c r="B4" s="6" t="inlineStr">
        <is>
          <t>Unidad de produccion</t>
        </is>
      </c>
      <c r="C4" s="6" t="inlineStr">
        <is>
          <t>Total horizonte</t>
        </is>
      </c>
      <c r="D4" s="6" t="inlineStr">
        <is>
          <t>Notas</t>
        </is>
      </c>
      <c r="E4" s="6" t="inlineStr">
        <is>
          <t>Sem 1</t>
        </is>
      </c>
      <c r="F4" s="6" t="inlineStr">
        <is>
          <t>Sem 2</t>
        </is>
      </c>
      <c r="G4" s="6" t="inlineStr">
        <is>
          <t>Sem 3</t>
        </is>
      </c>
      <c r="H4" s="6" t="inlineStr">
        <is>
          <t>Sem 4</t>
        </is>
      </c>
      <c r="I4" s="6" t="inlineStr">
        <is>
          <t>Sem 5</t>
        </is>
      </c>
      <c r="J4" s="6" t="inlineStr">
        <is>
          <t>Sem 6</t>
        </is>
      </c>
      <c r="K4" s="6" t="inlineStr">
        <is>
          <t>Sem 7</t>
        </is>
      </c>
      <c r="L4" s="6" t="inlineStr">
        <is>
          <t>Sem 8</t>
        </is>
      </c>
    </row>
    <row r="5">
      <c r="A5" s="24" t="inlineStr">
        <is>
          <t>RA Brenda</t>
        </is>
      </c>
      <c r="B5" s="86" t="inlineStr">
        <is>
          <t>Metros de avance</t>
        </is>
      </c>
      <c r="C5" s="38">
        <f>IF($A5="","",SUM(E5:L5))</f>
        <v/>
      </c>
      <c r="D5" s="86" t="inlineStr">
        <is>
          <t>1 disparo = 1.5 m</t>
        </is>
      </c>
      <c r="E5" s="87" t="n">
        <v>12</v>
      </c>
      <c r="F5" s="87" t="n">
        <v>15</v>
      </c>
      <c r="G5" s="87" t="n">
        <v>15</v>
      </c>
      <c r="H5" s="87" t="n">
        <v>18</v>
      </c>
      <c r="I5" s="87" t="n">
        <v>15</v>
      </c>
      <c r="J5" s="87" t="n">
        <v>15</v>
      </c>
      <c r="K5" s="87" t="n">
        <v>15</v>
      </c>
      <c r="L5" s="87" t="n">
        <v>15</v>
      </c>
    </row>
    <row r="6">
      <c r="A6" s="29" t="inlineStr">
        <is>
          <t>CRNE (Cortada Noreste)</t>
        </is>
      </c>
      <c r="B6" s="86" t="inlineStr">
        <is>
          <t>Metros de avance</t>
        </is>
      </c>
      <c r="C6" s="38">
        <f>IF($A6="","",SUM(E6:L6))</f>
        <v/>
      </c>
      <c r="D6" s="86" t="inlineStr">
        <is>
          <t>1 disparo = 1.5 m</t>
        </is>
      </c>
      <c r="E6" s="87" t="n">
        <v>9</v>
      </c>
      <c r="F6" s="87" t="n">
        <v>12</v>
      </c>
      <c r="G6" s="87" t="n">
        <v>15</v>
      </c>
      <c r="H6" s="87" t="n">
        <v>12</v>
      </c>
      <c r="I6" s="87" t="n">
        <v>12</v>
      </c>
      <c r="J6" s="87" t="n">
        <v>12</v>
      </c>
      <c r="K6" s="87" t="n">
        <v>12</v>
      </c>
      <c r="L6" s="87" t="n">
        <v>12</v>
      </c>
    </row>
    <row r="7">
      <c r="A7" s="29" t="inlineStr">
        <is>
          <t>GLSE-2</t>
        </is>
      </c>
      <c r="B7" s="86" t="inlineStr">
        <is>
          <t>Metros de avance</t>
        </is>
      </c>
      <c r="C7" s="38">
        <f>IF($A7="","",SUM(E7:L7))</f>
        <v/>
      </c>
      <c r="D7" s="86" t="n"/>
      <c r="E7" s="88" t="n"/>
      <c r="F7" s="88" t="n"/>
      <c r="G7" s="88" t="n"/>
      <c r="H7" s="88" t="n"/>
      <c r="I7" s="88" t="n"/>
      <c r="J7" s="88" t="n"/>
      <c r="K7" s="88" t="n"/>
      <c r="L7" s="88" t="n"/>
    </row>
    <row r="8">
      <c r="A8" s="29" t="inlineStr">
        <is>
          <t>ESCM 4430</t>
        </is>
      </c>
      <c r="B8" s="86" t="inlineStr">
        <is>
          <t>Metros de avance</t>
        </is>
      </c>
      <c r="C8" s="38">
        <f>IF($A8="","",SUM(E8:L8))</f>
        <v/>
      </c>
      <c r="D8" s="86" t="n"/>
      <c r="E8" s="88" t="n"/>
      <c r="F8" s="88" t="n"/>
      <c r="G8" s="88" t="n"/>
      <c r="H8" s="88" t="n"/>
      <c r="I8" s="88" t="n"/>
      <c r="J8" s="88" t="n"/>
      <c r="K8" s="88" t="n"/>
      <c r="L8" s="88" t="n"/>
    </row>
    <row r="9">
      <c r="A9" s="29" t="inlineStr">
        <is>
          <t>ESCM 4410</t>
        </is>
      </c>
      <c r="B9" s="86" t="inlineStr">
        <is>
          <t>Metros de avance</t>
        </is>
      </c>
      <c r="C9" s="38">
        <f>IF($A9="","",SUM(E9:L9))</f>
        <v/>
      </c>
      <c r="D9" s="86" t="n"/>
      <c r="E9" s="88" t="n"/>
      <c r="F9" s="88" t="n"/>
      <c r="G9" s="88" t="n"/>
      <c r="H9" s="88" t="n"/>
      <c r="I9" s="88" t="n"/>
      <c r="J9" s="88" t="n"/>
      <c r="K9" s="88" t="n"/>
      <c r="L9" s="88" t="n"/>
    </row>
    <row r="10">
      <c r="A10" s="29" t="inlineStr">
        <is>
          <t>SN 5100 NW</t>
        </is>
      </c>
      <c r="B10" s="86" t="inlineStr">
        <is>
          <t>Metros de avance</t>
        </is>
      </c>
      <c r="C10" s="38">
        <f>IF($A10="","",SUM(E10:L10))</f>
        <v/>
      </c>
      <c r="D10" s="86" t="n"/>
      <c r="E10" s="88" t="n"/>
      <c r="F10" s="88" t="n"/>
      <c r="G10" s="88" t="n"/>
      <c r="H10" s="88" t="n"/>
      <c r="I10" s="88" t="n"/>
      <c r="J10" s="88" t="n"/>
      <c r="K10" s="88" t="n"/>
      <c r="L10" s="88" t="n"/>
    </row>
    <row r="11">
      <c r="A11" s="29" t="n"/>
      <c r="B11" s="86" t="n"/>
      <c r="C11" s="38">
        <f>IF($A11="","",SUM(E11:L11))</f>
        <v/>
      </c>
      <c r="D11" s="86" t="n"/>
      <c r="E11" s="88" t="n"/>
      <c r="F11" s="88" t="n"/>
      <c r="G11" s="88" t="n"/>
      <c r="H11" s="88" t="n"/>
      <c r="I11" s="88" t="n"/>
      <c r="J11" s="88" t="n"/>
      <c r="K11" s="88" t="n"/>
      <c r="L11" s="88" t="n"/>
    </row>
    <row r="12">
      <c r="A12" s="29" t="n"/>
      <c r="B12" s="86" t="n"/>
      <c r="C12" s="38">
        <f>IF($A12="","",SUM(E12:L12))</f>
        <v/>
      </c>
      <c r="D12" s="86" t="n"/>
      <c r="E12" s="88" t="n"/>
      <c r="F12" s="88" t="n"/>
      <c r="G12" s="88" t="n"/>
      <c r="H12" s="88" t="n"/>
      <c r="I12" s="88" t="n"/>
      <c r="J12" s="88" t="n"/>
      <c r="K12" s="88" t="n"/>
      <c r="L12" s="88" t="n"/>
    </row>
    <row r="13">
      <c r="A13" s="29" t="n"/>
      <c r="B13" s="86" t="n"/>
      <c r="C13" s="38">
        <f>IF($A13="","",SUM(E13:L13))</f>
        <v/>
      </c>
      <c r="D13" s="86" t="n"/>
      <c r="E13" s="88" t="n"/>
      <c r="F13" s="88" t="n"/>
      <c r="G13" s="88" t="n"/>
      <c r="H13" s="88" t="n"/>
      <c r="I13" s="88" t="n"/>
      <c r="J13" s="88" t="n"/>
      <c r="K13" s="88" t="n"/>
      <c r="L13" s="88" t="n"/>
    </row>
    <row r="14">
      <c r="A14" s="29" t="n"/>
      <c r="B14" s="86" t="n"/>
      <c r="C14" s="38">
        <f>IF($A14="","",SUM(E14:L14))</f>
        <v/>
      </c>
      <c r="D14" s="86" t="n"/>
      <c r="E14" s="88" t="n"/>
      <c r="F14" s="88" t="n"/>
      <c r="G14" s="88" t="n"/>
      <c r="H14" s="88" t="n"/>
      <c r="I14" s="88" t="n"/>
      <c r="J14" s="88" t="n"/>
      <c r="K14" s="88" t="n"/>
      <c r="L14" s="88" t="n"/>
    </row>
    <row r="15">
      <c r="A15" s="29" t="n"/>
      <c r="B15" s="86" t="n"/>
      <c r="C15" s="38">
        <f>IF($A15="","",SUM(E15:L15))</f>
        <v/>
      </c>
      <c r="D15" s="86" t="n"/>
      <c r="E15" s="88" t="n"/>
      <c r="F15" s="88" t="n"/>
      <c r="G15" s="88" t="n"/>
      <c r="H15" s="88" t="n"/>
      <c r="I15" s="88" t="n"/>
      <c r="J15" s="88" t="n"/>
      <c r="K15" s="88" t="n"/>
      <c r="L15" s="88" t="n"/>
    </row>
    <row r="16">
      <c r="A16" s="29" t="n"/>
      <c r="B16" s="86" t="n"/>
      <c r="C16" s="38">
        <f>IF($A16="","",SUM(E16:L16))</f>
        <v/>
      </c>
      <c r="D16" s="86" t="n"/>
      <c r="E16" s="88" t="n"/>
      <c r="F16" s="88" t="n"/>
      <c r="G16" s="88" t="n"/>
      <c r="H16" s="88" t="n"/>
      <c r="I16" s="88" t="n"/>
      <c r="J16" s="88" t="n"/>
      <c r="K16" s="88" t="n"/>
      <c r="L16" s="88" t="n"/>
    </row>
    <row r="17">
      <c r="A17" s="29" t="n"/>
      <c r="B17" s="86" t="n"/>
      <c r="C17" s="38">
        <f>IF($A17="","",SUM(E17:L17))</f>
        <v/>
      </c>
      <c r="D17" s="86" t="n"/>
      <c r="E17" s="88" t="n"/>
      <c r="F17" s="88" t="n"/>
      <c r="G17" s="88" t="n"/>
      <c r="H17" s="88" t="n"/>
      <c r="I17" s="88" t="n"/>
      <c r="J17" s="88" t="n"/>
      <c r="K17" s="88" t="n"/>
      <c r="L17" s="88" t="n"/>
    </row>
    <row r="18">
      <c r="A18" s="29" t="n"/>
      <c r="B18" s="86" t="n"/>
      <c r="C18" s="38">
        <f>IF($A18="","",SUM(E18:L18))</f>
        <v/>
      </c>
      <c r="D18" s="86" t="n"/>
      <c r="E18" s="88" t="n"/>
      <c r="F18" s="88" t="n"/>
      <c r="G18" s="88" t="n"/>
      <c r="H18" s="88" t="n"/>
      <c r="I18" s="88" t="n"/>
      <c r="J18" s="88" t="n"/>
      <c r="K18" s="88" t="n"/>
      <c r="L18" s="88" t="n"/>
    </row>
    <row r="19">
      <c r="A19" s="29" t="n"/>
      <c r="B19" s="86" t="n"/>
      <c r="C19" s="38">
        <f>IF($A19="","",SUM(E19:L19))</f>
        <v/>
      </c>
      <c r="D19" s="86" t="n"/>
      <c r="E19" s="88" t="n"/>
      <c r="F19" s="88" t="n"/>
      <c r="G19" s="88" t="n"/>
      <c r="H19" s="88" t="n"/>
      <c r="I19" s="88" t="n"/>
      <c r="J19" s="88" t="n"/>
      <c r="K19" s="88" t="n"/>
      <c r="L19" s="88" t="n"/>
    </row>
    <row r="20">
      <c r="A20" s="29" t="n"/>
      <c r="B20" s="86" t="n"/>
      <c r="C20" s="38">
        <f>IF($A20="","",SUM(E20:L20))</f>
        <v/>
      </c>
      <c r="D20" s="86" t="n"/>
      <c r="E20" s="88" t="n"/>
      <c r="F20" s="88" t="n"/>
      <c r="G20" s="88" t="n"/>
      <c r="H20" s="88" t="n"/>
      <c r="I20" s="88" t="n"/>
      <c r="J20" s="88" t="n"/>
      <c r="K20" s="88" t="n"/>
      <c r="L20" s="88" t="n"/>
    </row>
    <row r="21">
      <c r="A21" s="29" t="n"/>
      <c r="B21" s="86" t="n"/>
      <c r="C21" s="38">
        <f>IF($A21="","",SUM(E21:L21))</f>
        <v/>
      </c>
      <c r="D21" s="86" t="n"/>
      <c r="E21" s="88" t="n"/>
      <c r="F21" s="88" t="n"/>
      <c r="G21" s="88" t="n"/>
      <c r="H21" s="88" t="n"/>
      <c r="I21" s="88" t="n"/>
      <c r="J21" s="88" t="n"/>
      <c r="K21" s="88" t="n"/>
      <c r="L21" s="88" t="n"/>
    </row>
    <row r="22">
      <c r="A22" s="29" t="n"/>
      <c r="B22" s="86" t="n"/>
      <c r="C22" s="38">
        <f>IF($A22="","",SUM(E22:L22))</f>
        <v/>
      </c>
      <c r="D22" s="86" t="n"/>
      <c r="E22" s="88" t="n"/>
      <c r="F22" s="88" t="n"/>
      <c r="G22" s="88" t="n"/>
      <c r="H22" s="88" t="n"/>
      <c r="I22" s="88" t="n"/>
      <c r="J22" s="88" t="n"/>
      <c r="K22" s="88" t="n"/>
      <c r="L22" s="88" t="n"/>
    </row>
    <row r="23">
      <c r="A23" s="29" t="n"/>
      <c r="B23" s="86" t="n"/>
      <c r="C23" s="38">
        <f>IF($A23="","",SUM(E23:L23))</f>
        <v/>
      </c>
      <c r="D23" s="86" t="n"/>
      <c r="E23" s="88" t="n"/>
      <c r="F23" s="88" t="n"/>
      <c r="G23" s="88" t="n"/>
      <c r="H23" s="88" t="n"/>
      <c r="I23" s="88" t="n"/>
      <c r="J23" s="88" t="n"/>
      <c r="K23" s="88" t="n"/>
      <c r="L23" s="88" t="n"/>
    </row>
    <row r="24">
      <c r="A24" s="29" t="n"/>
      <c r="B24" s="86" t="n"/>
      <c r="C24" s="38">
        <f>IF($A24="","",SUM(E24:L24))</f>
        <v/>
      </c>
      <c r="D24" s="86" t="n"/>
      <c r="E24" s="88" t="n"/>
      <c r="F24" s="88" t="n"/>
      <c r="G24" s="88" t="n"/>
      <c r="H24" s="88" t="n"/>
      <c r="I24" s="88" t="n"/>
      <c r="J24" s="88" t="n"/>
      <c r="K24" s="88" t="n"/>
      <c r="L24" s="88" t="n"/>
    </row>
  </sheetData>
  <mergeCells count="3">
    <mergeCell ref="A2:L2"/>
    <mergeCell ref="A3:B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F2CC"/>
    <outlinePr summaryBelow="1" summaryRight="1"/>
    <pageSetUpPr/>
  </sheetPr>
  <dimension ref="A1:N10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30" customWidth="1" min="3" max="3"/>
    <col width="10" customWidth="1" min="4" max="4"/>
    <col width="16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6" customHeight="1">
      <c r="A1" s="1" t="inlineStr">
        <is>
          <t>PASO 3 — Estandar de consumo por unidad producida (BOM)</t>
        </is>
      </c>
    </row>
    <row r="2" ht="18" customHeight="1">
      <c r="A2" s="2" t="inlineStr">
        <is>
          <t>Una linea por combinacion FRENTE + MATERIAL. Columna E: cuanto material se gasta por CADA metro de avance. Las columnas grises Sem 1..8 se calculan solas (demanda de esa linea).</t>
        </is>
      </c>
    </row>
    <row r="3" ht="32" customHeight="1">
      <c r="A3" s="6" t="inlineStr">
        <is>
          <t>Frente / Actividad</t>
        </is>
      </c>
      <c r="B3" s="6" t="inlineStr">
        <is>
          <t>Codigo material</t>
        </is>
      </c>
      <c r="C3" s="6" t="inlineStr">
        <is>
          <t>Material (auto)</t>
        </is>
      </c>
      <c r="D3" s="6" t="inlineStr">
        <is>
          <t>Unidad (auto)</t>
        </is>
      </c>
      <c r="E3" s="6" t="inlineStr">
        <is>
          <t>Consumo por unidad producida</t>
        </is>
      </c>
      <c r="F3" s="6" t="inlineStr">
        <is>
          <t>Notas / fuente del estandar</t>
        </is>
      </c>
      <c r="G3" s="6" t="inlineStr">
        <is>
          <t>Demanda Sem 1</t>
        </is>
      </c>
      <c r="H3" s="6" t="inlineStr">
        <is>
          <t>Demanda Sem 2</t>
        </is>
      </c>
      <c r="I3" s="6" t="inlineStr">
        <is>
          <t>Demanda Sem 3</t>
        </is>
      </c>
      <c r="J3" s="6" t="inlineStr">
        <is>
          <t>Demanda Sem 4</t>
        </is>
      </c>
      <c r="K3" s="6" t="inlineStr">
        <is>
          <t>Demanda Sem 5</t>
        </is>
      </c>
      <c r="L3" s="6" t="inlineStr">
        <is>
          <t>Demanda Sem 6</t>
        </is>
      </c>
      <c r="M3" s="6" t="inlineStr">
        <is>
          <t>Demanda Sem 7</t>
        </is>
      </c>
      <c r="N3" s="6" t="inlineStr">
        <is>
          <t>Demanda Sem 8</t>
        </is>
      </c>
    </row>
    <row r="4" ht="30" customHeight="1">
      <c r="A4" s="79" t="inlineStr">
        <is>
          <t>RA Brenda</t>
        </is>
      </c>
      <c r="B4" s="78" t="inlineStr">
        <is>
          <t>SOS-CIM-001</t>
        </is>
      </c>
      <c r="C4" s="39">
        <f>IFERROR(INDEX(Materiales!$B$4:$B$18,MATCH($B4,Materiales!$A$4:$A$18,0)),"")</f>
        <v/>
      </c>
      <c r="D4" s="40">
        <f>IFERROR(INDEX(Materiales!$C$4:$C$18,MATCH($B4,Materiales!$A$4:$A$18,0)),"")</f>
        <v/>
      </c>
      <c r="E4" s="89">
        <f>1/1.5</f>
        <v/>
      </c>
      <c r="F4" s="79" t="inlineStr">
        <is>
          <t>Sostenimiento pesado: 1 cimbra por disparo de 1.5 m  -&gt;  1 / 1.5</t>
        </is>
      </c>
      <c r="G4" s="38">
        <f>IF($B4="",0,$E4*SUMIF(Plan!$A$5:$A$24,$A4,Plan!E$5:E$24))</f>
        <v/>
      </c>
      <c r="H4" s="38">
        <f>IF($B4="",0,$E4*SUMIF(Plan!$A$5:$A$24,$A4,Plan!F$5:F$24))</f>
        <v/>
      </c>
      <c r="I4" s="38">
        <f>IF($B4="",0,$E4*SUMIF(Plan!$A$5:$A$24,$A4,Plan!G$5:G$24))</f>
        <v/>
      </c>
      <c r="J4" s="38">
        <f>IF($B4="",0,$E4*SUMIF(Plan!$A$5:$A$24,$A4,Plan!H$5:H$24))</f>
        <v/>
      </c>
      <c r="K4" s="38">
        <f>IF($B4="",0,$E4*SUMIF(Plan!$A$5:$A$24,$A4,Plan!I$5:I$24))</f>
        <v/>
      </c>
      <c r="L4" s="38">
        <f>IF($B4="",0,$E4*SUMIF(Plan!$A$5:$A$24,$A4,Plan!J$5:J$24))</f>
        <v/>
      </c>
      <c r="M4" s="38">
        <f>IF($B4="",0,$E4*SUMIF(Plan!$A$5:$A$24,$A4,Plan!K$5:K$24))</f>
        <v/>
      </c>
      <c r="N4" s="38">
        <f>IF($B4="",0,$E4*SUMIF(Plan!$A$5:$A$24,$A4,Plan!L$5:L$24))</f>
        <v/>
      </c>
    </row>
    <row r="5" ht="30" customHeight="1">
      <c r="A5" s="79" t="inlineStr">
        <is>
          <t>CRNE (Cortada Noreste)</t>
        </is>
      </c>
      <c r="B5" s="78" t="inlineStr">
        <is>
          <t>SOS-MAL-001</t>
        </is>
      </c>
      <c r="C5" s="39">
        <f>IFERROR(INDEX(Materiales!$B$4:$B$18,MATCH($B5,Materiales!$A$4:$A$18,0)),"")</f>
        <v/>
      </c>
      <c r="D5" s="40">
        <f>IFERROR(INDEX(Materiales!$C$4:$C$18,MATCH($B5,Materiales!$A$4:$A$18,0)),"")</f>
        <v/>
      </c>
      <c r="E5" s="89">
        <f>1/1.5</f>
        <v/>
      </c>
      <c r="F5" s="79" t="inlineStr">
        <is>
          <t>1 malla electrosoldada por disparo de 1.5 m, seccion 3.5 x 3.5 m  -&gt;  1 / 1.5</t>
        </is>
      </c>
      <c r="G5" s="38">
        <f>IF($B5="",0,$E5*SUMIF(Plan!$A$5:$A$24,$A5,Plan!E$5:E$24))</f>
        <v/>
      </c>
      <c r="H5" s="38">
        <f>IF($B5="",0,$E5*SUMIF(Plan!$A$5:$A$24,$A5,Plan!F$5:F$24))</f>
        <v/>
      </c>
      <c r="I5" s="38">
        <f>IF($B5="",0,$E5*SUMIF(Plan!$A$5:$A$24,$A5,Plan!G$5:G$24))</f>
        <v/>
      </c>
      <c r="J5" s="38">
        <f>IF($B5="",0,$E5*SUMIF(Plan!$A$5:$A$24,$A5,Plan!H$5:H$24))</f>
        <v/>
      </c>
      <c r="K5" s="38">
        <f>IF($B5="",0,$E5*SUMIF(Plan!$A$5:$A$24,$A5,Plan!I$5:I$24))</f>
        <v/>
      </c>
      <c r="L5" s="38">
        <f>IF($B5="",0,$E5*SUMIF(Plan!$A$5:$A$24,$A5,Plan!J$5:J$24))</f>
        <v/>
      </c>
      <c r="M5" s="38">
        <f>IF($B5="",0,$E5*SUMIF(Plan!$A$5:$A$24,$A5,Plan!K$5:K$24))</f>
        <v/>
      </c>
      <c r="N5" s="38">
        <f>IF($B5="",0,$E5*SUMIF(Plan!$A$5:$A$24,$A5,Plan!L$5:L$24))</f>
        <v/>
      </c>
    </row>
    <row r="6" ht="30" customHeight="1">
      <c r="A6" s="79" t="inlineStr">
        <is>
          <t>CRNE (Cortada Noreste)</t>
        </is>
      </c>
      <c r="B6" s="78" t="inlineStr">
        <is>
          <t>SOS-PER-001</t>
        </is>
      </c>
      <c r="C6" s="39">
        <f>IFERROR(INDEX(Materiales!$B$4:$B$18,MATCH($B6,Materiales!$A$4:$A$18,0)),"")</f>
        <v/>
      </c>
      <c r="D6" s="40">
        <f>IFERROR(INDEX(Materiales!$C$4:$C$18,MATCH($B6,Materiales!$A$4:$A$18,0)),"")</f>
        <v/>
      </c>
      <c r="E6" s="89">
        <f>11/1.5</f>
        <v/>
      </c>
      <c r="F6" s="79" t="inlineStr">
        <is>
          <t>11 pernos por disparo de 1.5 m, seccion 3.5 x 3.5 m  -&gt;  11 / 1.5</t>
        </is>
      </c>
      <c r="G6" s="38">
        <f>IF($B6="",0,$E6*SUMIF(Plan!$A$5:$A$24,$A6,Plan!E$5:E$24))</f>
        <v/>
      </c>
      <c r="H6" s="38">
        <f>IF($B6="",0,$E6*SUMIF(Plan!$A$5:$A$24,$A6,Plan!F$5:F$24))</f>
        <v/>
      </c>
      <c r="I6" s="38">
        <f>IF($B6="",0,$E6*SUMIF(Plan!$A$5:$A$24,$A6,Plan!G$5:G$24))</f>
        <v/>
      </c>
      <c r="J6" s="38">
        <f>IF($B6="",0,$E6*SUMIF(Plan!$A$5:$A$24,$A6,Plan!H$5:H$24))</f>
        <v/>
      </c>
      <c r="K6" s="38">
        <f>IF($B6="",0,$E6*SUMIF(Plan!$A$5:$A$24,$A6,Plan!I$5:I$24))</f>
        <v/>
      </c>
      <c r="L6" s="38">
        <f>IF($B6="",0,$E6*SUMIF(Plan!$A$5:$A$24,$A6,Plan!J$5:J$24))</f>
        <v/>
      </c>
      <c r="M6" s="38">
        <f>IF($B6="",0,$E6*SUMIF(Plan!$A$5:$A$24,$A6,Plan!K$5:K$24))</f>
        <v/>
      </c>
      <c r="N6" s="38">
        <f>IF($B6="",0,$E6*SUMIF(Plan!$A$5:$A$24,$A6,Plan!L$5:L$24))</f>
        <v/>
      </c>
    </row>
    <row r="7">
      <c r="A7" s="29" t="n"/>
      <c r="B7" s="30" t="n"/>
      <c r="C7" s="39">
        <f>IFERROR(INDEX(Materiales!$B$4:$B$18,MATCH($B7,Materiales!$A$4:$A$18,0)),"")</f>
        <v/>
      </c>
      <c r="D7" s="40">
        <f>IFERROR(INDEX(Materiales!$C$4:$C$18,MATCH($B7,Materiales!$A$4:$A$18,0)),"")</f>
        <v/>
      </c>
      <c r="E7" s="33" t="n"/>
      <c r="F7" s="29" t="n"/>
      <c r="G7" s="38">
        <f>IF($B7="",0,$E7*SUMIF(Plan!$A$5:$A$24,$A7,Plan!E$5:E$24))</f>
        <v/>
      </c>
      <c r="H7" s="38">
        <f>IF($B7="",0,$E7*SUMIF(Plan!$A$5:$A$24,$A7,Plan!F$5:F$24))</f>
        <v/>
      </c>
      <c r="I7" s="38">
        <f>IF($B7="",0,$E7*SUMIF(Plan!$A$5:$A$24,$A7,Plan!G$5:G$24))</f>
        <v/>
      </c>
      <c r="J7" s="38">
        <f>IF($B7="",0,$E7*SUMIF(Plan!$A$5:$A$24,$A7,Plan!H$5:H$24))</f>
        <v/>
      </c>
      <c r="K7" s="38">
        <f>IF($B7="",0,$E7*SUMIF(Plan!$A$5:$A$24,$A7,Plan!I$5:I$24))</f>
        <v/>
      </c>
      <c r="L7" s="38">
        <f>IF($B7="",0,$E7*SUMIF(Plan!$A$5:$A$24,$A7,Plan!J$5:J$24))</f>
        <v/>
      </c>
      <c r="M7" s="38">
        <f>IF($B7="",0,$E7*SUMIF(Plan!$A$5:$A$24,$A7,Plan!K$5:K$24))</f>
        <v/>
      </c>
      <c r="N7" s="38">
        <f>IF($B7="",0,$E7*SUMIF(Plan!$A$5:$A$24,$A7,Plan!L$5:L$24))</f>
        <v/>
      </c>
    </row>
    <row r="8">
      <c r="A8" s="29" t="n"/>
      <c r="B8" s="30" t="n"/>
      <c r="C8" s="39">
        <f>IFERROR(INDEX(Materiales!$B$4:$B$18,MATCH($B8,Materiales!$A$4:$A$18,0)),"")</f>
        <v/>
      </c>
      <c r="D8" s="40">
        <f>IFERROR(INDEX(Materiales!$C$4:$C$18,MATCH($B8,Materiales!$A$4:$A$18,0)),"")</f>
        <v/>
      </c>
      <c r="E8" s="33" t="n"/>
      <c r="F8" s="29" t="n"/>
      <c r="G8" s="38">
        <f>IF($B8="",0,$E8*SUMIF(Plan!$A$5:$A$24,$A8,Plan!E$5:E$24))</f>
        <v/>
      </c>
      <c r="H8" s="38">
        <f>IF($B8="",0,$E8*SUMIF(Plan!$A$5:$A$24,$A8,Plan!F$5:F$24))</f>
        <v/>
      </c>
      <c r="I8" s="38">
        <f>IF($B8="",0,$E8*SUMIF(Plan!$A$5:$A$24,$A8,Plan!G$5:G$24))</f>
        <v/>
      </c>
      <c r="J8" s="38">
        <f>IF($B8="",0,$E8*SUMIF(Plan!$A$5:$A$24,$A8,Plan!H$5:H$24))</f>
        <v/>
      </c>
      <c r="K8" s="38">
        <f>IF($B8="",0,$E8*SUMIF(Plan!$A$5:$A$24,$A8,Plan!I$5:I$24))</f>
        <v/>
      </c>
      <c r="L8" s="38">
        <f>IF($B8="",0,$E8*SUMIF(Plan!$A$5:$A$24,$A8,Plan!J$5:J$24))</f>
        <v/>
      </c>
      <c r="M8" s="38">
        <f>IF($B8="",0,$E8*SUMIF(Plan!$A$5:$A$24,$A8,Plan!K$5:K$24))</f>
        <v/>
      </c>
      <c r="N8" s="38">
        <f>IF($B8="",0,$E8*SUMIF(Plan!$A$5:$A$24,$A8,Plan!L$5:L$24))</f>
        <v/>
      </c>
    </row>
    <row r="9">
      <c r="A9" s="29" t="n"/>
      <c r="B9" s="30" t="n"/>
      <c r="C9" s="39">
        <f>IFERROR(INDEX(Materiales!$B$4:$B$18,MATCH($B9,Materiales!$A$4:$A$18,0)),"")</f>
        <v/>
      </c>
      <c r="D9" s="40">
        <f>IFERROR(INDEX(Materiales!$C$4:$C$18,MATCH($B9,Materiales!$A$4:$A$18,0)),"")</f>
        <v/>
      </c>
      <c r="E9" s="33" t="n"/>
      <c r="F9" s="29" t="n"/>
      <c r="G9" s="38">
        <f>IF($B9="",0,$E9*SUMIF(Plan!$A$5:$A$24,$A9,Plan!E$5:E$24))</f>
        <v/>
      </c>
      <c r="H9" s="38">
        <f>IF($B9="",0,$E9*SUMIF(Plan!$A$5:$A$24,$A9,Plan!F$5:F$24))</f>
        <v/>
      </c>
      <c r="I9" s="38">
        <f>IF($B9="",0,$E9*SUMIF(Plan!$A$5:$A$24,$A9,Plan!G$5:G$24))</f>
        <v/>
      </c>
      <c r="J9" s="38">
        <f>IF($B9="",0,$E9*SUMIF(Plan!$A$5:$A$24,$A9,Plan!H$5:H$24))</f>
        <v/>
      </c>
      <c r="K9" s="38">
        <f>IF($B9="",0,$E9*SUMIF(Plan!$A$5:$A$24,$A9,Plan!I$5:I$24))</f>
        <v/>
      </c>
      <c r="L9" s="38">
        <f>IF($B9="",0,$E9*SUMIF(Plan!$A$5:$A$24,$A9,Plan!J$5:J$24))</f>
        <v/>
      </c>
      <c r="M9" s="38">
        <f>IF($B9="",0,$E9*SUMIF(Plan!$A$5:$A$24,$A9,Plan!K$5:K$24))</f>
        <v/>
      </c>
      <c r="N9" s="38">
        <f>IF($B9="",0,$E9*SUMIF(Plan!$A$5:$A$24,$A9,Plan!L$5:L$24))</f>
        <v/>
      </c>
    </row>
    <row r="10">
      <c r="A10" s="29" t="n"/>
      <c r="B10" s="30" t="n"/>
      <c r="C10" s="39">
        <f>IFERROR(INDEX(Materiales!$B$4:$B$18,MATCH($B10,Materiales!$A$4:$A$18,0)),"")</f>
        <v/>
      </c>
      <c r="D10" s="40">
        <f>IFERROR(INDEX(Materiales!$C$4:$C$18,MATCH($B10,Materiales!$A$4:$A$18,0)),"")</f>
        <v/>
      </c>
      <c r="E10" s="33" t="n"/>
      <c r="F10" s="29" t="n"/>
      <c r="G10" s="38">
        <f>IF($B10="",0,$E10*SUMIF(Plan!$A$5:$A$24,$A10,Plan!E$5:E$24))</f>
        <v/>
      </c>
      <c r="H10" s="38">
        <f>IF($B10="",0,$E10*SUMIF(Plan!$A$5:$A$24,$A10,Plan!F$5:F$24))</f>
        <v/>
      </c>
      <c r="I10" s="38">
        <f>IF($B10="",0,$E10*SUMIF(Plan!$A$5:$A$24,$A10,Plan!G$5:G$24))</f>
        <v/>
      </c>
      <c r="J10" s="38">
        <f>IF($B10="",0,$E10*SUMIF(Plan!$A$5:$A$24,$A10,Plan!H$5:H$24))</f>
        <v/>
      </c>
      <c r="K10" s="38">
        <f>IF($B10="",0,$E10*SUMIF(Plan!$A$5:$A$24,$A10,Plan!I$5:I$24))</f>
        <v/>
      </c>
      <c r="L10" s="38">
        <f>IF($B10="",0,$E10*SUMIF(Plan!$A$5:$A$24,$A10,Plan!J$5:J$24))</f>
        <v/>
      </c>
      <c r="M10" s="38">
        <f>IF($B10="",0,$E10*SUMIF(Plan!$A$5:$A$24,$A10,Plan!K$5:K$24))</f>
        <v/>
      </c>
      <c r="N10" s="38">
        <f>IF($B10="",0,$E10*SUMIF(Plan!$A$5:$A$24,$A10,Plan!L$5:L$24))</f>
        <v/>
      </c>
    </row>
    <row r="11">
      <c r="A11" s="29" t="n"/>
      <c r="B11" s="30" t="n"/>
      <c r="C11" s="39">
        <f>IFERROR(INDEX(Materiales!$B$4:$B$18,MATCH($B11,Materiales!$A$4:$A$18,0)),"")</f>
        <v/>
      </c>
      <c r="D11" s="40">
        <f>IFERROR(INDEX(Materiales!$C$4:$C$18,MATCH($B11,Materiales!$A$4:$A$18,0)),"")</f>
        <v/>
      </c>
      <c r="E11" s="33" t="n"/>
      <c r="F11" s="29" t="n"/>
      <c r="G11" s="38">
        <f>IF($B11="",0,$E11*SUMIF(Plan!$A$5:$A$24,$A11,Plan!E$5:E$24))</f>
        <v/>
      </c>
      <c r="H11" s="38">
        <f>IF($B11="",0,$E11*SUMIF(Plan!$A$5:$A$24,$A11,Plan!F$5:F$24))</f>
        <v/>
      </c>
      <c r="I11" s="38">
        <f>IF($B11="",0,$E11*SUMIF(Plan!$A$5:$A$24,$A11,Plan!G$5:G$24))</f>
        <v/>
      </c>
      <c r="J11" s="38">
        <f>IF($B11="",0,$E11*SUMIF(Plan!$A$5:$A$24,$A11,Plan!H$5:H$24))</f>
        <v/>
      </c>
      <c r="K11" s="38">
        <f>IF($B11="",0,$E11*SUMIF(Plan!$A$5:$A$24,$A11,Plan!I$5:I$24))</f>
        <v/>
      </c>
      <c r="L11" s="38">
        <f>IF($B11="",0,$E11*SUMIF(Plan!$A$5:$A$24,$A11,Plan!J$5:J$24))</f>
        <v/>
      </c>
      <c r="M11" s="38">
        <f>IF($B11="",0,$E11*SUMIF(Plan!$A$5:$A$24,$A11,Plan!K$5:K$24))</f>
        <v/>
      </c>
      <c r="N11" s="38">
        <f>IF($B11="",0,$E11*SUMIF(Plan!$A$5:$A$24,$A11,Plan!L$5:L$24))</f>
        <v/>
      </c>
    </row>
    <row r="12">
      <c r="A12" s="29" t="n"/>
      <c r="B12" s="30" t="n"/>
      <c r="C12" s="39">
        <f>IFERROR(INDEX(Materiales!$B$4:$B$18,MATCH($B12,Materiales!$A$4:$A$18,0)),"")</f>
        <v/>
      </c>
      <c r="D12" s="40">
        <f>IFERROR(INDEX(Materiales!$C$4:$C$18,MATCH($B12,Materiales!$A$4:$A$18,0)),"")</f>
        <v/>
      </c>
      <c r="E12" s="33" t="n"/>
      <c r="F12" s="29" t="n"/>
      <c r="G12" s="38">
        <f>IF($B12="",0,$E12*SUMIF(Plan!$A$5:$A$24,$A12,Plan!E$5:E$24))</f>
        <v/>
      </c>
      <c r="H12" s="38">
        <f>IF($B12="",0,$E12*SUMIF(Plan!$A$5:$A$24,$A12,Plan!F$5:F$24))</f>
        <v/>
      </c>
      <c r="I12" s="38">
        <f>IF($B12="",0,$E12*SUMIF(Plan!$A$5:$A$24,$A12,Plan!G$5:G$24))</f>
        <v/>
      </c>
      <c r="J12" s="38">
        <f>IF($B12="",0,$E12*SUMIF(Plan!$A$5:$A$24,$A12,Plan!H$5:H$24))</f>
        <v/>
      </c>
      <c r="K12" s="38">
        <f>IF($B12="",0,$E12*SUMIF(Plan!$A$5:$A$24,$A12,Plan!I$5:I$24))</f>
        <v/>
      </c>
      <c r="L12" s="38">
        <f>IF($B12="",0,$E12*SUMIF(Plan!$A$5:$A$24,$A12,Plan!J$5:J$24))</f>
        <v/>
      </c>
      <c r="M12" s="38">
        <f>IF($B12="",0,$E12*SUMIF(Plan!$A$5:$A$24,$A12,Plan!K$5:K$24))</f>
        <v/>
      </c>
      <c r="N12" s="38">
        <f>IF($B12="",0,$E12*SUMIF(Plan!$A$5:$A$24,$A12,Plan!L$5:L$24))</f>
        <v/>
      </c>
    </row>
    <row r="13">
      <c r="A13" s="29" t="n"/>
      <c r="B13" s="30" t="n"/>
      <c r="C13" s="39">
        <f>IFERROR(INDEX(Materiales!$B$4:$B$18,MATCH($B13,Materiales!$A$4:$A$18,0)),"")</f>
        <v/>
      </c>
      <c r="D13" s="40">
        <f>IFERROR(INDEX(Materiales!$C$4:$C$18,MATCH($B13,Materiales!$A$4:$A$18,0)),"")</f>
        <v/>
      </c>
      <c r="E13" s="33" t="n"/>
      <c r="F13" s="29" t="n"/>
      <c r="G13" s="38">
        <f>IF($B13="",0,$E13*SUMIF(Plan!$A$5:$A$24,$A13,Plan!E$5:E$24))</f>
        <v/>
      </c>
      <c r="H13" s="38">
        <f>IF($B13="",0,$E13*SUMIF(Plan!$A$5:$A$24,$A13,Plan!F$5:F$24))</f>
        <v/>
      </c>
      <c r="I13" s="38">
        <f>IF($B13="",0,$E13*SUMIF(Plan!$A$5:$A$24,$A13,Plan!G$5:G$24))</f>
        <v/>
      </c>
      <c r="J13" s="38">
        <f>IF($B13="",0,$E13*SUMIF(Plan!$A$5:$A$24,$A13,Plan!H$5:H$24))</f>
        <v/>
      </c>
      <c r="K13" s="38">
        <f>IF($B13="",0,$E13*SUMIF(Plan!$A$5:$A$24,$A13,Plan!I$5:I$24))</f>
        <v/>
      </c>
      <c r="L13" s="38">
        <f>IF($B13="",0,$E13*SUMIF(Plan!$A$5:$A$24,$A13,Plan!J$5:J$24))</f>
        <v/>
      </c>
      <c r="M13" s="38">
        <f>IF($B13="",0,$E13*SUMIF(Plan!$A$5:$A$24,$A13,Plan!K$5:K$24))</f>
        <v/>
      </c>
      <c r="N13" s="38">
        <f>IF($B13="",0,$E13*SUMIF(Plan!$A$5:$A$24,$A13,Plan!L$5:L$24))</f>
        <v/>
      </c>
    </row>
    <row r="14">
      <c r="A14" s="29" t="n"/>
      <c r="B14" s="30" t="n"/>
      <c r="C14" s="39">
        <f>IFERROR(INDEX(Materiales!$B$4:$B$18,MATCH($B14,Materiales!$A$4:$A$18,0)),"")</f>
        <v/>
      </c>
      <c r="D14" s="40">
        <f>IFERROR(INDEX(Materiales!$C$4:$C$18,MATCH($B14,Materiales!$A$4:$A$18,0)),"")</f>
        <v/>
      </c>
      <c r="E14" s="33" t="n"/>
      <c r="F14" s="29" t="n"/>
      <c r="G14" s="38">
        <f>IF($B14="",0,$E14*SUMIF(Plan!$A$5:$A$24,$A14,Plan!E$5:E$24))</f>
        <v/>
      </c>
      <c r="H14" s="38">
        <f>IF($B14="",0,$E14*SUMIF(Plan!$A$5:$A$24,$A14,Plan!F$5:F$24))</f>
        <v/>
      </c>
      <c r="I14" s="38">
        <f>IF($B14="",0,$E14*SUMIF(Plan!$A$5:$A$24,$A14,Plan!G$5:G$24))</f>
        <v/>
      </c>
      <c r="J14" s="38">
        <f>IF($B14="",0,$E14*SUMIF(Plan!$A$5:$A$24,$A14,Plan!H$5:H$24))</f>
        <v/>
      </c>
      <c r="K14" s="38">
        <f>IF($B14="",0,$E14*SUMIF(Plan!$A$5:$A$24,$A14,Plan!I$5:I$24))</f>
        <v/>
      </c>
      <c r="L14" s="38">
        <f>IF($B14="",0,$E14*SUMIF(Plan!$A$5:$A$24,$A14,Plan!J$5:J$24))</f>
        <v/>
      </c>
      <c r="M14" s="38">
        <f>IF($B14="",0,$E14*SUMIF(Plan!$A$5:$A$24,$A14,Plan!K$5:K$24))</f>
        <v/>
      </c>
      <c r="N14" s="38">
        <f>IF($B14="",0,$E14*SUMIF(Plan!$A$5:$A$24,$A14,Plan!L$5:L$24))</f>
        <v/>
      </c>
    </row>
    <row r="15">
      <c r="A15" s="29" t="n"/>
      <c r="B15" s="30" t="n"/>
      <c r="C15" s="39">
        <f>IFERROR(INDEX(Materiales!$B$4:$B$18,MATCH($B15,Materiales!$A$4:$A$18,0)),"")</f>
        <v/>
      </c>
      <c r="D15" s="40">
        <f>IFERROR(INDEX(Materiales!$C$4:$C$18,MATCH($B15,Materiales!$A$4:$A$18,0)),"")</f>
        <v/>
      </c>
      <c r="E15" s="33" t="n"/>
      <c r="F15" s="29" t="n"/>
      <c r="G15" s="38">
        <f>IF($B15="",0,$E15*SUMIF(Plan!$A$5:$A$24,$A15,Plan!E$5:E$24))</f>
        <v/>
      </c>
      <c r="H15" s="38">
        <f>IF($B15="",0,$E15*SUMIF(Plan!$A$5:$A$24,$A15,Plan!F$5:F$24))</f>
        <v/>
      </c>
      <c r="I15" s="38">
        <f>IF($B15="",0,$E15*SUMIF(Plan!$A$5:$A$24,$A15,Plan!G$5:G$24))</f>
        <v/>
      </c>
      <c r="J15" s="38">
        <f>IF($B15="",0,$E15*SUMIF(Plan!$A$5:$A$24,$A15,Plan!H$5:H$24))</f>
        <v/>
      </c>
      <c r="K15" s="38">
        <f>IF($B15="",0,$E15*SUMIF(Plan!$A$5:$A$24,$A15,Plan!I$5:I$24))</f>
        <v/>
      </c>
      <c r="L15" s="38">
        <f>IF($B15="",0,$E15*SUMIF(Plan!$A$5:$A$24,$A15,Plan!J$5:J$24))</f>
        <v/>
      </c>
      <c r="M15" s="38">
        <f>IF($B15="",0,$E15*SUMIF(Plan!$A$5:$A$24,$A15,Plan!K$5:K$24))</f>
        <v/>
      </c>
      <c r="N15" s="38">
        <f>IF($B15="",0,$E15*SUMIF(Plan!$A$5:$A$24,$A15,Plan!L$5:L$24))</f>
        <v/>
      </c>
    </row>
    <row r="16">
      <c r="A16" s="29" t="n"/>
      <c r="B16" s="30" t="n"/>
      <c r="C16" s="39">
        <f>IFERROR(INDEX(Materiales!$B$4:$B$18,MATCH($B16,Materiales!$A$4:$A$18,0)),"")</f>
        <v/>
      </c>
      <c r="D16" s="40">
        <f>IFERROR(INDEX(Materiales!$C$4:$C$18,MATCH($B16,Materiales!$A$4:$A$18,0)),"")</f>
        <v/>
      </c>
      <c r="E16" s="33" t="n"/>
      <c r="F16" s="29" t="n"/>
      <c r="G16" s="38">
        <f>IF($B16="",0,$E16*SUMIF(Plan!$A$5:$A$24,$A16,Plan!E$5:E$24))</f>
        <v/>
      </c>
      <c r="H16" s="38">
        <f>IF($B16="",0,$E16*SUMIF(Plan!$A$5:$A$24,$A16,Plan!F$5:F$24))</f>
        <v/>
      </c>
      <c r="I16" s="38">
        <f>IF($B16="",0,$E16*SUMIF(Plan!$A$5:$A$24,$A16,Plan!G$5:G$24))</f>
        <v/>
      </c>
      <c r="J16" s="38">
        <f>IF($B16="",0,$E16*SUMIF(Plan!$A$5:$A$24,$A16,Plan!H$5:H$24))</f>
        <v/>
      </c>
      <c r="K16" s="38">
        <f>IF($B16="",0,$E16*SUMIF(Plan!$A$5:$A$24,$A16,Plan!I$5:I$24))</f>
        <v/>
      </c>
      <c r="L16" s="38">
        <f>IF($B16="",0,$E16*SUMIF(Plan!$A$5:$A$24,$A16,Plan!J$5:J$24))</f>
        <v/>
      </c>
      <c r="M16" s="38">
        <f>IF($B16="",0,$E16*SUMIF(Plan!$A$5:$A$24,$A16,Plan!K$5:K$24))</f>
        <v/>
      </c>
      <c r="N16" s="38">
        <f>IF($B16="",0,$E16*SUMIF(Plan!$A$5:$A$24,$A16,Plan!L$5:L$24))</f>
        <v/>
      </c>
    </row>
    <row r="17">
      <c r="A17" s="29" t="n"/>
      <c r="B17" s="30" t="n"/>
      <c r="C17" s="39">
        <f>IFERROR(INDEX(Materiales!$B$4:$B$18,MATCH($B17,Materiales!$A$4:$A$18,0)),"")</f>
        <v/>
      </c>
      <c r="D17" s="40">
        <f>IFERROR(INDEX(Materiales!$C$4:$C$18,MATCH($B17,Materiales!$A$4:$A$18,0)),"")</f>
        <v/>
      </c>
      <c r="E17" s="33" t="n"/>
      <c r="F17" s="29" t="n"/>
      <c r="G17" s="38">
        <f>IF($B17="",0,$E17*SUMIF(Plan!$A$5:$A$24,$A17,Plan!E$5:E$24))</f>
        <v/>
      </c>
      <c r="H17" s="38">
        <f>IF($B17="",0,$E17*SUMIF(Plan!$A$5:$A$24,$A17,Plan!F$5:F$24))</f>
        <v/>
      </c>
      <c r="I17" s="38">
        <f>IF($B17="",0,$E17*SUMIF(Plan!$A$5:$A$24,$A17,Plan!G$5:G$24))</f>
        <v/>
      </c>
      <c r="J17" s="38">
        <f>IF($B17="",0,$E17*SUMIF(Plan!$A$5:$A$24,$A17,Plan!H$5:H$24))</f>
        <v/>
      </c>
      <c r="K17" s="38">
        <f>IF($B17="",0,$E17*SUMIF(Plan!$A$5:$A$24,$A17,Plan!I$5:I$24))</f>
        <v/>
      </c>
      <c r="L17" s="38">
        <f>IF($B17="",0,$E17*SUMIF(Plan!$A$5:$A$24,$A17,Plan!J$5:J$24))</f>
        <v/>
      </c>
      <c r="M17" s="38">
        <f>IF($B17="",0,$E17*SUMIF(Plan!$A$5:$A$24,$A17,Plan!K$5:K$24))</f>
        <v/>
      </c>
      <c r="N17" s="38">
        <f>IF($B17="",0,$E17*SUMIF(Plan!$A$5:$A$24,$A17,Plan!L$5:L$24))</f>
        <v/>
      </c>
    </row>
    <row r="18">
      <c r="A18" s="29" t="n"/>
      <c r="B18" s="30" t="n"/>
      <c r="C18" s="39">
        <f>IFERROR(INDEX(Materiales!$B$4:$B$18,MATCH($B18,Materiales!$A$4:$A$18,0)),"")</f>
        <v/>
      </c>
      <c r="D18" s="40">
        <f>IFERROR(INDEX(Materiales!$C$4:$C$18,MATCH($B18,Materiales!$A$4:$A$18,0)),"")</f>
        <v/>
      </c>
      <c r="E18" s="33" t="n"/>
      <c r="F18" s="29" t="n"/>
      <c r="G18" s="38">
        <f>IF($B18="",0,$E18*SUMIF(Plan!$A$5:$A$24,$A18,Plan!E$5:E$24))</f>
        <v/>
      </c>
      <c r="H18" s="38">
        <f>IF($B18="",0,$E18*SUMIF(Plan!$A$5:$A$24,$A18,Plan!F$5:F$24))</f>
        <v/>
      </c>
      <c r="I18" s="38">
        <f>IF($B18="",0,$E18*SUMIF(Plan!$A$5:$A$24,$A18,Plan!G$5:G$24))</f>
        <v/>
      </c>
      <c r="J18" s="38">
        <f>IF($B18="",0,$E18*SUMIF(Plan!$A$5:$A$24,$A18,Plan!H$5:H$24))</f>
        <v/>
      </c>
      <c r="K18" s="38">
        <f>IF($B18="",0,$E18*SUMIF(Plan!$A$5:$A$24,$A18,Plan!I$5:I$24))</f>
        <v/>
      </c>
      <c r="L18" s="38">
        <f>IF($B18="",0,$E18*SUMIF(Plan!$A$5:$A$24,$A18,Plan!J$5:J$24))</f>
        <v/>
      </c>
      <c r="M18" s="38">
        <f>IF($B18="",0,$E18*SUMIF(Plan!$A$5:$A$24,$A18,Plan!K$5:K$24))</f>
        <v/>
      </c>
      <c r="N18" s="38">
        <f>IF($B18="",0,$E18*SUMIF(Plan!$A$5:$A$24,$A18,Plan!L$5:L$24))</f>
        <v/>
      </c>
    </row>
    <row r="19">
      <c r="A19" s="29" t="n"/>
      <c r="B19" s="30" t="n"/>
      <c r="C19" s="39">
        <f>IFERROR(INDEX(Materiales!$B$4:$B$18,MATCH($B19,Materiales!$A$4:$A$18,0)),"")</f>
        <v/>
      </c>
      <c r="D19" s="40">
        <f>IFERROR(INDEX(Materiales!$C$4:$C$18,MATCH($B19,Materiales!$A$4:$A$18,0)),"")</f>
        <v/>
      </c>
      <c r="E19" s="33" t="n"/>
      <c r="F19" s="29" t="n"/>
      <c r="G19" s="38">
        <f>IF($B19="",0,$E19*SUMIF(Plan!$A$5:$A$24,$A19,Plan!E$5:E$24))</f>
        <v/>
      </c>
      <c r="H19" s="38">
        <f>IF($B19="",0,$E19*SUMIF(Plan!$A$5:$A$24,$A19,Plan!F$5:F$24))</f>
        <v/>
      </c>
      <c r="I19" s="38">
        <f>IF($B19="",0,$E19*SUMIF(Plan!$A$5:$A$24,$A19,Plan!G$5:G$24))</f>
        <v/>
      </c>
      <c r="J19" s="38">
        <f>IF($B19="",0,$E19*SUMIF(Plan!$A$5:$A$24,$A19,Plan!H$5:H$24))</f>
        <v/>
      </c>
      <c r="K19" s="38">
        <f>IF($B19="",0,$E19*SUMIF(Plan!$A$5:$A$24,$A19,Plan!I$5:I$24))</f>
        <v/>
      </c>
      <c r="L19" s="38">
        <f>IF($B19="",0,$E19*SUMIF(Plan!$A$5:$A$24,$A19,Plan!J$5:J$24))</f>
        <v/>
      </c>
      <c r="M19" s="38">
        <f>IF($B19="",0,$E19*SUMIF(Plan!$A$5:$A$24,$A19,Plan!K$5:K$24))</f>
        <v/>
      </c>
      <c r="N19" s="38">
        <f>IF($B19="",0,$E19*SUMIF(Plan!$A$5:$A$24,$A19,Plan!L$5:L$24))</f>
        <v/>
      </c>
    </row>
    <row r="20">
      <c r="A20" s="29" t="n"/>
      <c r="B20" s="30" t="n"/>
      <c r="C20" s="39">
        <f>IFERROR(INDEX(Materiales!$B$4:$B$18,MATCH($B20,Materiales!$A$4:$A$18,0)),"")</f>
        <v/>
      </c>
      <c r="D20" s="40">
        <f>IFERROR(INDEX(Materiales!$C$4:$C$18,MATCH($B20,Materiales!$A$4:$A$18,0)),"")</f>
        <v/>
      </c>
      <c r="E20" s="33" t="n"/>
      <c r="F20" s="29" t="n"/>
      <c r="G20" s="38">
        <f>IF($B20="",0,$E20*SUMIF(Plan!$A$5:$A$24,$A20,Plan!E$5:E$24))</f>
        <v/>
      </c>
      <c r="H20" s="38">
        <f>IF($B20="",0,$E20*SUMIF(Plan!$A$5:$A$24,$A20,Plan!F$5:F$24))</f>
        <v/>
      </c>
      <c r="I20" s="38">
        <f>IF($B20="",0,$E20*SUMIF(Plan!$A$5:$A$24,$A20,Plan!G$5:G$24))</f>
        <v/>
      </c>
      <c r="J20" s="38">
        <f>IF($B20="",0,$E20*SUMIF(Plan!$A$5:$A$24,$A20,Plan!H$5:H$24))</f>
        <v/>
      </c>
      <c r="K20" s="38">
        <f>IF($B20="",0,$E20*SUMIF(Plan!$A$5:$A$24,$A20,Plan!I$5:I$24))</f>
        <v/>
      </c>
      <c r="L20" s="38">
        <f>IF($B20="",0,$E20*SUMIF(Plan!$A$5:$A$24,$A20,Plan!J$5:J$24))</f>
        <v/>
      </c>
      <c r="M20" s="38">
        <f>IF($B20="",0,$E20*SUMIF(Plan!$A$5:$A$24,$A20,Plan!K$5:K$24))</f>
        <v/>
      </c>
      <c r="N20" s="38">
        <f>IF($B20="",0,$E20*SUMIF(Plan!$A$5:$A$24,$A20,Plan!L$5:L$24))</f>
        <v/>
      </c>
    </row>
    <row r="21">
      <c r="A21" s="29" t="n"/>
      <c r="B21" s="30" t="n"/>
      <c r="C21" s="39">
        <f>IFERROR(INDEX(Materiales!$B$4:$B$18,MATCH($B21,Materiales!$A$4:$A$18,0)),"")</f>
        <v/>
      </c>
      <c r="D21" s="40">
        <f>IFERROR(INDEX(Materiales!$C$4:$C$18,MATCH($B21,Materiales!$A$4:$A$18,0)),"")</f>
        <v/>
      </c>
      <c r="E21" s="33" t="n"/>
      <c r="F21" s="29" t="n"/>
      <c r="G21" s="38">
        <f>IF($B21="",0,$E21*SUMIF(Plan!$A$5:$A$24,$A21,Plan!E$5:E$24))</f>
        <v/>
      </c>
      <c r="H21" s="38">
        <f>IF($B21="",0,$E21*SUMIF(Plan!$A$5:$A$24,$A21,Plan!F$5:F$24))</f>
        <v/>
      </c>
      <c r="I21" s="38">
        <f>IF($B21="",0,$E21*SUMIF(Plan!$A$5:$A$24,$A21,Plan!G$5:G$24))</f>
        <v/>
      </c>
      <c r="J21" s="38">
        <f>IF($B21="",0,$E21*SUMIF(Plan!$A$5:$A$24,$A21,Plan!H$5:H$24))</f>
        <v/>
      </c>
      <c r="K21" s="38">
        <f>IF($B21="",0,$E21*SUMIF(Plan!$A$5:$A$24,$A21,Plan!I$5:I$24))</f>
        <v/>
      </c>
      <c r="L21" s="38">
        <f>IF($B21="",0,$E21*SUMIF(Plan!$A$5:$A$24,$A21,Plan!J$5:J$24))</f>
        <v/>
      </c>
      <c r="M21" s="38">
        <f>IF($B21="",0,$E21*SUMIF(Plan!$A$5:$A$24,$A21,Plan!K$5:K$24))</f>
        <v/>
      </c>
      <c r="N21" s="38">
        <f>IF($B21="",0,$E21*SUMIF(Plan!$A$5:$A$24,$A21,Plan!L$5:L$24))</f>
        <v/>
      </c>
    </row>
    <row r="22">
      <c r="A22" s="29" t="n"/>
      <c r="B22" s="30" t="n"/>
      <c r="C22" s="39">
        <f>IFERROR(INDEX(Materiales!$B$4:$B$18,MATCH($B22,Materiales!$A$4:$A$18,0)),"")</f>
        <v/>
      </c>
      <c r="D22" s="40">
        <f>IFERROR(INDEX(Materiales!$C$4:$C$18,MATCH($B22,Materiales!$A$4:$A$18,0)),"")</f>
        <v/>
      </c>
      <c r="E22" s="33" t="n"/>
      <c r="F22" s="29" t="n"/>
      <c r="G22" s="38">
        <f>IF($B22="",0,$E22*SUMIF(Plan!$A$5:$A$24,$A22,Plan!E$5:E$24))</f>
        <v/>
      </c>
      <c r="H22" s="38">
        <f>IF($B22="",0,$E22*SUMIF(Plan!$A$5:$A$24,$A22,Plan!F$5:F$24))</f>
        <v/>
      </c>
      <c r="I22" s="38">
        <f>IF($B22="",0,$E22*SUMIF(Plan!$A$5:$A$24,$A22,Plan!G$5:G$24))</f>
        <v/>
      </c>
      <c r="J22" s="38">
        <f>IF($B22="",0,$E22*SUMIF(Plan!$A$5:$A$24,$A22,Plan!H$5:H$24))</f>
        <v/>
      </c>
      <c r="K22" s="38">
        <f>IF($B22="",0,$E22*SUMIF(Plan!$A$5:$A$24,$A22,Plan!I$5:I$24))</f>
        <v/>
      </c>
      <c r="L22" s="38">
        <f>IF($B22="",0,$E22*SUMIF(Plan!$A$5:$A$24,$A22,Plan!J$5:J$24))</f>
        <v/>
      </c>
      <c r="M22" s="38">
        <f>IF($B22="",0,$E22*SUMIF(Plan!$A$5:$A$24,$A22,Plan!K$5:K$24))</f>
        <v/>
      </c>
      <c r="N22" s="38">
        <f>IF($B22="",0,$E22*SUMIF(Plan!$A$5:$A$24,$A22,Plan!L$5:L$24))</f>
        <v/>
      </c>
    </row>
    <row r="23">
      <c r="A23" s="29" t="n"/>
      <c r="B23" s="30" t="n"/>
      <c r="C23" s="39">
        <f>IFERROR(INDEX(Materiales!$B$4:$B$18,MATCH($B23,Materiales!$A$4:$A$18,0)),"")</f>
        <v/>
      </c>
      <c r="D23" s="40">
        <f>IFERROR(INDEX(Materiales!$C$4:$C$18,MATCH($B23,Materiales!$A$4:$A$18,0)),"")</f>
        <v/>
      </c>
      <c r="E23" s="33" t="n"/>
      <c r="F23" s="29" t="n"/>
      <c r="G23" s="38">
        <f>IF($B23="",0,$E23*SUMIF(Plan!$A$5:$A$24,$A23,Plan!E$5:E$24))</f>
        <v/>
      </c>
      <c r="H23" s="38">
        <f>IF($B23="",0,$E23*SUMIF(Plan!$A$5:$A$24,$A23,Plan!F$5:F$24))</f>
        <v/>
      </c>
      <c r="I23" s="38">
        <f>IF($B23="",0,$E23*SUMIF(Plan!$A$5:$A$24,$A23,Plan!G$5:G$24))</f>
        <v/>
      </c>
      <c r="J23" s="38">
        <f>IF($B23="",0,$E23*SUMIF(Plan!$A$5:$A$24,$A23,Plan!H$5:H$24))</f>
        <v/>
      </c>
      <c r="K23" s="38">
        <f>IF($B23="",0,$E23*SUMIF(Plan!$A$5:$A$24,$A23,Plan!I$5:I$24))</f>
        <v/>
      </c>
      <c r="L23" s="38">
        <f>IF($B23="",0,$E23*SUMIF(Plan!$A$5:$A$24,$A23,Plan!J$5:J$24))</f>
        <v/>
      </c>
      <c r="M23" s="38">
        <f>IF($B23="",0,$E23*SUMIF(Plan!$A$5:$A$24,$A23,Plan!K$5:K$24))</f>
        <v/>
      </c>
      <c r="N23" s="38">
        <f>IF($B23="",0,$E23*SUMIF(Plan!$A$5:$A$24,$A23,Plan!L$5:L$24))</f>
        <v/>
      </c>
    </row>
    <row r="24">
      <c r="A24" s="29" t="n"/>
      <c r="B24" s="30" t="n"/>
      <c r="C24" s="39">
        <f>IFERROR(INDEX(Materiales!$B$4:$B$18,MATCH($B24,Materiales!$A$4:$A$18,0)),"")</f>
        <v/>
      </c>
      <c r="D24" s="40">
        <f>IFERROR(INDEX(Materiales!$C$4:$C$18,MATCH($B24,Materiales!$A$4:$A$18,0)),"")</f>
        <v/>
      </c>
      <c r="E24" s="33" t="n"/>
      <c r="F24" s="29" t="n"/>
      <c r="G24" s="38">
        <f>IF($B24="",0,$E24*SUMIF(Plan!$A$5:$A$24,$A24,Plan!E$5:E$24))</f>
        <v/>
      </c>
      <c r="H24" s="38">
        <f>IF($B24="",0,$E24*SUMIF(Plan!$A$5:$A$24,$A24,Plan!F$5:F$24))</f>
        <v/>
      </c>
      <c r="I24" s="38">
        <f>IF($B24="",0,$E24*SUMIF(Plan!$A$5:$A$24,$A24,Plan!G$5:G$24))</f>
        <v/>
      </c>
      <c r="J24" s="38">
        <f>IF($B24="",0,$E24*SUMIF(Plan!$A$5:$A$24,$A24,Plan!H$5:H$24))</f>
        <v/>
      </c>
      <c r="K24" s="38">
        <f>IF($B24="",0,$E24*SUMIF(Plan!$A$5:$A$24,$A24,Plan!I$5:I$24))</f>
        <v/>
      </c>
      <c r="L24" s="38">
        <f>IF($B24="",0,$E24*SUMIF(Plan!$A$5:$A$24,$A24,Plan!J$5:J$24))</f>
        <v/>
      </c>
      <c r="M24" s="38">
        <f>IF($B24="",0,$E24*SUMIF(Plan!$A$5:$A$24,$A24,Plan!K$5:K$24))</f>
        <v/>
      </c>
      <c r="N24" s="38">
        <f>IF($B24="",0,$E24*SUMIF(Plan!$A$5:$A$24,$A24,Plan!L$5:L$24))</f>
        <v/>
      </c>
    </row>
    <row r="25">
      <c r="A25" s="29" t="n"/>
      <c r="B25" s="30" t="n"/>
      <c r="C25" s="39">
        <f>IFERROR(INDEX(Materiales!$B$4:$B$18,MATCH($B25,Materiales!$A$4:$A$18,0)),"")</f>
        <v/>
      </c>
      <c r="D25" s="40">
        <f>IFERROR(INDEX(Materiales!$C$4:$C$18,MATCH($B25,Materiales!$A$4:$A$18,0)),"")</f>
        <v/>
      </c>
      <c r="E25" s="33" t="n"/>
      <c r="F25" s="29" t="n"/>
      <c r="G25" s="38">
        <f>IF($B25="",0,$E25*SUMIF(Plan!$A$5:$A$24,$A25,Plan!E$5:E$24))</f>
        <v/>
      </c>
      <c r="H25" s="38">
        <f>IF($B25="",0,$E25*SUMIF(Plan!$A$5:$A$24,$A25,Plan!F$5:F$24))</f>
        <v/>
      </c>
      <c r="I25" s="38">
        <f>IF($B25="",0,$E25*SUMIF(Plan!$A$5:$A$24,$A25,Plan!G$5:G$24))</f>
        <v/>
      </c>
      <c r="J25" s="38">
        <f>IF($B25="",0,$E25*SUMIF(Plan!$A$5:$A$24,$A25,Plan!H$5:H$24))</f>
        <v/>
      </c>
      <c r="K25" s="38">
        <f>IF($B25="",0,$E25*SUMIF(Plan!$A$5:$A$24,$A25,Plan!I$5:I$24))</f>
        <v/>
      </c>
      <c r="L25" s="38">
        <f>IF($B25="",0,$E25*SUMIF(Plan!$A$5:$A$24,$A25,Plan!J$5:J$24))</f>
        <v/>
      </c>
      <c r="M25" s="38">
        <f>IF($B25="",0,$E25*SUMIF(Plan!$A$5:$A$24,$A25,Plan!K$5:K$24))</f>
        <v/>
      </c>
      <c r="N25" s="38">
        <f>IF($B25="",0,$E25*SUMIF(Plan!$A$5:$A$24,$A25,Plan!L$5:L$24))</f>
        <v/>
      </c>
    </row>
    <row r="26">
      <c r="A26" s="29" t="n"/>
      <c r="B26" s="30" t="n"/>
      <c r="C26" s="39">
        <f>IFERROR(INDEX(Materiales!$B$4:$B$18,MATCH($B26,Materiales!$A$4:$A$18,0)),"")</f>
        <v/>
      </c>
      <c r="D26" s="40">
        <f>IFERROR(INDEX(Materiales!$C$4:$C$18,MATCH($B26,Materiales!$A$4:$A$18,0)),"")</f>
        <v/>
      </c>
      <c r="E26" s="33" t="n"/>
      <c r="F26" s="29" t="n"/>
      <c r="G26" s="38">
        <f>IF($B26="",0,$E26*SUMIF(Plan!$A$5:$A$24,$A26,Plan!E$5:E$24))</f>
        <v/>
      </c>
      <c r="H26" s="38">
        <f>IF($B26="",0,$E26*SUMIF(Plan!$A$5:$A$24,$A26,Plan!F$5:F$24))</f>
        <v/>
      </c>
      <c r="I26" s="38">
        <f>IF($B26="",0,$E26*SUMIF(Plan!$A$5:$A$24,$A26,Plan!G$5:G$24))</f>
        <v/>
      </c>
      <c r="J26" s="38">
        <f>IF($B26="",0,$E26*SUMIF(Plan!$A$5:$A$24,$A26,Plan!H$5:H$24))</f>
        <v/>
      </c>
      <c r="K26" s="38">
        <f>IF($B26="",0,$E26*SUMIF(Plan!$A$5:$A$24,$A26,Plan!I$5:I$24))</f>
        <v/>
      </c>
      <c r="L26" s="38">
        <f>IF($B26="",0,$E26*SUMIF(Plan!$A$5:$A$24,$A26,Plan!J$5:J$24))</f>
        <v/>
      </c>
      <c r="M26" s="38">
        <f>IF($B26="",0,$E26*SUMIF(Plan!$A$5:$A$24,$A26,Plan!K$5:K$24))</f>
        <v/>
      </c>
      <c r="N26" s="38">
        <f>IF($B26="",0,$E26*SUMIF(Plan!$A$5:$A$24,$A26,Plan!L$5:L$24))</f>
        <v/>
      </c>
    </row>
    <row r="27">
      <c r="A27" s="29" t="n"/>
      <c r="B27" s="30" t="n"/>
      <c r="C27" s="39">
        <f>IFERROR(INDEX(Materiales!$B$4:$B$18,MATCH($B27,Materiales!$A$4:$A$18,0)),"")</f>
        <v/>
      </c>
      <c r="D27" s="40">
        <f>IFERROR(INDEX(Materiales!$C$4:$C$18,MATCH($B27,Materiales!$A$4:$A$18,0)),"")</f>
        <v/>
      </c>
      <c r="E27" s="33" t="n"/>
      <c r="F27" s="29" t="n"/>
      <c r="G27" s="38">
        <f>IF($B27="",0,$E27*SUMIF(Plan!$A$5:$A$24,$A27,Plan!E$5:E$24))</f>
        <v/>
      </c>
      <c r="H27" s="38">
        <f>IF($B27="",0,$E27*SUMIF(Plan!$A$5:$A$24,$A27,Plan!F$5:F$24))</f>
        <v/>
      </c>
      <c r="I27" s="38">
        <f>IF($B27="",0,$E27*SUMIF(Plan!$A$5:$A$24,$A27,Plan!G$5:G$24))</f>
        <v/>
      </c>
      <c r="J27" s="38">
        <f>IF($B27="",0,$E27*SUMIF(Plan!$A$5:$A$24,$A27,Plan!H$5:H$24))</f>
        <v/>
      </c>
      <c r="K27" s="38">
        <f>IF($B27="",0,$E27*SUMIF(Plan!$A$5:$A$24,$A27,Plan!I$5:I$24))</f>
        <v/>
      </c>
      <c r="L27" s="38">
        <f>IF($B27="",0,$E27*SUMIF(Plan!$A$5:$A$24,$A27,Plan!J$5:J$24))</f>
        <v/>
      </c>
      <c r="M27" s="38">
        <f>IF($B27="",0,$E27*SUMIF(Plan!$A$5:$A$24,$A27,Plan!K$5:K$24))</f>
        <v/>
      </c>
      <c r="N27" s="38">
        <f>IF($B27="",0,$E27*SUMIF(Plan!$A$5:$A$24,$A27,Plan!L$5:L$24))</f>
        <v/>
      </c>
    </row>
    <row r="28">
      <c r="A28" s="29" t="n"/>
      <c r="B28" s="30" t="n"/>
      <c r="C28" s="39">
        <f>IFERROR(INDEX(Materiales!$B$4:$B$18,MATCH($B28,Materiales!$A$4:$A$18,0)),"")</f>
        <v/>
      </c>
      <c r="D28" s="40">
        <f>IFERROR(INDEX(Materiales!$C$4:$C$18,MATCH($B28,Materiales!$A$4:$A$18,0)),"")</f>
        <v/>
      </c>
      <c r="E28" s="33" t="n"/>
      <c r="F28" s="29" t="n"/>
      <c r="G28" s="38">
        <f>IF($B28="",0,$E28*SUMIF(Plan!$A$5:$A$24,$A28,Plan!E$5:E$24))</f>
        <v/>
      </c>
      <c r="H28" s="38">
        <f>IF($B28="",0,$E28*SUMIF(Plan!$A$5:$A$24,$A28,Plan!F$5:F$24))</f>
        <v/>
      </c>
      <c r="I28" s="38">
        <f>IF($B28="",0,$E28*SUMIF(Plan!$A$5:$A$24,$A28,Plan!G$5:G$24))</f>
        <v/>
      </c>
      <c r="J28" s="38">
        <f>IF($B28="",0,$E28*SUMIF(Plan!$A$5:$A$24,$A28,Plan!H$5:H$24))</f>
        <v/>
      </c>
      <c r="K28" s="38">
        <f>IF($B28="",0,$E28*SUMIF(Plan!$A$5:$A$24,$A28,Plan!I$5:I$24))</f>
        <v/>
      </c>
      <c r="L28" s="38">
        <f>IF($B28="",0,$E28*SUMIF(Plan!$A$5:$A$24,$A28,Plan!J$5:J$24))</f>
        <v/>
      </c>
      <c r="M28" s="38">
        <f>IF($B28="",0,$E28*SUMIF(Plan!$A$5:$A$24,$A28,Plan!K$5:K$24))</f>
        <v/>
      </c>
      <c r="N28" s="38">
        <f>IF($B28="",0,$E28*SUMIF(Plan!$A$5:$A$24,$A28,Plan!L$5:L$24))</f>
        <v/>
      </c>
    </row>
    <row r="29">
      <c r="A29" s="29" t="n"/>
      <c r="B29" s="30" t="n"/>
      <c r="C29" s="39">
        <f>IFERROR(INDEX(Materiales!$B$4:$B$18,MATCH($B29,Materiales!$A$4:$A$18,0)),"")</f>
        <v/>
      </c>
      <c r="D29" s="40">
        <f>IFERROR(INDEX(Materiales!$C$4:$C$18,MATCH($B29,Materiales!$A$4:$A$18,0)),"")</f>
        <v/>
      </c>
      <c r="E29" s="33" t="n"/>
      <c r="F29" s="29" t="n"/>
      <c r="G29" s="38">
        <f>IF($B29="",0,$E29*SUMIF(Plan!$A$5:$A$24,$A29,Plan!E$5:E$24))</f>
        <v/>
      </c>
      <c r="H29" s="38">
        <f>IF($B29="",0,$E29*SUMIF(Plan!$A$5:$A$24,$A29,Plan!F$5:F$24))</f>
        <v/>
      </c>
      <c r="I29" s="38">
        <f>IF($B29="",0,$E29*SUMIF(Plan!$A$5:$A$24,$A29,Plan!G$5:G$24))</f>
        <v/>
      </c>
      <c r="J29" s="38">
        <f>IF($B29="",0,$E29*SUMIF(Plan!$A$5:$A$24,$A29,Plan!H$5:H$24))</f>
        <v/>
      </c>
      <c r="K29" s="38">
        <f>IF($B29="",0,$E29*SUMIF(Plan!$A$5:$A$24,$A29,Plan!I$5:I$24))</f>
        <v/>
      </c>
      <c r="L29" s="38">
        <f>IF($B29="",0,$E29*SUMIF(Plan!$A$5:$A$24,$A29,Plan!J$5:J$24))</f>
        <v/>
      </c>
      <c r="M29" s="38">
        <f>IF($B29="",0,$E29*SUMIF(Plan!$A$5:$A$24,$A29,Plan!K$5:K$24))</f>
        <v/>
      </c>
      <c r="N29" s="38">
        <f>IF($B29="",0,$E29*SUMIF(Plan!$A$5:$A$24,$A29,Plan!L$5:L$24))</f>
        <v/>
      </c>
    </row>
    <row r="30">
      <c r="A30" s="29" t="n"/>
      <c r="B30" s="30" t="n"/>
      <c r="C30" s="39">
        <f>IFERROR(INDEX(Materiales!$B$4:$B$18,MATCH($B30,Materiales!$A$4:$A$18,0)),"")</f>
        <v/>
      </c>
      <c r="D30" s="40">
        <f>IFERROR(INDEX(Materiales!$C$4:$C$18,MATCH($B30,Materiales!$A$4:$A$18,0)),"")</f>
        <v/>
      </c>
      <c r="E30" s="33" t="n"/>
      <c r="F30" s="29" t="n"/>
      <c r="G30" s="38">
        <f>IF($B30="",0,$E30*SUMIF(Plan!$A$5:$A$24,$A30,Plan!E$5:E$24))</f>
        <v/>
      </c>
      <c r="H30" s="38">
        <f>IF($B30="",0,$E30*SUMIF(Plan!$A$5:$A$24,$A30,Plan!F$5:F$24))</f>
        <v/>
      </c>
      <c r="I30" s="38">
        <f>IF($B30="",0,$E30*SUMIF(Plan!$A$5:$A$24,$A30,Plan!G$5:G$24))</f>
        <v/>
      </c>
      <c r="J30" s="38">
        <f>IF($B30="",0,$E30*SUMIF(Plan!$A$5:$A$24,$A30,Plan!H$5:H$24))</f>
        <v/>
      </c>
      <c r="K30" s="38">
        <f>IF($B30="",0,$E30*SUMIF(Plan!$A$5:$A$24,$A30,Plan!I$5:I$24))</f>
        <v/>
      </c>
      <c r="L30" s="38">
        <f>IF($B30="",0,$E30*SUMIF(Plan!$A$5:$A$24,$A30,Plan!J$5:J$24))</f>
        <v/>
      </c>
      <c r="M30" s="38">
        <f>IF($B30="",0,$E30*SUMIF(Plan!$A$5:$A$24,$A30,Plan!K$5:K$24))</f>
        <v/>
      </c>
      <c r="N30" s="38">
        <f>IF($B30="",0,$E30*SUMIF(Plan!$A$5:$A$24,$A30,Plan!L$5:L$24))</f>
        <v/>
      </c>
    </row>
    <row r="31">
      <c r="A31" s="29" t="n"/>
      <c r="B31" s="30" t="n"/>
      <c r="C31" s="39">
        <f>IFERROR(INDEX(Materiales!$B$4:$B$18,MATCH($B31,Materiales!$A$4:$A$18,0)),"")</f>
        <v/>
      </c>
      <c r="D31" s="40">
        <f>IFERROR(INDEX(Materiales!$C$4:$C$18,MATCH($B31,Materiales!$A$4:$A$18,0)),"")</f>
        <v/>
      </c>
      <c r="E31" s="33" t="n"/>
      <c r="F31" s="29" t="n"/>
      <c r="G31" s="38">
        <f>IF($B31="",0,$E31*SUMIF(Plan!$A$5:$A$24,$A31,Plan!E$5:E$24))</f>
        <v/>
      </c>
      <c r="H31" s="38">
        <f>IF($B31="",0,$E31*SUMIF(Plan!$A$5:$A$24,$A31,Plan!F$5:F$24))</f>
        <v/>
      </c>
      <c r="I31" s="38">
        <f>IF($B31="",0,$E31*SUMIF(Plan!$A$5:$A$24,$A31,Plan!G$5:G$24))</f>
        <v/>
      </c>
      <c r="J31" s="38">
        <f>IF($B31="",0,$E31*SUMIF(Plan!$A$5:$A$24,$A31,Plan!H$5:H$24))</f>
        <v/>
      </c>
      <c r="K31" s="38">
        <f>IF($B31="",0,$E31*SUMIF(Plan!$A$5:$A$24,$A31,Plan!I$5:I$24))</f>
        <v/>
      </c>
      <c r="L31" s="38">
        <f>IF($B31="",0,$E31*SUMIF(Plan!$A$5:$A$24,$A31,Plan!J$5:J$24))</f>
        <v/>
      </c>
      <c r="M31" s="38">
        <f>IF($B31="",0,$E31*SUMIF(Plan!$A$5:$A$24,$A31,Plan!K$5:K$24))</f>
        <v/>
      </c>
      <c r="N31" s="38">
        <f>IF($B31="",0,$E31*SUMIF(Plan!$A$5:$A$24,$A31,Plan!L$5:L$24))</f>
        <v/>
      </c>
    </row>
    <row r="32">
      <c r="A32" s="29" t="n"/>
      <c r="B32" s="30" t="n"/>
      <c r="C32" s="39">
        <f>IFERROR(INDEX(Materiales!$B$4:$B$18,MATCH($B32,Materiales!$A$4:$A$18,0)),"")</f>
        <v/>
      </c>
      <c r="D32" s="40">
        <f>IFERROR(INDEX(Materiales!$C$4:$C$18,MATCH($B32,Materiales!$A$4:$A$18,0)),"")</f>
        <v/>
      </c>
      <c r="E32" s="33" t="n"/>
      <c r="F32" s="29" t="n"/>
      <c r="G32" s="38">
        <f>IF($B32="",0,$E32*SUMIF(Plan!$A$5:$A$24,$A32,Plan!E$5:E$24))</f>
        <v/>
      </c>
      <c r="H32" s="38">
        <f>IF($B32="",0,$E32*SUMIF(Plan!$A$5:$A$24,$A32,Plan!F$5:F$24))</f>
        <v/>
      </c>
      <c r="I32" s="38">
        <f>IF($B32="",0,$E32*SUMIF(Plan!$A$5:$A$24,$A32,Plan!G$5:G$24))</f>
        <v/>
      </c>
      <c r="J32" s="38">
        <f>IF($B32="",0,$E32*SUMIF(Plan!$A$5:$A$24,$A32,Plan!H$5:H$24))</f>
        <v/>
      </c>
      <c r="K32" s="38">
        <f>IF($B32="",0,$E32*SUMIF(Plan!$A$5:$A$24,$A32,Plan!I$5:I$24))</f>
        <v/>
      </c>
      <c r="L32" s="38">
        <f>IF($B32="",0,$E32*SUMIF(Plan!$A$5:$A$24,$A32,Plan!J$5:J$24))</f>
        <v/>
      </c>
      <c r="M32" s="38">
        <f>IF($B32="",0,$E32*SUMIF(Plan!$A$5:$A$24,$A32,Plan!K$5:K$24))</f>
        <v/>
      </c>
      <c r="N32" s="38">
        <f>IF($B32="",0,$E32*SUMIF(Plan!$A$5:$A$24,$A32,Plan!L$5:L$24))</f>
        <v/>
      </c>
    </row>
    <row r="33">
      <c r="A33" s="29" t="n"/>
      <c r="B33" s="30" t="n"/>
      <c r="C33" s="39">
        <f>IFERROR(INDEX(Materiales!$B$4:$B$18,MATCH($B33,Materiales!$A$4:$A$18,0)),"")</f>
        <v/>
      </c>
      <c r="D33" s="40">
        <f>IFERROR(INDEX(Materiales!$C$4:$C$18,MATCH($B33,Materiales!$A$4:$A$18,0)),"")</f>
        <v/>
      </c>
      <c r="E33" s="33" t="n"/>
      <c r="F33" s="29" t="n"/>
      <c r="G33" s="38">
        <f>IF($B33="",0,$E33*SUMIF(Plan!$A$5:$A$24,$A33,Plan!E$5:E$24))</f>
        <v/>
      </c>
      <c r="H33" s="38">
        <f>IF($B33="",0,$E33*SUMIF(Plan!$A$5:$A$24,$A33,Plan!F$5:F$24))</f>
        <v/>
      </c>
      <c r="I33" s="38">
        <f>IF($B33="",0,$E33*SUMIF(Plan!$A$5:$A$24,$A33,Plan!G$5:G$24))</f>
        <v/>
      </c>
      <c r="J33" s="38">
        <f>IF($B33="",0,$E33*SUMIF(Plan!$A$5:$A$24,$A33,Plan!H$5:H$24))</f>
        <v/>
      </c>
      <c r="K33" s="38">
        <f>IF($B33="",0,$E33*SUMIF(Plan!$A$5:$A$24,$A33,Plan!I$5:I$24))</f>
        <v/>
      </c>
      <c r="L33" s="38">
        <f>IF($B33="",0,$E33*SUMIF(Plan!$A$5:$A$24,$A33,Plan!J$5:J$24))</f>
        <v/>
      </c>
      <c r="M33" s="38">
        <f>IF($B33="",0,$E33*SUMIF(Plan!$A$5:$A$24,$A33,Plan!K$5:K$24))</f>
        <v/>
      </c>
      <c r="N33" s="38">
        <f>IF($B33="",0,$E33*SUMIF(Plan!$A$5:$A$24,$A33,Plan!L$5:L$24))</f>
        <v/>
      </c>
    </row>
    <row r="34">
      <c r="A34" s="29" t="n"/>
      <c r="B34" s="30" t="n"/>
      <c r="C34" s="39">
        <f>IFERROR(INDEX(Materiales!$B$4:$B$18,MATCH($B34,Materiales!$A$4:$A$18,0)),"")</f>
        <v/>
      </c>
      <c r="D34" s="40">
        <f>IFERROR(INDEX(Materiales!$C$4:$C$18,MATCH($B34,Materiales!$A$4:$A$18,0)),"")</f>
        <v/>
      </c>
      <c r="E34" s="33" t="n"/>
      <c r="F34" s="29" t="n"/>
      <c r="G34" s="38">
        <f>IF($B34="",0,$E34*SUMIF(Plan!$A$5:$A$24,$A34,Plan!E$5:E$24))</f>
        <v/>
      </c>
      <c r="H34" s="38">
        <f>IF($B34="",0,$E34*SUMIF(Plan!$A$5:$A$24,$A34,Plan!F$5:F$24))</f>
        <v/>
      </c>
      <c r="I34" s="38">
        <f>IF($B34="",0,$E34*SUMIF(Plan!$A$5:$A$24,$A34,Plan!G$5:G$24))</f>
        <v/>
      </c>
      <c r="J34" s="38">
        <f>IF($B34="",0,$E34*SUMIF(Plan!$A$5:$A$24,$A34,Plan!H$5:H$24))</f>
        <v/>
      </c>
      <c r="K34" s="38">
        <f>IF($B34="",0,$E34*SUMIF(Plan!$A$5:$A$24,$A34,Plan!I$5:I$24))</f>
        <v/>
      </c>
      <c r="L34" s="38">
        <f>IF($B34="",0,$E34*SUMIF(Plan!$A$5:$A$24,$A34,Plan!J$5:J$24))</f>
        <v/>
      </c>
      <c r="M34" s="38">
        <f>IF($B34="",0,$E34*SUMIF(Plan!$A$5:$A$24,$A34,Plan!K$5:K$24))</f>
        <v/>
      </c>
      <c r="N34" s="38">
        <f>IF($B34="",0,$E34*SUMIF(Plan!$A$5:$A$24,$A34,Plan!L$5:L$24))</f>
        <v/>
      </c>
    </row>
    <row r="35">
      <c r="A35" s="29" t="n"/>
      <c r="B35" s="30" t="n"/>
      <c r="C35" s="39">
        <f>IFERROR(INDEX(Materiales!$B$4:$B$18,MATCH($B35,Materiales!$A$4:$A$18,0)),"")</f>
        <v/>
      </c>
      <c r="D35" s="40">
        <f>IFERROR(INDEX(Materiales!$C$4:$C$18,MATCH($B35,Materiales!$A$4:$A$18,0)),"")</f>
        <v/>
      </c>
      <c r="E35" s="33" t="n"/>
      <c r="F35" s="29" t="n"/>
      <c r="G35" s="38">
        <f>IF($B35="",0,$E35*SUMIF(Plan!$A$5:$A$24,$A35,Plan!E$5:E$24))</f>
        <v/>
      </c>
      <c r="H35" s="38">
        <f>IF($B35="",0,$E35*SUMIF(Plan!$A$5:$A$24,$A35,Plan!F$5:F$24))</f>
        <v/>
      </c>
      <c r="I35" s="38">
        <f>IF($B35="",0,$E35*SUMIF(Plan!$A$5:$A$24,$A35,Plan!G$5:G$24))</f>
        <v/>
      </c>
      <c r="J35" s="38">
        <f>IF($B35="",0,$E35*SUMIF(Plan!$A$5:$A$24,$A35,Plan!H$5:H$24))</f>
        <v/>
      </c>
      <c r="K35" s="38">
        <f>IF($B35="",0,$E35*SUMIF(Plan!$A$5:$A$24,$A35,Plan!I$5:I$24))</f>
        <v/>
      </c>
      <c r="L35" s="38">
        <f>IF($B35="",0,$E35*SUMIF(Plan!$A$5:$A$24,$A35,Plan!J$5:J$24))</f>
        <v/>
      </c>
      <c r="M35" s="38">
        <f>IF($B35="",0,$E35*SUMIF(Plan!$A$5:$A$24,$A35,Plan!K$5:K$24))</f>
        <v/>
      </c>
      <c r="N35" s="38">
        <f>IF($B35="",0,$E35*SUMIF(Plan!$A$5:$A$24,$A35,Plan!L$5:L$24))</f>
        <v/>
      </c>
    </row>
    <row r="36">
      <c r="A36" s="29" t="n"/>
      <c r="B36" s="30" t="n"/>
      <c r="C36" s="39">
        <f>IFERROR(INDEX(Materiales!$B$4:$B$18,MATCH($B36,Materiales!$A$4:$A$18,0)),"")</f>
        <v/>
      </c>
      <c r="D36" s="40">
        <f>IFERROR(INDEX(Materiales!$C$4:$C$18,MATCH($B36,Materiales!$A$4:$A$18,0)),"")</f>
        <v/>
      </c>
      <c r="E36" s="33" t="n"/>
      <c r="F36" s="29" t="n"/>
      <c r="G36" s="38">
        <f>IF($B36="",0,$E36*SUMIF(Plan!$A$5:$A$24,$A36,Plan!E$5:E$24))</f>
        <v/>
      </c>
      <c r="H36" s="38">
        <f>IF($B36="",0,$E36*SUMIF(Plan!$A$5:$A$24,$A36,Plan!F$5:F$24))</f>
        <v/>
      </c>
      <c r="I36" s="38">
        <f>IF($B36="",0,$E36*SUMIF(Plan!$A$5:$A$24,$A36,Plan!G$5:G$24))</f>
        <v/>
      </c>
      <c r="J36" s="38">
        <f>IF($B36="",0,$E36*SUMIF(Plan!$A$5:$A$24,$A36,Plan!H$5:H$24))</f>
        <v/>
      </c>
      <c r="K36" s="38">
        <f>IF($B36="",0,$E36*SUMIF(Plan!$A$5:$A$24,$A36,Plan!I$5:I$24))</f>
        <v/>
      </c>
      <c r="L36" s="38">
        <f>IF($B36="",0,$E36*SUMIF(Plan!$A$5:$A$24,$A36,Plan!J$5:J$24))</f>
        <v/>
      </c>
      <c r="M36" s="38">
        <f>IF($B36="",0,$E36*SUMIF(Plan!$A$5:$A$24,$A36,Plan!K$5:K$24))</f>
        <v/>
      </c>
      <c r="N36" s="38">
        <f>IF($B36="",0,$E36*SUMIF(Plan!$A$5:$A$24,$A36,Plan!L$5:L$24))</f>
        <v/>
      </c>
    </row>
    <row r="37">
      <c r="A37" s="29" t="n"/>
      <c r="B37" s="30" t="n"/>
      <c r="C37" s="39">
        <f>IFERROR(INDEX(Materiales!$B$4:$B$18,MATCH($B37,Materiales!$A$4:$A$18,0)),"")</f>
        <v/>
      </c>
      <c r="D37" s="40">
        <f>IFERROR(INDEX(Materiales!$C$4:$C$18,MATCH($B37,Materiales!$A$4:$A$18,0)),"")</f>
        <v/>
      </c>
      <c r="E37" s="33" t="n"/>
      <c r="F37" s="29" t="n"/>
      <c r="G37" s="38">
        <f>IF($B37="",0,$E37*SUMIF(Plan!$A$5:$A$24,$A37,Plan!E$5:E$24))</f>
        <v/>
      </c>
      <c r="H37" s="38">
        <f>IF($B37="",0,$E37*SUMIF(Plan!$A$5:$A$24,$A37,Plan!F$5:F$24))</f>
        <v/>
      </c>
      <c r="I37" s="38">
        <f>IF($B37="",0,$E37*SUMIF(Plan!$A$5:$A$24,$A37,Plan!G$5:G$24))</f>
        <v/>
      </c>
      <c r="J37" s="38">
        <f>IF($B37="",0,$E37*SUMIF(Plan!$A$5:$A$24,$A37,Plan!H$5:H$24))</f>
        <v/>
      </c>
      <c r="K37" s="38">
        <f>IF($B37="",0,$E37*SUMIF(Plan!$A$5:$A$24,$A37,Plan!I$5:I$24))</f>
        <v/>
      </c>
      <c r="L37" s="38">
        <f>IF($B37="",0,$E37*SUMIF(Plan!$A$5:$A$24,$A37,Plan!J$5:J$24))</f>
        <v/>
      </c>
      <c r="M37" s="38">
        <f>IF($B37="",0,$E37*SUMIF(Plan!$A$5:$A$24,$A37,Plan!K$5:K$24))</f>
        <v/>
      </c>
      <c r="N37" s="38">
        <f>IF($B37="",0,$E37*SUMIF(Plan!$A$5:$A$24,$A37,Plan!L$5:L$24))</f>
        <v/>
      </c>
    </row>
    <row r="38">
      <c r="A38" s="29" t="n"/>
      <c r="B38" s="30" t="n"/>
      <c r="C38" s="39">
        <f>IFERROR(INDEX(Materiales!$B$4:$B$18,MATCH($B38,Materiales!$A$4:$A$18,0)),"")</f>
        <v/>
      </c>
      <c r="D38" s="40">
        <f>IFERROR(INDEX(Materiales!$C$4:$C$18,MATCH($B38,Materiales!$A$4:$A$18,0)),"")</f>
        <v/>
      </c>
      <c r="E38" s="33" t="n"/>
      <c r="F38" s="29" t="n"/>
      <c r="G38" s="38">
        <f>IF($B38="",0,$E38*SUMIF(Plan!$A$5:$A$24,$A38,Plan!E$5:E$24))</f>
        <v/>
      </c>
      <c r="H38" s="38">
        <f>IF($B38="",0,$E38*SUMIF(Plan!$A$5:$A$24,$A38,Plan!F$5:F$24))</f>
        <v/>
      </c>
      <c r="I38" s="38">
        <f>IF($B38="",0,$E38*SUMIF(Plan!$A$5:$A$24,$A38,Plan!G$5:G$24))</f>
        <v/>
      </c>
      <c r="J38" s="38">
        <f>IF($B38="",0,$E38*SUMIF(Plan!$A$5:$A$24,$A38,Plan!H$5:H$24))</f>
        <v/>
      </c>
      <c r="K38" s="38">
        <f>IF($B38="",0,$E38*SUMIF(Plan!$A$5:$A$24,$A38,Plan!I$5:I$24))</f>
        <v/>
      </c>
      <c r="L38" s="38">
        <f>IF($B38="",0,$E38*SUMIF(Plan!$A$5:$A$24,$A38,Plan!J$5:J$24))</f>
        <v/>
      </c>
      <c r="M38" s="38">
        <f>IF($B38="",0,$E38*SUMIF(Plan!$A$5:$A$24,$A38,Plan!K$5:K$24))</f>
        <v/>
      </c>
      <c r="N38" s="38">
        <f>IF($B38="",0,$E38*SUMIF(Plan!$A$5:$A$24,$A38,Plan!L$5:L$24))</f>
        <v/>
      </c>
    </row>
    <row r="39">
      <c r="A39" s="29" t="n"/>
      <c r="B39" s="30" t="n"/>
      <c r="C39" s="39">
        <f>IFERROR(INDEX(Materiales!$B$4:$B$18,MATCH($B39,Materiales!$A$4:$A$18,0)),"")</f>
        <v/>
      </c>
      <c r="D39" s="40">
        <f>IFERROR(INDEX(Materiales!$C$4:$C$18,MATCH($B39,Materiales!$A$4:$A$18,0)),"")</f>
        <v/>
      </c>
      <c r="E39" s="33" t="n"/>
      <c r="F39" s="29" t="n"/>
      <c r="G39" s="38">
        <f>IF($B39="",0,$E39*SUMIF(Plan!$A$5:$A$24,$A39,Plan!E$5:E$24))</f>
        <v/>
      </c>
      <c r="H39" s="38">
        <f>IF($B39="",0,$E39*SUMIF(Plan!$A$5:$A$24,$A39,Plan!F$5:F$24))</f>
        <v/>
      </c>
      <c r="I39" s="38">
        <f>IF($B39="",0,$E39*SUMIF(Plan!$A$5:$A$24,$A39,Plan!G$5:G$24))</f>
        <v/>
      </c>
      <c r="J39" s="38">
        <f>IF($B39="",0,$E39*SUMIF(Plan!$A$5:$A$24,$A39,Plan!H$5:H$24))</f>
        <v/>
      </c>
      <c r="K39" s="38">
        <f>IF($B39="",0,$E39*SUMIF(Plan!$A$5:$A$24,$A39,Plan!I$5:I$24))</f>
        <v/>
      </c>
      <c r="L39" s="38">
        <f>IF($B39="",0,$E39*SUMIF(Plan!$A$5:$A$24,$A39,Plan!J$5:J$24))</f>
        <v/>
      </c>
      <c r="M39" s="38">
        <f>IF($B39="",0,$E39*SUMIF(Plan!$A$5:$A$24,$A39,Plan!K$5:K$24))</f>
        <v/>
      </c>
      <c r="N39" s="38">
        <f>IF($B39="",0,$E39*SUMIF(Plan!$A$5:$A$24,$A39,Plan!L$5:L$24))</f>
        <v/>
      </c>
    </row>
    <row r="40">
      <c r="A40" s="29" t="n"/>
      <c r="B40" s="30" t="n"/>
      <c r="C40" s="39">
        <f>IFERROR(INDEX(Materiales!$B$4:$B$18,MATCH($B40,Materiales!$A$4:$A$18,0)),"")</f>
        <v/>
      </c>
      <c r="D40" s="40">
        <f>IFERROR(INDEX(Materiales!$C$4:$C$18,MATCH($B40,Materiales!$A$4:$A$18,0)),"")</f>
        <v/>
      </c>
      <c r="E40" s="33" t="n"/>
      <c r="F40" s="29" t="n"/>
      <c r="G40" s="38">
        <f>IF($B40="",0,$E40*SUMIF(Plan!$A$5:$A$24,$A40,Plan!E$5:E$24))</f>
        <v/>
      </c>
      <c r="H40" s="38">
        <f>IF($B40="",0,$E40*SUMIF(Plan!$A$5:$A$24,$A40,Plan!F$5:F$24))</f>
        <v/>
      </c>
      <c r="I40" s="38">
        <f>IF($B40="",0,$E40*SUMIF(Plan!$A$5:$A$24,$A40,Plan!G$5:G$24))</f>
        <v/>
      </c>
      <c r="J40" s="38">
        <f>IF($B40="",0,$E40*SUMIF(Plan!$A$5:$A$24,$A40,Plan!H$5:H$24))</f>
        <v/>
      </c>
      <c r="K40" s="38">
        <f>IF($B40="",0,$E40*SUMIF(Plan!$A$5:$A$24,$A40,Plan!I$5:I$24))</f>
        <v/>
      </c>
      <c r="L40" s="38">
        <f>IF($B40="",0,$E40*SUMIF(Plan!$A$5:$A$24,$A40,Plan!J$5:J$24))</f>
        <v/>
      </c>
      <c r="M40" s="38">
        <f>IF($B40="",0,$E40*SUMIF(Plan!$A$5:$A$24,$A40,Plan!K$5:K$24))</f>
        <v/>
      </c>
      <c r="N40" s="38">
        <f>IF($B40="",0,$E40*SUMIF(Plan!$A$5:$A$24,$A40,Plan!L$5:L$24))</f>
        <v/>
      </c>
    </row>
    <row r="41">
      <c r="A41" s="29" t="n"/>
      <c r="B41" s="30" t="n"/>
      <c r="C41" s="39">
        <f>IFERROR(INDEX(Materiales!$B$4:$B$18,MATCH($B41,Materiales!$A$4:$A$18,0)),"")</f>
        <v/>
      </c>
      <c r="D41" s="40">
        <f>IFERROR(INDEX(Materiales!$C$4:$C$18,MATCH($B41,Materiales!$A$4:$A$18,0)),"")</f>
        <v/>
      </c>
      <c r="E41" s="33" t="n"/>
      <c r="F41" s="29" t="n"/>
      <c r="G41" s="38">
        <f>IF($B41="",0,$E41*SUMIF(Plan!$A$5:$A$24,$A41,Plan!E$5:E$24))</f>
        <v/>
      </c>
      <c r="H41" s="38">
        <f>IF($B41="",0,$E41*SUMIF(Plan!$A$5:$A$24,$A41,Plan!F$5:F$24))</f>
        <v/>
      </c>
      <c r="I41" s="38">
        <f>IF($B41="",0,$E41*SUMIF(Plan!$A$5:$A$24,$A41,Plan!G$5:G$24))</f>
        <v/>
      </c>
      <c r="J41" s="38">
        <f>IF($B41="",0,$E41*SUMIF(Plan!$A$5:$A$24,$A41,Plan!H$5:H$24))</f>
        <v/>
      </c>
      <c r="K41" s="38">
        <f>IF($B41="",0,$E41*SUMIF(Plan!$A$5:$A$24,$A41,Plan!I$5:I$24))</f>
        <v/>
      </c>
      <c r="L41" s="38">
        <f>IF($B41="",0,$E41*SUMIF(Plan!$A$5:$A$24,$A41,Plan!J$5:J$24))</f>
        <v/>
      </c>
      <c r="M41" s="38">
        <f>IF($B41="",0,$E41*SUMIF(Plan!$A$5:$A$24,$A41,Plan!K$5:K$24))</f>
        <v/>
      </c>
      <c r="N41" s="38">
        <f>IF($B41="",0,$E41*SUMIF(Plan!$A$5:$A$24,$A41,Plan!L$5:L$24))</f>
        <v/>
      </c>
    </row>
    <row r="42">
      <c r="A42" s="29" t="n"/>
      <c r="B42" s="30" t="n"/>
      <c r="C42" s="39">
        <f>IFERROR(INDEX(Materiales!$B$4:$B$18,MATCH($B42,Materiales!$A$4:$A$18,0)),"")</f>
        <v/>
      </c>
      <c r="D42" s="40">
        <f>IFERROR(INDEX(Materiales!$C$4:$C$18,MATCH($B42,Materiales!$A$4:$A$18,0)),"")</f>
        <v/>
      </c>
      <c r="E42" s="33" t="n"/>
      <c r="F42" s="29" t="n"/>
      <c r="G42" s="38">
        <f>IF($B42="",0,$E42*SUMIF(Plan!$A$5:$A$24,$A42,Plan!E$5:E$24))</f>
        <v/>
      </c>
      <c r="H42" s="38">
        <f>IF($B42="",0,$E42*SUMIF(Plan!$A$5:$A$24,$A42,Plan!F$5:F$24))</f>
        <v/>
      </c>
      <c r="I42" s="38">
        <f>IF($B42="",0,$E42*SUMIF(Plan!$A$5:$A$24,$A42,Plan!G$5:G$24))</f>
        <v/>
      </c>
      <c r="J42" s="38">
        <f>IF($B42="",0,$E42*SUMIF(Plan!$A$5:$A$24,$A42,Plan!H$5:H$24))</f>
        <v/>
      </c>
      <c r="K42" s="38">
        <f>IF($B42="",0,$E42*SUMIF(Plan!$A$5:$A$24,$A42,Plan!I$5:I$24))</f>
        <v/>
      </c>
      <c r="L42" s="38">
        <f>IF($B42="",0,$E42*SUMIF(Plan!$A$5:$A$24,$A42,Plan!J$5:J$24))</f>
        <v/>
      </c>
      <c r="M42" s="38">
        <f>IF($B42="",0,$E42*SUMIF(Plan!$A$5:$A$24,$A42,Plan!K$5:K$24))</f>
        <v/>
      </c>
      <c r="N42" s="38">
        <f>IF($B42="",0,$E42*SUMIF(Plan!$A$5:$A$24,$A42,Plan!L$5:L$24))</f>
        <v/>
      </c>
    </row>
    <row r="43">
      <c r="A43" s="29" t="n"/>
      <c r="B43" s="30" t="n"/>
      <c r="C43" s="39">
        <f>IFERROR(INDEX(Materiales!$B$4:$B$18,MATCH($B43,Materiales!$A$4:$A$18,0)),"")</f>
        <v/>
      </c>
      <c r="D43" s="40">
        <f>IFERROR(INDEX(Materiales!$C$4:$C$18,MATCH($B43,Materiales!$A$4:$A$18,0)),"")</f>
        <v/>
      </c>
      <c r="E43" s="33" t="n"/>
      <c r="F43" s="29" t="n"/>
      <c r="G43" s="38">
        <f>IF($B43="",0,$E43*SUMIF(Plan!$A$5:$A$24,$A43,Plan!E$5:E$24))</f>
        <v/>
      </c>
      <c r="H43" s="38">
        <f>IF($B43="",0,$E43*SUMIF(Plan!$A$5:$A$24,$A43,Plan!F$5:F$24))</f>
        <v/>
      </c>
      <c r="I43" s="38">
        <f>IF($B43="",0,$E43*SUMIF(Plan!$A$5:$A$24,$A43,Plan!G$5:G$24))</f>
        <v/>
      </c>
      <c r="J43" s="38">
        <f>IF($B43="",0,$E43*SUMIF(Plan!$A$5:$A$24,$A43,Plan!H$5:H$24))</f>
        <v/>
      </c>
      <c r="K43" s="38">
        <f>IF($B43="",0,$E43*SUMIF(Plan!$A$5:$A$24,$A43,Plan!I$5:I$24))</f>
        <v/>
      </c>
      <c r="L43" s="38">
        <f>IF($B43="",0,$E43*SUMIF(Plan!$A$5:$A$24,$A43,Plan!J$5:J$24))</f>
        <v/>
      </c>
      <c r="M43" s="38">
        <f>IF($B43="",0,$E43*SUMIF(Plan!$A$5:$A$24,$A43,Plan!K$5:K$24))</f>
        <v/>
      </c>
      <c r="N43" s="38">
        <f>IF($B43="",0,$E43*SUMIF(Plan!$A$5:$A$24,$A43,Plan!L$5:L$24))</f>
        <v/>
      </c>
    </row>
    <row r="44">
      <c r="A44" s="29" t="n"/>
      <c r="B44" s="30" t="n"/>
      <c r="C44" s="39">
        <f>IFERROR(INDEX(Materiales!$B$4:$B$18,MATCH($B44,Materiales!$A$4:$A$18,0)),"")</f>
        <v/>
      </c>
      <c r="D44" s="40">
        <f>IFERROR(INDEX(Materiales!$C$4:$C$18,MATCH($B44,Materiales!$A$4:$A$18,0)),"")</f>
        <v/>
      </c>
      <c r="E44" s="33" t="n"/>
      <c r="F44" s="29" t="n"/>
      <c r="G44" s="38">
        <f>IF($B44="",0,$E44*SUMIF(Plan!$A$5:$A$24,$A44,Plan!E$5:E$24))</f>
        <v/>
      </c>
      <c r="H44" s="38">
        <f>IF($B44="",0,$E44*SUMIF(Plan!$A$5:$A$24,$A44,Plan!F$5:F$24))</f>
        <v/>
      </c>
      <c r="I44" s="38">
        <f>IF($B44="",0,$E44*SUMIF(Plan!$A$5:$A$24,$A44,Plan!G$5:G$24))</f>
        <v/>
      </c>
      <c r="J44" s="38">
        <f>IF($B44="",0,$E44*SUMIF(Plan!$A$5:$A$24,$A44,Plan!H$5:H$24))</f>
        <v/>
      </c>
      <c r="K44" s="38">
        <f>IF($B44="",0,$E44*SUMIF(Plan!$A$5:$A$24,$A44,Plan!I$5:I$24))</f>
        <v/>
      </c>
      <c r="L44" s="38">
        <f>IF($B44="",0,$E44*SUMIF(Plan!$A$5:$A$24,$A44,Plan!J$5:J$24))</f>
        <v/>
      </c>
      <c r="M44" s="38">
        <f>IF($B44="",0,$E44*SUMIF(Plan!$A$5:$A$24,$A44,Plan!K$5:K$24))</f>
        <v/>
      </c>
      <c r="N44" s="38">
        <f>IF($B44="",0,$E44*SUMIF(Plan!$A$5:$A$24,$A44,Plan!L$5:L$24))</f>
        <v/>
      </c>
    </row>
    <row r="45">
      <c r="A45" s="29" t="n"/>
      <c r="B45" s="30" t="n"/>
      <c r="C45" s="39">
        <f>IFERROR(INDEX(Materiales!$B$4:$B$18,MATCH($B45,Materiales!$A$4:$A$18,0)),"")</f>
        <v/>
      </c>
      <c r="D45" s="40">
        <f>IFERROR(INDEX(Materiales!$C$4:$C$18,MATCH($B45,Materiales!$A$4:$A$18,0)),"")</f>
        <v/>
      </c>
      <c r="E45" s="33" t="n"/>
      <c r="F45" s="29" t="n"/>
      <c r="G45" s="38">
        <f>IF($B45="",0,$E45*SUMIF(Plan!$A$5:$A$24,$A45,Plan!E$5:E$24))</f>
        <v/>
      </c>
      <c r="H45" s="38">
        <f>IF($B45="",0,$E45*SUMIF(Plan!$A$5:$A$24,$A45,Plan!F$5:F$24))</f>
        <v/>
      </c>
      <c r="I45" s="38">
        <f>IF($B45="",0,$E45*SUMIF(Plan!$A$5:$A$24,$A45,Plan!G$5:G$24))</f>
        <v/>
      </c>
      <c r="J45" s="38">
        <f>IF($B45="",0,$E45*SUMIF(Plan!$A$5:$A$24,$A45,Plan!H$5:H$24))</f>
        <v/>
      </c>
      <c r="K45" s="38">
        <f>IF($B45="",0,$E45*SUMIF(Plan!$A$5:$A$24,$A45,Plan!I$5:I$24))</f>
        <v/>
      </c>
      <c r="L45" s="38">
        <f>IF($B45="",0,$E45*SUMIF(Plan!$A$5:$A$24,$A45,Plan!J$5:J$24))</f>
        <v/>
      </c>
      <c r="M45" s="38">
        <f>IF($B45="",0,$E45*SUMIF(Plan!$A$5:$A$24,$A45,Plan!K$5:K$24))</f>
        <v/>
      </c>
      <c r="N45" s="38">
        <f>IF($B45="",0,$E45*SUMIF(Plan!$A$5:$A$24,$A45,Plan!L$5:L$24))</f>
        <v/>
      </c>
    </row>
    <row r="46">
      <c r="A46" s="29" t="n"/>
      <c r="B46" s="30" t="n"/>
      <c r="C46" s="39">
        <f>IFERROR(INDEX(Materiales!$B$4:$B$18,MATCH($B46,Materiales!$A$4:$A$18,0)),"")</f>
        <v/>
      </c>
      <c r="D46" s="40">
        <f>IFERROR(INDEX(Materiales!$C$4:$C$18,MATCH($B46,Materiales!$A$4:$A$18,0)),"")</f>
        <v/>
      </c>
      <c r="E46" s="33" t="n"/>
      <c r="F46" s="29" t="n"/>
      <c r="G46" s="38">
        <f>IF($B46="",0,$E46*SUMIF(Plan!$A$5:$A$24,$A46,Plan!E$5:E$24))</f>
        <v/>
      </c>
      <c r="H46" s="38">
        <f>IF($B46="",0,$E46*SUMIF(Plan!$A$5:$A$24,$A46,Plan!F$5:F$24))</f>
        <v/>
      </c>
      <c r="I46" s="38">
        <f>IF($B46="",0,$E46*SUMIF(Plan!$A$5:$A$24,$A46,Plan!G$5:G$24))</f>
        <v/>
      </c>
      <c r="J46" s="38">
        <f>IF($B46="",0,$E46*SUMIF(Plan!$A$5:$A$24,$A46,Plan!H$5:H$24))</f>
        <v/>
      </c>
      <c r="K46" s="38">
        <f>IF($B46="",0,$E46*SUMIF(Plan!$A$5:$A$24,$A46,Plan!I$5:I$24))</f>
        <v/>
      </c>
      <c r="L46" s="38">
        <f>IF($B46="",0,$E46*SUMIF(Plan!$A$5:$A$24,$A46,Plan!J$5:J$24))</f>
        <v/>
      </c>
      <c r="M46" s="38">
        <f>IF($B46="",0,$E46*SUMIF(Plan!$A$5:$A$24,$A46,Plan!K$5:K$24))</f>
        <v/>
      </c>
      <c r="N46" s="38">
        <f>IF($B46="",0,$E46*SUMIF(Plan!$A$5:$A$24,$A46,Plan!L$5:L$24))</f>
        <v/>
      </c>
    </row>
    <row r="47">
      <c r="A47" s="29" t="n"/>
      <c r="B47" s="30" t="n"/>
      <c r="C47" s="39">
        <f>IFERROR(INDEX(Materiales!$B$4:$B$18,MATCH($B47,Materiales!$A$4:$A$18,0)),"")</f>
        <v/>
      </c>
      <c r="D47" s="40">
        <f>IFERROR(INDEX(Materiales!$C$4:$C$18,MATCH($B47,Materiales!$A$4:$A$18,0)),"")</f>
        <v/>
      </c>
      <c r="E47" s="33" t="n"/>
      <c r="F47" s="29" t="n"/>
      <c r="G47" s="38">
        <f>IF($B47="",0,$E47*SUMIF(Plan!$A$5:$A$24,$A47,Plan!E$5:E$24))</f>
        <v/>
      </c>
      <c r="H47" s="38">
        <f>IF($B47="",0,$E47*SUMIF(Plan!$A$5:$A$24,$A47,Plan!F$5:F$24))</f>
        <v/>
      </c>
      <c r="I47" s="38">
        <f>IF($B47="",0,$E47*SUMIF(Plan!$A$5:$A$24,$A47,Plan!G$5:G$24))</f>
        <v/>
      </c>
      <c r="J47" s="38">
        <f>IF($B47="",0,$E47*SUMIF(Plan!$A$5:$A$24,$A47,Plan!H$5:H$24))</f>
        <v/>
      </c>
      <c r="K47" s="38">
        <f>IF($B47="",0,$E47*SUMIF(Plan!$A$5:$A$24,$A47,Plan!I$5:I$24))</f>
        <v/>
      </c>
      <c r="L47" s="38">
        <f>IF($B47="",0,$E47*SUMIF(Plan!$A$5:$A$24,$A47,Plan!J$5:J$24))</f>
        <v/>
      </c>
      <c r="M47" s="38">
        <f>IF($B47="",0,$E47*SUMIF(Plan!$A$5:$A$24,$A47,Plan!K$5:K$24))</f>
        <v/>
      </c>
      <c r="N47" s="38">
        <f>IF($B47="",0,$E47*SUMIF(Plan!$A$5:$A$24,$A47,Plan!L$5:L$24))</f>
        <v/>
      </c>
    </row>
    <row r="48">
      <c r="A48" s="29" t="n"/>
      <c r="B48" s="30" t="n"/>
      <c r="C48" s="39">
        <f>IFERROR(INDEX(Materiales!$B$4:$B$18,MATCH($B48,Materiales!$A$4:$A$18,0)),"")</f>
        <v/>
      </c>
      <c r="D48" s="40">
        <f>IFERROR(INDEX(Materiales!$C$4:$C$18,MATCH($B48,Materiales!$A$4:$A$18,0)),"")</f>
        <v/>
      </c>
      <c r="E48" s="33" t="n"/>
      <c r="F48" s="29" t="n"/>
      <c r="G48" s="38">
        <f>IF($B48="",0,$E48*SUMIF(Plan!$A$5:$A$24,$A48,Plan!E$5:E$24))</f>
        <v/>
      </c>
      <c r="H48" s="38">
        <f>IF($B48="",0,$E48*SUMIF(Plan!$A$5:$A$24,$A48,Plan!F$5:F$24))</f>
        <v/>
      </c>
      <c r="I48" s="38">
        <f>IF($B48="",0,$E48*SUMIF(Plan!$A$5:$A$24,$A48,Plan!G$5:G$24))</f>
        <v/>
      </c>
      <c r="J48" s="38">
        <f>IF($B48="",0,$E48*SUMIF(Plan!$A$5:$A$24,$A48,Plan!H$5:H$24))</f>
        <v/>
      </c>
      <c r="K48" s="38">
        <f>IF($B48="",0,$E48*SUMIF(Plan!$A$5:$A$24,$A48,Plan!I$5:I$24))</f>
        <v/>
      </c>
      <c r="L48" s="38">
        <f>IF($B48="",0,$E48*SUMIF(Plan!$A$5:$A$24,$A48,Plan!J$5:J$24))</f>
        <v/>
      </c>
      <c r="M48" s="38">
        <f>IF($B48="",0,$E48*SUMIF(Plan!$A$5:$A$24,$A48,Plan!K$5:K$24))</f>
        <v/>
      </c>
      <c r="N48" s="38">
        <f>IF($B48="",0,$E48*SUMIF(Plan!$A$5:$A$24,$A48,Plan!L$5:L$24))</f>
        <v/>
      </c>
    </row>
    <row r="49">
      <c r="A49" s="29" t="n"/>
      <c r="B49" s="30" t="n"/>
      <c r="C49" s="39">
        <f>IFERROR(INDEX(Materiales!$B$4:$B$18,MATCH($B49,Materiales!$A$4:$A$18,0)),"")</f>
        <v/>
      </c>
      <c r="D49" s="40">
        <f>IFERROR(INDEX(Materiales!$C$4:$C$18,MATCH($B49,Materiales!$A$4:$A$18,0)),"")</f>
        <v/>
      </c>
      <c r="E49" s="33" t="n"/>
      <c r="F49" s="29" t="n"/>
      <c r="G49" s="38">
        <f>IF($B49="",0,$E49*SUMIF(Plan!$A$5:$A$24,$A49,Plan!E$5:E$24))</f>
        <v/>
      </c>
      <c r="H49" s="38">
        <f>IF($B49="",0,$E49*SUMIF(Plan!$A$5:$A$24,$A49,Plan!F$5:F$24))</f>
        <v/>
      </c>
      <c r="I49" s="38">
        <f>IF($B49="",0,$E49*SUMIF(Plan!$A$5:$A$24,$A49,Plan!G$5:G$24))</f>
        <v/>
      </c>
      <c r="J49" s="38">
        <f>IF($B49="",0,$E49*SUMIF(Plan!$A$5:$A$24,$A49,Plan!H$5:H$24))</f>
        <v/>
      </c>
      <c r="K49" s="38">
        <f>IF($B49="",0,$E49*SUMIF(Plan!$A$5:$A$24,$A49,Plan!I$5:I$24))</f>
        <v/>
      </c>
      <c r="L49" s="38">
        <f>IF($B49="",0,$E49*SUMIF(Plan!$A$5:$A$24,$A49,Plan!J$5:J$24))</f>
        <v/>
      </c>
      <c r="M49" s="38">
        <f>IF($B49="",0,$E49*SUMIF(Plan!$A$5:$A$24,$A49,Plan!K$5:K$24))</f>
        <v/>
      </c>
      <c r="N49" s="38">
        <f>IF($B49="",0,$E49*SUMIF(Plan!$A$5:$A$24,$A49,Plan!L$5:L$24))</f>
        <v/>
      </c>
    </row>
    <row r="50">
      <c r="A50" s="29" t="n"/>
      <c r="B50" s="30" t="n"/>
      <c r="C50" s="39">
        <f>IFERROR(INDEX(Materiales!$B$4:$B$18,MATCH($B50,Materiales!$A$4:$A$18,0)),"")</f>
        <v/>
      </c>
      <c r="D50" s="40">
        <f>IFERROR(INDEX(Materiales!$C$4:$C$18,MATCH($B50,Materiales!$A$4:$A$18,0)),"")</f>
        <v/>
      </c>
      <c r="E50" s="33" t="n"/>
      <c r="F50" s="29" t="n"/>
      <c r="G50" s="38">
        <f>IF($B50="",0,$E50*SUMIF(Plan!$A$5:$A$24,$A50,Plan!E$5:E$24))</f>
        <v/>
      </c>
      <c r="H50" s="38">
        <f>IF($B50="",0,$E50*SUMIF(Plan!$A$5:$A$24,$A50,Plan!F$5:F$24))</f>
        <v/>
      </c>
      <c r="I50" s="38">
        <f>IF($B50="",0,$E50*SUMIF(Plan!$A$5:$A$24,$A50,Plan!G$5:G$24))</f>
        <v/>
      </c>
      <c r="J50" s="38">
        <f>IF($B50="",0,$E50*SUMIF(Plan!$A$5:$A$24,$A50,Plan!H$5:H$24))</f>
        <v/>
      </c>
      <c r="K50" s="38">
        <f>IF($B50="",0,$E50*SUMIF(Plan!$A$5:$A$24,$A50,Plan!I$5:I$24))</f>
        <v/>
      </c>
      <c r="L50" s="38">
        <f>IF($B50="",0,$E50*SUMIF(Plan!$A$5:$A$24,$A50,Plan!J$5:J$24))</f>
        <v/>
      </c>
      <c r="M50" s="38">
        <f>IF($B50="",0,$E50*SUMIF(Plan!$A$5:$A$24,$A50,Plan!K$5:K$24))</f>
        <v/>
      </c>
      <c r="N50" s="38">
        <f>IF($B50="",0,$E50*SUMIF(Plan!$A$5:$A$24,$A50,Plan!L$5:L$24))</f>
        <v/>
      </c>
    </row>
    <row r="51">
      <c r="A51" s="29" t="n"/>
      <c r="B51" s="30" t="n"/>
      <c r="C51" s="39">
        <f>IFERROR(INDEX(Materiales!$B$4:$B$18,MATCH($B51,Materiales!$A$4:$A$18,0)),"")</f>
        <v/>
      </c>
      <c r="D51" s="40">
        <f>IFERROR(INDEX(Materiales!$C$4:$C$18,MATCH($B51,Materiales!$A$4:$A$18,0)),"")</f>
        <v/>
      </c>
      <c r="E51" s="33" t="n"/>
      <c r="F51" s="29" t="n"/>
      <c r="G51" s="38">
        <f>IF($B51="",0,$E51*SUMIF(Plan!$A$5:$A$24,$A51,Plan!E$5:E$24))</f>
        <v/>
      </c>
      <c r="H51" s="38">
        <f>IF($B51="",0,$E51*SUMIF(Plan!$A$5:$A$24,$A51,Plan!F$5:F$24))</f>
        <v/>
      </c>
      <c r="I51" s="38">
        <f>IF($B51="",0,$E51*SUMIF(Plan!$A$5:$A$24,$A51,Plan!G$5:G$24))</f>
        <v/>
      </c>
      <c r="J51" s="38">
        <f>IF($B51="",0,$E51*SUMIF(Plan!$A$5:$A$24,$A51,Plan!H$5:H$24))</f>
        <v/>
      </c>
      <c r="K51" s="38">
        <f>IF($B51="",0,$E51*SUMIF(Plan!$A$5:$A$24,$A51,Plan!I$5:I$24))</f>
        <v/>
      </c>
      <c r="L51" s="38">
        <f>IF($B51="",0,$E51*SUMIF(Plan!$A$5:$A$24,$A51,Plan!J$5:J$24))</f>
        <v/>
      </c>
      <c r="M51" s="38">
        <f>IF($B51="",0,$E51*SUMIF(Plan!$A$5:$A$24,$A51,Plan!K$5:K$24))</f>
        <v/>
      </c>
      <c r="N51" s="38">
        <f>IF($B51="",0,$E51*SUMIF(Plan!$A$5:$A$24,$A51,Plan!L$5:L$24))</f>
        <v/>
      </c>
    </row>
    <row r="52">
      <c r="A52" s="29" t="n"/>
      <c r="B52" s="30" t="n"/>
      <c r="C52" s="39">
        <f>IFERROR(INDEX(Materiales!$B$4:$B$18,MATCH($B52,Materiales!$A$4:$A$18,0)),"")</f>
        <v/>
      </c>
      <c r="D52" s="40">
        <f>IFERROR(INDEX(Materiales!$C$4:$C$18,MATCH($B52,Materiales!$A$4:$A$18,0)),"")</f>
        <v/>
      </c>
      <c r="E52" s="33" t="n"/>
      <c r="F52" s="29" t="n"/>
      <c r="G52" s="38">
        <f>IF($B52="",0,$E52*SUMIF(Plan!$A$5:$A$24,$A52,Plan!E$5:E$24))</f>
        <v/>
      </c>
      <c r="H52" s="38">
        <f>IF($B52="",0,$E52*SUMIF(Plan!$A$5:$A$24,$A52,Plan!F$5:F$24))</f>
        <v/>
      </c>
      <c r="I52" s="38">
        <f>IF($B52="",0,$E52*SUMIF(Plan!$A$5:$A$24,$A52,Plan!G$5:G$24))</f>
        <v/>
      </c>
      <c r="J52" s="38">
        <f>IF($B52="",0,$E52*SUMIF(Plan!$A$5:$A$24,$A52,Plan!H$5:H$24))</f>
        <v/>
      </c>
      <c r="K52" s="38">
        <f>IF($B52="",0,$E52*SUMIF(Plan!$A$5:$A$24,$A52,Plan!I$5:I$24))</f>
        <v/>
      </c>
      <c r="L52" s="38">
        <f>IF($B52="",0,$E52*SUMIF(Plan!$A$5:$A$24,$A52,Plan!J$5:J$24))</f>
        <v/>
      </c>
      <c r="M52" s="38">
        <f>IF($B52="",0,$E52*SUMIF(Plan!$A$5:$A$24,$A52,Plan!K$5:K$24))</f>
        <v/>
      </c>
      <c r="N52" s="38">
        <f>IF($B52="",0,$E52*SUMIF(Plan!$A$5:$A$24,$A52,Plan!L$5:L$24))</f>
        <v/>
      </c>
    </row>
    <row r="53">
      <c r="A53" s="29" t="n"/>
      <c r="B53" s="30" t="n"/>
      <c r="C53" s="39">
        <f>IFERROR(INDEX(Materiales!$B$4:$B$18,MATCH($B53,Materiales!$A$4:$A$18,0)),"")</f>
        <v/>
      </c>
      <c r="D53" s="40">
        <f>IFERROR(INDEX(Materiales!$C$4:$C$18,MATCH($B53,Materiales!$A$4:$A$18,0)),"")</f>
        <v/>
      </c>
      <c r="E53" s="33" t="n"/>
      <c r="F53" s="29" t="n"/>
      <c r="G53" s="38">
        <f>IF($B53="",0,$E53*SUMIF(Plan!$A$5:$A$24,$A53,Plan!E$5:E$24))</f>
        <v/>
      </c>
      <c r="H53" s="38">
        <f>IF($B53="",0,$E53*SUMIF(Plan!$A$5:$A$24,$A53,Plan!F$5:F$24))</f>
        <v/>
      </c>
      <c r="I53" s="38">
        <f>IF($B53="",0,$E53*SUMIF(Plan!$A$5:$A$24,$A53,Plan!G$5:G$24))</f>
        <v/>
      </c>
      <c r="J53" s="38">
        <f>IF($B53="",0,$E53*SUMIF(Plan!$A$5:$A$24,$A53,Plan!H$5:H$24))</f>
        <v/>
      </c>
      <c r="K53" s="38">
        <f>IF($B53="",0,$E53*SUMIF(Plan!$A$5:$A$24,$A53,Plan!I$5:I$24))</f>
        <v/>
      </c>
      <c r="L53" s="38">
        <f>IF($B53="",0,$E53*SUMIF(Plan!$A$5:$A$24,$A53,Plan!J$5:J$24))</f>
        <v/>
      </c>
      <c r="M53" s="38">
        <f>IF($B53="",0,$E53*SUMIF(Plan!$A$5:$A$24,$A53,Plan!K$5:K$24))</f>
        <v/>
      </c>
      <c r="N53" s="38">
        <f>IF($B53="",0,$E53*SUMIF(Plan!$A$5:$A$24,$A53,Plan!L$5:L$24))</f>
        <v/>
      </c>
    </row>
    <row r="54">
      <c r="A54" s="29" t="n"/>
      <c r="B54" s="30" t="n"/>
      <c r="C54" s="39">
        <f>IFERROR(INDEX(Materiales!$B$4:$B$18,MATCH($B54,Materiales!$A$4:$A$18,0)),"")</f>
        <v/>
      </c>
      <c r="D54" s="40">
        <f>IFERROR(INDEX(Materiales!$C$4:$C$18,MATCH($B54,Materiales!$A$4:$A$18,0)),"")</f>
        <v/>
      </c>
      <c r="E54" s="33" t="n"/>
      <c r="F54" s="29" t="n"/>
      <c r="G54" s="38">
        <f>IF($B54="",0,$E54*SUMIF(Plan!$A$5:$A$24,$A54,Plan!E$5:E$24))</f>
        <v/>
      </c>
      <c r="H54" s="38">
        <f>IF($B54="",0,$E54*SUMIF(Plan!$A$5:$A$24,$A54,Plan!F$5:F$24))</f>
        <v/>
      </c>
      <c r="I54" s="38">
        <f>IF($B54="",0,$E54*SUMIF(Plan!$A$5:$A$24,$A54,Plan!G$5:G$24))</f>
        <v/>
      </c>
      <c r="J54" s="38">
        <f>IF($B54="",0,$E54*SUMIF(Plan!$A$5:$A$24,$A54,Plan!H$5:H$24))</f>
        <v/>
      </c>
      <c r="K54" s="38">
        <f>IF($B54="",0,$E54*SUMIF(Plan!$A$5:$A$24,$A54,Plan!I$5:I$24))</f>
        <v/>
      </c>
      <c r="L54" s="38">
        <f>IF($B54="",0,$E54*SUMIF(Plan!$A$5:$A$24,$A54,Plan!J$5:J$24))</f>
        <v/>
      </c>
      <c r="M54" s="38">
        <f>IF($B54="",0,$E54*SUMIF(Plan!$A$5:$A$24,$A54,Plan!K$5:K$24))</f>
        <v/>
      </c>
      <c r="N54" s="38">
        <f>IF($B54="",0,$E54*SUMIF(Plan!$A$5:$A$24,$A54,Plan!L$5:L$24))</f>
        <v/>
      </c>
    </row>
    <row r="55">
      <c r="A55" s="29" t="n"/>
      <c r="B55" s="30" t="n"/>
      <c r="C55" s="39">
        <f>IFERROR(INDEX(Materiales!$B$4:$B$18,MATCH($B55,Materiales!$A$4:$A$18,0)),"")</f>
        <v/>
      </c>
      <c r="D55" s="40">
        <f>IFERROR(INDEX(Materiales!$C$4:$C$18,MATCH($B55,Materiales!$A$4:$A$18,0)),"")</f>
        <v/>
      </c>
      <c r="E55" s="33" t="n"/>
      <c r="F55" s="29" t="n"/>
      <c r="G55" s="38">
        <f>IF($B55="",0,$E55*SUMIF(Plan!$A$5:$A$24,$A55,Plan!E$5:E$24))</f>
        <v/>
      </c>
      <c r="H55" s="38">
        <f>IF($B55="",0,$E55*SUMIF(Plan!$A$5:$A$24,$A55,Plan!F$5:F$24))</f>
        <v/>
      </c>
      <c r="I55" s="38">
        <f>IF($B55="",0,$E55*SUMIF(Plan!$A$5:$A$24,$A55,Plan!G$5:G$24))</f>
        <v/>
      </c>
      <c r="J55" s="38">
        <f>IF($B55="",0,$E55*SUMIF(Plan!$A$5:$A$24,$A55,Plan!H$5:H$24))</f>
        <v/>
      </c>
      <c r="K55" s="38">
        <f>IF($B55="",0,$E55*SUMIF(Plan!$A$5:$A$24,$A55,Plan!I$5:I$24))</f>
        <v/>
      </c>
      <c r="L55" s="38">
        <f>IF($B55="",0,$E55*SUMIF(Plan!$A$5:$A$24,$A55,Plan!J$5:J$24))</f>
        <v/>
      </c>
      <c r="M55" s="38">
        <f>IF($B55="",0,$E55*SUMIF(Plan!$A$5:$A$24,$A55,Plan!K$5:K$24))</f>
        <v/>
      </c>
      <c r="N55" s="38">
        <f>IF($B55="",0,$E55*SUMIF(Plan!$A$5:$A$24,$A55,Plan!L$5:L$24))</f>
        <v/>
      </c>
    </row>
    <row r="56">
      <c r="A56" s="29" t="n"/>
      <c r="B56" s="30" t="n"/>
      <c r="C56" s="39">
        <f>IFERROR(INDEX(Materiales!$B$4:$B$18,MATCH($B56,Materiales!$A$4:$A$18,0)),"")</f>
        <v/>
      </c>
      <c r="D56" s="40">
        <f>IFERROR(INDEX(Materiales!$C$4:$C$18,MATCH($B56,Materiales!$A$4:$A$18,0)),"")</f>
        <v/>
      </c>
      <c r="E56" s="33" t="n"/>
      <c r="F56" s="29" t="n"/>
      <c r="G56" s="38">
        <f>IF($B56="",0,$E56*SUMIF(Plan!$A$5:$A$24,$A56,Plan!E$5:E$24))</f>
        <v/>
      </c>
      <c r="H56" s="38">
        <f>IF($B56="",0,$E56*SUMIF(Plan!$A$5:$A$24,$A56,Plan!F$5:F$24))</f>
        <v/>
      </c>
      <c r="I56" s="38">
        <f>IF($B56="",0,$E56*SUMIF(Plan!$A$5:$A$24,$A56,Plan!G$5:G$24))</f>
        <v/>
      </c>
      <c r="J56" s="38">
        <f>IF($B56="",0,$E56*SUMIF(Plan!$A$5:$A$24,$A56,Plan!H$5:H$24))</f>
        <v/>
      </c>
      <c r="K56" s="38">
        <f>IF($B56="",0,$E56*SUMIF(Plan!$A$5:$A$24,$A56,Plan!I$5:I$24))</f>
        <v/>
      </c>
      <c r="L56" s="38">
        <f>IF($B56="",0,$E56*SUMIF(Plan!$A$5:$A$24,$A56,Plan!J$5:J$24))</f>
        <v/>
      </c>
      <c r="M56" s="38">
        <f>IF($B56="",0,$E56*SUMIF(Plan!$A$5:$A$24,$A56,Plan!K$5:K$24))</f>
        <v/>
      </c>
      <c r="N56" s="38">
        <f>IF($B56="",0,$E56*SUMIF(Plan!$A$5:$A$24,$A56,Plan!L$5:L$24))</f>
        <v/>
      </c>
    </row>
    <row r="57">
      <c r="A57" s="29" t="n"/>
      <c r="B57" s="30" t="n"/>
      <c r="C57" s="39">
        <f>IFERROR(INDEX(Materiales!$B$4:$B$18,MATCH($B57,Materiales!$A$4:$A$18,0)),"")</f>
        <v/>
      </c>
      <c r="D57" s="40">
        <f>IFERROR(INDEX(Materiales!$C$4:$C$18,MATCH($B57,Materiales!$A$4:$A$18,0)),"")</f>
        <v/>
      </c>
      <c r="E57" s="33" t="n"/>
      <c r="F57" s="29" t="n"/>
      <c r="G57" s="38">
        <f>IF($B57="",0,$E57*SUMIF(Plan!$A$5:$A$24,$A57,Plan!E$5:E$24))</f>
        <v/>
      </c>
      <c r="H57" s="38">
        <f>IF($B57="",0,$E57*SUMIF(Plan!$A$5:$A$24,$A57,Plan!F$5:F$24))</f>
        <v/>
      </c>
      <c r="I57" s="38">
        <f>IF($B57="",0,$E57*SUMIF(Plan!$A$5:$A$24,$A57,Plan!G$5:G$24))</f>
        <v/>
      </c>
      <c r="J57" s="38">
        <f>IF($B57="",0,$E57*SUMIF(Plan!$A$5:$A$24,$A57,Plan!H$5:H$24))</f>
        <v/>
      </c>
      <c r="K57" s="38">
        <f>IF($B57="",0,$E57*SUMIF(Plan!$A$5:$A$24,$A57,Plan!I$5:I$24))</f>
        <v/>
      </c>
      <c r="L57" s="38">
        <f>IF($B57="",0,$E57*SUMIF(Plan!$A$5:$A$24,$A57,Plan!J$5:J$24))</f>
        <v/>
      </c>
      <c r="M57" s="38">
        <f>IF($B57="",0,$E57*SUMIF(Plan!$A$5:$A$24,$A57,Plan!K$5:K$24))</f>
        <v/>
      </c>
      <c r="N57" s="38">
        <f>IF($B57="",0,$E57*SUMIF(Plan!$A$5:$A$24,$A57,Plan!L$5:L$24))</f>
        <v/>
      </c>
    </row>
    <row r="58">
      <c r="A58" s="29" t="n"/>
      <c r="B58" s="30" t="n"/>
      <c r="C58" s="39">
        <f>IFERROR(INDEX(Materiales!$B$4:$B$18,MATCH($B58,Materiales!$A$4:$A$18,0)),"")</f>
        <v/>
      </c>
      <c r="D58" s="40">
        <f>IFERROR(INDEX(Materiales!$C$4:$C$18,MATCH($B58,Materiales!$A$4:$A$18,0)),"")</f>
        <v/>
      </c>
      <c r="E58" s="33" t="n"/>
      <c r="F58" s="29" t="n"/>
      <c r="G58" s="38">
        <f>IF($B58="",0,$E58*SUMIF(Plan!$A$5:$A$24,$A58,Plan!E$5:E$24))</f>
        <v/>
      </c>
      <c r="H58" s="38">
        <f>IF($B58="",0,$E58*SUMIF(Plan!$A$5:$A$24,$A58,Plan!F$5:F$24))</f>
        <v/>
      </c>
      <c r="I58" s="38">
        <f>IF($B58="",0,$E58*SUMIF(Plan!$A$5:$A$24,$A58,Plan!G$5:G$24))</f>
        <v/>
      </c>
      <c r="J58" s="38">
        <f>IF($B58="",0,$E58*SUMIF(Plan!$A$5:$A$24,$A58,Plan!H$5:H$24))</f>
        <v/>
      </c>
      <c r="K58" s="38">
        <f>IF($B58="",0,$E58*SUMIF(Plan!$A$5:$A$24,$A58,Plan!I$5:I$24))</f>
        <v/>
      </c>
      <c r="L58" s="38">
        <f>IF($B58="",0,$E58*SUMIF(Plan!$A$5:$A$24,$A58,Plan!J$5:J$24))</f>
        <v/>
      </c>
      <c r="M58" s="38">
        <f>IF($B58="",0,$E58*SUMIF(Plan!$A$5:$A$24,$A58,Plan!K$5:K$24))</f>
        <v/>
      </c>
      <c r="N58" s="38">
        <f>IF($B58="",0,$E58*SUMIF(Plan!$A$5:$A$24,$A58,Plan!L$5:L$24))</f>
        <v/>
      </c>
    </row>
    <row r="59">
      <c r="A59" s="29" t="n"/>
      <c r="B59" s="30" t="n"/>
      <c r="C59" s="39">
        <f>IFERROR(INDEX(Materiales!$B$4:$B$18,MATCH($B59,Materiales!$A$4:$A$18,0)),"")</f>
        <v/>
      </c>
      <c r="D59" s="40">
        <f>IFERROR(INDEX(Materiales!$C$4:$C$18,MATCH($B59,Materiales!$A$4:$A$18,0)),"")</f>
        <v/>
      </c>
      <c r="E59" s="33" t="n"/>
      <c r="F59" s="29" t="n"/>
      <c r="G59" s="38">
        <f>IF($B59="",0,$E59*SUMIF(Plan!$A$5:$A$24,$A59,Plan!E$5:E$24))</f>
        <v/>
      </c>
      <c r="H59" s="38">
        <f>IF($B59="",0,$E59*SUMIF(Plan!$A$5:$A$24,$A59,Plan!F$5:F$24))</f>
        <v/>
      </c>
      <c r="I59" s="38">
        <f>IF($B59="",0,$E59*SUMIF(Plan!$A$5:$A$24,$A59,Plan!G$5:G$24))</f>
        <v/>
      </c>
      <c r="J59" s="38">
        <f>IF($B59="",0,$E59*SUMIF(Plan!$A$5:$A$24,$A59,Plan!H$5:H$24))</f>
        <v/>
      </c>
      <c r="K59" s="38">
        <f>IF($B59="",0,$E59*SUMIF(Plan!$A$5:$A$24,$A59,Plan!I$5:I$24))</f>
        <v/>
      </c>
      <c r="L59" s="38">
        <f>IF($B59="",0,$E59*SUMIF(Plan!$A$5:$A$24,$A59,Plan!J$5:J$24))</f>
        <v/>
      </c>
      <c r="M59" s="38">
        <f>IF($B59="",0,$E59*SUMIF(Plan!$A$5:$A$24,$A59,Plan!K$5:K$24))</f>
        <v/>
      </c>
      <c r="N59" s="38">
        <f>IF($B59="",0,$E59*SUMIF(Plan!$A$5:$A$24,$A59,Plan!L$5:L$24))</f>
        <v/>
      </c>
    </row>
    <row r="60">
      <c r="A60" s="29" t="n"/>
      <c r="B60" s="30" t="n"/>
      <c r="C60" s="39">
        <f>IFERROR(INDEX(Materiales!$B$4:$B$18,MATCH($B60,Materiales!$A$4:$A$18,0)),"")</f>
        <v/>
      </c>
      <c r="D60" s="40">
        <f>IFERROR(INDEX(Materiales!$C$4:$C$18,MATCH($B60,Materiales!$A$4:$A$18,0)),"")</f>
        <v/>
      </c>
      <c r="E60" s="33" t="n"/>
      <c r="F60" s="29" t="n"/>
      <c r="G60" s="38">
        <f>IF($B60="",0,$E60*SUMIF(Plan!$A$5:$A$24,$A60,Plan!E$5:E$24))</f>
        <v/>
      </c>
      <c r="H60" s="38">
        <f>IF($B60="",0,$E60*SUMIF(Plan!$A$5:$A$24,$A60,Plan!F$5:F$24))</f>
        <v/>
      </c>
      <c r="I60" s="38">
        <f>IF($B60="",0,$E60*SUMIF(Plan!$A$5:$A$24,$A60,Plan!G$5:G$24))</f>
        <v/>
      </c>
      <c r="J60" s="38">
        <f>IF($B60="",0,$E60*SUMIF(Plan!$A$5:$A$24,$A60,Plan!H$5:H$24))</f>
        <v/>
      </c>
      <c r="K60" s="38">
        <f>IF($B60="",0,$E60*SUMIF(Plan!$A$5:$A$24,$A60,Plan!I$5:I$24))</f>
        <v/>
      </c>
      <c r="L60" s="38">
        <f>IF($B60="",0,$E60*SUMIF(Plan!$A$5:$A$24,$A60,Plan!J$5:J$24))</f>
        <v/>
      </c>
      <c r="M60" s="38">
        <f>IF($B60="",0,$E60*SUMIF(Plan!$A$5:$A$24,$A60,Plan!K$5:K$24))</f>
        <v/>
      </c>
      <c r="N60" s="38">
        <f>IF($B60="",0,$E60*SUMIF(Plan!$A$5:$A$24,$A60,Plan!L$5:L$24))</f>
        <v/>
      </c>
    </row>
    <row r="61">
      <c r="A61" s="29" t="n"/>
      <c r="B61" s="30" t="n"/>
      <c r="C61" s="39">
        <f>IFERROR(INDEX(Materiales!$B$4:$B$18,MATCH($B61,Materiales!$A$4:$A$18,0)),"")</f>
        <v/>
      </c>
      <c r="D61" s="40">
        <f>IFERROR(INDEX(Materiales!$C$4:$C$18,MATCH($B61,Materiales!$A$4:$A$18,0)),"")</f>
        <v/>
      </c>
      <c r="E61" s="33" t="n"/>
      <c r="F61" s="29" t="n"/>
      <c r="G61" s="38">
        <f>IF($B61="",0,$E61*SUMIF(Plan!$A$5:$A$24,$A61,Plan!E$5:E$24))</f>
        <v/>
      </c>
      <c r="H61" s="38">
        <f>IF($B61="",0,$E61*SUMIF(Plan!$A$5:$A$24,$A61,Plan!F$5:F$24))</f>
        <v/>
      </c>
      <c r="I61" s="38">
        <f>IF($B61="",0,$E61*SUMIF(Plan!$A$5:$A$24,$A61,Plan!G$5:G$24))</f>
        <v/>
      </c>
      <c r="J61" s="38">
        <f>IF($B61="",0,$E61*SUMIF(Plan!$A$5:$A$24,$A61,Plan!H$5:H$24))</f>
        <v/>
      </c>
      <c r="K61" s="38">
        <f>IF($B61="",0,$E61*SUMIF(Plan!$A$5:$A$24,$A61,Plan!I$5:I$24))</f>
        <v/>
      </c>
      <c r="L61" s="38">
        <f>IF($B61="",0,$E61*SUMIF(Plan!$A$5:$A$24,$A61,Plan!J$5:J$24))</f>
        <v/>
      </c>
      <c r="M61" s="38">
        <f>IF($B61="",0,$E61*SUMIF(Plan!$A$5:$A$24,$A61,Plan!K$5:K$24))</f>
        <v/>
      </c>
      <c r="N61" s="38">
        <f>IF($B61="",0,$E61*SUMIF(Plan!$A$5:$A$24,$A61,Plan!L$5:L$24))</f>
        <v/>
      </c>
    </row>
    <row r="62">
      <c r="A62" s="29" t="n"/>
      <c r="B62" s="30" t="n"/>
      <c r="C62" s="39">
        <f>IFERROR(INDEX(Materiales!$B$4:$B$18,MATCH($B62,Materiales!$A$4:$A$18,0)),"")</f>
        <v/>
      </c>
      <c r="D62" s="40">
        <f>IFERROR(INDEX(Materiales!$C$4:$C$18,MATCH($B62,Materiales!$A$4:$A$18,0)),"")</f>
        <v/>
      </c>
      <c r="E62" s="33" t="n"/>
      <c r="F62" s="29" t="n"/>
      <c r="G62" s="38">
        <f>IF($B62="",0,$E62*SUMIF(Plan!$A$5:$A$24,$A62,Plan!E$5:E$24))</f>
        <v/>
      </c>
      <c r="H62" s="38">
        <f>IF($B62="",0,$E62*SUMIF(Plan!$A$5:$A$24,$A62,Plan!F$5:F$24))</f>
        <v/>
      </c>
      <c r="I62" s="38">
        <f>IF($B62="",0,$E62*SUMIF(Plan!$A$5:$A$24,$A62,Plan!G$5:G$24))</f>
        <v/>
      </c>
      <c r="J62" s="38">
        <f>IF($B62="",0,$E62*SUMIF(Plan!$A$5:$A$24,$A62,Plan!H$5:H$24))</f>
        <v/>
      </c>
      <c r="K62" s="38">
        <f>IF($B62="",0,$E62*SUMIF(Plan!$A$5:$A$24,$A62,Plan!I$5:I$24))</f>
        <v/>
      </c>
      <c r="L62" s="38">
        <f>IF($B62="",0,$E62*SUMIF(Plan!$A$5:$A$24,$A62,Plan!J$5:J$24))</f>
        <v/>
      </c>
      <c r="M62" s="38">
        <f>IF($B62="",0,$E62*SUMIF(Plan!$A$5:$A$24,$A62,Plan!K$5:K$24))</f>
        <v/>
      </c>
      <c r="N62" s="38">
        <f>IF($B62="",0,$E62*SUMIF(Plan!$A$5:$A$24,$A62,Plan!L$5:L$24))</f>
        <v/>
      </c>
    </row>
    <row r="63">
      <c r="A63" s="29" t="n"/>
      <c r="B63" s="30" t="n"/>
      <c r="C63" s="39">
        <f>IFERROR(INDEX(Materiales!$B$4:$B$18,MATCH($B63,Materiales!$A$4:$A$18,0)),"")</f>
        <v/>
      </c>
      <c r="D63" s="40">
        <f>IFERROR(INDEX(Materiales!$C$4:$C$18,MATCH($B63,Materiales!$A$4:$A$18,0)),"")</f>
        <v/>
      </c>
      <c r="E63" s="33" t="n"/>
      <c r="F63" s="29" t="n"/>
      <c r="G63" s="38">
        <f>IF($B63="",0,$E63*SUMIF(Plan!$A$5:$A$24,$A63,Plan!E$5:E$24))</f>
        <v/>
      </c>
      <c r="H63" s="38">
        <f>IF($B63="",0,$E63*SUMIF(Plan!$A$5:$A$24,$A63,Plan!F$5:F$24))</f>
        <v/>
      </c>
      <c r="I63" s="38">
        <f>IF($B63="",0,$E63*SUMIF(Plan!$A$5:$A$24,$A63,Plan!G$5:G$24))</f>
        <v/>
      </c>
      <c r="J63" s="38">
        <f>IF($B63="",0,$E63*SUMIF(Plan!$A$5:$A$24,$A63,Plan!H$5:H$24))</f>
        <v/>
      </c>
      <c r="K63" s="38">
        <f>IF($B63="",0,$E63*SUMIF(Plan!$A$5:$A$24,$A63,Plan!I$5:I$24))</f>
        <v/>
      </c>
      <c r="L63" s="38">
        <f>IF($B63="",0,$E63*SUMIF(Plan!$A$5:$A$24,$A63,Plan!J$5:J$24))</f>
        <v/>
      </c>
      <c r="M63" s="38">
        <f>IF($B63="",0,$E63*SUMIF(Plan!$A$5:$A$24,$A63,Plan!K$5:K$24))</f>
        <v/>
      </c>
      <c r="N63" s="38">
        <f>IF($B63="",0,$E63*SUMIF(Plan!$A$5:$A$24,$A63,Plan!L$5:L$24))</f>
        <v/>
      </c>
    </row>
    <row r="64">
      <c r="A64" s="29" t="n"/>
      <c r="B64" s="30" t="n"/>
      <c r="C64" s="39">
        <f>IFERROR(INDEX(Materiales!$B$4:$B$18,MATCH($B64,Materiales!$A$4:$A$18,0)),"")</f>
        <v/>
      </c>
      <c r="D64" s="40">
        <f>IFERROR(INDEX(Materiales!$C$4:$C$18,MATCH($B64,Materiales!$A$4:$A$18,0)),"")</f>
        <v/>
      </c>
      <c r="E64" s="33" t="n"/>
      <c r="F64" s="29" t="n"/>
      <c r="G64" s="38">
        <f>IF($B64="",0,$E64*SUMIF(Plan!$A$5:$A$24,$A64,Plan!E$5:E$24))</f>
        <v/>
      </c>
      <c r="H64" s="38">
        <f>IF($B64="",0,$E64*SUMIF(Plan!$A$5:$A$24,$A64,Plan!F$5:F$24))</f>
        <v/>
      </c>
      <c r="I64" s="38">
        <f>IF($B64="",0,$E64*SUMIF(Plan!$A$5:$A$24,$A64,Plan!G$5:G$24))</f>
        <v/>
      </c>
      <c r="J64" s="38">
        <f>IF($B64="",0,$E64*SUMIF(Plan!$A$5:$A$24,$A64,Plan!H$5:H$24))</f>
        <v/>
      </c>
      <c r="K64" s="38">
        <f>IF($B64="",0,$E64*SUMIF(Plan!$A$5:$A$24,$A64,Plan!I$5:I$24))</f>
        <v/>
      </c>
      <c r="L64" s="38">
        <f>IF($B64="",0,$E64*SUMIF(Plan!$A$5:$A$24,$A64,Plan!J$5:J$24))</f>
        <v/>
      </c>
      <c r="M64" s="38">
        <f>IF($B64="",0,$E64*SUMIF(Plan!$A$5:$A$24,$A64,Plan!K$5:K$24))</f>
        <v/>
      </c>
      <c r="N64" s="38">
        <f>IF($B64="",0,$E64*SUMIF(Plan!$A$5:$A$24,$A64,Plan!L$5:L$24))</f>
        <v/>
      </c>
    </row>
    <row r="65">
      <c r="A65" s="29" t="n"/>
      <c r="B65" s="30" t="n"/>
      <c r="C65" s="39">
        <f>IFERROR(INDEX(Materiales!$B$4:$B$18,MATCH($B65,Materiales!$A$4:$A$18,0)),"")</f>
        <v/>
      </c>
      <c r="D65" s="40">
        <f>IFERROR(INDEX(Materiales!$C$4:$C$18,MATCH($B65,Materiales!$A$4:$A$18,0)),"")</f>
        <v/>
      </c>
      <c r="E65" s="33" t="n"/>
      <c r="F65" s="29" t="n"/>
      <c r="G65" s="38">
        <f>IF($B65="",0,$E65*SUMIF(Plan!$A$5:$A$24,$A65,Plan!E$5:E$24))</f>
        <v/>
      </c>
      <c r="H65" s="38">
        <f>IF($B65="",0,$E65*SUMIF(Plan!$A$5:$A$24,$A65,Plan!F$5:F$24))</f>
        <v/>
      </c>
      <c r="I65" s="38">
        <f>IF($B65="",0,$E65*SUMIF(Plan!$A$5:$A$24,$A65,Plan!G$5:G$24))</f>
        <v/>
      </c>
      <c r="J65" s="38">
        <f>IF($B65="",0,$E65*SUMIF(Plan!$A$5:$A$24,$A65,Plan!H$5:H$24))</f>
        <v/>
      </c>
      <c r="K65" s="38">
        <f>IF($B65="",0,$E65*SUMIF(Plan!$A$5:$A$24,$A65,Plan!I$5:I$24))</f>
        <v/>
      </c>
      <c r="L65" s="38">
        <f>IF($B65="",0,$E65*SUMIF(Plan!$A$5:$A$24,$A65,Plan!J$5:J$24))</f>
        <v/>
      </c>
      <c r="M65" s="38">
        <f>IF($B65="",0,$E65*SUMIF(Plan!$A$5:$A$24,$A65,Plan!K$5:K$24))</f>
        <v/>
      </c>
      <c r="N65" s="38">
        <f>IF($B65="",0,$E65*SUMIF(Plan!$A$5:$A$24,$A65,Plan!L$5:L$24))</f>
        <v/>
      </c>
    </row>
    <row r="66">
      <c r="A66" s="29" t="n"/>
      <c r="B66" s="30" t="n"/>
      <c r="C66" s="39">
        <f>IFERROR(INDEX(Materiales!$B$4:$B$18,MATCH($B66,Materiales!$A$4:$A$18,0)),"")</f>
        <v/>
      </c>
      <c r="D66" s="40">
        <f>IFERROR(INDEX(Materiales!$C$4:$C$18,MATCH($B66,Materiales!$A$4:$A$18,0)),"")</f>
        <v/>
      </c>
      <c r="E66" s="33" t="n"/>
      <c r="F66" s="29" t="n"/>
      <c r="G66" s="38">
        <f>IF($B66="",0,$E66*SUMIF(Plan!$A$5:$A$24,$A66,Plan!E$5:E$24))</f>
        <v/>
      </c>
      <c r="H66" s="38">
        <f>IF($B66="",0,$E66*SUMIF(Plan!$A$5:$A$24,$A66,Plan!F$5:F$24))</f>
        <v/>
      </c>
      <c r="I66" s="38">
        <f>IF($B66="",0,$E66*SUMIF(Plan!$A$5:$A$24,$A66,Plan!G$5:G$24))</f>
        <v/>
      </c>
      <c r="J66" s="38">
        <f>IF($B66="",0,$E66*SUMIF(Plan!$A$5:$A$24,$A66,Plan!H$5:H$24))</f>
        <v/>
      </c>
      <c r="K66" s="38">
        <f>IF($B66="",0,$E66*SUMIF(Plan!$A$5:$A$24,$A66,Plan!I$5:I$24))</f>
        <v/>
      </c>
      <c r="L66" s="38">
        <f>IF($B66="",0,$E66*SUMIF(Plan!$A$5:$A$24,$A66,Plan!J$5:J$24))</f>
        <v/>
      </c>
      <c r="M66" s="38">
        <f>IF($B66="",0,$E66*SUMIF(Plan!$A$5:$A$24,$A66,Plan!K$5:K$24))</f>
        <v/>
      </c>
      <c r="N66" s="38">
        <f>IF($B66="",0,$E66*SUMIF(Plan!$A$5:$A$24,$A66,Plan!L$5:L$24))</f>
        <v/>
      </c>
    </row>
    <row r="67">
      <c r="A67" s="29" t="n"/>
      <c r="B67" s="30" t="n"/>
      <c r="C67" s="39">
        <f>IFERROR(INDEX(Materiales!$B$4:$B$18,MATCH($B67,Materiales!$A$4:$A$18,0)),"")</f>
        <v/>
      </c>
      <c r="D67" s="40">
        <f>IFERROR(INDEX(Materiales!$C$4:$C$18,MATCH($B67,Materiales!$A$4:$A$18,0)),"")</f>
        <v/>
      </c>
      <c r="E67" s="33" t="n"/>
      <c r="F67" s="29" t="n"/>
      <c r="G67" s="38">
        <f>IF($B67="",0,$E67*SUMIF(Plan!$A$5:$A$24,$A67,Plan!E$5:E$24))</f>
        <v/>
      </c>
      <c r="H67" s="38">
        <f>IF($B67="",0,$E67*SUMIF(Plan!$A$5:$A$24,$A67,Plan!F$5:F$24))</f>
        <v/>
      </c>
      <c r="I67" s="38">
        <f>IF($B67="",0,$E67*SUMIF(Plan!$A$5:$A$24,$A67,Plan!G$5:G$24))</f>
        <v/>
      </c>
      <c r="J67" s="38">
        <f>IF($B67="",0,$E67*SUMIF(Plan!$A$5:$A$24,$A67,Plan!H$5:H$24))</f>
        <v/>
      </c>
      <c r="K67" s="38">
        <f>IF($B67="",0,$E67*SUMIF(Plan!$A$5:$A$24,$A67,Plan!I$5:I$24))</f>
        <v/>
      </c>
      <c r="L67" s="38">
        <f>IF($B67="",0,$E67*SUMIF(Plan!$A$5:$A$24,$A67,Plan!J$5:J$24))</f>
        <v/>
      </c>
      <c r="M67" s="38">
        <f>IF($B67="",0,$E67*SUMIF(Plan!$A$5:$A$24,$A67,Plan!K$5:K$24))</f>
        <v/>
      </c>
      <c r="N67" s="38">
        <f>IF($B67="",0,$E67*SUMIF(Plan!$A$5:$A$24,$A67,Plan!L$5:L$24))</f>
        <v/>
      </c>
    </row>
    <row r="68">
      <c r="A68" s="29" t="n"/>
      <c r="B68" s="30" t="n"/>
      <c r="C68" s="39">
        <f>IFERROR(INDEX(Materiales!$B$4:$B$18,MATCH($B68,Materiales!$A$4:$A$18,0)),"")</f>
        <v/>
      </c>
      <c r="D68" s="40">
        <f>IFERROR(INDEX(Materiales!$C$4:$C$18,MATCH($B68,Materiales!$A$4:$A$18,0)),"")</f>
        <v/>
      </c>
      <c r="E68" s="33" t="n"/>
      <c r="F68" s="29" t="n"/>
      <c r="G68" s="38">
        <f>IF($B68="",0,$E68*SUMIF(Plan!$A$5:$A$24,$A68,Plan!E$5:E$24))</f>
        <v/>
      </c>
      <c r="H68" s="38">
        <f>IF($B68="",0,$E68*SUMIF(Plan!$A$5:$A$24,$A68,Plan!F$5:F$24))</f>
        <v/>
      </c>
      <c r="I68" s="38">
        <f>IF($B68="",0,$E68*SUMIF(Plan!$A$5:$A$24,$A68,Plan!G$5:G$24))</f>
        <v/>
      </c>
      <c r="J68" s="38">
        <f>IF($B68="",0,$E68*SUMIF(Plan!$A$5:$A$24,$A68,Plan!H$5:H$24))</f>
        <v/>
      </c>
      <c r="K68" s="38">
        <f>IF($B68="",0,$E68*SUMIF(Plan!$A$5:$A$24,$A68,Plan!I$5:I$24))</f>
        <v/>
      </c>
      <c r="L68" s="38">
        <f>IF($B68="",0,$E68*SUMIF(Plan!$A$5:$A$24,$A68,Plan!J$5:J$24))</f>
        <v/>
      </c>
      <c r="M68" s="38">
        <f>IF($B68="",0,$E68*SUMIF(Plan!$A$5:$A$24,$A68,Plan!K$5:K$24))</f>
        <v/>
      </c>
      <c r="N68" s="38">
        <f>IF($B68="",0,$E68*SUMIF(Plan!$A$5:$A$24,$A68,Plan!L$5:L$24))</f>
        <v/>
      </c>
    </row>
    <row r="69">
      <c r="A69" s="29" t="n"/>
      <c r="B69" s="30" t="n"/>
      <c r="C69" s="39">
        <f>IFERROR(INDEX(Materiales!$B$4:$B$18,MATCH($B69,Materiales!$A$4:$A$18,0)),"")</f>
        <v/>
      </c>
      <c r="D69" s="40">
        <f>IFERROR(INDEX(Materiales!$C$4:$C$18,MATCH($B69,Materiales!$A$4:$A$18,0)),"")</f>
        <v/>
      </c>
      <c r="E69" s="33" t="n"/>
      <c r="F69" s="29" t="n"/>
      <c r="G69" s="38">
        <f>IF($B69="",0,$E69*SUMIF(Plan!$A$5:$A$24,$A69,Plan!E$5:E$24))</f>
        <v/>
      </c>
      <c r="H69" s="38">
        <f>IF($B69="",0,$E69*SUMIF(Plan!$A$5:$A$24,$A69,Plan!F$5:F$24))</f>
        <v/>
      </c>
      <c r="I69" s="38">
        <f>IF($B69="",0,$E69*SUMIF(Plan!$A$5:$A$24,$A69,Plan!G$5:G$24))</f>
        <v/>
      </c>
      <c r="J69" s="38">
        <f>IF($B69="",0,$E69*SUMIF(Plan!$A$5:$A$24,$A69,Plan!H$5:H$24))</f>
        <v/>
      </c>
      <c r="K69" s="38">
        <f>IF($B69="",0,$E69*SUMIF(Plan!$A$5:$A$24,$A69,Plan!I$5:I$24))</f>
        <v/>
      </c>
      <c r="L69" s="38">
        <f>IF($B69="",0,$E69*SUMIF(Plan!$A$5:$A$24,$A69,Plan!J$5:J$24))</f>
        <v/>
      </c>
      <c r="M69" s="38">
        <f>IF($B69="",0,$E69*SUMIF(Plan!$A$5:$A$24,$A69,Plan!K$5:K$24))</f>
        <v/>
      </c>
      <c r="N69" s="38">
        <f>IF($B69="",0,$E69*SUMIF(Plan!$A$5:$A$24,$A69,Plan!L$5:L$24))</f>
        <v/>
      </c>
    </row>
    <row r="70">
      <c r="A70" s="29" t="n"/>
      <c r="B70" s="30" t="n"/>
      <c r="C70" s="39">
        <f>IFERROR(INDEX(Materiales!$B$4:$B$18,MATCH($B70,Materiales!$A$4:$A$18,0)),"")</f>
        <v/>
      </c>
      <c r="D70" s="40">
        <f>IFERROR(INDEX(Materiales!$C$4:$C$18,MATCH($B70,Materiales!$A$4:$A$18,0)),"")</f>
        <v/>
      </c>
      <c r="E70" s="33" t="n"/>
      <c r="F70" s="29" t="n"/>
      <c r="G70" s="38">
        <f>IF($B70="",0,$E70*SUMIF(Plan!$A$5:$A$24,$A70,Plan!E$5:E$24))</f>
        <v/>
      </c>
      <c r="H70" s="38">
        <f>IF($B70="",0,$E70*SUMIF(Plan!$A$5:$A$24,$A70,Plan!F$5:F$24))</f>
        <v/>
      </c>
      <c r="I70" s="38">
        <f>IF($B70="",0,$E70*SUMIF(Plan!$A$5:$A$24,$A70,Plan!G$5:G$24))</f>
        <v/>
      </c>
      <c r="J70" s="38">
        <f>IF($B70="",0,$E70*SUMIF(Plan!$A$5:$A$24,$A70,Plan!H$5:H$24))</f>
        <v/>
      </c>
      <c r="K70" s="38">
        <f>IF($B70="",0,$E70*SUMIF(Plan!$A$5:$A$24,$A70,Plan!I$5:I$24))</f>
        <v/>
      </c>
      <c r="L70" s="38">
        <f>IF($B70="",0,$E70*SUMIF(Plan!$A$5:$A$24,$A70,Plan!J$5:J$24))</f>
        <v/>
      </c>
      <c r="M70" s="38">
        <f>IF($B70="",0,$E70*SUMIF(Plan!$A$5:$A$24,$A70,Plan!K$5:K$24))</f>
        <v/>
      </c>
      <c r="N70" s="38">
        <f>IF($B70="",0,$E70*SUMIF(Plan!$A$5:$A$24,$A70,Plan!L$5:L$24))</f>
        <v/>
      </c>
    </row>
    <row r="71">
      <c r="A71" s="29" t="n"/>
      <c r="B71" s="30" t="n"/>
      <c r="C71" s="39">
        <f>IFERROR(INDEX(Materiales!$B$4:$B$18,MATCH($B71,Materiales!$A$4:$A$18,0)),"")</f>
        <v/>
      </c>
      <c r="D71" s="40">
        <f>IFERROR(INDEX(Materiales!$C$4:$C$18,MATCH($B71,Materiales!$A$4:$A$18,0)),"")</f>
        <v/>
      </c>
      <c r="E71" s="33" t="n"/>
      <c r="F71" s="29" t="n"/>
      <c r="G71" s="38">
        <f>IF($B71="",0,$E71*SUMIF(Plan!$A$5:$A$24,$A71,Plan!E$5:E$24))</f>
        <v/>
      </c>
      <c r="H71" s="38">
        <f>IF($B71="",0,$E71*SUMIF(Plan!$A$5:$A$24,$A71,Plan!F$5:F$24))</f>
        <v/>
      </c>
      <c r="I71" s="38">
        <f>IF($B71="",0,$E71*SUMIF(Plan!$A$5:$A$24,$A71,Plan!G$5:G$24))</f>
        <v/>
      </c>
      <c r="J71" s="38">
        <f>IF($B71="",0,$E71*SUMIF(Plan!$A$5:$A$24,$A71,Plan!H$5:H$24))</f>
        <v/>
      </c>
      <c r="K71" s="38">
        <f>IF($B71="",0,$E71*SUMIF(Plan!$A$5:$A$24,$A71,Plan!I$5:I$24))</f>
        <v/>
      </c>
      <c r="L71" s="38">
        <f>IF($B71="",0,$E71*SUMIF(Plan!$A$5:$A$24,$A71,Plan!J$5:J$24))</f>
        <v/>
      </c>
      <c r="M71" s="38">
        <f>IF($B71="",0,$E71*SUMIF(Plan!$A$5:$A$24,$A71,Plan!K$5:K$24))</f>
        <v/>
      </c>
      <c r="N71" s="38">
        <f>IF($B71="",0,$E71*SUMIF(Plan!$A$5:$A$24,$A71,Plan!L$5:L$24))</f>
        <v/>
      </c>
    </row>
    <row r="72">
      <c r="A72" s="29" t="n"/>
      <c r="B72" s="30" t="n"/>
      <c r="C72" s="39">
        <f>IFERROR(INDEX(Materiales!$B$4:$B$18,MATCH($B72,Materiales!$A$4:$A$18,0)),"")</f>
        <v/>
      </c>
      <c r="D72" s="40">
        <f>IFERROR(INDEX(Materiales!$C$4:$C$18,MATCH($B72,Materiales!$A$4:$A$18,0)),"")</f>
        <v/>
      </c>
      <c r="E72" s="33" t="n"/>
      <c r="F72" s="29" t="n"/>
      <c r="G72" s="38">
        <f>IF($B72="",0,$E72*SUMIF(Plan!$A$5:$A$24,$A72,Plan!E$5:E$24))</f>
        <v/>
      </c>
      <c r="H72" s="38">
        <f>IF($B72="",0,$E72*SUMIF(Plan!$A$5:$A$24,$A72,Plan!F$5:F$24))</f>
        <v/>
      </c>
      <c r="I72" s="38">
        <f>IF($B72="",0,$E72*SUMIF(Plan!$A$5:$A$24,$A72,Plan!G$5:G$24))</f>
        <v/>
      </c>
      <c r="J72" s="38">
        <f>IF($B72="",0,$E72*SUMIF(Plan!$A$5:$A$24,$A72,Plan!H$5:H$24))</f>
        <v/>
      </c>
      <c r="K72" s="38">
        <f>IF($B72="",0,$E72*SUMIF(Plan!$A$5:$A$24,$A72,Plan!I$5:I$24))</f>
        <v/>
      </c>
      <c r="L72" s="38">
        <f>IF($B72="",0,$E72*SUMIF(Plan!$A$5:$A$24,$A72,Plan!J$5:J$24))</f>
        <v/>
      </c>
      <c r="M72" s="38">
        <f>IF($B72="",0,$E72*SUMIF(Plan!$A$5:$A$24,$A72,Plan!K$5:K$24))</f>
        <v/>
      </c>
      <c r="N72" s="38">
        <f>IF($B72="",0,$E72*SUMIF(Plan!$A$5:$A$24,$A72,Plan!L$5:L$24))</f>
        <v/>
      </c>
    </row>
    <row r="73">
      <c r="A73" s="29" t="n"/>
      <c r="B73" s="30" t="n"/>
      <c r="C73" s="39">
        <f>IFERROR(INDEX(Materiales!$B$4:$B$18,MATCH($B73,Materiales!$A$4:$A$18,0)),"")</f>
        <v/>
      </c>
      <c r="D73" s="40">
        <f>IFERROR(INDEX(Materiales!$C$4:$C$18,MATCH($B73,Materiales!$A$4:$A$18,0)),"")</f>
        <v/>
      </c>
      <c r="E73" s="33" t="n"/>
      <c r="F73" s="29" t="n"/>
      <c r="G73" s="38">
        <f>IF($B73="",0,$E73*SUMIF(Plan!$A$5:$A$24,$A73,Plan!E$5:E$24))</f>
        <v/>
      </c>
      <c r="H73" s="38">
        <f>IF($B73="",0,$E73*SUMIF(Plan!$A$5:$A$24,$A73,Plan!F$5:F$24))</f>
        <v/>
      </c>
      <c r="I73" s="38">
        <f>IF($B73="",0,$E73*SUMIF(Plan!$A$5:$A$24,$A73,Plan!G$5:G$24))</f>
        <v/>
      </c>
      <c r="J73" s="38">
        <f>IF($B73="",0,$E73*SUMIF(Plan!$A$5:$A$24,$A73,Plan!H$5:H$24))</f>
        <v/>
      </c>
      <c r="K73" s="38">
        <f>IF($B73="",0,$E73*SUMIF(Plan!$A$5:$A$24,$A73,Plan!I$5:I$24))</f>
        <v/>
      </c>
      <c r="L73" s="38">
        <f>IF($B73="",0,$E73*SUMIF(Plan!$A$5:$A$24,$A73,Plan!J$5:J$24))</f>
        <v/>
      </c>
      <c r="M73" s="38">
        <f>IF($B73="",0,$E73*SUMIF(Plan!$A$5:$A$24,$A73,Plan!K$5:K$24))</f>
        <v/>
      </c>
      <c r="N73" s="38">
        <f>IF($B73="",0,$E73*SUMIF(Plan!$A$5:$A$24,$A73,Plan!L$5:L$24))</f>
        <v/>
      </c>
    </row>
    <row r="74">
      <c r="A74" s="29" t="n"/>
      <c r="B74" s="30" t="n"/>
      <c r="C74" s="39">
        <f>IFERROR(INDEX(Materiales!$B$4:$B$18,MATCH($B74,Materiales!$A$4:$A$18,0)),"")</f>
        <v/>
      </c>
      <c r="D74" s="40">
        <f>IFERROR(INDEX(Materiales!$C$4:$C$18,MATCH($B74,Materiales!$A$4:$A$18,0)),"")</f>
        <v/>
      </c>
      <c r="E74" s="33" t="n"/>
      <c r="F74" s="29" t="n"/>
      <c r="G74" s="38">
        <f>IF($B74="",0,$E74*SUMIF(Plan!$A$5:$A$24,$A74,Plan!E$5:E$24))</f>
        <v/>
      </c>
      <c r="H74" s="38">
        <f>IF($B74="",0,$E74*SUMIF(Plan!$A$5:$A$24,$A74,Plan!F$5:F$24))</f>
        <v/>
      </c>
      <c r="I74" s="38">
        <f>IF($B74="",0,$E74*SUMIF(Plan!$A$5:$A$24,$A74,Plan!G$5:G$24))</f>
        <v/>
      </c>
      <c r="J74" s="38">
        <f>IF($B74="",0,$E74*SUMIF(Plan!$A$5:$A$24,$A74,Plan!H$5:H$24))</f>
        <v/>
      </c>
      <c r="K74" s="38">
        <f>IF($B74="",0,$E74*SUMIF(Plan!$A$5:$A$24,$A74,Plan!I$5:I$24))</f>
        <v/>
      </c>
      <c r="L74" s="38">
        <f>IF($B74="",0,$E74*SUMIF(Plan!$A$5:$A$24,$A74,Plan!J$5:J$24))</f>
        <v/>
      </c>
      <c r="M74" s="38">
        <f>IF($B74="",0,$E74*SUMIF(Plan!$A$5:$A$24,$A74,Plan!K$5:K$24))</f>
        <v/>
      </c>
      <c r="N74" s="38">
        <f>IF($B74="",0,$E74*SUMIF(Plan!$A$5:$A$24,$A74,Plan!L$5:L$24))</f>
        <v/>
      </c>
    </row>
    <row r="75">
      <c r="A75" s="29" t="n"/>
      <c r="B75" s="30" t="n"/>
      <c r="C75" s="39">
        <f>IFERROR(INDEX(Materiales!$B$4:$B$18,MATCH($B75,Materiales!$A$4:$A$18,0)),"")</f>
        <v/>
      </c>
      <c r="D75" s="40">
        <f>IFERROR(INDEX(Materiales!$C$4:$C$18,MATCH($B75,Materiales!$A$4:$A$18,0)),"")</f>
        <v/>
      </c>
      <c r="E75" s="33" t="n"/>
      <c r="F75" s="29" t="n"/>
      <c r="G75" s="38">
        <f>IF($B75="",0,$E75*SUMIF(Plan!$A$5:$A$24,$A75,Plan!E$5:E$24))</f>
        <v/>
      </c>
      <c r="H75" s="38">
        <f>IF($B75="",0,$E75*SUMIF(Plan!$A$5:$A$24,$A75,Plan!F$5:F$24))</f>
        <v/>
      </c>
      <c r="I75" s="38">
        <f>IF($B75="",0,$E75*SUMIF(Plan!$A$5:$A$24,$A75,Plan!G$5:G$24))</f>
        <v/>
      </c>
      <c r="J75" s="38">
        <f>IF($B75="",0,$E75*SUMIF(Plan!$A$5:$A$24,$A75,Plan!H$5:H$24))</f>
        <v/>
      </c>
      <c r="K75" s="38">
        <f>IF($B75="",0,$E75*SUMIF(Plan!$A$5:$A$24,$A75,Plan!I$5:I$24))</f>
        <v/>
      </c>
      <c r="L75" s="38">
        <f>IF($B75="",0,$E75*SUMIF(Plan!$A$5:$A$24,$A75,Plan!J$5:J$24))</f>
        <v/>
      </c>
      <c r="M75" s="38">
        <f>IF($B75="",0,$E75*SUMIF(Plan!$A$5:$A$24,$A75,Plan!K$5:K$24))</f>
        <v/>
      </c>
      <c r="N75" s="38">
        <f>IF($B75="",0,$E75*SUMIF(Plan!$A$5:$A$24,$A75,Plan!L$5:L$24))</f>
        <v/>
      </c>
    </row>
    <row r="76">
      <c r="A76" s="29" t="n"/>
      <c r="B76" s="30" t="n"/>
      <c r="C76" s="39">
        <f>IFERROR(INDEX(Materiales!$B$4:$B$18,MATCH($B76,Materiales!$A$4:$A$18,0)),"")</f>
        <v/>
      </c>
      <c r="D76" s="40">
        <f>IFERROR(INDEX(Materiales!$C$4:$C$18,MATCH($B76,Materiales!$A$4:$A$18,0)),"")</f>
        <v/>
      </c>
      <c r="E76" s="33" t="n"/>
      <c r="F76" s="29" t="n"/>
      <c r="G76" s="38">
        <f>IF($B76="",0,$E76*SUMIF(Plan!$A$5:$A$24,$A76,Plan!E$5:E$24))</f>
        <v/>
      </c>
      <c r="H76" s="38">
        <f>IF($B76="",0,$E76*SUMIF(Plan!$A$5:$A$24,$A76,Plan!F$5:F$24))</f>
        <v/>
      </c>
      <c r="I76" s="38">
        <f>IF($B76="",0,$E76*SUMIF(Plan!$A$5:$A$24,$A76,Plan!G$5:G$24))</f>
        <v/>
      </c>
      <c r="J76" s="38">
        <f>IF($B76="",0,$E76*SUMIF(Plan!$A$5:$A$24,$A76,Plan!H$5:H$24))</f>
        <v/>
      </c>
      <c r="K76" s="38">
        <f>IF($B76="",0,$E76*SUMIF(Plan!$A$5:$A$24,$A76,Plan!I$5:I$24))</f>
        <v/>
      </c>
      <c r="L76" s="38">
        <f>IF($B76="",0,$E76*SUMIF(Plan!$A$5:$A$24,$A76,Plan!J$5:J$24))</f>
        <v/>
      </c>
      <c r="M76" s="38">
        <f>IF($B76="",0,$E76*SUMIF(Plan!$A$5:$A$24,$A76,Plan!K$5:K$24))</f>
        <v/>
      </c>
      <c r="N76" s="38">
        <f>IF($B76="",0,$E76*SUMIF(Plan!$A$5:$A$24,$A76,Plan!L$5:L$24))</f>
        <v/>
      </c>
    </row>
    <row r="77">
      <c r="A77" s="29" t="n"/>
      <c r="B77" s="30" t="n"/>
      <c r="C77" s="39">
        <f>IFERROR(INDEX(Materiales!$B$4:$B$18,MATCH($B77,Materiales!$A$4:$A$18,0)),"")</f>
        <v/>
      </c>
      <c r="D77" s="40">
        <f>IFERROR(INDEX(Materiales!$C$4:$C$18,MATCH($B77,Materiales!$A$4:$A$18,0)),"")</f>
        <v/>
      </c>
      <c r="E77" s="33" t="n"/>
      <c r="F77" s="29" t="n"/>
      <c r="G77" s="38">
        <f>IF($B77="",0,$E77*SUMIF(Plan!$A$5:$A$24,$A77,Plan!E$5:E$24))</f>
        <v/>
      </c>
      <c r="H77" s="38">
        <f>IF($B77="",0,$E77*SUMIF(Plan!$A$5:$A$24,$A77,Plan!F$5:F$24))</f>
        <v/>
      </c>
      <c r="I77" s="38">
        <f>IF($B77="",0,$E77*SUMIF(Plan!$A$5:$A$24,$A77,Plan!G$5:G$24))</f>
        <v/>
      </c>
      <c r="J77" s="38">
        <f>IF($B77="",0,$E77*SUMIF(Plan!$A$5:$A$24,$A77,Plan!H$5:H$24))</f>
        <v/>
      </c>
      <c r="K77" s="38">
        <f>IF($B77="",0,$E77*SUMIF(Plan!$A$5:$A$24,$A77,Plan!I$5:I$24))</f>
        <v/>
      </c>
      <c r="L77" s="38">
        <f>IF($B77="",0,$E77*SUMIF(Plan!$A$5:$A$24,$A77,Plan!J$5:J$24))</f>
        <v/>
      </c>
      <c r="M77" s="38">
        <f>IF($B77="",0,$E77*SUMIF(Plan!$A$5:$A$24,$A77,Plan!K$5:K$24))</f>
        <v/>
      </c>
      <c r="N77" s="38">
        <f>IF($B77="",0,$E77*SUMIF(Plan!$A$5:$A$24,$A77,Plan!L$5:L$24))</f>
        <v/>
      </c>
    </row>
    <row r="78">
      <c r="A78" s="29" t="n"/>
      <c r="B78" s="30" t="n"/>
      <c r="C78" s="39">
        <f>IFERROR(INDEX(Materiales!$B$4:$B$18,MATCH($B78,Materiales!$A$4:$A$18,0)),"")</f>
        <v/>
      </c>
      <c r="D78" s="40">
        <f>IFERROR(INDEX(Materiales!$C$4:$C$18,MATCH($B78,Materiales!$A$4:$A$18,0)),"")</f>
        <v/>
      </c>
      <c r="E78" s="33" t="n"/>
      <c r="F78" s="29" t="n"/>
      <c r="G78" s="38">
        <f>IF($B78="",0,$E78*SUMIF(Plan!$A$5:$A$24,$A78,Plan!E$5:E$24))</f>
        <v/>
      </c>
      <c r="H78" s="38">
        <f>IF($B78="",0,$E78*SUMIF(Plan!$A$5:$A$24,$A78,Plan!F$5:F$24))</f>
        <v/>
      </c>
      <c r="I78" s="38">
        <f>IF($B78="",0,$E78*SUMIF(Plan!$A$5:$A$24,$A78,Plan!G$5:G$24))</f>
        <v/>
      </c>
      <c r="J78" s="38">
        <f>IF($B78="",0,$E78*SUMIF(Plan!$A$5:$A$24,$A78,Plan!H$5:H$24))</f>
        <v/>
      </c>
      <c r="K78" s="38">
        <f>IF($B78="",0,$E78*SUMIF(Plan!$A$5:$A$24,$A78,Plan!I$5:I$24))</f>
        <v/>
      </c>
      <c r="L78" s="38">
        <f>IF($B78="",0,$E78*SUMIF(Plan!$A$5:$A$24,$A78,Plan!J$5:J$24))</f>
        <v/>
      </c>
      <c r="M78" s="38">
        <f>IF($B78="",0,$E78*SUMIF(Plan!$A$5:$A$24,$A78,Plan!K$5:K$24))</f>
        <v/>
      </c>
      <c r="N78" s="38">
        <f>IF($B78="",0,$E78*SUMIF(Plan!$A$5:$A$24,$A78,Plan!L$5:L$24))</f>
        <v/>
      </c>
    </row>
    <row r="79">
      <c r="A79" s="29" t="n"/>
      <c r="B79" s="30" t="n"/>
      <c r="C79" s="39">
        <f>IFERROR(INDEX(Materiales!$B$4:$B$18,MATCH($B79,Materiales!$A$4:$A$18,0)),"")</f>
        <v/>
      </c>
      <c r="D79" s="40">
        <f>IFERROR(INDEX(Materiales!$C$4:$C$18,MATCH($B79,Materiales!$A$4:$A$18,0)),"")</f>
        <v/>
      </c>
      <c r="E79" s="33" t="n"/>
      <c r="F79" s="29" t="n"/>
      <c r="G79" s="38">
        <f>IF($B79="",0,$E79*SUMIF(Plan!$A$5:$A$24,$A79,Plan!E$5:E$24))</f>
        <v/>
      </c>
      <c r="H79" s="38">
        <f>IF($B79="",0,$E79*SUMIF(Plan!$A$5:$A$24,$A79,Plan!F$5:F$24))</f>
        <v/>
      </c>
      <c r="I79" s="38">
        <f>IF($B79="",0,$E79*SUMIF(Plan!$A$5:$A$24,$A79,Plan!G$5:G$24))</f>
        <v/>
      </c>
      <c r="J79" s="38">
        <f>IF($B79="",0,$E79*SUMIF(Plan!$A$5:$A$24,$A79,Plan!H$5:H$24))</f>
        <v/>
      </c>
      <c r="K79" s="38">
        <f>IF($B79="",0,$E79*SUMIF(Plan!$A$5:$A$24,$A79,Plan!I$5:I$24))</f>
        <v/>
      </c>
      <c r="L79" s="38">
        <f>IF($B79="",0,$E79*SUMIF(Plan!$A$5:$A$24,$A79,Plan!J$5:J$24))</f>
        <v/>
      </c>
      <c r="M79" s="38">
        <f>IF($B79="",0,$E79*SUMIF(Plan!$A$5:$A$24,$A79,Plan!K$5:K$24))</f>
        <v/>
      </c>
      <c r="N79" s="38">
        <f>IF($B79="",0,$E79*SUMIF(Plan!$A$5:$A$24,$A79,Plan!L$5:L$24))</f>
        <v/>
      </c>
    </row>
    <row r="80">
      <c r="A80" s="29" t="n"/>
      <c r="B80" s="30" t="n"/>
      <c r="C80" s="39">
        <f>IFERROR(INDEX(Materiales!$B$4:$B$18,MATCH($B80,Materiales!$A$4:$A$18,0)),"")</f>
        <v/>
      </c>
      <c r="D80" s="40">
        <f>IFERROR(INDEX(Materiales!$C$4:$C$18,MATCH($B80,Materiales!$A$4:$A$18,0)),"")</f>
        <v/>
      </c>
      <c r="E80" s="33" t="n"/>
      <c r="F80" s="29" t="n"/>
      <c r="G80" s="38">
        <f>IF($B80="",0,$E80*SUMIF(Plan!$A$5:$A$24,$A80,Plan!E$5:E$24))</f>
        <v/>
      </c>
      <c r="H80" s="38">
        <f>IF($B80="",0,$E80*SUMIF(Plan!$A$5:$A$24,$A80,Plan!F$5:F$24))</f>
        <v/>
      </c>
      <c r="I80" s="38">
        <f>IF($B80="",0,$E80*SUMIF(Plan!$A$5:$A$24,$A80,Plan!G$5:G$24))</f>
        <v/>
      </c>
      <c r="J80" s="38">
        <f>IF($B80="",0,$E80*SUMIF(Plan!$A$5:$A$24,$A80,Plan!H$5:H$24))</f>
        <v/>
      </c>
      <c r="K80" s="38">
        <f>IF($B80="",0,$E80*SUMIF(Plan!$A$5:$A$24,$A80,Plan!I$5:I$24))</f>
        <v/>
      </c>
      <c r="L80" s="38">
        <f>IF($B80="",0,$E80*SUMIF(Plan!$A$5:$A$24,$A80,Plan!J$5:J$24))</f>
        <v/>
      </c>
      <c r="M80" s="38">
        <f>IF($B80="",0,$E80*SUMIF(Plan!$A$5:$A$24,$A80,Plan!K$5:K$24))</f>
        <v/>
      </c>
      <c r="N80" s="38">
        <f>IF($B80="",0,$E80*SUMIF(Plan!$A$5:$A$24,$A80,Plan!L$5:L$24))</f>
        <v/>
      </c>
    </row>
    <row r="81">
      <c r="A81" s="29" t="n"/>
      <c r="B81" s="30" t="n"/>
      <c r="C81" s="39">
        <f>IFERROR(INDEX(Materiales!$B$4:$B$18,MATCH($B81,Materiales!$A$4:$A$18,0)),"")</f>
        <v/>
      </c>
      <c r="D81" s="40">
        <f>IFERROR(INDEX(Materiales!$C$4:$C$18,MATCH($B81,Materiales!$A$4:$A$18,0)),"")</f>
        <v/>
      </c>
      <c r="E81" s="33" t="n"/>
      <c r="F81" s="29" t="n"/>
      <c r="G81" s="38">
        <f>IF($B81="",0,$E81*SUMIF(Plan!$A$5:$A$24,$A81,Plan!E$5:E$24))</f>
        <v/>
      </c>
      <c r="H81" s="38">
        <f>IF($B81="",0,$E81*SUMIF(Plan!$A$5:$A$24,$A81,Plan!F$5:F$24))</f>
        <v/>
      </c>
      <c r="I81" s="38">
        <f>IF($B81="",0,$E81*SUMIF(Plan!$A$5:$A$24,$A81,Plan!G$5:G$24))</f>
        <v/>
      </c>
      <c r="J81" s="38">
        <f>IF($B81="",0,$E81*SUMIF(Plan!$A$5:$A$24,$A81,Plan!H$5:H$24))</f>
        <v/>
      </c>
      <c r="K81" s="38">
        <f>IF($B81="",0,$E81*SUMIF(Plan!$A$5:$A$24,$A81,Plan!I$5:I$24))</f>
        <v/>
      </c>
      <c r="L81" s="38">
        <f>IF($B81="",0,$E81*SUMIF(Plan!$A$5:$A$24,$A81,Plan!J$5:J$24))</f>
        <v/>
      </c>
      <c r="M81" s="38">
        <f>IF($B81="",0,$E81*SUMIF(Plan!$A$5:$A$24,$A81,Plan!K$5:K$24))</f>
        <v/>
      </c>
      <c r="N81" s="38">
        <f>IF($B81="",0,$E81*SUMIF(Plan!$A$5:$A$24,$A81,Plan!L$5:L$24))</f>
        <v/>
      </c>
    </row>
    <row r="82">
      <c r="A82" s="29" t="n"/>
      <c r="B82" s="30" t="n"/>
      <c r="C82" s="39">
        <f>IFERROR(INDEX(Materiales!$B$4:$B$18,MATCH($B82,Materiales!$A$4:$A$18,0)),"")</f>
        <v/>
      </c>
      <c r="D82" s="40">
        <f>IFERROR(INDEX(Materiales!$C$4:$C$18,MATCH($B82,Materiales!$A$4:$A$18,0)),"")</f>
        <v/>
      </c>
      <c r="E82" s="33" t="n"/>
      <c r="F82" s="29" t="n"/>
      <c r="G82" s="38">
        <f>IF($B82="",0,$E82*SUMIF(Plan!$A$5:$A$24,$A82,Plan!E$5:E$24))</f>
        <v/>
      </c>
      <c r="H82" s="38">
        <f>IF($B82="",0,$E82*SUMIF(Plan!$A$5:$A$24,$A82,Plan!F$5:F$24))</f>
        <v/>
      </c>
      <c r="I82" s="38">
        <f>IF($B82="",0,$E82*SUMIF(Plan!$A$5:$A$24,$A82,Plan!G$5:G$24))</f>
        <v/>
      </c>
      <c r="J82" s="38">
        <f>IF($B82="",0,$E82*SUMIF(Plan!$A$5:$A$24,$A82,Plan!H$5:H$24))</f>
        <v/>
      </c>
      <c r="K82" s="38">
        <f>IF($B82="",0,$E82*SUMIF(Plan!$A$5:$A$24,$A82,Plan!I$5:I$24))</f>
        <v/>
      </c>
      <c r="L82" s="38">
        <f>IF($B82="",0,$E82*SUMIF(Plan!$A$5:$A$24,$A82,Plan!J$5:J$24))</f>
        <v/>
      </c>
      <c r="M82" s="38">
        <f>IF($B82="",0,$E82*SUMIF(Plan!$A$5:$A$24,$A82,Plan!K$5:K$24))</f>
        <v/>
      </c>
      <c r="N82" s="38">
        <f>IF($B82="",0,$E82*SUMIF(Plan!$A$5:$A$24,$A82,Plan!L$5:L$24))</f>
        <v/>
      </c>
    </row>
    <row r="83">
      <c r="A83" s="29" t="n"/>
      <c r="B83" s="30" t="n"/>
      <c r="C83" s="39">
        <f>IFERROR(INDEX(Materiales!$B$4:$B$18,MATCH($B83,Materiales!$A$4:$A$18,0)),"")</f>
        <v/>
      </c>
      <c r="D83" s="40">
        <f>IFERROR(INDEX(Materiales!$C$4:$C$18,MATCH($B83,Materiales!$A$4:$A$18,0)),"")</f>
        <v/>
      </c>
      <c r="E83" s="33" t="n"/>
      <c r="F83" s="29" t="n"/>
      <c r="G83" s="38">
        <f>IF($B83="",0,$E83*SUMIF(Plan!$A$5:$A$24,$A83,Plan!E$5:E$24))</f>
        <v/>
      </c>
      <c r="H83" s="38">
        <f>IF($B83="",0,$E83*SUMIF(Plan!$A$5:$A$24,$A83,Plan!F$5:F$24))</f>
        <v/>
      </c>
      <c r="I83" s="38">
        <f>IF($B83="",0,$E83*SUMIF(Plan!$A$5:$A$24,$A83,Plan!G$5:G$24))</f>
        <v/>
      </c>
      <c r="J83" s="38">
        <f>IF($B83="",0,$E83*SUMIF(Plan!$A$5:$A$24,$A83,Plan!H$5:H$24))</f>
        <v/>
      </c>
      <c r="K83" s="38">
        <f>IF($B83="",0,$E83*SUMIF(Plan!$A$5:$A$24,$A83,Plan!I$5:I$24))</f>
        <v/>
      </c>
      <c r="L83" s="38">
        <f>IF($B83="",0,$E83*SUMIF(Plan!$A$5:$A$24,$A83,Plan!J$5:J$24))</f>
        <v/>
      </c>
      <c r="M83" s="38">
        <f>IF($B83="",0,$E83*SUMIF(Plan!$A$5:$A$24,$A83,Plan!K$5:K$24))</f>
        <v/>
      </c>
      <c r="N83" s="38">
        <f>IF($B83="",0,$E83*SUMIF(Plan!$A$5:$A$24,$A83,Plan!L$5:L$24))</f>
        <v/>
      </c>
    </row>
    <row r="84">
      <c r="A84" s="29" t="n"/>
      <c r="B84" s="30" t="n"/>
      <c r="C84" s="39">
        <f>IFERROR(INDEX(Materiales!$B$4:$B$18,MATCH($B84,Materiales!$A$4:$A$18,0)),"")</f>
        <v/>
      </c>
      <c r="D84" s="40">
        <f>IFERROR(INDEX(Materiales!$C$4:$C$18,MATCH($B84,Materiales!$A$4:$A$18,0)),"")</f>
        <v/>
      </c>
      <c r="E84" s="33" t="n"/>
      <c r="F84" s="29" t="n"/>
      <c r="G84" s="38">
        <f>IF($B84="",0,$E84*SUMIF(Plan!$A$5:$A$24,$A84,Plan!E$5:E$24))</f>
        <v/>
      </c>
      <c r="H84" s="38">
        <f>IF($B84="",0,$E84*SUMIF(Plan!$A$5:$A$24,$A84,Plan!F$5:F$24))</f>
        <v/>
      </c>
      <c r="I84" s="38">
        <f>IF($B84="",0,$E84*SUMIF(Plan!$A$5:$A$24,$A84,Plan!G$5:G$24))</f>
        <v/>
      </c>
      <c r="J84" s="38">
        <f>IF($B84="",0,$E84*SUMIF(Plan!$A$5:$A$24,$A84,Plan!H$5:H$24))</f>
        <v/>
      </c>
      <c r="K84" s="38">
        <f>IF($B84="",0,$E84*SUMIF(Plan!$A$5:$A$24,$A84,Plan!I$5:I$24))</f>
        <v/>
      </c>
      <c r="L84" s="38">
        <f>IF($B84="",0,$E84*SUMIF(Plan!$A$5:$A$24,$A84,Plan!J$5:J$24))</f>
        <v/>
      </c>
      <c r="M84" s="38">
        <f>IF($B84="",0,$E84*SUMIF(Plan!$A$5:$A$24,$A84,Plan!K$5:K$24))</f>
        <v/>
      </c>
      <c r="N84" s="38">
        <f>IF($B84="",0,$E84*SUMIF(Plan!$A$5:$A$24,$A84,Plan!L$5:L$24))</f>
        <v/>
      </c>
    </row>
    <row r="85">
      <c r="A85" s="29" t="n"/>
      <c r="B85" s="30" t="n"/>
      <c r="C85" s="39">
        <f>IFERROR(INDEX(Materiales!$B$4:$B$18,MATCH($B85,Materiales!$A$4:$A$18,0)),"")</f>
        <v/>
      </c>
      <c r="D85" s="40">
        <f>IFERROR(INDEX(Materiales!$C$4:$C$18,MATCH($B85,Materiales!$A$4:$A$18,0)),"")</f>
        <v/>
      </c>
      <c r="E85" s="33" t="n"/>
      <c r="F85" s="29" t="n"/>
      <c r="G85" s="38">
        <f>IF($B85="",0,$E85*SUMIF(Plan!$A$5:$A$24,$A85,Plan!E$5:E$24))</f>
        <v/>
      </c>
      <c r="H85" s="38">
        <f>IF($B85="",0,$E85*SUMIF(Plan!$A$5:$A$24,$A85,Plan!F$5:F$24))</f>
        <v/>
      </c>
      <c r="I85" s="38">
        <f>IF($B85="",0,$E85*SUMIF(Plan!$A$5:$A$24,$A85,Plan!G$5:G$24))</f>
        <v/>
      </c>
      <c r="J85" s="38">
        <f>IF($B85="",0,$E85*SUMIF(Plan!$A$5:$A$24,$A85,Plan!H$5:H$24))</f>
        <v/>
      </c>
      <c r="K85" s="38">
        <f>IF($B85="",0,$E85*SUMIF(Plan!$A$5:$A$24,$A85,Plan!I$5:I$24))</f>
        <v/>
      </c>
      <c r="L85" s="38">
        <f>IF($B85="",0,$E85*SUMIF(Plan!$A$5:$A$24,$A85,Plan!J$5:J$24))</f>
        <v/>
      </c>
      <c r="M85" s="38">
        <f>IF($B85="",0,$E85*SUMIF(Plan!$A$5:$A$24,$A85,Plan!K$5:K$24))</f>
        <v/>
      </c>
      <c r="N85" s="38">
        <f>IF($B85="",0,$E85*SUMIF(Plan!$A$5:$A$24,$A85,Plan!L$5:L$24))</f>
        <v/>
      </c>
    </row>
    <row r="86">
      <c r="A86" s="29" t="n"/>
      <c r="B86" s="30" t="n"/>
      <c r="C86" s="39">
        <f>IFERROR(INDEX(Materiales!$B$4:$B$18,MATCH($B86,Materiales!$A$4:$A$18,0)),"")</f>
        <v/>
      </c>
      <c r="D86" s="40">
        <f>IFERROR(INDEX(Materiales!$C$4:$C$18,MATCH($B86,Materiales!$A$4:$A$18,0)),"")</f>
        <v/>
      </c>
      <c r="E86" s="33" t="n"/>
      <c r="F86" s="29" t="n"/>
      <c r="G86" s="38">
        <f>IF($B86="",0,$E86*SUMIF(Plan!$A$5:$A$24,$A86,Plan!E$5:E$24))</f>
        <v/>
      </c>
      <c r="H86" s="38">
        <f>IF($B86="",0,$E86*SUMIF(Plan!$A$5:$A$24,$A86,Plan!F$5:F$24))</f>
        <v/>
      </c>
      <c r="I86" s="38">
        <f>IF($B86="",0,$E86*SUMIF(Plan!$A$5:$A$24,$A86,Plan!G$5:G$24))</f>
        <v/>
      </c>
      <c r="J86" s="38">
        <f>IF($B86="",0,$E86*SUMIF(Plan!$A$5:$A$24,$A86,Plan!H$5:H$24))</f>
        <v/>
      </c>
      <c r="K86" s="38">
        <f>IF($B86="",0,$E86*SUMIF(Plan!$A$5:$A$24,$A86,Plan!I$5:I$24))</f>
        <v/>
      </c>
      <c r="L86" s="38">
        <f>IF($B86="",0,$E86*SUMIF(Plan!$A$5:$A$24,$A86,Plan!J$5:J$24))</f>
        <v/>
      </c>
      <c r="M86" s="38">
        <f>IF($B86="",0,$E86*SUMIF(Plan!$A$5:$A$24,$A86,Plan!K$5:K$24))</f>
        <v/>
      </c>
      <c r="N86" s="38">
        <f>IF($B86="",0,$E86*SUMIF(Plan!$A$5:$A$24,$A86,Plan!L$5:L$24))</f>
        <v/>
      </c>
    </row>
    <row r="87">
      <c r="A87" s="29" t="n"/>
      <c r="B87" s="30" t="n"/>
      <c r="C87" s="39">
        <f>IFERROR(INDEX(Materiales!$B$4:$B$18,MATCH($B87,Materiales!$A$4:$A$18,0)),"")</f>
        <v/>
      </c>
      <c r="D87" s="40">
        <f>IFERROR(INDEX(Materiales!$C$4:$C$18,MATCH($B87,Materiales!$A$4:$A$18,0)),"")</f>
        <v/>
      </c>
      <c r="E87" s="33" t="n"/>
      <c r="F87" s="29" t="n"/>
      <c r="G87" s="38">
        <f>IF($B87="",0,$E87*SUMIF(Plan!$A$5:$A$24,$A87,Plan!E$5:E$24))</f>
        <v/>
      </c>
      <c r="H87" s="38">
        <f>IF($B87="",0,$E87*SUMIF(Plan!$A$5:$A$24,$A87,Plan!F$5:F$24))</f>
        <v/>
      </c>
      <c r="I87" s="38">
        <f>IF($B87="",0,$E87*SUMIF(Plan!$A$5:$A$24,$A87,Plan!G$5:G$24))</f>
        <v/>
      </c>
      <c r="J87" s="38">
        <f>IF($B87="",0,$E87*SUMIF(Plan!$A$5:$A$24,$A87,Plan!H$5:H$24))</f>
        <v/>
      </c>
      <c r="K87" s="38">
        <f>IF($B87="",0,$E87*SUMIF(Plan!$A$5:$A$24,$A87,Plan!I$5:I$24))</f>
        <v/>
      </c>
      <c r="L87" s="38">
        <f>IF($B87="",0,$E87*SUMIF(Plan!$A$5:$A$24,$A87,Plan!J$5:J$24))</f>
        <v/>
      </c>
      <c r="M87" s="38">
        <f>IF($B87="",0,$E87*SUMIF(Plan!$A$5:$A$24,$A87,Plan!K$5:K$24))</f>
        <v/>
      </c>
      <c r="N87" s="38">
        <f>IF($B87="",0,$E87*SUMIF(Plan!$A$5:$A$24,$A87,Plan!L$5:L$24))</f>
        <v/>
      </c>
    </row>
    <row r="88">
      <c r="A88" s="29" t="n"/>
      <c r="B88" s="30" t="n"/>
      <c r="C88" s="39">
        <f>IFERROR(INDEX(Materiales!$B$4:$B$18,MATCH($B88,Materiales!$A$4:$A$18,0)),"")</f>
        <v/>
      </c>
      <c r="D88" s="40">
        <f>IFERROR(INDEX(Materiales!$C$4:$C$18,MATCH($B88,Materiales!$A$4:$A$18,0)),"")</f>
        <v/>
      </c>
      <c r="E88" s="33" t="n"/>
      <c r="F88" s="29" t="n"/>
      <c r="G88" s="38">
        <f>IF($B88="",0,$E88*SUMIF(Plan!$A$5:$A$24,$A88,Plan!E$5:E$24))</f>
        <v/>
      </c>
      <c r="H88" s="38">
        <f>IF($B88="",0,$E88*SUMIF(Plan!$A$5:$A$24,$A88,Plan!F$5:F$24))</f>
        <v/>
      </c>
      <c r="I88" s="38">
        <f>IF($B88="",0,$E88*SUMIF(Plan!$A$5:$A$24,$A88,Plan!G$5:G$24))</f>
        <v/>
      </c>
      <c r="J88" s="38">
        <f>IF($B88="",0,$E88*SUMIF(Plan!$A$5:$A$24,$A88,Plan!H$5:H$24))</f>
        <v/>
      </c>
      <c r="K88" s="38">
        <f>IF($B88="",0,$E88*SUMIF(Plan!$A$5:$A$24,$A88,Plan!I$5:I$24))</f>
        <v/>
      </c>
      <c r="L88" s="38">
        <f>IF($B88="",0,$E88*SUMIF(Plan!$A$5:$A$24,$A88,Plan!J$5:J$24))</f>
        <v/>
      </c>
      <c r="M88" s="38">
        <f>IF($B88="",0,$E88*SUMIF(Plan!$A$5:$A$24,$A88,Plan!K$5:K$24))</f>
        <v/>
      </c>
      <c r="N88" s="38">
        <f>IF($B88="",0,$E88*SUMIF(Plan!$A$5:$A$24,$A88,Plan!L$5:L$24))</f>
        <v/>
      </c>
    </row>
    <row r="89">
      <c r="A89" s="29" t="n"/>
      <c r="B89" s="30" t="n"/>
      <c r="C89" s="39">
        <f>IFERROR(INDEX(Materiales!$B$4:$B$18,MATCH($B89,Materiales!$A$4:$A$18,0)),"")</f>
        <v/>
      </c>
      <c r="D89" s="40">
        <f>IFERROR(INDEX(Materiales!$C$4:$C$18,MATCH($B89,Materiales!$A$4:$A$18,0)),"")</f>
        <v/>
      </c>
      <c r="E89" s="33" t="n"/>
      <c r="F89" s="29" t="n"/>
      <c r="G89" s="38">
        <f>IF($B89="",0,$E89*SUMIF(Plan!$A$5:$A$24,$A89,Plan!E$5:E$24))</f>
        <v/>
      </c>
      <c r="H89" s="38">
        <f>IF($B89="",0,$E89*SUMIF(Plan!$A$5:$A$24,$A89,Plan!F$5:F$24))</f>
        <v/>
      </c>
      <c r="I89" s="38">
        <f>IF($B89="",0,$E89*SUMIF(Plan!$A$5:$A$24,$A89,Plan!G$5:G$24))</f>
        <v/>
      </c>
      <c r="J89" s="38">
        <f>IF($B89="",0,$E89*SUMIF(Plan!$A$5:$A$24,$A89,Plan!H$5:H$24))</f>
        <v/>
      </c>
      <c r="K89" s="38">
        <f>IF($B89="",0,$E89*SUMIF(Plan!$A$5:$A$24,$A89,Plan!I$5:I$24))</f>
        <v/>
      </c>
      <c r="L89" s="38">
        <f>IF($B89="",0,$E89*SUMIF(Plan!$A$5:$A$24,$A89,Plan!J$5:J$24))</f>
        <v/>
      </c>
      <c r="M89" s="38">
        <f>IF($B89="",0,$E89*SUMIF(Plan!$A$5:$A$24,$A89,Plan!K$5:K$24))</f>
        <v/>
      </c>
      <c r="N89" s="38">
        <f>IF($B89="",0,$E89*SUMIF(Plan!$A$5:$A$24,$A89,Plan!L$5:L$24))</f>
        <v/>
      </c>
    </row>
    <row r="90">
      <c r="A90" s="29" t="n"/>
      <c r="B90" s="30" t="n"/>
      <c r="C90" s="39">
        <f>IFERROR(INDEX(Materiales!$B$4:$B$18,MATCH($B90,Materiales!$A$4:$A$18,0)),"")</f>
        <v/>
      </c>
      <c r="D90" s="40">
        <f>IFERROR(INDEX(Materiales!$C$4:$C$18,MATCH($B90,Materiales!$A$4:$A$18,0)),"")</f>
        <v/>
      </c>
      <c r="E90" s="33" t="n"/>
      <c r="F90" s="29" t="n"/>
      <c r="G90" s="38">
        <f>IF($B90="",0,$E90*SUMIF(Plan!$A$5:$A$24,$A90,Plan!E$5:E$24))</f>
        <v/>
      </c>
      <c r="H90" s="38">
        <f>IF($B90="",0,$E90*SUMIF(Plan!$A$5:$A$24,$A90,Plan!F$5:F$24))</f>
        <v/>
      </c>
      <c r="I90" s="38">
        <f>IF($B90="",0,$E90*SUMIF(Plan!$A$5:$A$24,$A90,Plan!G$5:G$24))</f>
        <v/>
      </c>
      <c r="J90" s="38">
        <f>IF($B90="",0,$E90*SUMIF(Plan!$A$5:$A$24,$A90,Plan!H$5:H$24))</f>
        <v/>
      </c>
      <c r="K90" s="38">
        <f>IF($B90="",0,$E90*SUMIF(Plan!$A$5:$A$24,$A90,Plan!I$5:I$24))</f>
        <v/>
      </c>
      <c r="L90" s="38">
        <f>IF($B90="",0,$E90*SUMIF(Plan!$A$5:$A$24,$A90,Plan!J$5:J$24))</f>
        <v/>
      </c>
      <c r="M90" s="38">
        <f>IF($B90="",0,$E90*SUMIF(Plan!$A$5:$A$24,$A90,Plan!K$5:K$24))</f>
        <v/>
      </c>
      <c r="N90" s="38">
        <f>IF($B90="",0,$E90*SUMIF(Plan!$A$5:$A$24,$A90,Plan!L$5:L$24))</f>
        <v/>
      </c>
    </row>
    <row r="91">
      <c r="A91" s="29" t="n"/>
      <c r="B91" s="30" t="n"/>
      <c r="C91" s="39">
        <f>IFERROR(INDEX(Materiales!$B$4:$B$18,MATCH($B91,Materiales!$A$4:$A$18,0)),"")</f>
        <v/>
      </c>
      <c r="D91" s="40">
        <f>IFERROR(INDEX(Materiales!$C$4:$C$18,MATCH($B91,Materiales!$A$4:$A$18,0)),"")</f>
        <v/>
      </c>
      <c r="E91" s="33" t="n"/>
      <c r="F91" s="29" t="n"/>
      <c r="G91" s="38">
        <f>IF($B91="",0,$E91*SUMIF(Plan!$A$5:$A$24,$A91,Plan!E$5:E$24))</f>
        <v/>
      </c>
      <c r="H91" s="38">
        <f>IF($B91="",0,$E91*SUMIF(Plan!$A$5:$A$24,$A91,Plan!F$5:F$24))</f>
        <v/>
      </c>
      <c r="I91" s="38">
        <f>IF($B91="",0,$E91*SUMIF(Plan!$A$5:$A$24,$A91,Plan!G$5:G$24))</f>
        <v/>
      </c>
      <c r="J91" s="38">
        <f>IF($B91="",0,$E91*SUMIF(Plan!$A$5:$A$24,$A91,Plan!H$5:H$24))</f>
        <v/>
      </c>
      <c r="K91" s="38">
        <f>IF($B91="",0,$E91*SUMIF(Plan!$A$5:$A$24,$A91,Plan!I$5:I$24))</f>
        <v/>
      </c>
      <c r="L91" s="38">
        <f>IF($B91="",0,$E91*SUMIF(Plan!$A$5:$A$24,$A91,Plan!J$5:J$24))</f>
        <v/>
      </c>
      <c r="M91" s="38">
        <f>IF($B91="",0,$E91*SUMIF(Plan!$A$5:$A$24,$A91,Plan!K$5:K$24))</f>
        <v/>
      </c>
      <c r="N91" s="38">
        <f>IF($B91="",0,$E91*SUMIF(Plan!$A$5:$A$24,$A91,Plan!L$5:L$24))</f>
        <v/>
      </c>
    </row>
    <row r="92">
      <c r="A92" s="29" t="n"/>
      <c r="B92" s="30" t="n"/>
      <c r="C92" s="39">
        <f>IFERROR(INDEX(Materiales!$B$4:$B$18,MATCH($B92,Materiales!$A$4:$A$18,0)),"")</f>
        <v/>
      </c>
      <c r="D92" s="40">
        <f>IFERROR(INDEX(Materiales!$C$4:$C$18,MATCH($B92,Materiales!$A$4:$A$18,0)),"")</f>
        <v/>
      </c>
      <c r="E92" s="33" t="n"/>
      <c r="F92" s="29" t="n"/>
      <c r="G92" s="38">
        <f>IF($B92="",0,$E92*SUMIF(Plan!$A$5:$A$24,$A92,Plan!E$5:E$24))</f>
        <v/>
      </c>
      <c r="H92" s="38">
        <f>IF($B92="",0,$E92*SUMIF(Plan!$A$5:$A$24,$A92,Plan!F$5:F$24))</f>
        <v/>
      </c>
      <c r="I92" s="38">
        <f>IF($B92="",0,$E92*SUMIF(Plan!$A$5:$A$24,$A92,Plan!G$5:G$24))</f>
        <v/>
      </c>
      <c r="J92" s="38">
        <f>IF($B92="",0,$E92*SUMIF(Plan!$A$5:$A$24,$A92,Plan!H$5:H$24))</f>
        <v/>
      </c>
      <c r="K92" s="38">
        <f>IF($B92="",0,$E92*SUMIF(Plan!$A$5:$A$24,$A92,Plan!I$5:I$24))</f>
        <v/>
      </c>
      <c r="L92" s="38">
        <f>IF($B92="",0,$E92*SUMIF(Plan!$A$5:$A$24,$A92,Plan!J$5:J$24))</f>
        <v/>
      </c>
      <c r="M92" s="38">
        <f>IF($B92="",0,$E92*SUMIF(Plan!$A$5:$A$24,$A92,Plan!K$5:K$24))</f>
        <v/>
      </c>
      <c r="N92" s="38">
        <f>IF($B92="",0,$E92*SUMIF(Plan!$A$5:$A$24,$A92,Plan!L$5:L$24))</f>
        <v/>
      </c>
    </row>
    <row r="93">
      <c r="A93" s="29" t="n"/>
      <c r="B93" s="30" t="n"/>
      <c r="C93" s="39">
        <f>IFERROR(INDEX(Materiales!$B$4:$B$18,MATCH($B93,Materiales!$A$4:$A$18,0)),"")</f>
        <v/>
      </c>
      <c r="D93" s="40">
        <f>IFERROR(INDEX(Materiales!$C$4:$C$18,MATCH($B93,Materiales!$A$4:$A$18,0)),"")</f>
        <v/>
      </c>
      <c r="E93" s="33" t="n"/>
      <c r="F93" s="29" t="n"/>
      <c r="G93" s="38">
        <f>IF($B93="",0,$E93*SUMIF(Plan!$A$5:$A$24,$A93,Plan!E$5:E$24))</f>
        <v/>
      </c>
      <c r="H93" s="38">
        <f>IF($B93="",0,$E93*SUMIF(Plan!$A$5:$A$24,$A93,Plan!F$5:F$24))</f>
        <v/>
      </c>
      <c r="I93" s="38">
        <f>IF($B93="",0,$E93*SUMIF(Plan!$A$5:$A$24,$A93,Plan!G$5:G$24))</f>
        <v/>
      </c>
      <c r="J93" s="38">
        <f>IF($B93="",0,$E93*SUMIF(Plan!$A$5:$A$24,$A93,Plan!H$5:H$24))</f>
        <v/>
      </c>
      <c r="K93" s="38">
        <f>IF($B93="",0,$E93*SUMIF(Plan!$A$5:$A$24,$A93,Plan!I$5:I$24))</f>
        <v/>
      </c>
      <c r="L93" s="38">
        <f>IF($B93="",0,$E93*SUMIF(Plan!$A$5:$A$24,$A93,Plan!J$5:J$24))</f>
        <v/>
      </c>
      <c r="M93" s="38">
        <f>IF($B93="",0,$E93*SUMIF(Plan!$A$5:$A$24,$A93,Plan!K$5:K$24))</f>
        <v/>
      </c>
      <c r="N93" s="38">
        <f>IF($B93="",0,$E93*SUMIF(Plan!$A$5:$A$24,$A93,Plan!L$5:L$24))</f>
        <v/>
      </c>
    </row>
    <row r="94">
      <c r="A94" s="29" t="n"/>
      <c r="B94" s="30" t="n"/>
      <c r="C94" s="39">
        <f>IFERROR(INDEX(Materiales!$B$4:$B$18,MATCH($B94,Materiales!$A$4:$A$18,0)),"")</f>
        <v/>
      </c>
      <c r="D94" s="40">
        <f>IFERROR(INDEX(Materiales!$C$4:$C$18,MATCH($B94,Materiales!$A$4:$A$18,0)),"")</f>
        <v/>
      </c>
      <c r="E94" s="33" t="n"/>
      <c r="F94" s="29" t="n"/>
      <c r="G94" s="38">
        <f>IF($B94="",0,$E94*SUMIF(Plan!$A$5:$A$24,$A94,Plan!E$5:E$24))</f>
        <v/>
      </c>
      <c r="H94" s="38">
        <f>IF($B94="",0,$E94*SUMIF(Plan!$A$5:$A$24,$A94,Plan!F$5:F$24))</f>
        <v/>
      </c>
      <c r="I94" s="38">
        <f>IF($B94="",0,$E94*SUMIF(Plan!$A$5:$A$24,$A94,Plan!G$5:G$24))</f>
        <v/>
      </c>
      <c r="J94" s="38">
        <f>IF($B94="",0,$E94*SUMIF(Plan!$A$5:$A$24,$A94,Plan!H$5:H$24))</f>
        <v/>
      </c>
      <c r="K94" s="38">
        <f>IF($B94="",0,$E94*SUMIF(Plan!$A$5:$A$24,$A94,Plan!I$5:I$24))</f>
        <v/>
      </c>
      <c r="L94" s="38">
        <f>IF($B94="",0,$E94*SUMIF(Plan!$A$5:$A$24,$A94,Plan!J$5:J$24))</f>
        <v/>
      </c>
      <c r="M94" s="38">
        <f>IF($B94="",0,$E94*SUMIF(Plan!$A$5:$A$24,$A94,Plan!K$5:K$24))</f>
        <v/>
      </c>
      <c r="N94" s="38">
        <f>IF($B94="",0,$E94*SUMIF(Plan!$A$5:$A$24,$A94,Plan!L$5:L$24))</f>
        <v/>
      </c>
    </row>
    <row r="95">
      <c r="A95" s="29" t="n"/>
      <c r="B95" s="30" t="n"/>
      <c r="C95" s="39">
        <f>IFERROR(INDEX(Materiales!$B$4:$B$18,MATCH($B95,Materiales!$A$4:$A$18,0)),"")</f>
        <v/>
      </c>
      <c r="D95" s="40">
        <f>IFERROR(INDEX(Materiales!$C$4:$C$18,MATCH($B95,Materiales!$A$4:$A$18,0)),"")</f>
        <v/>
      </c>
      <c r="E95" s="33" t="n"/>
      <c r="F95" s="29" t="n"/>
      <c r="G95" s="38">
        <f>IF($B95="",0,$E95*SUMIF(Plan!$A$5:$A$24,$A95,Plan!E$5:E$24))</f>
        <v/>
      </c>
      <c r="H95" s="38">
        <f>IF($B95="",0,$E95*SUMIF(Plan!$A$5:$A$24,$A95,Plan!F$5:F$24))</f>
        <v/>
      </c>
      <c r="I95" s="38">
        <f>IF($B95="",0,$E95*SUMIF(Plan!$A$5:$A$24,$A95,Plan!G$5:G$24))</f>
        <v/>
      </c>
      <c r="J95" s="38">
        <f>IF($B95="",0,$E95*SUMIF(Plan!$A$5:$A$24,$A95,Plan!H$5:H$24))</f>
        <v/>
      </c>
      <c r="K95" s="38">
        <f>IF($B95="",0,$E95*SUMIF(Plan!$A$5:$A$24,$A95,Plan!I$5:I$24))</f>
        <v/>
      </c>
      <c r="L95" s="38">
        <f>IF($B95="",0,$E95*SUMIF(Plan!$A$5:$A$24,$A95,Plan!J$5:J$24))</f>
        <v/>
      </c>
      <c r="M95" s="38">
        <f>IF($B95="",0,$E95*SUMIF(Plan!$A$5:$A$24,$A95,Plan!K$5:K$24))</f>
        <v/>
      </c>
      <c r="N95" s="38">
        <f>IF($B95="",0,$E95*SUMIF(Plan!$A$5:$A$24,$A95,Plan!L$5:L$24))</f>
        <v/>
      </c>
    </row>
    <row r="96">
      <c r="A96" s="29" t="n"/>
      <c r="B96" s="30" t="n"/>
      <c r="C96" s="39">
        <f>IFERROR(INDEX(Materiales!$B$4:$B$18,MATCH($B96,Materiales!$A$4:$A$18,0)),"")</f>
        <v/>
      </c>
      <c r="D96" s="40">
        <f>IFERROR(INDEX(Materiales!$C$4:$C$18,MATCH($B96,Materiales!$A$4:$A$18,0)),"")</f>
        <v/>
      </c>
      <c r="E96" s="33" t="n"/>
      <c r="F96" s="29" t="n"/>
      <c r="G96" s="38">
        <f>IF($B96="",0,$E96*SUMIF(Plan!$A$5:$A$24,$A96,Plan!E$5:E$24))</f>
        <v/>
      </c>
      <c r="H96" s="38">
        <f>IF($B96="",0,$E96*SUMIF(Plan!$A$5:$A$24,$A96,Plan!F$5:F$24))</f>
        <v/>
      </c>
      <c r="I96" s="38">
        <f>IF($B96="",0,$E96*SUMIF(Plan!$A$5:$A$24,$A96,Plan!G$5:G$24))</f>
        <v/>
      </c>
      <c r="J96" s="38">
        <f>IF($B96="",0,$E96*SUMIF(Plan!$A$5:$A$24,$A96,Plan!H$5:H$24))</f>
        <v/>
      </c>
      <c r="K96" s="38">
        <f>IF($B96="",0,$E96*SUMIF(Plan!$A$5:$A$24,$A96,Plan!I$5:I$24))</f>
        <v/>
      </c>
      <c r="L96" s="38">
        <f>IF($B96="",0,$E96*SUMIF(Plan!$A$5:$A$24,$A96,Plan!J$5:J$24))</f>
        <v/>
      </c>
      <c r="M96" s="38">
        <f>IF($B96="",0,$E96*SUMIF(Plan!$A$5:$A$24,$A96,Plan!K$5:K$24))</f>
        <v/>
      </c>
      <c r="N96" s="38">
        <f>IF($B96="",0,$E96*SUMIF(Plan!$A$5:$A$24,$A96,Plan!L$5:L$24))</f>
        <v/>
      </c>
    </row>
    <row r="97">
      <c r="A97" s="29" t="n"/>
      <c r="B97" s="30" t="n"/>
      <c r="C97" s="39">
        <f>IFERROR(INDEX(Materiales!$B$4:$B$18,MATCH($B97,Materiales!$A$4:$A$18,0)),"")</f>
        <v/>
      </c>
      <c r="D97" s="40">
        <f>IFERROR(INDEX(Materiales!$C$4:$C$18,MATCH($B97,Materiales!$A$4:$A$18,0)),"")</f>
        <v/>
      </c>
      <c r="E97" s="33" t="n"/>
      <c r="F97" s="29" t="n"/>
      <c r="G97" s="38">
        <f>IF($B97="",0,$E97*SUMIF(Plan!$A$5:$A$24,$A97,Plan!E$5:E$24))</f>
        <v/>
      </c>
      <c r="H97" s="38">
        <f>IF($B97="",0,$E97*SUMIF(Plan!$A$5:$A$24,$A97,Plan!F$5:F$24))</f>
        <v/>
      </c>
      <c r="I97" s="38">
        <f>IF($B97="",0,$E97*SUMIF(Plan!$A$5:$A$24,$A97,Plan!G$5:G$24))</f>
        <v/>
      </c>
      <c r="J97" s="38">
        <f>IF($B97="",0,$E97*SUMIF(Plan!$A$5:$A$24,$A97,Plan!H$5:H$24))</f>
        <v/>
      </c>
      <c r="K97" s="38">
        <f>IF($B97="",0,$E97*SUMIF(Plan!$A$5:$A$24,$A97,Plan!I$5:I$24))</f>
        <v/>
      </c>
      <c r="L97" s="38">
        <f>IF($B97="",0,$E97*SUMIF(Plan!$A$5:$A$24,$A97,Plan!J$5:J$24))</f>
        <v/>
      </c>
      <c r="M97" s="38">
        <f>IF($B97="",0,$E97*SUMIF(Plan!$A$5:$A$24,$A97,Plan!K$5:K$24))</f>
        <v/>
      </c>
      <c r="N97" s="38">
        <f>IF($B97="",0,$E97*SUMIF(Plan!$A$5:$A$24,$A97,Plan!L$5:L$24))</f>
        <v/>
      </c>
    </row>
    <row r="98">
      <c r="A98" s="29" t="n"/>
      <c r="B98" s="30" t="n"/>
      <c r="C98" s="39">
        <f>IFERROR(INDEX(Materiales!$B$4:$B$18,MATCH($B98,Materiales!$A$4:$A$18,0)),"")</f>
        <v/>
      </c>
      <c r="D98" s="40">
        <f>IFERROR(INDEX(Materiales!$C$4:$C$18,MATCH($B98,Materiales!$A$4:$A$18,0)),"")</f>
        <v/>
      </c>
      <c r="E98" s="33" t="n"/>
      <c r="F98" s="29" t="n"/>
      <c r="G98" s="38">
        <f>IF($B98="",0,$E98*SUMIF(Plan!$A$5:$A$24,$A98,Plan!E$5:E$24))</f>
        <v/>
      </c>
      <c r="H98" s="38">
        <f>IF($B98="",0,$E98*SUMIF(Plan!$A$5:$A$24,$A98,Plan!F$5:F$24))</f>
        <v/>
      </c>
      <c r="I98" s="38">
        <f>IF($B98="",0,$E98*SUMIF(Plan!$A$5:$A$24,$A98,Plan!G$5:G$24))</f>
        <v/>
      </c>
      <c r="J98" s="38">
        <f>IF($B98="",0,$E98*SUMIF(Plan!$A$5:$A$24,$A98,Plan!H$5:H$24))</f>
        <v/>
      </c>
      <c r="K98" s="38">
        <f>IF($B98="",0,$E98*SUMIF(Plan!$A$5:$A$24,$A98,Plan!I$5:I$24))</f>
        <v/>
      </c>
      <c r="L98" s="38">
        <f>IF($B98="",0,$E98*SUMIF(Plan!$A$5:$A$24,$A98,Plan!J$5:J$24))</f>
        <v/>
      </c>
      <c r="M98" s="38">
        <f>IF($B98="",0,$E98*SUMIF(Plan!$A$5:$A$24,$A98,Plan!K$5:K$24))</f>
        <v/>
      </c>
      <c r="N98" s="38">
        <f>IF($B98="",0,$E98*SUMIF(Plan!$A$5:$A$24,$A98,Plan!L$5:L$24))</f>
        <v/>
      </c>
    </row>
    <row r="99">
      <c r="A99" s="29" t="n"/>
      <c r="B99" s="30" t="n"/>
      <c r="C99" s="39">
        <f>IFERROR(INDEX(Materiales!$B$4:$B$18,MATCH($B99,Materiales!$A$4:$A$18,0)),"")</f>
        <v/>
      </c>
      <c r="D99" s="40">
        <f>IFERROR(INDEX(Materiales!$C$4:$C$18,MATCH($B99,Materiales!$A$4:$A$18,0)),"")</f>
        <v/>
      </c>
      <c r="E99" s="33" t="n"/>
      <c r="F99" s="29" t="n"/>
      <c r="G99" s="38">
        <f>IF($B99="",0,$E99*SUMIF(Plan!$A$5:$A$24,$A99,Plan!E$5:E$24))</f>
        <v/>
      </c>
      <c r="H99" s="38">
        <f>IF($B99="",0,$E99*SUMIF(Plan!$A$5:$A$24,$A99,Plan!F$5:F$24))</f>
        <v/>
      </c>
      <c r="I99" s="38">
        <f>IF($B99="",0,$E99*SUMIF(Plan!$A$5:$A$24,$A99,Plan!G$5:G$24))</f>
        <v/>
      </c>
      <c r="J99" s="38">
        <f>IF($B99="",0,$E99*SUMIF(Plan!$A$5:$A$24,$A99,Plan!H$5:H$24))</f>
        <v/>
      </c>
      <c r="K99" s="38">
        <f>IF($B99="",0,$E99*SUMIF(Plan!$A$5:$A$24,$A99,Plan!I$5:I$24))</f>
        <v/>
      </c>
      <c r="L99" s="38">
        <f>IF($B99="",0,$E99*SUMIF(Plan!$A$5:$A$24,$A99,Plan!J$5:J$24))</f>
        <v/>
      </c>
      <c r="M99" s="38">
        <f>IF($B99="",0,$E99*SUMIF(Plan!$A$5:$A$24,$A99,Plan!K$5:K$24))</f>
        <v/>
      </c>
      <c r="N99" s="38">
        <f>IF($B99="",0,$E99*SUMIF(Plan!$A$5:$A$24,$A99,Plan!L$5:L$24))</f>
        <v/>
      </c>
    </row>
    <row r="100">
      <c r="A100" s="29" t="n"/>
      <c r="B100" s="30" t="n"/>
      <c r="C100" s="39">
        <f>IFERROR(INDEX(Materiales!$B$4:$B$18,MATCH($B100,Materiales!$A$4:$A$18,0)),"")</f>
        <v/>
      </c>
      <c r="D100" s="40">
        <f>IFERROR(INDEX(Materiales!$C$4:$C$18,MATCH($B100,Materiales!$A$4:$A$18,0)),"")</f>
        <v/>
      </c>
      <c r="E100" s="33" t="n"/>
      <c r="F100" s="29" t="n"/>
      <c r="G100" s="38">
        <f>IF($B100="",0,$E100*SUMIF(Plan!$A$5:$A$24,$A100,Plan!E$5:E$24))</f>
        <v/>
      </c>
      <c r="H100" s="38">
        <f>IF($B100="",0,$E100*SUMIF(Plan!$A$5:$A$24,$A100,Plan!F$5:F$24))</f>
        <v/>
      </c>
      <c r="I100" s="38">
        <f>IF($B100="",0,$E100*SUMIF(Plan!$A$5:$A$24,$A100,Plan!G$5:G$24))</f>
        <v/>
      </c>
      <c r="J100" s="38">
        <f>IF($B100="",0,$E100*SUMIF(Plan!$A$5:$A$24,$A100,Plan!H$5:H$24))</f>
        <v/>
      </c>
      <c r="K100" s="38">
        <f>IF($B100="",0,$E100*SUMIF(Plan!$A$5:$A$24,$A100,Plan!I$5:I$24))</f>
        <v/>
      </c>
      <c r="L100" s="38">
        <f>IF($B100="",0,$E100*SUMIF(Plan!$A$5:$A$24,$A100,Plan!J$5:J$24))</f>
        <v/>
      </c>
      <c r="M100" s="38">
        <f>IF($B100="",0,$E100*SUMIF(Plan!$A$5:$A$24,$A100,Plan!K$5:K$24))</f>
        <v/>
      </c>
      <c r="N100" s="38">
        <f>IF($B100="",0,$E100*SUMIF(Plan!$A$5:$A$24,$A100,Plan!L$5:L$24))</f>
        <v/>
      </c>
    </row>
    <row r="101">
      <c r="A101" s="29" t="n"/>
      <c r="B101" s="30" t="n"/>
      <c r="C101" s="39">
        <f>IFERROR(INDEX(Materiales!$B$4:$B$18,MATCH($B101,Materiales!$A$4:$A$18,0)),"")</f>
        <v/>
      </c>
      <c r="D101" s="40">
        <f>IFERROR(INDEX(Materiales!$C$4:$C$18,MATCH($B101,Materiales!$A$4:$A$18,0)),"")</f>
        <v/>
      </c>
      <c r="E101" s="33" t="n"/>
      <c r="F101" s="29" t="n"/>
      <c r="G101" s="38">
        <f>IF($B101="",0,$E101*SUMIF(Plan!$A$5:$A$24,$A101,Plan!E$5:E$24))</f>
        <v/>
      </c>
      <c r="H101" s="38">
        <f>IF($B101="",0,$E101*SUMIF(Plan!$A$5:$A$24,$A101,Plan!F$5:F$24))</f>
        <v/>
      </c>
      <c r="I101" s="38">
        <f>IF($B101="",0,$E101*SUMIF(Plan!$A$5:$A$24,$A101,Plan!G$5:G$24))</f>
        <v/>
      </c>
      <c r="J101" s="38">
        <f>IF($B101="",0,$E101*SUMIF(Plan!$A$5:$A$24,$A101,Plan!H$5:H$24))</f>
        <v/>
      </c>
      <c r="K101" s="38">
        <f>IF($B101="",0,$E101*SUMIF(Plan!$A$5:$A$24,$A101,Plan!I$5:I$24))</f>
        <v/>
      </c>
      <c r="L101" s="38">
        <f>IF($B101="",0,$E101*SUMIF(Plan!$A$5:$A$24,$A101,Plan!J$5:J$24))</f>
        <v/>
      </c>
      <c r="M101" s="38">
        <f>IF($B101="",0,$E101*SUMIF(Plan!$A$5:$A$24,$A101,Plan!K$5:K$24))</f>
        <v/>
      </c>
      <c r="N101" s="38">
        <f>IF($B101="",0,$E101*SUMIF(Plan!$A$5:$A$24,$A101,Plan!L$5:L$24))</f>
        <v/>
      </c>
    </row>
    <row r="102">
      <c r="A102" s="29" t="n"/>
      <c r="B102" s="30" t="n"/>
      <c r="C102" s="39">
        <f>IFERROR(INDEX(Materiales!$B$4:$B$18,MATCH($B102,Materiales!$A$4:$A$18,0)),"")</f>
        <v/>
      </c>
      <c r="D102" s="40">
        <f>IFERROR(INDEX(Materiales!$C$4:$C$18,MATCH($B102,Materiales!$A$4:$A$18,0)),"")</f>
        <v/>
      </c>
      <c r="E102" s="33" t="n"/>
      <c r="F102" s="29" t="n"/>
      <c r="G102" s="38">
        <f>IF($B102="",0,$E102*SUMIF(Plan!$A$5:$A$24,$A102,Plan!E$5:E$24))</f>
        <v/>
      </c>
      <c r="H102" s="38">
        <f>IF($B102="",0,$E102*SUMIF(Plan!$A$5:$A$24,$A102,Plan!F$5:F$24))</f>
        <v/>
      </c>
      <c r="I102" s="38">
        <f>IF($B102="",0,$E102*SUMIF(Plan!$A$5:$A$24,$A102,Plan!G$5:G$24))</f>
        <v/>
      </c>
      <c r="J102" s="38">
        <f>IF($B102="",0,$E102*SUMIF(Plan!$A$5:$A$24,$A102,Plan!H$5:H$24))</f>
        <v/>
      </c>
      <c r="K102" s="38">
        <f>IF($B102="",0,$E102*SUMIF(Plan!$A$5:$A$24,$A102,Plan!I$5:I$24))</f>
        <v/>
      </c>
      <c r="L102" s="38">
        <f>IF($B102="",0,$E102*SUMIF(Plan!$A$5:$A$24,$A102,Plan!J$5:J$24))</f>
        <v/>
      </c>
      <c r="M102" s="38">
        <f>IF($B102="",0,$E102*SUMIF(Plan!$A$5:$A$24,$A102,Plan!K$5:K$24))</f>
        <v/>
      </c>
      <c r="N102" s="38">
        <f>IF($B102="",0,$E102*SUMIF(Plan!$A$5:$A$24,$A102,Plan!L$5:L$24))</f>
        <v/>
      </c>
    </row>
    <row r="103">
      <c r="A103" s="29" t="n"/>
      <c r="B103" s="30" t="n"/>
      <c r="C103" s="39">
        <f>IFERROR(INDEX(Materiales!$B$4:$B$18,MATCH($B103,Materiales!$A$4:$A$18,0)),"")</f>
        <v/>
      </c>
      <c r="D103" s="40">
        <f>IFERROR(INDEX(Materiales!$C$4:$C$18,MATCH($B103,Materiales!$A$4:$A$18,0)),"")</f>
        <v/>
      </c>
      <c r="E103" s="33" t="n"/>
      <c r="F103" s="29" t="n"/>
      <c r="G103" s="38">
        <f>IF($B103="",0,$E103*SUMIF(Plan!$A$5:$A$24,$A103,Plan!E$5:E$24))</f>
        <v/>
      </c>
      <c r="H103" s="38">
        <f>IF($B103="",0,$E103*SUMIF(Plan!$A$5:$A$24,$A103,Plan!F$5:F$24))</f>
        <v/>
      </c>
      <c r="I103" s="38">
        <f>IF($B103="",0,$E103*SUMIF(Plan!$A$5:$A$24,$A103,Plan!G$5:G$24))</f>
        <v/>
      </c>
      <c r="J103" s="38">
        <f>IF($B103="",0,$E103*SUMIF(Plan!$A$5:$A$24,$A103,Plan!H$5:H$24))</f>
        <v/>
      </c>
      <c r="K103" s="38">
        <f>IF($B103="",0,$E103*SUMIF(Plan!$A$5:$A$24,$A103,Plan!I$5:I$24))</f>
        <v/>
      </c>
      <c r="L103" s="38">
        <f>IF($B103="",0,$E103*SUMIF(Plan!$A$5:$A$24,$A103,Plan!J$5:J$24))</f>
        <v/>
      </c>
      <c r="M103" s="38">
        <f>IF($B103="",0,$E103*SUMIF(Plan!$A$5:$A$24,$A103,Plan!K$5:K$24))</f>
        <v/>
      </c>
      <c r="N103" s="38">
        <f>IF($B103="",0,$E103*SUMIF(Plan!$A$5:$A$24,$A103,Plan!L$5:L$24))</f>
        <v/>
      </c>
    </row>
  </sheetData>
  <mergeCells count="2">
    <mergeCell ref="A2:N2"/>
    <mergeCell ref="A1:N1"/>
  </mergeCells>
  <dataValidations count="2">
    <dataValidation sqref="B4:B103" showDropDown="0" showInputMessage="0" showErrorMessage="0" allowBlank="1" errorTitle="Codigo no valido" error="Elige un codigo del maestro (hoja Materiales)." type="list">
      <formula1>Materiales!$A$4:$A$18</formula1>
    </dataValidation>
    <dataValidation sqref="A4:A103" showDropDown="0" showInputMessage="0" showErrorMessage="0" allowBlank="1" errorTitle="Frente no valido" error="Elige un frente de la hoja Plan." type="list">
      <formula1>Plan!$A$5:$A$24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F2CC"/>
    <outlinePr summaryBelow="1" summaryRight="1"/>
    <pageSetUpPr/>
  </sheetPr>
  <dimension ref="A1:L29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3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6" customHeight="1">
      <c r="A1" s="1" t="inlineStr">
        <is>
          <t>PASO 4 — Stock actual y ordenes ya emitidas (en transito)</t>
        </is>
      </c>
    </row>
    <row r="2" ht="18" customHeight="1">
      <c r="A2" s="2" t="inlineStr">
        <is>
          <t>Stock que HOY tienes, y las cantidades de ordenes ya emitidas puestas en la semana en que llegaran. Puedes repetir un codigo en varios renglones (una linea por orden de compra).</t>
        </is>
      </c>
    </row>
    <row r="3">
      <c r="E3" s="90">
        <f>Plan!E$3</f>
        <v/>
      </c>
      <c r="F3" s="90">
        <f>Plan!F$3</f>
        <v/>
      </c>
      <c r="G3" s="90">
        <f>Plan!G$3</f>
        <v/>
      </c>
      <c r="H3" s="90">
        <f>Plan!H$3</f>
        <v/>
      </c>
      <c r="I3" s="90">
        <f>Plan!I$3</f>
        <v/>
      </c>
      <c r="J3" s="90">
        <f>Plan!J$3</f>
        <v/>
      </c>
      <c r="K3" s="90">
        <f>Plan!K$3</f>
        <v/>
      </c>
      <c r="L3" s="90">
        <f>Plan!L$3</f>
        <v/>
      </c>
    </row>
    <row r="4" ht="32" customHeight="1">
      <c r="A4" s="6" t="inlineStr">
        <is>
          <t>Codigo</t>
        </is>
      </c>
      <c r="B4" s="6" t="inlineStr">
        <is>
          <t>Material (auto)</t>
        </is>
      </c>
      <c r="C4" s="6" t="inlineStr">
        <is>
          <t>Stock actual</t>
        </is>
      </c>
      <c r="D4" s="6" t="inlineStr">
        <is>
          <t>N° OC / Proveedor</t>
        </is>
      </c>
      <c r="E4" s="6" t="inlineStr">
        <is>
          <t>Sem 1</t>
        </is>
      </c>
      <c r="F4" s="6" t="inlineStr">
        <is>
          <t>Sem 2</t>
        </is>
      </c>
      <c r="G4" s="6" t="inlineStr">
        <is>
          <t>Sem 3</t>
        </is>
      </c>
      <c r="H4" s="6" t="inlineStr">
        <is>
          <t>Sem 4</t>
        </is>
      </c>
      <c r="I4" s="6" t="inlineStr">
        <is>
          <t>Sem 5</t>
        </is>
      </c>
      <c r="J4" s="6" t="inlineStr">
        <is>
          <t>Sem 6</t>
        </is>
      </c>
      <c r="K4" s="6" t="inlineStr">
        <is>
          <t>Sem 7</t>
        </is>
      </c>
      <c r="L4" s="6" t="inlineStr">
        <is>
          <t>Sem 8</t>
        </is>
      </c>
    </row>
    <row r="5">
      <c r="A5" s="78" t="inlineStr">
        <is>
          <t>SOS-CIM-001</t>
        </is>
      </c>
      <c r="B5" s="39">
        <f>IFERROR(INDEX(Materiales!$B$4:$B$18,MATCH($A5,Materiales!$A$4:$A$18,0)),"")</f>
        <v/>
      </c>
      <c r="C5" s="83" t="n">
        <v>4</v>
      </c>
      <c r="D5" s="81" t="inlineStr">
        <is>
          <t>sin OC emitida</t>
        </is>
      </c>
      <c r="E5" s="83" t="n">
        <v>0</v>
      </c>
      <c r="F5" s="83" t="n">
        <v>0</v>
      </c>
      <c r="G5" s="83" t="n">
        <v>0</v>
      </c>
      <c r="H5" s="83" t="n">
        <v>0</v>
      </c>
      <c r="I5" s="83" t="n">
        <v>0</v>
      </c>
      <c r="J5" s="83" t="n">
        <v>0</v>
      </c>
      <c r="K5" s="83" t="n">
        <v>0</v>
      </c>
      <c r="L5" s="83" t="n">
        <v>0</v>
      </c>
    </row>
    <row r="6">
      <c r="A6" s="78" t="inlineStr">
        <is>
          <t>SOS-MAL-001</t>
        </is>
      </c>
      <c r="B6" s="39">
        <f>IFERROR(INDEX(Materiales!$B$4:$B$18,MATCH($A6,Materiales!$A$4:$A$18,0)),"")</f>
        <v/>
      </c>
      <c r="C6" s="83" t="n">
        <v>10</v>
      </c>
      <c r="D6" s="81" t="inlineStr">
        <is>
          <t>OC-2211 (en transito)</t>
        </is>
      </c>
      <c r="E6" s="83" t="n">
        <v>0</v>
      </c>
      <c r="F6" s="83" t="n">
        <v>20</v>
      </c>
      <c r="G6" s="83" t="n">
        <v>0</v>
      </c>
      <c r="H6" s="83" t="n">
        <v>0</v>
      </c>
      <c r="I6" s="83" t="n">
        <v>0</v>
      </c>
      <c r="J6" s="83" t="n">
        <v>0</v>
      </c>
      <c r="K6" s="83" t="n">
        <v>0</v>
      </c>
      <c r="L6" s="83" t="n">
        <v>0</v>
      </c>
    </row>
    <row r="7">
      <c r="A7" s="78" t="inlineStr">
        <is>
          <t>SOS-PER-001</t>
        </is>
      </c>
      <c r="B7" s="39">
        <f>IFERROR(INDEX(Materiales!$B$4:$B$18,MATCH($A7,Materiales!$A$4:$A$18,0)),"")</f>
        <v/>
      </c>
      <c r="C7" s="83" t="n">
        <v>150</v>
      </c>
      <c r="D7" s="81" t="inlineStr">
        <is>
          <t>OC-2212 (en transito)</t>
        </is>
      </c>
      <c r="E7" s="83" t="n">
        <v>0</v>
      </c>
      <c r="F7" s="83" t="n">
        <v>200</v>
      </c>
      <c r="G7" s="83" t="n">
        <v>0</v>
      </c>
      <c r="H7" s="83" t="n">
        <v>0</v>
      </c>
      <c r="I7" s="83" t="n">
        <v>0</v>
      </c>
      <c r="J7" s="83" t="n">
        <v>0</v>
      </c>
      <c r="K7" s="83" t="n">
        <v>0</v>
      </c>
      <c r="L7" s="83" t="n">
        <v>0</v>
      </c>
    </row>
    <row r="8">
      <c r="A8" s="30" t="n"/>
      <c r="B8" s="39">
        <f>IFERROR(INDEX(Materiales!$B$4:$B$18,MATCH($A8,Materiales!$A$4:$A$18,0)),"")</f>
        <v/>
      </c>
      <c r="C8" s="33" t="n"/>
      <c r="D8" s="29" t="n"/>
      <c r="E8" s="33" t="n"/>
      <c r="F8" s="33" t="n"/>
      <c r="G8" s="33" t="n"/>
      <c r="H8" s="33" t="n"/>
      <c r="I8" s="33" t="n"/>
      <c r="J8" s="33" t="n"/>
      <c r="K8" s="33" t="n"/>
      <c r="L8" s="33" t="n"/>
    </row>
    <row r="9">
      <c r="A9" s="30" t="n"/>
      <c r="B9" s="39">
        <f>IFERROR(INDEX(Materiales!$B$4:$B$18,MATCH($A9,Materiales!$A$4:$A$18,0)),"")</f>
        <v/>
      </c>
      <c r="C9" s="33" t="n"/>
      <c r="D9" s="29" t="n"/>
      <c r="E9" s="33" t="n"/>
      <c r="F9" s="33" t="n"/>
      <c r="G9" s="33" t="n"/>
      <c r="H9" s="33" t="n"/>
      <c r="I9" s="33" t="n"/>
      <c r="J9" s="33" t="n"/>
      <c r="K9" s="33" t="n"/>
      <c r="L9" s="33" t="n"/>
    </row>
    <row r="10">
      <c r="A10" s="30" t="n"/>
      <c r="B10" s="39">
        <f>IFERROR(INDEX(Materiales!$B$4:$B$18,MATCH($A10,Materiales!$A$4:$A$18,0)),"")</f>
        <v/>
      </c>
      <c r="C10" s="33" t="n"/>
      <c r="D10" s="29" t="n"/>
      <c r="E10" s="33" t="n"/>
      <c r="F10" s="33" t="n"/>
      <c r="G10" s="33" t="n"/>
      <c r="H10" s="33" t="n"/>
      <c r="I10" s="33" t="n"/>
      <c r="J10" s="33" t="n"/>
      <c r="K10" s="33" t="n"/>
      <c r="L10" s="33" t="n"/>
    </row>
    <row r="11">
      <c r="A11" s="30" t="n"/>
      <c r="B11" s="39">
        <f>IFERROR(INDEX(Materiales!$B$4:$B$18,MATCH($A11,Materiales!$A$4:$A$18,0)),"")</f>
        <v/>
      </c>
      <c r="C11" s="33" t="n"/>
      <c r="D11" s="29" t="n"/>
      <c r="E11" s="33" t="n"/>
      <c r="F11" s="33" t="n"/>
      <c r="G11" s="33" t="n"/>
      <c r="H11" s="33" t="n"/>
      <c r="I11" s="33" t="n"/>
      <c r="J11" s="33" t="n"/>
      <c r="K11" s="33" t="n"/>
      <c r="L11" s="33" t="n"/>
    </row>
    <row r="12">
      <c r="A12" s="30" t="n"/>
      <c r="B12" s="39">
        <f>IFERROR(INDEX(Materiales!$B$4:$B$18,MATCH($A12,Materiales!$A$4:$A$18,0)),"")</f>
        <v/>
      </c>
      <c r="C12" s="33" t="n"/>
      <c r="D12" s="29" t="n"/>
      <c r="E12" s="33" t="n"/>
      <c r="F12" s="33" t="n"/>
      <c r="G12" s="33" t="n"/>
      <c r="H12" s="33" t="n"/>
      <c r="I12" s="33" t="n"/>
      <c r="J12" s="33" t="n"/>
      <c r="K12" s="33" t="n"/>
      <c r="L12" s="33" t="n"/>
    </row>
    <row r="13">
      <c r="A13" s="30" t="n"/>
      <c r="B13" s="39">
        <f>IFERROR(INDEX(Materiales!$B$4:$B$18,MATCH($A13,Materiales!$A$4:$A$18,0)),"")</f>
        <v/>
      </c>
      <c r="C13" s="33" t="n"/>
      <c r="D13" s="29" t="n"/>
      <c r="E13" s="33" t="n"/>
      <c r="F13" s="33" t="n"/>
      <c r="G13" s="33" t="n"/>
      <c r="H13" s="33" t="n"/>
      <c r="I13" s="33" t="n"/>
      <c r="J13" s="33" t="n"/>
      <c r="K13" s="33" t="n"/>
      <c r="L13" s="33" t="n"/>
    </row>
    <row r="14">
      <c r="A14" s="30" t="n"/>
      <c r="B14" s="39">
        <f>IFERROR(INDEX(Materiales!$B$4:$B$18,MATCH($A14,Materiales!$A$4:$A$18,0)),"")</f>
        <v/>
      </c>
      <c r="C14" s="33" t="n"/>
      <c r="D14" s="29" t="n"/>
      <c r="E14" s="33" t="n"/>
      <c r="F14" s="33" t="n"/>
      <c r="G14" s="33" t="n"/>
      <c r="H14" s="33" t="n"/>
      <c r="I14" s="33" t="n"/>
      <c r="J14" s="33" t="n"/>
      <c r="K14" s="33" t="n"/>
      <c r="L14" s="33" t="n"/>
    </row>
    <row r="15">
      <c r="A15" s="30" t="n"/>
      <c r="B15" s="39">
        <f>IFERROR(INDEX(Materiales!$B$4:$B$18,MATCH($A15,Materiales!$A$4:$A$18,0)),"")</f>
        <v/>
      </c>
      <c r="C15" s="33" t="n"/>
      <c r="D15" s="29" t="n"/>
      <c r="E15" s="33" t="n"/>
      <c r="F15" s="33" t="n"/>
      <c r="G15" s="33" t="n"/>
      <c r="H15" s="33" t="n"/>
      <c r="I15" s="33" t="n"/>
      <c r="J15" s="33" t="n"/>
      <c r="K15" s="33" t="n"/>
      <c r="L15" s="33" t="n"/>
    </row>
    <row r="16">
      <c r="A16" s="30" t="n"/>
      <c r="B16" s="39">
        <f>IFERROR(INDEX(Materiales!$B$4:$B$18,MATCH($A16,Materiales!$A$4:$A$18,0)),"")</f>
        <v/>
      </c>
      <c r="C16" s="33" t="n"/>
      <c r="D16" s="29" t="n"/>
      <c r="E16" s="33" t="n"/>
      <c r="F16" s="33" t="n"/>
      <c r="G16" s="33" t="n"/>
      <c r="H16" s="33" t="n"/>
      <c r="I16" s="33" t="n"/>
      <c r="J16" s="33" t="n"/>
      <c r="K16" s="33" t="n"/>
      <c r="L16" s="33" t="n"/>
    </row>
    <row r="17">
      <c r="A17" s="30" t="n"/>
      <c r="B17" s="39">
        <f>IFERROR(INDEX(Materiales!$B$4:$B$18,MATCH($A17,Materiales!$A$4:$A$18,0)),"")</f>
        <v/>
      </c>
      <c r="C17" s="33" t="n"/>
      <c r="D17" s="29" t="n"/>
      <c r="E17" s="33" t="n"/>
      <c r="F17" s="33" t="n"/>
      <c r="G17" s="33" t="n"/>
      <c r="H17" s="33" t="n"/>
      <c r="I17" s="33" t="n"/>
      <c r="J17" s="33" t="n"/>
      <c r="K17" s="33" t="n"/>
      <c r="L17" s="33" t="n"/>
    </row>
    <row r="18">
      <c r="A18" s="30" t="n"/>
      <c r="B18" s="39">
        <f>IFERROR(INDEX(Materiales!$B$4:$B$18,MATCH($A18,Materiales!$A$4:$A$18,0)),"")</f>
        <v/>
      </c>
      <c r="C18" s="33" t="n"/>
      <c r="D18" s="29" t="n"/>
      <c r="E18" s="33" t="n"/>
      <c r="F18" s="33" t="n"/>
      <c r="G18" s="33" t="n"/>
      <c r="H18" s="33" t="n"/>
      <c r="I18" s="33" t="n"/>
      <c r="J18" s="33" t="n"/>
      <c r="K18" s="33" t="n"/>
      <c r="L18" s="33" t="n"/>
    </row>
    <row r="19">
      <c r="A19" s="30" t="n"/>
      <c r="B19" s="39">
        <f>IFERROR(INDEX(Materiales!$B$4:$B$18,MATCH($A19,Materiales!$A$4:$A$18,0)),"")</f>
        <v/>
      </c>
      <c r="C19" s="33" t="n"/>
      <c r="D19" s="29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>
      <c r="A20" s="30" t="n"/>
      <c r="B20" s="39">
        <f>IFERROR(INDEX(Materiales!$B$4:$B$18,MATCH($A20,Materiales!$A$4:$A$18,0)),"")</f>
        <v/>
      </c>
      <c r="C20" s="33" t="n"/>
      <c r="D20" s="29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>
      <c r="A21" s="30" t="n"/>
      <c r="B21" s="39">
        <f>IFERROR(INDEX(Materiales!$B$4:$B$18,MATCH($A21,Materiales!$A$4:$A$18,0)),"")</f>
        <v/>
      </c>
      <c r="C21" s="33" t="n"/>
      <c r="D21" s="29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>
      <c r="A22" s="30" t="n"/>
      <c r="B22" s="39">
        <f>IFERROR(INDEX(Materiales!$B$4:$B$18,MATCH($A22,Materiales!$A$4:$A$18,0)),"")</f>
        <v/>
      </c>
      <c r="C22" s="33" t="n"/>
      <c r="D22" s="29" t="n"/>
      <c r="E22" s="33" t="n"/>
      <c r="F22" s="33" t="n"/>
      <c r="G22" s="33" t="n"/>
      <c r="H22" s="33" t="n"/>
      <c r="I22" s="33" t="n"/>
      <c r="J22" s="33" t="n"/>
      <c r="K22" s="33" t="n"/>
      <c r="L22" s="33" t="n"/>
    </row>
    <row r="23">
      <c r="A23" s="30" t="n"/>
      <c r="B23" s="39">
        <f>IFERROR(INDEX(Materiales!$B$4:$B$18,MATCH($A23,Materiales!$A$4:$A$18,0)),"")</f>
        <v/>
      </c>
      <c r="C23" s="33" t="n"/>
      <c r="D23" s="29" t="n"/>
      <c r="E23" s="33" t="n"/>
      <c r="F23" s="33" t="n"/>
      <c r="G23" s="33" t="n"/>
      <c r="H23" s="33" t="n"/>
      <c r="I23" s="33" t="n"/>
      <c r="J23" s="33" t="n"/>
      <c r="K23" s="33" t="n"/>
      <c r="L23" s="33" t="n"/>
    </row>
    <row r="24">
      <c r="A24" s="30" t="n"/>
      <c r="B24" s="39">
        <f>IFERROR(INDEX(Materiales!$B$4:$B$18,MATCH($A24,Materiales!$A$4:$A$18,0)),"")</f>
        <v/>
      </c>
      <c r="C24" s="33" t="n"/>
      <c r="D24" s="29" t="n"/>
      <c r="E24" s="33" t="n"/>
      <c r="F24" s="33" t="n"/>
      <c r="G24" s="33" t="n"/>
      <c r="H24" s="33" t="n"/>
      <c r="I24" s="33" t="n"/>
      <c r="J24" s="33" t="n"/>
      <c r="K24" s="33" t="n"/>
      <c r="L24" s="33" t="n"/>
    </row>
    <row r="25">
      <c r="A25" s="30" t="n"/>
      <c r="B25" s="39">
        <f>IFERROR(INDEX(Materiales!$B$4:$B$18,MATCH($A25,Materiales!$A$4:$A$18,0)),"")</f>
        <v/>
      </c>
      <c r="C25" s="33" t="n"/>
      <c r="D25" s="29" t="n"/>
      <c r="E25" s="33" t="n"/>
      <c r="F25" s="33" t="n"/>
      <c r="G25" s="33" t="n"/>
      <c r="H25" s="33" t="n"/>
      <c r="I25" s="33" t="n"/>
      <c r="J25" s="33" t="n"/>
      <c r="K25" s="33" t="n"/>
      <c r="L25" s="33" t="n"/>
    </row>
    <row r="26">
      <c r="A26" s="30" t="n"/>
      <c r="B26" s="39">
        <f>IFERROR(INDEX(Materiales!$B$4:$B$18,MATCH($A26,Materiales!$A$4:$A$18,0)),"")</f>
        <v/>
      </c>
      <c r="C26" s="33" t="n"/>
      <c r="D26" s="29" t="n"/>
      <c r="E26" s="33" t="n"/>
      <c r="F26" s="33" t="n"/>
      <c r="G26" s="33" t="n"/>
      <c r="H26" s="33" t="n"/>
      <c r="I26" s="33" t="n"/>
      <c r="J26" s="33" t="n"/>
      <c r="K26" s="33" t="n"/>
      <c r="L26" s="33" t="n"/>
    </row>
    <row r="27">
      <c r="A27" s="30" t="n"/>
      <c r="B27" s="39">
        <f>IFERROR(INDEX(Materiales!$B$4:$B$18,MATCH($A27,Materiales!$A$4:$A$18,0)),"")</f>
        <v/>
      </c>
      <c r="C27" s="33" t="n"/>
      <c r="D27" s="29" t="n"/>
      <c r="E27" s="33" t="n"/>
      <c r="F27" s="33" t="n"/>
      <c r="G27" s="33" t="n"/>
      <c r="H27" s="33" t="n"/>
      <c r="I27" s="33" t="n"/>
      <c r="J27" s="33" t="n"/>
      <c r="K27" s="33" t="n"/>
      <c r="L27" s="33" t="n"/>
    </row>
    <row r="28">
      <c r="A28" s="30" t="n"/>
      <c r="B28" s="39">
        <f>IFERROR(INDEX(Materiales!$B$4:$B$18,MATCH($A28,Materiales!$A$4:$A$18,0)),"")</f>
        <v/>
      </c>
      <c r="C28" s="33" t="n"/>
      <c r="D28" s="29" t="n"/>
      <c r="E28" s="33" t="n"/>
      <c r="F28" s="33" t="n"/>
      <c r="G28" s="33" t="n"/>
      <c r="H28" s="33" t="n"/>
      <c r="I28" s="33" t="n"/>
      <c r="J28" s="33" t="n"/>
      <c r="K28" s="33" t="n"/>
      <c r="L28" s="33" t="n"/>
    </row>
    <row r="29">
      <c r="A29" s="30" t="n"/>
      <c r="B29" s="39">
        <f>IFERROR(INDEX(Materiales!$B$4:$B$18,MATCH($A29,Materiales!$A$4:$A$18,0)),"")</f>
        <v/>
      </c>
      <c r="C29" s="33" t="n"/>
      <c r="D29" s="29" t="n"/>
      <c r="E29" s="33" t="n"/>
      <c r="F29" s="33" t="n"/>
      <c r="G29" s="33" t="n"/>
      <c r="H29" s="33" t="n"/>
      <c r="I29" s="33" t="n"/>
      <c r="J29" s="33" t="n"/>
      <c r="K29" s="33" t="n"/>
      <c r="L29" s="33" t="n"/>
    </row>
  </sheetData>
  <mergeCells count="2">
    <mergeCell ref="A2:L2"/>
    <mergeCell ref="A1:L1"/>
  </mergeCells>
  <dataValidations count="1">
    <dataValidation sqref="A5:A29" showDropDown="0" showInputMessage="0" showErrorMessage="0" allowBlank="1" errorTitle="Codigo no valido" error="Elige un codigo del maestro (hoja Materiales)." type="list">
      <formula1>Materiales!$A$4:$A$18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2F2F2"/>
    <outlinePr summaryBelow="1" summaryRight="1"/>
    <pageSetUpPr/>
  </sheetPr>
  <dimension ref="A1:M109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3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6" customHeight="1">
      <c r="A1" s="1" t="inlineStr">
        <is>
          <t>CALCULO MRP — no escribas en esta hoja</t>
        </is>
      </c>
    </row>
    <row r="2" ht="18" customHeight="1">
      <c r="A2" s="2" t="inlineStr">
        <is>
          <t>Todo se calcula desde Materiales, Plan, Consumo e Inventario. Lee el renglon verde: es la semana en que debes pedir.</t>
        </is>
      </c>
    </row>
    <row r="3">
      <c r="E3" s="90">
        <f>Plan!E$3</f>
        <v/>
      </c>
      <c r="F3" s="90">
        <f>Plan!F$3</f>
        <v/>
      </c>
      <c r="G3" s="90">
        <f>Plan!G$3</f>
        <v/>
      </c>
      <c r="H3" s="90">
        <f>Plan!H$3</f>
        <v/>
      </c>
      <c r="I3" s="90">
        <f>Plan!I$3</f>
        <v/>
      </c>
      <c r="J3" s="90">
        <f>Plan!J$3</f>
        <v/>
      </c>
      <c r="K3" s="90">
        <f>Plan!K$3</f>
        <v/>
      </c>
      <c r="L3" s="90">
        <f>Plan!L$3</f>
        <v/>
      </c>
    </row>
    <row r="4" ht="32" customHeight="1">
      <c r="A4" s="6" t="inlineStr">
        <is>
          <t>Codigo</t>
        </is>
      </c>
      <c r="B4" s="6" t="inlineStr">
        <is>
          <t>Material</t>
        </is>
      </c>
      <c r="C4" s="6" t="inlineStr">
        <is>
          <t>Concepto</t>
        </is>
      </c>
      <c r="D4" s="6" t="inlineStr">
        <is>
          <t>Inicial / hoy</t>
        </is>
      </c>
      <c r="E4" s="6" t="inlineStr">
        <is>
          <t>Sem 1</t>
        </is>
      </c>
      <c r="F4" s="6" t="inlineStr">
        <is>
          <t>Sem 2</t>
        </is>
      </c>
      <c r="G4" s="6" t="inlineStr">
        <is>
          <t>Sem 3</t>
        </is>
      </c>
      <c r="H4" s="6" t="inlineStr">
        <is>
          <t>Sem 4</t>
        </is>
      </c>
      <c r="I4" s="6" t="inlineStr">
        <is>
          <t>Sem 5</t>
        </is>
      </c>
      <c r="J4" s="6" t="inlineStr">
        <is>
          <t>Sem 6</t>
        </is>
      </c>
      <c r="K4" s="6" t="inlineStr">
        <is>
          <t>Sem 7</t>
        </is>
      </c>
      <c r="L4" s="6" t="inlineStr">
        <is>
          <t>Sem 8</t>
        </is>
      </c>
      <c r="M4" s="6" t="inlineStr">
        <is>
          <t>Alerta</t>
        </is>
      </c>
    </row>
    <row r="5">
      <c r="A5" s="42">
        <f>IF(Materiales!$A$4="","",Materiales!$A$4)</f>
        <v/>
      </c>
      <c r="B5" s="42">
        <f>IF(Materiales!$B$4="","",Materiales!$B$4)</f>
        <v/>
      </c>
      <c r="C5" s="43" t="inlineStr">
        <is>
          <t>Necesidad bruta</t>
        </is>
      </c>
      <c r="D5" s="44" t="n"/>
      <c r="E5" s="45">
        <f>ROUND(SUMIF(Consumo!$B$4:$B$103,$A5,Consumo!G$4:G$103),4)</f>
        <v/>
      </c>
      <c r="F5" s="45">
        <f>ROUND(SUMIF(Consumo!$B$4:$B$103,$A5,Consumo!H$4:H$103),4)</f>
        <v/>
      </c>
      <c r="G5" s="45">
        <f>ROUND(SUMIF(Consumo!$B$4:$B$103,$A5,Consumo!I$4:I$103),4)</f>
        <v/>
      </c>
      <c r="H5" s="45">
        <f>ROUND(SUMIF(Consumo!$B$4:$B$103,$A5,Consumo!J$4:J$103),4)</f>
        <v/>
      </c>
      <c r="I5" s="45">
        <f>ROUND(SUMIF(Consumo!$B$4:$B$103,$A5,Consumo!K$4:K$103),4)</f>
        <v/>
      </c>
      <c r="J5" s="45">
        <f>ROUND(SUMIF(Consumo!$B$4:$B$103,$A5,Consumo!L$4:L$103),4)</f>
        <v/>
      </c>
      <c r="K5" s="45">
        <f>ROUND(SUMIF(Consumo!$B$4:$B$103,$A5,Consumo!M$4:M$103),4)</f>
        <v/>
      </c>
      <c r="L5" s="45">
        <f>ROUND(SUMIF(Consumo!$B$4:$B$103,$A5,Consumo!N$4:N$103),4)</f>
        <v/>
      </c>
      <c r="M5" s="46" t="n"/>
    </row>
    <row r="6">
      <c r="C6" s="43" t="inlineStr">
        <is>
          <t>Recepciones programadas (ya pedido)</t>
        </is>
      </c>
      <c r="D6" s="44" t="n"/>
      <c r="E6" s="45">
        <f>SUMIF(Inventario!$A$5:$A$29,$A5,Inventario!E$5:E$29)</f>
        <v/>
      </c>
      <c r="F6" s="45">
        <f>SUMIF(Inventario!$A$5:$A$29,$A5,Inventario!F$5:F$29)</f>
        <v/>
      </c>
      <c r="G6" s="45">
        <f>SUMIF(Inventario!$A$5:$A$29,$A5,Inventario!G$5:G$29)</f>
        <v/>
      </c>
      <c r="H6" s="45">
        <f>SUMIF(Inventario!$A$5:$A$29,$A5,Inventario!H$5:H$29)</f>
        <v/>
      </c>
      <c r="I6" s="45">
        <f>SUMIF(Inventario!$A$5:$A$29,$A5,Inventario!I$5:I$29)</f>
        <v/>
      </c>
      <c r="J6" s="45">
        <f>SUMIF(Inventario!$A$5:$A$29,$A5,Inventario!J$5:J$29)</f>
        <v/>
      </c>
      <c r="K6" s="45">
        <f>SUMIF(Inventario!$A$5:$A$29,$A5,Inventario!K$5:K$29)</f>
        <v/>
      </c>
      <c r="L6" s="45">
        <f>SUMIF(Inventario!$A$5:$A$29,$A5,Inventario!L$5:L$29)</f>
        <v/>
      </c>
      <c r="M6" s="46" t="n"/>
    </row>
    <row r="7">
      <c r="C7" s="43" t="inlineStr">
        <is>
          <t>Stock proyectado disponible</t>
        </is>
      </c>
      <c r="D7" s="47">
        <f>SUMIF(Inventario!$A$5:$A$29,$A5,Inventario!$C$5:$C$29)</f>
        <v/>
      </c>
      <c r="E7" s="48">
        <f>D7+E6+E9-E5</f>
        <v/>
      </c>
      <c r="F7" s="48">
        <f>E7+F6+F9-F5</f>
        <v/>
      </c>
      <c r="G7" s="48">
        <f>F7+G6+G9-G5</f>
        <v/>
      </c>
      <c r="H7" s="48">
        <f>G7+H6+H9-H5</f>
        <v/>
      </c>
      <c r="I7" s="48">
        <f>H7+I6+I9-I5</f>
        <v/>
      </c>
      <c r="J7" s="48">
        <f>I7+J6+J9-J5</f>
        <v/>
      </c>
      <c r="K7" s="48">
        <f>J7+K6+K9-K5</f>
        <v/>
      </c>
      <c r="L7" s="48">
        <f>K7+L6+L9-L5</f>
        <v/>
      </c>
      <c r="M7" s="46" t="n"/>
    </row>
    <row r="8">
      <c r="C8" s="43" t="inlineStr">
        <is>
          <t>Necesidad neta</t>
        </is>
      </c>
      <c r="D8" s="44" t="n"/>
      <c r="E8" s="49">
        <f>MAX(0,ROUND(E5+Materiales!$H$4-D7-E6,4))</f>
        <v/>
      </c>
      <c r="F8" s="49">
        <f>MAX(0,ROUND(F5+Materiales!$H$4-E7-F6,4))</f>
        <v/>
      </c>
      <c r="G8" s="49">
        <f>MAX(0,ROUND(G5+Materiales!$H$4-F7-G6,4))</f>
        <v/>
      </c>
      <c r="H8" s="49">
        <f>MAX(0,ROUND(H5+Materiales!$H$4-G7-H6,4))</f>
        <v/>
      </c>
      <c r="I8" s="49">
        <f>MAX(0,ROUND(I5+Materiales!$H$4-H7-I6,4))</f>
        <v/>
      </c>
      <c r="J8" s="49">
        <f>MAX(0,ROUND(J5+Materiales!$H$4-I7-J6,4))</f>
        <v/>
      </c>
      <c r="K8" s="49">
        <f>MAX(0,ROUND(K5+Materiales!$H$4-J7-K6,4))</f>
        <v/>
      </c>
      <c r="L8" s="49">
        <f>MAX(0,ROUND(L5+Materiales!$H$4-K7-L6,4))</f>
        <v/>
      </c>
      <c r="M8" s="46" t="n"/>
    </row>
    <row r="9">
      <c r="C9" s="43" t="inlineStr">
        <is>
          <t>Recepcion de orden planificada</t>
        </is>
      </c>
      <c r="D9" s="44" t="n"/>
      <c r="E9" s="45">
        <f>IF(E8&lt;=0,0,IF(Materiales!$G$4&lt;=0,E8,ROUNDUP(E8/Materiales!$G$4,0)*Materiales!$G$4))</f>
        <v/>
      </c>
      <c r="F9" s="45">
        <f>IF(F8&lt;=0,0,IF(Materiales!$G$4&lt;=0,F8,ROUNDUP(F8/Materiales!$G$4,0)*Materiales!$G$4))</f>
        <v/>
      </c>
      <c r="G9" s="45">
        <f>IF(G8&lt;=0,0,IF(Materiales!$G$4&lt;=0,G8,ROUNDUP(G8/Materiales!$G$4,0)*Materiales!$G$4))</f>
        <v/>
      </c>
      <c r="H9" s="45">
        <f>IF(H8&lt;=0,0,IF(Materiales!$G$4&lt;=0,H8,ROUNDUP(H8/Materiales!$G$4,0)*Materiales!$G$4))</f>
        <v/>
      </c>
      <c r="I9" s="45">
        <f>IF(I8&lt;=0,0,IF(Materiales!$G$4&lt;=0,I8,ROUNDUP(I8/Materiales!$G$4,0)*Materiales!$G$4))</f>
        <v/>
      </c>
      <c r="J9" s="45">
        <f>IF(J8&lt;=0,0,IF(Materiales!$G$4&lt;=0,J8,ROUNDUP(J8/Materiales!$G$4,0)*Materiales!$G$4))</f>
        <v/>
      </c>
      <c r="K9" s="45">
        <f>IF(K8&lt;=0,0,IF(Materiales!$G$4&lt;=0,K8,ROUNDUP(K8/Materiales!$G$4,0)*Materiales!$G$4))</f>
        <v/>
      </c>
      <c r="L9" s="45">
        <f>IF(L8&lt;=0,0,IF(Materiales!$G$4&lt;=0,L8,ROUNDUP(L8/Materiales!$G$4,0)*Materiales!$G$4))</f>
        <v/>
      </c>
      <c r="M9" s="46" t="n"/>
    </row>
    <row r="10">
      <c r="C10" s="50" t="inlineStr">
        <is>
          <t>LANZAMIENTO DE ORDEN — pedir esta semana</t>
        </is>
      </c>
      <c r="D10" s="44" t="n"/>
      <c r="E10" s="51">
        <f>IF(1+Materiales!$F$4&gt;8,0,INDEX($E$9:$L$9,1,1+Materiales!$F$4))</f>
        <v/>
      </c>
      <c r="F10" s="51">
        <f>IF(2+Materiales!$F$4&gt;8,0,INDEX($E$9:$L$9,1,2+Materiales!$F$4))</f>
        <v/>
      </c>
      <c r="G10" s="51">
        <f>IF(3+Materiales!$F$4&gt;8,0,INDEX($E$9:$L$9,1,3+Materiales!$F$4))</f>
        <v/>
      </c>
      <c r="H10" s="51">
        <f>IF(4+Materiales!$F$4&gt;8,0,INDEX($E$9:$L$9,1,4+Materiales!$F$4))</f>
        <v/>
      </c>
      <c r="I10" s="51">
        <f>IF(5+Materiales!$F$4&gt;8,0,INDEX($E$9:$L$9,1,5+Materiales!$F$4))</f>
        <v/>
      </c>
      <c r="J10" s="51">
        <f>IF(6+Materiales!$F$4&gt;8,0,INDEX($E$9:$L$9,1,6+Materiales!$F$4))</f>
        <v/>
      </c>
      <c r="K10" s="51">
        <f>IF(7+Materiales!$F$4&gt;8,0,INDEX($E$9:$L$9,1,7+Materiales!$F$4))</f>
        <v/>
      </c>
      <c r="L10" s="51">
        <f>IF(8+Materiales!$F$4&gt;8,0,INDEX($E$9:$L$9,1,8+Materiales!$F$4))</f>
        <v/>
      </c>
      <c r="M10" s="52">
        <f>IF($A5="","",IF(SUMPRODUCT((COLUMN($E$9:$L$9)-4&lt;=Materiales!$F$4)*$E$9:$L$9)&gt;0,"PEDIR YA (atrasado)","OK"))</f>
        <v/>
      </c>
    </row>
    <row r="11" ht="6" customHeight="1">
      <c r="A11" s="53" t="n"/>
      <c r="B11" s="53" t="n"/>
      <c r="C11" s="53" t="n"/>
      <c r="D11" s="53" t="n"/>
      <c r="E11" s="53" t="n"/>
      <c r="F11" s="53" t="n"/>
      <c r="G11" s="53" t="n"/>
      <c r="H11" s="53" t="n"/>
      <c r="I11" s="53" t="n"/>
      <c r="J11" s="53" t="n"/>
      <c r="K11" s="53" t="n"/>
      <c r="L11" s="53" t="n"/>
      <c r="M11" s="53" t="n"/>
    </row>
    <row r="12">
      <c r="A12" s="42">
        <f>IF(Materiales!$A$5="","",Materiales!$A$5)</f>
        <v/>
      </c>
      <c r="B12" s="42">
        <f>IF(Materiales!$B$5="","",Materiales!$B$5)</f>
        <v/>
      </c>
      <c r="C12" s="43" t="inlineStr">
        <is>
          <t>Necesidad bruta</t>
        </is>
      </c>
      <c r="D12" s="44" t="n"/>
      <c r="E12" s="45">
        <f>ROUND(SUMIF(Consumo!$B$4:$B$103,$A12,Consumo!G$4:G$103),4)</f>
        <v/>
      </c>
      <c r="F12" s="45">
        <f>ROUND(SUMIF(Consumo!$B$4:$B$103,$A12,Consumo!H$4:H$103),4)</f>
        <v/>
      </c>
      <c r="G12" s="45">
        <f>ROUND(SUMIF(Consumo!$B$4:$B$103,$A12,Consumo!I$4:I$103),4)</f>
        <v/>
      </c>
      <c r="H12" s="45">
        <f>ROUND(SUMIF(Consumo!$B$4:$B$103,$A12,Consumo!J$4:J$103),4)</f>
        <v/>
      </c>
      <c r="I12" s="45">
        <f>ROUND(SUMIF(Consumo!$B$4:$B$103,$A12,Consumo!K$4:K$103),4)</f>
        <v/>
      </c>
      <c r="J12" s="45">
        <f>ROUND(SUMIF(Consumo!$B$4:$B$103,$A12,Consumo!L$4:L$103),4)</f>
        <v/>
      </c>
      <c r="K12" s="45">
        <f>ROUND(SUMIF(Consumo!$B$4:$B$103,$A12,Consumo!M$4:M$103),4)</f>
        <v/>
      </c>
      <c r="L12" s="45">
        <f>ROUND(SUMIF(Consumo!$B$4:$B$103,$A12,Consumo!N$4:N$103),4)</f>
        <v/>
      </c>
      <c r="M12" s="46" t="n"/>
    </row>
    <row r="13">
      <c r="C13" s="43" t="inlineStr">
        <is>
          <t>Recepciones programadas (ya pedido)</t>
        </is>
      </c>
      <c r="D13" s="44" t="n"/>
      <c r="E13" s="45">
        <f>SUMIF(Inventario!$A$5:$A$29,$A12,Inventario!E$5:E$29)</f>
        <v/>
      </c>
      <c r="F13" s="45">
        <f>SUMIF(Inventario!$A$5:$A$29,$A12,Inventario!F$5:F$29)</f>
        <v/>
      </c>
      <c r="G13" s="45">
        <f>SUMIF(Inventario!$A$5:$A$29,$A12,Inventario!G$5:G$29)</f>
        <v/>
      </c>
      <c r="H13" s="45">
        <f>SUMIF(Inventario!$A$5:$A$29,$A12,Inventario!H$5:H$29)</f>
        <v/>
      </c>
      <c r="I13" s="45">
        <f>SUMIF(Inventario!$A$5:$A$29,$A12,Inventario!I$5:I$29)</f>
        <v/>
      </c>
      <c r="J13" s="45">
        <f>SUMIF(Inventario!$A$5:$A$29,$A12,Inventario!J$5:J$29)</f>
        <v/>
      </c>
      <c r="K13" s="45">
        <f>SUMIF(Inventario!$A$5:$A$29,$A12,Inventario!K$5:K$29)</f>
        <v/>
      </c>
      <c r="L13" s="45">
        <f>SUMIF(Inventario!$A$5:$A$29,$A12,Inventario!L$5:L$29)</f>
        <v/>
      </c>
      <c r="M13" s="46" t="n"/>
    </row>
    <row r="14">
      <c r="C14" s="43" t="inlineStr">
        <is>
          <t>Stock proyectado disponible</t>
        </is>
      </c>
      <c r="D14" s="47">
        <f>SUMIF(Inventario!$A$5:$A$29,$A12,Inventario!$C$5:$C$29)</f>
        <v/>
      </c>
      <c r="E14" s="48">
        <f>D14+E13+E16-E12</f>
        <v/>
      </c>
      <c r="F14" s="48">
        <f>E14+F13+F16-F12</f>
        <v/>
      </c>
      <c r="G14" s="48">
        <f>F14+G13+G16-G12</f>
        <v/>
      </c>
      <c r="H14" s="48">
        <f>G14+H13+H16-H12</f>
        <v/>
      </c>
      <c r="I14" s="48">
        <f>H14+I13+I16-I12</f>
        <v/>
      </c>
      <c r="J14" s="48">
        <f>I14+J13+J16-J12</f>
        <v/>
      </c>
      <c r="K14" s="48">
        <f>J14+K13+K16-K12</f>
        <v/>
      </c>
      <c r="L14" s="48">
        <f>K14+L13+L16-L12</f>
        <v/>
      </c>
      <c r="M14" s="46" t="n"/>
    </row>
    <row r="15">
      <c r="C15" s="43" t="inlineStr">
        <is>
          <t>Necesidad neta</t>
        </is>
      </c>
      <c r="D15" s="44" t="n"/>
      <c r="E15" s="49">
        <f>MAX(0,ROUND(E12+Materiales!$H$5-D14-E13,4))</f>
        <v/>
      </c>
      <c r="F15" s="49">
        <f>MAX(0,ROUND(F12+Materiales!$H$5-E14-F13,4))</f>
        <v/>
      </c>
      <c r="G15" s="49">
        <f>MAX(0,ROUND(G12+Materiales!$H$5-F14-G13,4))</f>
        <v/>
      </c>
      <c r="H15" s="49">
        <f>MAX(0,ROUND(H12+Materiales!$H$5-G14-H13,4))</f>
        <v/>
      </c>
      <c r="I15" s="49">
        <f>MAX(0,ROUND(I12+Materiales!$H$5-H14-I13,4))</f>
        <v/>
      </c>
      <c r="J15" s="49">
        <f>MAX(0,ROUND(J12+Materiales!$H$5-I14-J13,4))</f>
        <v/>
      </c>
      <c r="K15" s="49">
        <f>MAX(0,ROUND(K12+Materiales!$H$5-J14-K13,4))</f>
        <v/>
      </c>
      <c r="L15" s="49">
        <f>MAX(0,ROUND(L12+Materiales!$H$5-K14-L13,4))</f>
        <v/>
      </c>
      <c r="M15" s="46" t="n"/>
    </row>
    <row r="16">
      <c r="C16" s="43" t="inlineStr">
        <is>
          <t>Recepcion de orden planificada</t>
        </is>
      </c>
      <c r="D16" s="44" t="n"/>
      <c r="E16" s="45">
        <f>IF(E15&lt;=0,0,IF(Materiales!$G$5&lt;=0,E15,ROUNDUP(E15/Materiales!$G$5,0)*Materiales!$G$5))</f>
        <v/>
      </c>
      <c r="F16" s="45">
        <f>IF(F15&lt;=0,0,IF(Materiales!$G$5&lt;=0,F15,ROUNDUP(F15/Materiales!$G$5,0)*Materiales!$G$5))</f>
        <v/>
      </c>
      <c r="G16" s="45">
        <f>IF(G15&lt;=0,0,IF(Materiales!$G$5&lt;=0,G15,ROUNDUP(G15/Materiales!$G$5,0)*Materiales!$G$5))</f>
        <v/>
      </c>
      <c r="H16" s="45">
        <f>IF(H15&lt;=0,0,IF(Materiales!$G$5&lt;=0,H15,ROUNDUP(H15/Materiales!$G$5,0)*Materiales!$G$5))</f>
        <v/>
      </c>
      <c r="I16" s="45">
        <f>IF(I15&lt;=0,0,IF(Materiales!$G$5&lt;=0,I15,ROUNDUP(I15/Materiales!$G$5,0)*Materiales!$G$5))</f>
        <v/>
      </c>
      <c r="J16" s="45">
        <f>IF(J15&lt;=0,0,IF(Materiales!$G$5&lt;=0,J15,ROUNDUP(J15/Materiales!$G$5,0)*Materiales!$G$5))</f>
        <v/>
      </c>
      <c r="K16" s="45">
        <f>IF(K15&lt;=0,0,IF(Materiales!$G$5&lt;=0,K15,ROUNDUP(K15/Materiales!$G$5,0)*Materiales!$G$5))</f>
        <v/>
      </c>
      <c r="L16" s="45">
        <f>IF(L15&lt;=0,0,IF(Materiales!$G$5&lt;=0,L15,ROUNDUP(L15/Materiales!$G$5,0)*Materiales!$G$5))</f>
        <v/>
      </c>
      <c r="M16" s="46" t="n"/>
    </row>
    <row r="17">
      <c r="C17" s="50" t="inlineStr">
        <is>
          <t>LANZAMIENTO DE ORDEN — pedir esta semana</t>
        </is>
      </c>
      <c r="D17" s="44" t="n"/>
      <c r="E17" s="51">
        <f>IF(1+Materiales!$F$5&gt;8,0,INDEX($E$16:$L$16,1,1+Materiales!$F$5))</f>
        <v/>
      </c>
      <c r="F17" s="51">
        <f>IF(2+Materiales!$F$5&gt;8,0,INDEX($E$16:$L$16,1,2+Materiales!$F$5))</f>
        <v/>
      </c>
      <c r="G17" s="51">
        <f>IF(3+Materiales!$F$5&gt;8,0,INDEX($E$16:$L$16,1,3+Materiales!$F$5))</f>
        <v/>
      </c>
      <c r="H17" s="51">
        <f>IF(4+Materiales!$F$5&gt;8,0,INDEX($E$16:$L$16,1,4+Materiales!$F$5))</f>
        <v/>
      </c>
      <c r="I17" s="51">
        <f>IF(5+Materiales!$F$5&gt;8,0,INDEX($E$16:$L$16,1,5+Materiales!$F$5))</f>
        <v/>
      </c>
      <c r="J17" s="51">
        <f>IF(6+Materiales!$F$5&gt;8,0,INDEX($E$16:$L$16,1,6+Materiales!$F$5))</f>
        <v/>
      </c>
      <c r="K17" s="51">
        <f>IF(7+Materiales!$F$5&gt;8,0,INDEX($E$16:$L$16,1,7+Materiales!$F$5))</f>
        <v/>
      </c>
      <c r="L17" s="51">
        <f>IF(8+Materiales!$F$5&gt;8,0,INDEX($E$16:$L$16,1,8+Materiales!$F$5))</f>
        <v/>
      </c>
      <c r="M17" s="52">
        <f>IF($A12="","",IF(SUMPRODUCT((COLUMN($E$16:$L$16)-4&lt;=Materiales!$F$5)*$E$16:$L$16)&gt;0,"PEDIR YA (atrasado)","OK"))</f>
        <v/>
      </c>
    </row>
    <row r="18" ht="6" customHeight="1">
      <c r="A18" s="53" t="n"/>
      <c r="B18" s="53" t="n"/>
      <c r="C18" s="53" t="n"/>
      <c r="D18" s="53" t="n"/>
      <c r="E18" s="53" t="n"/>
      <c r="F18" s="53" t="n"/>
      <c r="G18" s="53" t="n"/>
      <c r="H18" s="53" t="n"/>
      <c r="I18" s="53" t="n"/>
      <c r="J18" s="53" t="n"/>
      <c r="K18" s="53" t="n"/>
      <c r="L18" s="53" t="n"/>
      <c r="M18" s="53" t="n"/>
    </row>
    <row r="19">
      <c r="A19" s="42">
        <f>IF(Materiales!$A$6="","",Materiales!$A$6)</f>
        <v/>
      </c>
      <c r="B19" s="42">
        <f>IF(Materiales!$B$6="","",Materiales!$B$6)</f>
        <v/>
      </c>
      <c r="C19" s="43" t="inlineStr">
        <is>
          <t>Necesidad bruta</t>
        </is>
      </c>
      <c r="D19" s="44" t="n"/>
      <c r="E19" s="45">
        <f>ROUND(SUMIF(Consumo!$B$4:$B$103,$A19,Consumo!G$4:G$103),4)</f>
        <v/>
      </c>
      <c r="F19" s="45">
        <f>ROUND(SUMIF(Consumo!$B$4:$B$103,$A19,Consumo!H$4:H$103),4)</f>
        <v/>
      </c>
      <c r="G19" s="45">
        <f>ROUND(SUMIF(Consumo!$B$4:$B$103,$A19,Consumo!I$4:I$103),4)</f>
        <v/>
      </c>
      <c r="H19" s="45">
        <f>ROUND(SUMIF(Consumo!$B$4:$B$103,$A19,Consumo!J$4:J$103),4)</f>
        <v/>
      </c>
      <c r="I19" s="45">
        <f>ROUND(SUMIF(Consumo!$B$4:$B$103,$A19,Consumo!K$4:K$103),4)</f>
        <v/>
      </c>
      <c r="J19" s="45">
        <f>ROUND(SUMIF(Consumo!$B$4:$B$103,$A19,Consumo!L$4:L$103),4)</f>
        <v/>
      </c>
      <c r="K19" s="45">
        <f>ROUND(SUMIF(Consumo!$B$4:$B$103,$A19,Consumo!M$4:M$103),4)</f>
        <v/>
      </c>
      <c r="L19" s="45">
        <f>ROUND(SUMIF(Consumo!$B$4:$B$103,$A19,Consumo!N$4:N$103),4)</f>
        <v/>
      </c>
      <c r="M19" s="46" t="n"/>
    </row>
    <row r="20">
      <c r="C20" s="43" t="inlineStr">
        <is>
          <t>Recepciones programadas (ya pedido)</t>
        </is>
      </c>
      <c r="D20" s="44" t="n"/>
      <c r="E20" s="45">
        <f>SUMIF(Inventario!$A$5:$A$29,$A19,Inventario!E$5:E$29)</f>
        <v/>
      </c>
      <c r="F20" s="45">
        <f>SUMIF(Inventario!$A$5:$A$29,$A19,Inventario!F$5:F$29)</f>
        <v/>
      </c>
      <c r="G20" s="45">
        <f>SUMIF(Inventario!$A$5:$A$29,$A19,Inventario!G$5:G$29)</f>
        <v/>
      </c>
      <c r="H20" s="45">
        <f>SUMIF(Inventario!$A$5:$A$29,$A19,Inventario!H$5:H$29)</f>
        <v/>
      </c>
      <c r="I20" s="45">
        <f>SUMIF(Inventario!$A$5:$A$29,$A19,Inventario!I$5:I$29)</f>
        <v/>
      </c>
      <c r="J20" s="45">
        <f>SUMIF(Inventario!$A$5:$A$29,$A19,Inventario!J$5:J$29)</f>
        <v/>
      </c>
      <c r="K20" s="45">
        <f>SUMIF(Inventario!$A$5:$A$29,$A19,Inventario!K$5:K$29)</f>
        <v/>
      </c>
      <c r="L20" s="45">
        <f>SUMIF(Inventario!$A$5:$A$29,$A19,Inventario!L$5:L$29)</f>
        <v/>
      </c>
      <c r="M20" s="46" t="n"/>
    </row>
    <row r="21">
      <c r="C21" s="43" t="inlineStr">
        <is>
          <t>Stock proyectado disponible</t>
        </is>
      </c>
      <c r="D21" s="47">
        <f>SUMIF(Inventario!$A$5:$A$29,$A19,Inventario!$C$5:$C$29)</f>
        <v/>
      </c>
      <c r="E21" s="48">
        <f>D21+E20+E23-E19</f>
        <v/>
      </c>
      <c r="F21" s="48">
        <f>E21+F20+F23-F19</f>
        <v/>
      </c>
      <c r="G21" s="48">
        <f>F21+G20+G23-G19</f>
        <v/>
      </c>
      <c r="H21" s="48">
        <f>G21+H20+H23-H19</f>
        <v/>
      </c>
      <c r="I21" s="48">
        <f>H21+I20+I23-I19</f>
        <v/>
      </c>
      <c r="J21" s="48">
        <f>I21+J20+J23-J19</f>
        <v/>
      </c>
      <c r="K21" s="48">
        <f>J21+K20+K23-K19</f>
        <v/>
      </c>
      <c r="L21" s="48">
        <f>K21+L20+L23-L19</f>
        <v/>
      </c>
      <c r="M21" s="46" t="n"/>
    </row>
    <row r="22">
      <c r="C22" s="43" t="inlineStr">
        <is>
          <t>Necesidad neta</t>
        </is>
      </c>
      <c r="D22" s="44" t="n"/>
      <c r="E22" s="49">
        <f>MAX(0,ROUND(E19+Materiales!$H$6-D21-E20,4))</f>
        <v/>
      </c>
      <c r="F22" s="49">
        <f>MAX(0,ROUND(F19+Materiales!$H$6-E21-F20,4))</f>
        <v/>
      </c>
      <c r="G22" s="49">
        <f>MAX(0,ROUND(G19+Materiales!$H$6-F21-G20,4))</f>
        <v/>
      </c>
      <c r="H22" s="49">
        <f>MAX(0,ROUND(H19+Materiales!$H$6-G21-H20,4))</f>
        <v/>
      </c>
      <c r="I22" s="49">
        <f>MAX(0,ROUND(I19+Materiales!$H$6-H21-I20,4))</f>
        <v/>
      </c>
      <c r="J22" s="49">
        <f>MAX(0,ROUND(J19+Materiales!$H$6-I21-J20,4))</f>
        <v/>
      </c>
      <c r="K22" s="49">
        <f>MAX(0,ROUND(K19+Materiales!$H$6-J21-K20,4))</f>
        <v/>
      </c>
      <c r="L22" s="49">
        <f>MAX(0,ROUND(L19+Materiales!$H$6-K21-L20,4))</f>
        <v/>
      </c>
      <c r="M22" s="46" t="n"/>
    </row>
    <row r="23">
      <c r="C23" s="43" t="inlineStr">
        <is>
          <t>Recepcion de orden planificada</t>
        </is>
      </c>
      <c r="D23" s="44" t="n"/>
      <c r="E23" s="45">
        <f>IF(E22&lt;=0,0,IF(Materiales!$G$6&lt;=0,E22,ROUNDUP(E22/Materiales!$G$6,0)*Materiales!$G$6))</f>
        <v/>
      </c>
      <c r="F23" s="45">
        <f>IF(F22&lt;=0,0,IF(Materiales!$G$6&lt;=0,F22,ROUNDUP(F22/Materiales!$G$6,0)*Materiales!$G$6))</f>
        <v/>
      </c>
      <c r="G23" s="45">
        <f>IF(G22&lt;=0,0,IF(Materiales!$G$6&lt;=0,G22,ROUNDUP(G22/Materiales!$G$6,0)*Materiales!$G$6))</f>
        <v/>
      </c>
      <c r="H23" s="45">
        <f>IF(H22&lt;=0,0,IF(Materiales!$G$6&lt;=0,H22,ROUNDUP(H22/Materiales!$G$6,0)*Materiales!$G$6))</f>
        <v/>
      </c>
      <c r="I23" s="45">
        <f>IF(I22&lt;=0,0,IF(Materiales!$G$6&lt;=0,I22,ROUNDUP(I22/Materiales!$G$6,0)*Materiales!$G$6))</f>
        <v/>
      </c>
      <c r="J23" s="45">
        <f>IF(J22&lt;=0,0,IF(Materiales!$G$6&lt;=0,J22,ROUNDUP(J22/Materiales!$G$6,0)*Materiales!$G$6))</f>
        <v/>
      </c>
      <c r="K23" s="45">
        <f>IF(K22&lt;=0,0,IF(Materiales!$G$6&lt;=0,K22,ROUNDUP(K22/Materiales!$G$6,0)*Materiales!$G$6))</f>
        <v/>
      </c>
      <c r="L23" s="45">
        <f>IF(L22&lt;=0,0,IF(Materiales!$G$6&lt;=0,L22,ROUNDUP(L22/Materiales!$G$6,0)*Materiales!$G$6))</f>
        <v/>
      </c>
      <c r="M23" s="46" t="n"/>
    </row>
    <row r="24">
      <c r="C24" s="50" t="inlineStr">
        <is>
          <t>LANZAMIENTO DE ORDEN — pedir esta semana</t>
        </is>
      </c>
      <c r="D24" s="44" t="n"/>
      <c r="E24" s="51">
        <f>IF(1+Materiales!$F$6&gt;8,0,INDEX($E$23:$L$23,1,1+Materiales!$F$6))</f>
        <v/>
      </c>
      <c r="F24" s="51">
        <f>IF(2+Materiales!$F$6&gt;8,0,INDEX($E$23:$L$23,1,2+Materiales!$F$6))</f>
        <v/>
      </c>
      <c r="G24" s="51">
        <f>IF(3+Materiales!$F$6&gt;8,0,INDEX($E$23:$L$23,1,3+Materiales!$F$6))</f>
        <v/>
      </c>
      <c r="H24" s="51">
        <f>IF(4+Materiales!$F$6&gt;8,0,INDEX($E$23:$L$23,1,4+Materiales!$F$6))</f>
        <v/>
      </c>
      <c r="I24" s="51">
        <f>IF(5+Materiales!$F$6&gt;8,0,INDEX($E$23:$L$23,1,5+Materiales!$F$6))</f>
        <v/>
      </c>
      <c r="J24" s="51">
        <f>IF(6+Materiales!$F$6&gt;8,0,INDEX($E$23:$L$23,1,6+Materiales!$F$6))</f>
        <v/>
      </c>
      <c r="K24" s="51">
        <f>IF(7+Materiales!$F$6&gt;8,0,INDEX($E$23:$L$23,1,7+Materiales!$F$6))</f>
        <v/>
      </c>
      <c r="L24" s="51">
        <f>IF(8+Materiales!$F$6&gt;8,0,INDEX($E$23:$L$23,1,8+Materiales!$F$6))</f>
        <v/>
      </c>
      <c r="M24" s="52">
        <f>IF($A19="","",IF(SUMPRODUCT((COLUMN($E$23:$L$23)-4&lt;=Materiales!$F$6)*$E$23:$L$23)&gt;0,"PEDIR YA (atrasado)","OK"))</f>
        <v/>
      </c>
    </row>
    <row r="25" ht="6" customHeight="1">
      <c r="A25" s="53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</row>
    <row r="26">
      <c r="A26" s="42">
        <f>IF(Materiales!$A$7="","",Materiales!$A$7)</f>
        <v/>
      </c>
      <c r="B26" s="42">
        <f>IF(Materiales!$B$7="","",Materiales!$B$7)</f>
        <v/>
      </c>
      <c r="C26" s="43" t="inlineStr">
        <is>
          <t>Necesidad bruta</t>
        </is>
      </c>
      <c r="D26" s="44" t="n"/>
      <c r="E26" s="45">
        <f>ROUND(SUMIF(Consumo!$B$4:$B$103,$A26,Consumo!G$4:G$103),4)</f>
        <v/>
      </c>
      <c r="F26" s="45">
        <f>ROUND(SUMIF(Consumo!$B$4:$B$103,$A26,Consumo!H$4:H$103),4)</f>
        <v/>
      </c>
      <c r="G26" s="45">
        <f>ROUND(SUMIF(Consumo!$B$4:$B$103,$A26,Consumo!I$4:I$103),4)</f>
        <v/>
      </c>
      <c r="H26" s="45">
        <f>ROUND(SUMIF(Consumo!$B$4:$B$103,$A26,Consumo!J$4:J$103),4)</f>
        <v/>
      </c>
      <c r="I26" s="45">
        <f>ROUND(SUMIF(Consumo!$B$4:$B$103,$A26,Consumo!K$4:K$103),4)</f>
        <v/>
      </c>
      <c r="J26" s="45">
        <f>ROUND(SUMIF(Consumo!$B$4:$B$103,$A26,Consumo!L$4:L$103),4)</f>
        <v/>
      </c>
      <c r="K26" s="45">
        <f>ROUND(SUMIF(Consumo!$B$4:$B$103,$A26,Consumo!M$4:M$103),4)</f>
        <v/>
      </c>
      <c r="L26" s="45">
        <f>ROUND(SUMIF(Consumo!$B$4:$B$103,$A26,Consumo!N$4:N$103),4)</f>
        <v/>
      </c>
      <c r="M26" s="46" t="n"/>
    </row>
    <row r="27">
      <c r="C27" s="43" t="inlineStr">
        <is>
          <t>Recepciones programadas (ya pedido)</t>
        </is>
      </c>
      <c r="D27" s="44" t="n"/>
      <c r="E27" s="45">
        <f>SUMIF(Inventario!$A$5:$A$29,$A26,Inventario!E$5:E$29)</f>
        <v/>
      </c>
      <c r="F27" s="45">
        <f>SUMIF(Inventario!$A$5:$A$29,$A26,Inventario!F$5:F$29)</f>
        <v/>
      </c>
      <c r="G27" s="45">
        <f>SUMIF(Inventario!$A$5:$A$29,$A26,Inventario!G$5:G$29)</f>
        <v/>
      </c>
      <c r="H27" s="45">
        <f>SUMIF(Inventario!$A$5:$A$29,$A26,Inventario!H$5:H$29)</f>
        <v/>
      </c>
      <c r="I27" s="45">
        <f>SUMIF(Inventario!$A$5:$A$29,$A26,Inventario!I$5:I$29)</f>
        <v/>
      </c>
      <c r="J27" s="45">
        <f>SUMIF(Inventario!$A$5:$A$29,$A26,Inventario!J$5:J$29)</f>
        <v/>
      </c>
      <c r="K27" s="45">
        <f>SUMIF(Inventario!$A$5:$A$29,$A26,Inventario!K$5:K$29)</f>
        <v/>
      </c>
      <c r="L27" s="45">
        <f>SUMIF(Inventario!$A$5:$A$29,$A26,Inventario!L$5:L$29)</f>
        <v/>
      </c>
      <c r="M27" s="46" t="n"/>
    </row>
    <row r="28">
      <c r="C28" s="43" t="inlineStr">
        <is>
          <t>Stock proyectado disponible</t>
        </is>
      </c>
      <c r="D28" s="47">
        <f>SUMIF(Inventario!$A$5:$A$29,$A26,Inventario!$C$5:$C$29)</f>
        <v/>
      </c>
      <c r="E28" s="48">
        <f>D28+E27+E30-E26</f>
        <v/>
      </c>
      <c r="F28" s="48">
        <f>E28+F27+F30-F26</f>
        <v/>
      </c>
      <c r="G28" s="48">
        <f>F28+G27+G30-G26</f>
        <v/>
      </c>
      <c r="H28" s="48">
        <f>G28+H27+H30-H26</f>
        <v/>
      </c>
      <c r="I28" s="48">
        <f>H28+I27+I30-I26</f>
        <v/>
      </c>
      <c r="J28" s="48">
        <f>I28+J27+J30-J26</f>
        <v/>
      </c>
      <c r="K28" s="48">
        <f>J28+K27+K30-K26</f>
        <v/>
      </c>
      <c r="L28" s="48">
        <f>K28+L27+L30-L26</f>
        <v/>
      </c>
      <c r="M28" s="46" t="n"/>
    </row>
    <row r="29">
      <c r="C29" s="43" t="inlineStr">
        <is>
          <t>Necesidad neta</t>
        </is>
      </c>
      <c r="D29" s="44" t="n"/>
      <c r="E29" s="49">
        <f>MAX(0,ROUND(E26+Materiales!$H$7-D28-E27,4))</f>
        <v/>
      </c>
      <c r="F29" s="49">
        <f>MAX(0,ROUND(F26+Materiales!$H$7-E28-F27,4))</f>
        <v/>
      </c>
      <c r="G29" s="49">
        <f>MAX(0,ROUND(G26+Materiales!$H$7-F28-G27,4))</f>
        <v/>
      </c>
      <c r="H29" s="49">
        <f>MAX(0,ROUND(H26+Materiales!$H$7-G28-H27,4))</f>
        <v/>
      </c>
      <c r="I29" s="49">
        <f>MAX(0,ROUND(I26+Materiales!$H$7-H28-I27,4))</f>
        <v/>
      </c>
      <c r="J29" s="49">
        <f>MAX(0,ROUND(J26+Materiales!$H$7-I28-J27,4))</f>
        <v/>
      </c>
      <c r="K29" s="49">
        <f>MAX(0,ROUND(K26+Materiales!$H$7-J28-K27,4))</f>
        <v/>
      </c>
      <c r="L29" s="49">
        <f>MAX(0,ROUND(L26+Materiales!$H$7-K28-L27,4))</f>
        <v/>
      </c>
      <c r="M29" s="46" t="n"/>
    </row>
    <row r="30">
      <c r="C30" s="43" t="inlineStr">
        <is>
          <t>Recepcion de orden planificada</t>
        </is>
      </c>
      <c r="D30" s="44" t="n"/>
      <c r="E30" s="45">
        <f>IF(E29&lt;=0,0,IF(Materiales!$G$7&lt;=0,E29,ROUNDUP(E29/Materiales!$G$7,0)*Materiales!$G$7))</f>
        <v/>
      </c>
      <c r="F30" s="45">
        <f>IF(F29&lt;=0,0,IF(Materiales!$G$7&lt;=0,F29,ROUNDUP(F29/Materiales!$G$7,0)*Materiales!$G$7))</f>
        <v/>
      </c>
      <c r="G30" s="45">
        <f>IF(G29&lt;=0,0,IF(Materiales!$G$7&lt;=0,G29,ROUNDUP(G29/Materiales!$G$7,0)*Materiales!$G$7))</f>
        <v/>
      </c>
      <c r="H30" s="45">
        <f>IF(H29&lt;=0,0,IF(Materiales!$G$7&lt;=0,H29,ROUNDUP(H29/Materiales!$G$7,0)*Materiales!$G$7))</f>
        <v/>
      </c>
      <c r="I30" s="45">
        <f>IF(I29&lt;=0,0,IF(Materiales!$G$7&lt;=0,I29,ROUNDUP(I29/Materiales!$G$7,0)*Materiales!$G$7))</f>
        <v/>
      </c>
      <c r="J30" s="45">
        <f>IF(J29&lt;=0,0,IF(Materiales!$G$7&lt;=0,J29,ROUNDUP(J29/Materiales!$G$7,0)*Materiales!$G$7))</f>
        <v/>
      </c>
      <c r="K30" s="45">
        <f>IF(K29&lt;=0,0,IF(Materiales!$G$7&lt;=0,K29,ROUNDUP(K29/Materiales!$G$7,0)*Materiales!$G$7))</f>
        <v/>
      </c>
      <c r="L30" s="45">
        <f>IF(L29&lt;=0,0,IF(Materiales!$G$7&lt;=0,L29,ROUNDUP(L29/Materiales!$G$7,0)*Materiales!$G$7))</f>
        <v/>
      </c>
      <c r="M30" s="46" t="n"/>
    </row>
    <row r="31">
      <c r="C31" s="50" t="inlineStr">
        <is>
          <t>LANZAMIENTO DE ORDEN — pedir esta semana</t>
        </is>
      </c>
      <c r="D31" s="44" t="n"/>
      <c r="E31" s="51">
        <f>IF(1+Materiales!$F$7&gt;8,0,INDEX($E$30:$L$30,1,1+Materiales!$F$7))</f>
        <v/>
      </c>
      <c r="F31" s="51">
        <f>IF(2+Materiales!$F$7&gt;8,0,INDEX($E$30:$L$30,1,2+Materiales!$F$7))</f>
        <v/>
      </c>
      <c r="G31" s="51">
        <f>IF(3+Materiales!$F$7&gt;8,0,INDEX($E$30:$L$30,1,3+Materiales!$F$7))</f>
        <v/>
      </c>
      <c r="H31" s="51">
        <f>IF(4+Materiales!$F$7&gt;8,0,INDEX($E$30:$L$30,1,4+Materiales!$F$7))</f>
        <v/>
      </c>
      <c r="I31" s="51">
        <f>IF(5+Materiales!$F$7&gt;8,0,INDEX($E$30:$L$30,1,5+Materiales!$F$7))</f>
        <v/>
      </c>
      <c r="J31" s="51">
        <f>IF(6+Materiales!$F$7&gt;8,0,INDEX($E$30:$L$30,1,6+Materiales!$F$7))</f>
        <v/>
      </c>
      <c r="K31" s="51">
        <f>IF(7+Materiales!$F$7&gt;8,0,INDEX($E$30:$L$30,1,7+Materiales!$F$7))</f>
        <v/>
      </c>
      <c r="L31" s="51">
        <f>IF(8+Materiales!$F$7&gt;8,0,INDEX($E$30:$L$30,1,8+Materiales!$F$7))</f>
        <v/>
      </c>
      <c r="M31" s="52">
        <f>IF($A26="","",IF(SUMPRODUCT((COLUMN($E$30:$L$30)-4&lt;=Materiales!$F$7)*$E$30:$L$30)&gt;0,"PEDIR YA (atrasado)","OK"))</f>
        <v/>
      </c>
    </row>
    <row r="32" ht="6" customHeight="1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</row>
    <row r="33">
      <c r="A33" s="42">
        <f>IF(Materiales!$A$8="","",Materiales!$A$8)</f>
        <v/>
      </c>
      <c r="B33" s="42">
        <f>IF(Materiales!$B$8="","",Materiales!$B$8)</f>
        <v/>
      </c>
      <c r="C33" s="43" t="inlineStr">
        <is>
          <t>Necesidad bruta</t>
        </is>
      </c>
      <c r="D33" s="44" t="n"/>
      <c r="E33" s="45">
        <f>ROUND(SUMIF(Consumo!$B$4:$B$103,$A33,Consumo!G$4:G$103),4)</f>
        <v/>
      </c>
      <c r="F33" s="45">
        <f>ROUND(SUMIF(Consumo!$B$4:$B$103,$A33,Consumo!H$4:H$103),4)</f>
        <v/>
      </c>
      <c r="G33" s="45">
        <f>ROUND(SUMIF(Consumo!$B$4:$B$103,$A33,Consumo!I$4:I$103),4)</f>
        <v/>
      </c>
      <c r="H33" s="45">
        <f>ROUND(SUMIF(Consumo!$B$4:$B$103,$A33,Consumo!J$4:J$103),4)</f>
        <v/>
      </c>
      <c r="I33" s="45">
        <f>ROUND(SUMIF(Consumo!$B$4:$B$103,$A33,Consumo!K$4:K$103),4)</f>
        <v/>
      </c>
      <c r="J33" s="45">
        <f>ROUND(SUMIF(Consumo!$B$4:$B$103,$A33,Consumo!L$4:L$103),4)</f>
        <v/>
      </c>
      <c r="K33" s="45">
        <f>ROUND(SUMIF(Consumo!$B$4:$B$103,$A33,Consumo!M$4:M$103),4)</f>
        <v/>
      </c>
      <c r="L33" s="45">
        <f>ROUND(SUMIF(Consumo!$B$4:$B$103,$A33,Consumo!N$4:N$103),4)</f>
        <v/>
      </c>
      <c r="M33" s="46" t="n"/>
    </row>
    <row r="34">
      <c r="C34" s="43" t="inlineStr">
        <is>
          <t>Recepciones programadas (ya pedido)</t>
        </is>
      </c>
      <c r="D34" s="44" t="n"/>
      <c r="E34" s="45">
        <f>SUMIF(Inventario!$A$5:$A$29,$A33,Inventario!E$5:E$29)</f>
        <v/>
      </c>
      <c r="F34" s="45">
        <f>SUMIF(Inventario!$A$5:$A$29,$A33,Inventario!F$5:F$29)</f>
        <v/>
      </c>
      <c r="G34" s="45">
        <f>SUMIF(Inventario!$A$5:$A$29,$A33,Inventario!G$5:G$29)</f>
        <v/>
      </c>
      <c r="H34" s="45">
        <f>SUMIF(Inventario!$A$5:$A$29,$A33,Inventario!H$5:H$29)</f>
        <v/>
      </c>
      <c r="I34" s="45">
        <f>SUMIF(Inventario!$A$5:$A$29,$A33,Inventario!I$5:I$29)</f>
        <v/>
      </c>
      <c r="J34" s="45">
        <f>SUMIF(Inventario!$A$5:$A$29,$A33,Inventario!J$5:J$29)</f>
        <v/>
      </c>
      <c r="K34" s="45">
        <f>SUMIF(Inventario!$A$5:$A$29,$A33,Inventario!K$5:K$29)</f>
        <v/>
      </c>
      <c r="L34" s="45">
        <f>SUMIF(Inventario!$A$5:$A$29,$A33,Inventario!L$5:L$29)</f>
        <v/>
      </c>
      <c r="M34" s="46" t="n"/>
    </row>
    <row r="35">
      <c r="C35" s="43" t="inlineStr">
        <is>
          <t>Stock proyectado disponible</t>
        </is>
      </c>
      <c r="D35" s="47">
        <f>SUMIF(Inventario!$A$5:$A$29,$A33,Inventario!$C$5:$C$29)</f>
        <v/>
      </c>
      <c r="E35" s="48">
        <f>D35+E34+E37-E33</f>
        <v/>
      </c>
      <c r="F35" s="48">
        <f>E35+F34+F37-F33</f>
        <v/>
      </c>
      <c r="G35" s="48">
        <f>F35+G34+G37-G33</f>
        <v/>
      </c>
      <c r="H35" s="48">
        <f>G35+H34+H37-H33</f>
        <v/>
      </c>
      <c r="I35" s="48">
        <f>H35+I34+I37-I33</f>
        <v/>
      </c>
      <c r="J35" s="48">
        <f>I35+J34+J37-J33</f>
        <v/>
      </c>
      <c r="K35" s="48">
        <f>J35+K34+K37-K33</f>
        <v/>
      </c>
      <c r="L35" s="48">
        <f>K35+L34+L37-L33</f>
        <v/>
      </c>
      <c r="M35" s="46" t="n"/>
    </row>
    <row r="36">
      <c r="C36" s="43" t="inlineStr">
        <is>
          <t>Necesidad neta</t>
        </is>
      </c>
      <c r="D36" s="44" t="n"/>
      <c r="E36" s="49">
        <f>MAX(0,ROUND(E33+Materiales!$H$8-D35-E34,4))</f>
        <v/>
      </c>
      <c r="F36" s="49">
        <f>MAX(0,ROUND(F33+Materiales!$H$8-E35-F34,4))</f>
        <v/>
      </c>
      <c r="G36" s="49">
        <f>MAX(0,ROUND(G33+Materiales!$H$8-F35-G34,4))</f>
        <v/>
      </c>
      <c r="H36" s="49">
        <f>MAX(0,ROUND(H33+Materiales!$H$8-G35-H34,4))</f>
        <v/>
      </c>
      <c r="I36" s="49">
        <f>MAX(0,ROUND(I33+Materiales!$H$8-H35-I34,4))</f>
        <v/>
      </c>
      <c r="J36" s="49">
        <f>MAX(0,ROUND(J33+Materiales!$H$8-I35-J34,4))</f>
        <v/>
      </c>
      <c r="K36" s="49">
        <f>MAX(0,ROUND(K33+Materiales!$H$8-J35-K34,4))</f>
        <v/>
      </c>
      <c r="L36" s="49">
        <f>MAX(0,ROUND(L33+Materiales!$H$8-K35-L34,4))</f>
        <v/>
      </c>
      <c r="M36" s="46" t="n"/>
    </row>
    <row r="37">
      <c r="C37" s="43" t="inlineStr">
        <is>
          <t>Recepcion de orden planificada</t>
        </is>
      </c>
      <c r="D37" s="44" t="n"/>
      <c r="E37" s="45">
        <f>IF(E36&lt;=0,0,IF(Materiales!$G$8&lt;=0,E36,ROUNDUP(E36/Materiales!$G$8,0)*Materiales!$G$8))</f>
        <v/>
      </c>
      <c r="F37" s="45">
        <f>IF(F36&lt;=0,0,IF(Materiales!$G$8&lt;=0,F36,ROUNDUP(F36/Materiales!$G$8,0)*Materiales!$G$8))</f>
        <v/>
      </c>
      <c r="G37" s="45">
        <f>IF(G36&lt;=0,0,IF(Materiales!$G$8&lt;=0,G36,ROUNDUP(G36/Materiales!$G$8,0)*Materiales!$G$8))</f>
        <v/>
      </c>
      <c r="H37" s="45">
        <f>IF(H36&lt;=0,0,IF(Materiales!$G$8&lt;=0,H36,ROUNDUP(H36/Materiales!$G$8,0)*Materiales!$G$8))</f>
        <v/>
      </c>
      <c r="I37" s="45">
        <f>IF(I36&lt;=0,0,IF(Materiales!$G$8&lt;=0,I36,ROUNDUP(I36/Materiales!$G$8,0)*Materiales!$G$8))</f>
        <v/>
      </c>
      <c r="J37" s="45">
        <f>IF(J36&lt;=0,0,IF(Materiales!$G$8&lt;=0,J36,ROUNDUP(J36/Materiales!$G$8,0)*Materiales!$G$8))</f>
        <v/>
      </c>
      <c r="K37" s="45">
        <f>IF(K36&lt;=0,0,IF(Materiales!$G$8&lt;=0,K36,ROUNDUP(K36/Materiales!$G$8,0)*Materiales!$G$8))</f>
        <v/>
      </c>
      <c r="L37" s="45">
        <f>IF(L36&lt;=0,0,IF(Materiales!$G$8&lt;=0,L36,ROUNDUP(L36/Materiales!$G$8,0)*Materiales!$G$8))</f>
        <v/>
      </c>
      <c r="M37" s="46" t="n"/>
    </row>
    <row r="38">
      <c r="C38" s="50" t="inlineStr">
        <is>
          <t>LANZAMIENTO DE ORDEN — pedir esta semana</t>
        </is>
      </c>
      <c r="D38" s="44" t="n"/>
      <c r="E38" s="51">
        <f>IF(1+Materiales!$F$8&gt;8,0,INDEX($E$37:$L$37,1,1+Materiales!$F$8))</f>
        <v/>
      </c>
      <c r="F38" s="51">
        <f>IF(2+Materiales!$F$8&gt;8,0,INDEX($E$37:$L$37,1,2+Materiales!$F$8))</f>
        <v/>
      </c>
      <c r="G38" s="51">
        <f>IF(3+Materiales!$F$8&gt;8,0,INDEX($E$37:$L$37,1,3+Materiales!$F$8))</f>
        <v/>
      </c>
      <c r="H38" s="51">
        <f>IF(4+Materiales!$F$8&gt;8,0,INDEX($E$37:$L$37,1,4+Materiales!$F$8))</f>
        <v/>
      </c>
      <c r="I38" s="51">
        <f>IF(5+Materiales!$F$8&gt;8,0,INDEX($E$37:$L$37,1,5+Materiales!$F$8))</f>
        <v/>
      </c>
      <c r="J38" s="51">
        <f>IF(6+Materiales!$F$8&gt;8,0,INDEX($E$37:$L$37,1,6+Materiales!$F$8))</f>
        <v/>
      </c>
      <c r="K38" s="51">
        <f>IF(7+Materiales!$F$8&gt;8,0,INDEX($E$37:$L$37,1,7+Materiales!$F$8))</f>
        <v/>
      </c>
      <c r="L38" s="51">
        <f>IF(8+Materiales!$F$8&gt;8,0,INDEX($E$37:$L$37,1,8+Materiales!$F$8))</f>
        <v/>
      </c>
      <c r="M38" s="52">
        <f>IF($A33="","",IF(SUMPRODUCT((COLUMN($E$37:$L$37)-4&lt;=Materiales!$F$8)*$E$37:$L$37)&gt;0,"PEDIR YA (atrasado)","OK"))</f>
        <v/>
      </c>
    </row>
    <row r="39" ht="6" customHeight="1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</row>
    <row r="40">
      <c r="A40" s="42">
        <f>IF(Materiales!$A$9="","",Materiales!$A$9)</f>
        <v/>
      </c>
      <c r="B40" s="42">
        <f>IF(Materiales!$B$9="","",Materiales!$B$9)</f>
        <v/>
      </c>
      <c r="C40" s="43" t="inlineStr">
        <is>
          <t>Necesidad bruta</t>
        </is>
      </c>
      <c r="D40" s="44" t="n"/>
      <c r="E40" s="45">
        <f>ROUND(SUMIF(Consumo!$B$4:$B$103,$A40,Consumo!G$4:G$103),4)</f>
        <v/>
      </c>
      <c r="F40" s="45">
        <f>ROUND(SUMIF(Consumo!$B$4:$B$103,$A40,Consumo!H$4:H$103),4)</f>
        <v/>
      </c>
      <c r="G40" s="45">
        <f>ROUND(SUMIF(Consumo!$B$4:$B$103,$A40,Consumo!I$4:I$103),4)</f>
        <v/>
      </c>
      <c r="H40" s="45">
        <f>ROUND(SUMIF(Consumo!$B$4:$B$103,$A40,Consumo!J$4:J$103),4)</f>
        <v/>
      </c>
      <c r="I40" s="45">
        <f>ROUND(SUMIF(Consumo!$B$4:$B$103,$A40,Consumo!K$4:K$103),4)</f>
        <v/>
      </c>
      <c r="J40" s="45">
        <f>ROUND(SUMIF(Consumo!$B$4:$B$103,$A40,Consumo!L$4:L$103),4)</f>
        <v/>
      </c>
      <c r="K40" s="45">
        <f>ROUND(SUMIF(Consumo!$B$4:$B$103,$A40,Consumo!M$4:M$103),4)</f>
        <v/>
      </c>
      <c r="L40" s="45">
        <f>ROUND(SUMIF(Consumo!$B$4:$B$103,$A40,Consumo!N$4:N$103),4)</f>
        <v/>
      </c>
      <c r="M40" s="46" t="n"/>
    </row>
    <row r="41">
      <c r="C41" s="43" t="inlineStr">
        <is>
          <t>Recepciones programadas (ya pedido)</t>
        </is>
      </c>
      <c r="D41" s="44" t="n"/>
      <c r="E41" s="45">
        <f>SUMIF(Inventario!$A$5:$A$29,$A40,Inventario!E$5:E$29)</f>
        <v/>
      </c>
      <c r="F41" s="45">
        <f>SUMIF(Inventario!$A$5:$A$29,$A40,Inventario!F$5:F$29)</f>
        <v/>
      </c>
      <c r="G41" s="45">
        <f>SUMIF(Inventario!$A$5:$A$29,$A40,Inventario!G$5:G$29)</f>
        <v/>
      </c>
      <c r="H41" s="45">
        <f>SUMIF(Inventario!$A$5:$A$29,$A40,Inventario!H$5:H$29)</f>
        <v/>
      </c>
      <c r="I41" s="45">
        <f>SUMIF(Inventario!$A$5:$A$29,$A40,Inventario!I$5:I$29)</f>
        <v/>
      </c>
      <c r="J41" s="45">
        <f>SUMIF(Inventario!$A$5:$A$29,$A40,Inventario!J$5:J$29)</f>
        <v/>
      </c>
      <c r="K41" s="45">
        <f>SUMIF(Inventario!$A$5:$A$29,$A40,Inventario!K$5:K$29)</f>
        <v/>
      </c>
      <c r="L41" s="45">
        <f>SUMIF(Inventario!$A$5:$A$29,$A40,Inventario!L$5:L$29)</f>
        <v/>
      </c>
      <c r="M41" s="46" t="n"/>
    </row>
    <row r="42">
      <c r="C42" s="43" t="inlineStr">
        <is>
          <t>Stock proyectado disponible</t>
        </is>
      </c>
      <c r="D42" s="47">
        <f>SUMIF(Inventario!$A$5:$A$29,$A40,Inventario!$C$5:$C$29)</f>
        <v/>
      </c>
      <c r="E42" s="48">
        <f>D42+E41+E44-E40</f>
        <v/>
      </c>
      <c r="F42" s="48">
        <f>E42+F41+F44-F40</f>
        <v/>
      </c>
      <c r="G42" s="48">
        <f>F42+G41+G44-G40</f>
        <v/>
      </c>
      <c r="H42" s="48">
        <f>G42+H41+H44-H40</f>
        <v/>
      </c>
      <c r="I42" s="48">
        <f>H42+I41+I44-I40</f>
        <v/>
      </c>
      <c r="J42" s="48">
        <f>I42+J41+J44-J40</f>
        <v/>
      </c>
      <c r="K42" s="48">
        <f>J42+K41+K44-K40</f>
        <v/>
      </c>
      <c r="L42" s="48">
        <f>K42+L41+L44-L40</f>
        <v/>
      </c>
      <c r="M42" s="46" t="n"/>
    </row>
    <row r="43">
      <c r="C43" s="43" t="inlineStr">
        <is>
          <t>Necesidad neta</t>
        </is>
      </c>
      <c r="D43" s="44" t="n"/>
      <c r="E43" s="49">
        <f>MAX(0,ROUND(E40+Materiales!$H$9-D42-E41,4))</f>
        <v/>
      </c>
      <c r="F43" s="49">
        <f>MAX(0,ROUND(F40+Materiales!$H$9-E42-F41,4))</f>
        <v/>
      </c>
      <c r="G43" s="49">
        <f>MAX(0,ROUND(G40+Materiales!$H$9-F42-G41,4))</f>
        <v/>
      </c>
      <c r="H43" s="49">
        <f>MAX(0,ROUND(H40+Materiales!$H$9-G42-H41,4))</f>
        <v/>
      </c>
      <c r="I43" s="49">
        <f>MAX(0,ROUND(I40+Materiales!$H$9-H42-I41,4))</f>
        <v/>
      </c>
      <c r="J43" s="49">
        <f>MAX(0,ROUND(J40+Materiales!$H$9-I42-J41,4))</f>
        <v/>
      </c>
      <c r="K43" s="49">
        <f>MAX(0,ROUND(K40+Materiales!$H$9-J42-K41,4))</f>
        <v/>
      </c>
      <c r="L43" s="49">
        <f>MAX(0,ROUND(L40+Materiales!$H$9-K42-L41,4))</f>
        <v/>
      </c>
      <c r="M43" s="46" t="n"/>
    </row>
    <row r="44">
      <c r="C44" s="43" t="inlineStr">
        <is>
          <t>Recepcion de orden planificada</t>
        </is>
      </c>
      <c r="D44" s="44" t="n"/>
      <c r="E44" s="45">
        <f>IF(E43&lt;=0,0,IF(Materiales!$G$9&lt;=0,E43,ROUNDUP(E43/Materiales!$G$9,0)*Materiales!$G$9))</f>
        <v/>
      </c>
      <c r="F44" s="45">
        <f>IF(F43&lt;=0,0,IF(Materiales!$G$9&lt;=0,F43,ROUNDUP(F43/Materiales!$G$9,0)*Materiales!$G$9))</f>
        <v/>
      </c>
      <c r="G44" s="45">
        <f>IF(G43&lt;=0,0,IF(Materiales!$G$9&lt;=0,G43,ROUNDUP(G43/Materiales!$G$9,0)*Materiales!$G$9))</f>
        <v/>
      </c>
      <c r="H44" s="45">
        <f>IF(H43&lt;=0,0,IF(Materiales!$G$9&lt;=0,H43,ROUNDUP(H43/Materiales!$G$9,0)*Materiales!$G$9))</f>
        <v/>
      </c>
      <c r="I44" s="45">
        <f>IF(I43&lt;=0,0,IF(Materiales!$G$9&lt;=0,I43,ROUNDUP(I43/Materiales!$G$9,0)*Materiales!$G$9))</f>
        <v/>
      </c>
      <c r="J44" s="45">
        <f>IF(J43&lt;=0,0,IF(Materiales!$G$9&lt;=0,J43,ROUNDUP(J43/Materiales!$G$9,0)*Materiales!$G$9))</f>
        <v/>
      </c>
      <c r="K44" s="45">
        <f>IF(K43&lt;=0,0,IF(Materiales!$G$9&lt;=0,K43,ROUNDUP(K43/Materiales!$G$9,0)*Materiales!$G$9))</f>
        <v/>
      </c>
      <c r="L44" s="45">
        <f>IF(L43&lt;=0,0,IF(Materiales!$G$9&lt;=0,L43,ROUNDUP(L43/Materiales!$G$9,0)*Materiales!$G$9))</f>
        <v/>
      </c>
      <c r="M44" s="46" t="n"/>
    </row>
    <row r="45">
      <c r="C45" s="50" t="inlineStr">
        <is>
          <t>LANZAMIENTO DE ORDEN — pedir esta semana</t>
        </is>
      </c>
      <c r="D45" s="44" t="n"/>
      <c r="E45" s="51">
        <f>IF(1+Materiales!$F$9&gt;8,0,INDEX($E$44:$L$44,1,1+Materiales!$F$9))</f>
        <v/>
      </c>
      <c r="F45" s="51">
        <f>IF(2+Materiales!$F$9&gt;8,0,INDEX($E$44:$L$44,1,2+Materiales!$F$9))</f>
        <v/>
      </c>
      <c r="G45" s="51">
        <f>IF(3+Materiales!$F$9&gt;8,0,INDEX($E$44:$L$44,1,3+Materiales!$F$9))</f>
        <v/>
      </c>
      <c r="H45" s="51">
        <f>IF(4+Materiales!$F$9&gt;8,0,INDEX($E$44:$L$44,1,4+Materiales!$F$9))</f>
        <v/>
      </c>
      <c r="I45" s="51">
        <f>IF(5+Materiales!$F$9&gt;8,0,INDEX($E$44:$L$44,1,5+Materiales!$F$9))</f>
        <v/>
      </c>
      <c r="J45" s="51">
        <f>IF(6+Materiales!$F$9&gt;8,0,INDEX($E$44:$L$44,1,6+Materiales!$F$9))</f>
        <v/>
      </c>
      <c r="K45" s="51">
        <f>IF(7+Materiales!$F$9&gt;8,0,INDEX($E$44:$L$44,1,7+Materiales!$F$9))</f>
        <v/>
      </c>
      <c r="L45" s="51">
        <f>IF(8+Materiales!$F$9&gt;8,0,INDEX($E$44:$L$44,1,8+Materiales!$F$9))</f>
        <v/>
      </c>
      <c r="M45" s="52">
        <f>IF($A40="","",IF(SUMPRODUCT((COLUMN($E$44:$L$44)-4&lt;=Materiales!$F$9)*$E$44:$L$44)&gt;0,"PEDIR YA (atrasado)","OK"))</f>
        <v/>
      </c>
    </row>
    <row r="46" ht="6" customHeight="1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</row>
    <row r="47">
      <c r="A47" s="42">
        <f>IF(Materiales!$A$10="","",Materiales!$A$10)</f>
        <v/>
      </c>
      <c r="B47" s="42">
        <f>IF(Materiales!$B$10="","",Materiales!$B$10)</f>
        <v/>
      </c>
      <c r="C47" s="43" t="inlineStr">
        <is>
          <t>Necesidad bruta</t>
        </is>
      </c>
      <c r="D47" s="44" t="n"/>
      <c r="E47" s="45">
        <f>ROUND(SUMIF(Consumo!$B$4:$B$103,$A47,Consumo!G$4:G$103),4)</f>
        <v/>
      </c>
      <c r="F47" s="45">
        <f>ROUND(SUMIF(Consumo!$B$4:$B$103,$A47,Consumo!H$4:H$103),4)</f>
        <v/>
      </c>
      <c r="G47" s="45">
        <f>ROUND(SUMIF(Consumo!$B$4:$B$103,$A47,Consumo!I$4:I$103),4)</f>
        <v/>
      </c>
      <c r="H47" s="45">
        <f>ROUND(SUMIF(Consumo!$B$4:$B$103,$A47,Consumo!J$4:J$103),4)</f>
        <v/>
      </c>
      <c r="I47" s="45">
        <f>ROUND(SUMIF(Consumo!$B$4:$B$103,$A47,Consumo!K$4:K$103),4)</f>
        <v/>
      </c>
      <c r="J47" s="45">
        <f>ROUND(SUMIF(Consumo!$B$4:$B$103,$A47,Consumo!L$4:L$103),4)</f>
        <v/>
      </c>
      <c r="K47" s="45">
        <f>ROUND(SUMIF(Consumo!$B$4:$B$103,$A47,Consumo!M$4:M$103),4)</f>
        <v/>
      </c>
      <c r="L47" s="45">
        <f>ROUND(SUMIF(Consumo!$B$4:$B$103,$A47,Consumo!N$4:N$103),4)</f>
        <v/>
      </c>
      <c r="M47" s="46" t="n"/>
    </row>
    <row r="48">
      <c r="C48" s="43" t="inlineStr">
        <is>
          <t>Recepciones programadas (ya pedido)</t>
        </is>
      </c>
      <c r="D48" s="44" t="n"/>
      <c r="E48" s="45">
        <f>SUMIF(Inventario!$A$5:$A$29,$A47,Inventario!E$5:E$29)</f>
        <v/>
      </c>
      <c r="F48" s="45">
        <f>SUMIF(Inventario!$A$5:$A$29,$A47,Inventario!F$5:F$29)</f>
        <v/>
      </c>
      <c r="G48" s="45">
        <f>SUMIF(Inventario!$A$5:$A$29,$A47,Inventario!G$5:G$29)</f>
        <v/>
      </c>
      <c r="H48" s="45">
        <f>SUMIF(Inventario!$A$5:$A$29,$A47,Inventario!H$5:H$29)</f>
        <v/>
      </c>
      <c r="I48" s="45">
        <f>SUMIF(Inventario!$A$5:$A$29,$A47,Inventario!I$5:I$29)</f>
        <v/>
      </c>
      <c r="J48" s="45">
        <f>SUMIF(Inventario!$A$5:$A$29,$A47,Inventario!J$5:J$29)</f>
        <v/>
      </c>
      <c r="K48" s="45">
        <f>SUMIF(Inventario!$A$5:$A$29,$A47,Inventario!K$5:K$29)</f>
        <v/>
      </c>
      <c r="L48" s="45">
        <f>SUMIF(Inventario!$A$5:$A$29,$A47,Inventario!L$5:L$29)</f>
        <v/>
      </c>
      <c r="M48" s="46" t="n"/>
    </row>
    <row r="49">
      <c r="C49" s="43" t="inlineStr">
        <is>
          <t>Stock proyectado disponible</t>
        </is>
      </c>
      <c r="D49" s="47">
        <f>SUMIF(Inventario!$A$5:$A$29,$A47,Inventario!$C$5:$C$29)</f>
        <v/>
      </c>
      <c r="E49" s="48">
        <f>D49+E48+E51-E47</f>
        <v/>
      </c>
      <c r="F49" s="48">
        <f>E49+F48+F51-F47</f>
        <v/>
      </c>
      <c r="G49" s="48">
        <f>F49+G48+G51-G47</f>
        <v/>
      </c>
      <c r="H49" s="48">
        <f>G49+H48+H51-H47</f>
        <v/>
      </c>
      <c r="I49" s="48">
        <f>H49+I48+I51-I47</f>
        <v/>
      </c>
      <c r="J49" s="48">
        <f>I49+J48+J51-J47</f>
        <v/>
      </c>
      <c r="K49" s="48">
        <f>J49+K48+K51-K47</f>
        <v/>
      </c>
      <c r="L49" s="48">
        <f>K49+L48+L51-L47</f>
        <v/>
      </c>
      <c r="M49" s="46" t="n"/>
    </row>
    <row r="50">
      <c r="C50" s="43" t="inlineStr">
        <is>
          <t>Necesidad neta</t>
        </is>
      </c>
      <c r="D50" s="44" t="n"/>
      <c r="E50" s="49">
        <f>MAX(0,ROUND(E47+Materiales!$H$10-D49-E48,4))</f>
        <v/>
      </c>
      <c r="F50" s="49">
        <f>MAX(0,ROUND(F47+Materiales!$H$10-E49-F48,4))</f>
        <v/>
      </c>
      <c r="G50" s="49">
        <f>MAX(0,ROUND(G47+Materiales!$H$10-F49-G48,4))</f>
        <v/>
      </c>
      <c r="H50" s="49">
        <f>MAX(0,ROUND(H47+Materiales!$H$10-G49-H48,4))</f>
        <v/>
      </c>
      <c r="I50" s="49">
        <f>MAX(0,ROUND(I47+Materiales!$H$10-H49-I48,4))</f>
        <v/>
      </c>
      <c r="J50" s="49">
        <f>MAX(0,ROUND(J47+Materiales!$H$10-I49-J48,4))</f>
        <v/>
      </c>
      <c r="K50" s="49">
        <f>MAX(0,ROUND(K47+Materiales!$H$10-J49-K48,4))</f>
        <v/>
      </c>
      <c r="L50" s="49">
        <f>MAX(0,ROUND(L47+Materiales!$H$10-K49-L48,4))</f>
        <v/>
      </c>
      <c r="M50" s="46" t="n"/>
    </row>
    <row r="51">
      <c r="C51" s="43" t="inlineStr">
        <is>
          <t>Recepcion de orden planificada</t>
        </is>
      </c>
      <c r="D51" s="44" t="n"/>
      <c r="E51" s="45">
        <f>IF(E50&lt;=0,0,IF(Materiales!$G$10&lt;=0,E50,ROUNDUP(E50/Materiales!$G$10,0)*Materiales!$G$10))</f>
        <v/>
      </c>
      <c r="F51" s="45">
        <f>IF(F50&lt;=0,0,IF(Materiales!$G$10&lt;=0,F50,ROUNDUP(F50/Materiales!$G$10,0)*Materiales!$G$10))</f>
        <v/>
      </c>
      <c r="G51" s="45">
        <f>IF(G50&lt;=0,0,IF(Materiales!$G$10&lt;=0,G50,ROUNDUP(G50/Materiales!$G$10,0)*Materiales!$G$10))</f>
        <v/>
      </c>
      <c r="H51" s="45">
        <f>IF(H50&lt;=0,0,IF(Materiales!$G$10&lt;=0,H50,ROUNDUP(H50/Materiales!$G$10,0)*Materiales!$G$10))</f>
        <v/>
      </c>
      <c r="I51" s="45">
        <f>IF(I50&lt;=0,0,IF(Materiales!$G$10&lt;=0,I50,ROUNDUP(I50/Materiales!$G$10,0)*Materiales!$G$10))</f>
        <v/>
      </c>
      <c r="J51" s="45">
        <f>IF(J50&lt;=0,0,IF(Materiales!$G$10&lt;=0,J50,ROUNDUP(J50/Materiales!$G$10,0)*Materiales!$G$10))</f>
        <v/>
      </c>
      <c r="K51" s="45">
        <f>IF(K50&lt;=0,0,IF(Materiales!$G$10&lt;=0,K50,ROUNDUP(K50/Materiales!$G$10,0)*Materiales!$G$10))</f>
        <v/>
      </c>
      <c r="L51" s="45">
        <f>IF(L50&lt;=0,0,IF(Materiales!$G$10&lt;=0,L50,ROUNDUP(L50/Materiales!$G$10,0)*Materiales!$G$10))</f>
        <v/>
      </c>
      <c r="M51" s="46" t="n"/>
    </row>
    <row r="52">
      <c r="C52" s="50" t="inlineStr">
        <is>
          <t>LANZAMIENTO DE ORDEN — pedir esta semana</t>
        </is>
      </c>
      <c r="D52" s="44" t="n"/>
      <c r="E52" s="51">
        <f>IF(1+Materiales!$F$10&gt;8,0,INDEX($E$51:$L$51,1,1+Materiales!$F$10))</f>
        <v/>
      </c>
      <c r="F52" s="51">
        <f>IF(2+Materiales!$F$10&gt;8,0,INDEX($E$51:$L$51,1,2+Materiales!$F$10))</f>
        <v/>
      </c>
      <c r="G52" s="51">
        <f>IF(3+Materiales!$F$10&gt;8,0,INDEX($E$51:$L$51,1,3+Materiales!$F$10))</f>
        <v/>
      </c>
      <c r="H52" s="51">
        <f>IF(4+Materiales!$F$10&gt;8,0,INDEX($E$51:$L$51,1,4+Materiales!$F$10))</f>
        <v/>
      </c>
      <c r="I52" s="51">
        <f>IF(5+Materiales!$F$10&gt;8,0,INDEX($E$51:$L$51,1,5+Materiales!$F$10))</f>
        <v/>
      </c>
      <c r="J52" s="51">
        <f>IF(6+Materiales!$F$10&gt;8,0,INDEX($E$51:$L$51,1,6+Materiales!$F$10))</f>
        <v/>
      </c>
      <c r="K52" s="51">
        <f>IF(7+Materiales!$F$10&gt;8,0,INDEX($E$51:$L$51,1,7+Materiales!$F$10))</f>
        <v/>
      </c>
      <c r="L52" s="51">
        <f>IF(8+Materiales!$F$10&gt;8,0,INDEX($E$51:$L$51,1,8+Materiales!$F$10))</f>
        <v/>
      </c>
      <c r="M52" s="52">
        <f>IF($A47="","",IF(SUMPRODUCT((COLUMN($E$51:$L$51)-4&lt;=Materiales!$F$10)*$E$51:$L$51)&gt;0,"PEDIR YA (atrasado)","OK"))</f>
        <v/>
      </c>
    </row>
    <row r="53" ht="6" customHeight="1">
      <c r="A53" s="53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</row>
    <row r="54">
      <c r="A54" s="42">
        <f>IF(Materiales!$A$11="","",Materiales!$A$11)</f>
        <v/>
      </c>
      <c r="B54" s="42">
        <f>IF(Materiales!$B$11="","",Materiales!$B$11)</f>
        <v/>
      </c>
      <c r="C54" s="43" t="inlineStr">
        <is>
          <t>Necesidad bruta</t>
        </is>
      </c>
      <c r="D54" s="44" t="n"/>
      <c r="E54" s="45">
        <f>ROUND(SUMIF(Consumo!$B$4:$B$103,$A54,Consumo!G$4:G$103),4)</f>
        <v/>
      </c>
      <c r="F54" s="45">
        <f>ROUND(SUMIF(Consumo!$B$4:$B$103,$A54,Consumo!H$4:H$103),4)</f>
        <v/>
      </c>
      <c r="G54" s="45">
        <f>ROUND(SUMIF(Consumo!$B$4:$B$103,$A54,Consumo!I$4:I$103),4)</f>
        <v/>
      </c>
      <c r="H54" s="45">
        <f>ROUND(SUMIF(Consumo!$B$4:$B$103,$A54,Consumo!J$4:J$103),4)</f>
        <v/>
      </c>
      <c r="I54" s="45">
        <f>ROUND(SUMIF(Consumo!$B$4:$B$103,$A54,Consumo!K$4:K$103),4)</f>
        <v/>
      </c>
      <c r="J54" s="45">
        <f>ROUND(SUMIF(Consumo!$B$4:$B$103,$A54,Consumo!L$4:L$103),4)</f>
        <v/>
      </c>
      <c r="K54" s="45">
        <f>ROUND(SUMIF(Consumo!$B$4:$B$103,$A54,Consumo!M$4:M$103),4)</f>
        <v/>
      </c>
      <c r="L54" s="45">
        <f>ROUND(SUMIF(Consumo!$B$4:$B$103,$A54,Consumo!N$4:N$103),4)</f>
        <v/>
      </c>
      <c r="M54" s="46" t="n"/>
    </row>
    <row r="55">
      <c r="C55" s="43" t="inlineStr">
        <is>
          <t>Recepciones programadas (ya pedido)</t>
        </is>
      </c>
      <c r="D55" s="44" t="n"/>
      <c r="E55" s="45">
        <f>SUMIF(Inventario!$A$5:$A$29,$A54,Inventario!E$5:E$29)</f>
        <v/>
      </c>
      <c r="F55" s="45">
        <f>SUMIF(Inventario!$A$5:$A$29,$A54,Inventario!F$5:F$29)</f>
        <v/>
      </c>
      <c r="G55" s="45">
        <f>SUMIF(Inventario!$A$5:$A$29,$A54,Inventario!G$5:G$29)</f>
        <v/>
      </c>
      <c r="H55" s="45">
        <f>SUMIF(Inventario!$A$5:$A$29,$A54,Inventario!H$5:H$29)</f>
        <v/>
      </c>
      <c r="I55" s="45">
        <f>SUMIF(Inventario!$A$5:$A$29,$A54,Inventario!I$5:I$29)</f>
        <v/>
      </c>
      <c r="J55" s="45">
        <f>SUMIF(Inventario!$A$5:$A$29,$A54,Inventario!J$5:J$29)</f>
        <v/>
      </c>
      <c r="K55" s="45">
        <f>SUMIF(Inventario!$A$5:$A$29,$A54,Inventario!K$5:K$29)</f>
        <v/>
      </c>
      <c r="L55" s="45">
        <f>SUMIF(Inventario!$A$5:$A$29,$A54,Inventario!L$5:L$29)</f>
        <v/>
      </c>
      <c r="M55" s="46" t="n"/>
    </row>
    <row r="56">
      <c r="C56" s="43" t="inlineStr">
        <is>
          <t>Stock proyectado disponible</t>
        </is>
      </c>
      <c r="D56" s="47">
        <f>SUMIF(Inventario!$A$5:$A$29,$A54,Inventario!$C$5:$C$29)</f>
        <v/>
      </c>
      <c r="E56" s="48">
        <f>D56+E55+E58-E54</f>
        <v/>
      </c>
      <c r="F56" s="48">
        <f>E56+F55+F58-F54</f>
        <v/>
      </c>
      <c r="G56" s="48">
        <f>F56+G55+G58-G54</f>
        <v/>
      </c>
      <c r="H56" s="48">
        <f>G56+H55+H58-H54</f>
        <v/>
      </c>
      <c r="I56" s="48">
        <f>H56+I55+I58-I54</f>
        <v/>
      </c>
      <c r="J56" s="48">
        <f>I56+J55+J58-J54</f>
        <v/>
      </c>
      <c r="K56" s="48">
        <f>J56+K55+K58-K54</f>
        <v/>
      </c>
      <c r="L56" s="48">
        <f>K56+L55+L58-L54</f>
        <v/>
      </c>
      <c r="M56" s="46" t="n"/>
    </row>
    <row r="57">
      <c r="C57" s="43" t="inlineStr">
        <is>
          <t>Necesidad neta</t>
        </is>
      </c>
      <c r="D57" s="44" t="n"/>
      <c r="E57" s="49">
        <f>MAX(0,ROUND(E54+Materiales!$H$11-D56-E55,4))</f>
        <v/>
      </c>
      <c r="F57" s="49">
        <f>MAX(0,ROUND(F54+Materiales!$H$11-E56-F55,4))</f>
        <v/>
      </c>
      <c r="G57" s="49">
        <f>MAX(0,ROUND(G54+Materiales!$H$11-F56-G55,4))</f>
        <v/>
      </c>
      <c r="H57" s="49">
        <f>MAX(0,ROUND(H54+Materiales!$H$11-G56-H55,4))</f>
        <v/>
      </c>
      <c r="I57" s="49">
        <f>MAX(0,ROUND(I54+Materiales!$H$11-H56-I55,4))</f>
        <v/>
      </c>
      <c r="J57" s="49">
        <f>MAX(0,ROUND(J54+Materiales!$H$11-I56-J55,4))</f>
        <v/>
      </c>
      <c r="K57" s="49">
        <f>MAX(0,ROUND(K54+Materiales!$H$11-J56-K55,4))</f>
        <v/>
      </c>
      <c r="L57" s="49">
        <f>MAX(0,ROUND(L54+Materiales!$H$11-K56-L55,4))</f>
        <v/>
      </c>
      <c r="M57" s="46" t="n"/>
    </row>
    <row r="58">
      <c r="C58" s="43" t="inlineStr">
        <is>
          <t>Recepcion de orden planificada</t>
        </is>
      </c>
      <c r="D58" s="44" t="n"/>
      <c r="E58" s="45">
        <f>IF(E57&lt;=0,0,IF(Materiales!$G$11&lt;=0,E57,ROUNDUP(E57/Materiales!$G$11,0)*Materiales!$G$11))</f>
        <v/>
      </c>
      <c r="F58" s="45">
        <f>IF(F57&lt;=0,0,IF(Materiales!$G$11&lt;=0,F57,ROUNDUP(F57/Materiales!$G$11,0)*Materiales!$G$11))</f>
        <v/>
      </c>
      <c r="G58" s="45">
        <f>IF(G57&lt;=0,0,IF(Materiales!$G$11&lt;=0,G57,ROUNDUP(G57/Materiales!$G$11,0)*Materiales!$G$11))</f>
        <v/>
      </c>
      <c r="H58" s="45">
        <f>IF(H57&lt;=0,0,IF(Materiales!$G$11&lt;=0,H57,ROUNDUP(H57/Materiales!$G$11,0)*Materiales!$G$11))</f>
        <v/>
      </c>
      <c r="I58" s="45">
        <f>IF(I57&lt;=0,0,IF(Materiales!$G$11&lt;=0,I57,ROUNDUP(I57/Materiales!$G$11,0)*Materiales!$G$11))</f>
        <v/>
      </c>
      <c r="J58" s="45">
        <f>IF(J57&lt;=0,0,IF(Materiales!$G$11&lt;=0,J57,ROUNDUP(J57/Materiales!$G$11,0)*Materiales!$G$11))</f>
        <v/>
      </c>
      <c r="K58" s="45">
        <f>IF(K57&lt;=0,0,IF(Materiales!$G$11&lt;=0,K57,ROUNDUP(K57/Materiales!$G$11,0)*Materiales!$G$11))</f>
        <v/>
      </c>
      <c r="L58" s="45">
        <f>IF(L57&lt;=0,0,IF(Materiales!$G$11&lt;=0,L57,ROUNDUP(L57/Materiales!$G$11,0)*Materiales!$G$11))</f>
        <v/>
      </c>
      <c r="M58" s="46" t="n"/>
    </row>
    <row r="59">
      <c r="C59" s="50" t="inlineStr">
        <is>
          <t>LANZAMIENTO DE ORDEN — pedir esta semana</t>
        </is>
      </c>
      <c r="D59" s="44" t="n"/>
      <c r="E59" s="51">
        <f>IF(1+Materiales!$F$11&gt;8,0,INDEX($E$58:$L$58,1,1+Materiales!$F$11))</f>
        <v/>
      </c>
      <c r="F59" s="51">
        <f>IF(2+Materiales!$F$11&gt;8,0,INDEX($E$58:$L$58,1,2+Materiales!$F$11))</f>
        <v/>
      </c>
      <c r="G59" s="51">
        <f>IF(3+Materiales!$F$11&gt;8,0,INDEX($E$58:$L$58,1,3+Materiales!$F$11))</f>
        <v/>
      </c>
      <c r="H59" s="51">
        <f>IF(4+Materiales!$F$11&gt;8,0,INDEX($E$58:$L$58,1,4+Materiales!$F$11))</f>
        <v/>
      </c>
      <c r="I59" s="51">
        <f>IF(5+Materiales!$F$11&gt;8,0,INDEX($E$58:$L$58,1,5+Materiales!$F$11))</f>
        <v/>
      </c>
      <c r="J59" s="51">
        <f>IF(6+Materiales!$F$11&gt;8,0,INDEX($E$58:$L$58,1,6+Materiales!$F$11))</f>
        <v/>
      </c>
      <c r="K59" s="51">
        <f>IF(7+Materiales!$F$11&gt;8,0,INDEX($E$58:$L$58,1,7+Materiales!$F$11))</f>
        <v/>
      </c>
      <c r="L59" s="51">
        <f>IF(8+Materiales!$F$11&gt;8,0,INDEX($E$58:$L$58,1,8+Materiales!$F$11))</f>
        <v/>
      </c>
      <c r="M59" s="52">
        <f>IF($A54="","",IF(SUMPRODUCT((COLUMN($E$58:$L$58)-4&lt;=Materiales!$F$11)*$E$58:$L$58)&gt;0,"PEDIR YA (atrasado)","OK"))</f>
        <v/>
      </c>
    </row>
    <row r="60" ht="6" customHeight="1">
      <c r="A60" s="53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</row>
    <row r="61">
      <c r="A61" s="42">
        <f>IF(Materiales!$A$12="","",Materiales!$A$12)</f>
        <v/>
      </c>
      <c r="B61" s="42">
        <f>IF(Materiales!$B$12="","",Materiales!$B$12)</f>
        <v/>
      </c>
      <c r="C61" s="43" t="inlineStr">
        <is>
          <t>Necesidad bruta</t>
        </is>
      </c>
      <c r="D61" s="44" t="n"/>
      <c r="E61" s="45">
        <f>ROUND(SUMIF(Consumo!$B$4:$B$103,$A61,Consumo!G$4:G$103),4)</f>
        <v/>
      </c>
      <c r="F61" s="45">
        <f>ROUND(SUMIF(Consumo!$B$4:$B$103,$A61,Consumo!H$4:H$103),4)</f>
        <v/>
      </c>
      <c r="G61" s="45">
        <f>ROUND(SUMIF(Consumo!$B$4:$B$103,$A61,Consumo!I$4:I$103),4)</f>
        <v/>
      </c>
      <c r="H61" s="45">
        <f>ROUND(SUMIF(Consumo!$B$4:$B$103,$A61,Consumo!J$4:J$103),4)</f>
        <v/>
      </c>
      <c r="I61" s="45">
        <f>ROUND(SUMIF(Consumo!$B$4:$B$103,$A61,Consumo!K$4:K$103),4)</f>
        <v/>
      </c>
      <c r="J61" s="45">
        <f>ROUND(SUMIF(Consumo!$B$4:$B$103,$A61,Consumo!L$4:L$103),4)</f>
        <v/>
      </c>
      <c r="K61" s="45">
        <f>ROUND(SUMIF(Consumo!$B$4:$B$103,$A61,Consumo!M$4:M$103),4)</f>
        <v/>
      </c>
      <c r="L61" s="45">
        <f>ROUND(SUMIF(Consumo!$B$4:$B$103,$A61,Consumo!N$4:N$103),4)</f>
        <v/>
      </c>
      <c r="M61" s="46" t="n"/>
    </row>
    <row r="62">
      <c r="C62" s="43" t="inlineStr">
        <is>
          <t>Recepciones programadas (ya pedido)</t>
        </is>
      </c>
      <c r="D62" s="44" t="n"/>
      <c r="E62" s="45">
        <f>SUMIF(Inventario!$A$5:$A$29,$A61,Inventario!E$5:E$29)</f>
        <v/>
      </c>
      <c r="F62" s="45">
        <f>SUMIF(Inventario!$A$5:$A$29,$A61,Inventario!F$5:F$29)</f>
        <v/>
      </c>
      <c r="G62" s="45">
        <f>SUMIF(Inventario!$A$5:$A$29,$A61,Inventario!G$5:G$29)</f>
        <v/>
      </c>
      <c r="H62" s="45">
        <f>SUMIF(Inventario!$A$5:$A$29,$A61,Inventario!H$5:H$29)</f>
        <v/>
      </c>
      <c r="I62" s="45">
        <f>SUMIF(Inventario!$A$5:$A$29,$A61,Inventario!I$5:I$29)</f>
        <v/>
      </c>
      <c r="J62" s="45">
        <f>SUMIF(Inventario!$A$5:$A$29,$A61,Inventario!J$5:J$29)</f>
        <v/>
      </c>
      <c r="K62" s="45">
        <f>SUMIF(Inventario!$A$5:$A$29,$A61,Inventario!K$5:K$29)</f>
        <v/>
      </c>
      <c r="L62" s="45">
        <f>SUMIF(Inventario!$A$5:$A$29,$A61,Inventario!L$5:L$29)</f>
        <v/>
      </c>
      <c r="M62" s="46" t="n"/>
    </row>
    <row r="63">
      <c r="C63" s="43" t="inlineStr">
        <is>
          <t>Stock proyectado disponible</t>
        </is>
      </c>
      <c r="D63" s="47">
        <f>SUMIF(Inventario!$A$5:$A$29,$A61,Inventario!$C$5:$C$29)</f>
        <v/>
      </c>
      <c r="E63" s="48">
        <f>D63+E62+E65-E61</f>
        <v/>
      </c>
      <c r="F63" s="48">
        <f>E63+F62+F65-F61</f>
        <v/>
      </c>
      <c r="G63" s="48">
        <f>F63+G62+G65-G61</f>
        <v/>
      </c>
      <c r="H63" s="48">
        <f>G63+H62+H65-H61</f>
        <v/>
      </c>
      <c r="I63" s="48">
        <f>H63+I62+I65-I61</f>
        <v/>
      </c>
      <c r="J63" s="48">
        <f>I63+J62+J65-J61</f>
        <v/>
      </c>
      <c r="K63" s="48">
        <f>J63+K62+K65-K61</f>
        <v/>
      </c>
      <c r="L63" s="48">
        <f>K63+L62+L65-L61</f>
        <v/>
      </c>
      <c r="M63" s="46" t="n"/>
    </row>
    <row r="64">
      <c r="C64" s="43" t="inlineStr">
        <is>
          <t>Necesidad neta</t>
        </is>
      </c>
      <c r="D64" s="44" t="n"/>
      <c r="E64" s="49">
        <f>MAX(0,ROUND(E61+Materiales!$H$12-D63-E62,4))</f>
        <v/>
      </c>
      <c r="F64" s="49">
        <f>MAX(0,ROUND(F61+Materiales!$H$12-E63-F62,4))</f>
        <v/>
      </c>
      <c r="G64" s="49">
        <f>MAX(0,ROUND(G61+Materiales!$H$12-F63-G62,4))</f>
        <v/>
      </c>
      <c r="H64" s="49">
        <f>MAX(0,ROUND(H61+Materiales!$H$12-G63-H62,4))</f>
        <v/>
      </c>
      <c r="I64" s="49">
        <f>MAX(0,ROUND(I61+Materiales!$H$12-H63-I62,4))</f>
        <v/>
      </c>
      <c r="J64" s="49">
        <f>MAX(0,ROUND(J61+Materiales!$H$12-I63-J62,4))</f>
        <v/>
      </c>
      <c r="K64" s="49">
        <f>MAX(0,ROUND(K61+Materiales!$H$12-J63-K62,4))</f>
        <v/>
      </c>
      <c r="L64" s="49">
        <f>MAX(0,ROUND(L61+Materiales!$H$12-K63-L62,4))</f>
        <v/>
      </c>
      <c r="M64" s="46" t="n"/>
    </row>
    <row r="65">
      <c r="C65" s="43" t="inlineStr">
        <is>
          <t>Recepcion de orden planificada</t>
        </is>
      </c>
      <c r="D65" s="44" t="n"/>
      <c r="E65" s="45">
        <f>IF(E64&lt;=0,0,IF(Materiales!$G$12&lt;=0,E64,ROUNDUP(E64/Materiales!$G$12,0)*Materiales!$G$12))</f>
        <v/>
      </c>
      <c r="F65" s="45">
        <f>IF(F64&lt;=0,0,IF(Materiales!$G$12&lt;=0,F64,ROUNDUP(F64/Materiales!$G$12,0)*Materiales!$G$12))</f>
        <v/>
      </c>
      <c r="G65" s="45">
        <f>IF(G64&lt;=0,0,IF(Materiales!$G$12&lt;=0,G64,ROUNDUP(G64/Materiales!$G$12,0)*Materiales!$G$12))</f>
        <v/>
      </c>
      <c r="H65" s="45">
        <f>IF(H64&lt;=0,0,IF(Materiales!$G$12&lt;=0,H64,ROUNDUP(H64/Materiales!$G$12,0)*Materiales!$G$12))</f>
        <v/>
      </c>
      <c r="I65" s="45">
        <f>IF(I64&lt;=0,0,IF(Materiales!$G$12&lt;=0,I64,ROUNDUP(I64/Materiales!$G$12,0)*Materiales!$G$12))</f>
        <v/>
      </c>
      <c r="J65" s="45">
        <f>IF(J64&lt;=0,0,IF(Materiales!$G$12&lt;=0,J64,ROUNDUP(J64/Materiales!$G$12,0)*Materiales!$G$12))</f>
        <v/>
      </c>
      <c r="K65" s="45">
        <f>IF(K64&lt;=0,0,IF(Materiales!$G$12&lt;=0,K64,ROUNDUP(K64/Materiales!$G$12,0)*Materiales!$G$12))</f>
        <v/>
      </c>
      <c r="L65" s="45">
        <f>IF(L64&lt;=0,0,IF(Materiales!$G$12&lt;=0,L64,ROUNDUP(L64/Materiales!$G$12,0)*Materiales!$G$12))</f>
        <v/>
      </c>
      <c r="M65" s="46" t="n"/>
    </row>
    <row r="66">
      <c r="C66" s="50" t="inlineStr">
        <is>
          <t>LANZAMIENTO DE ORDEN — pedir esta semana</t>
        </is>
      </c>
      <c r="D66" s="44" t="n"/>
      <c r="E66" s="51">
        <f>IF(1+Materiales!$F$12&gt;8,0,INDEX($E$65:$L$65,1,1+Materiales!$F$12))</f>
        <v/>
      </c>
      <c r="F66" s="51">
        <f>IF(2+Materiales!$F$12&gt;8,0,INDEX($E$65:$L$65,1,2+Materiales!$F$12))</f>
        <v/>
      </c>
      <c r="G66" s="51">
        <f>IF(3+Materiales!$F$12&gt;8,0,INDEX($E$65:$L$65,1,3+Materiales!$F$12))</f>
        <v/>
      </c>
      <c r="H66" s="51">
        <f>IF(4+Materiales!$F$12&gt;8,0,INDEX($E$65:$L$65,1,4+Materiales!$F$12))</f>
        <v/>
      </c>
      <c r="I66" s="51">
        <f>IF(5+Materiales!$F$12&gt;8,0,INDEX($E$65:$L$65,1,5+Materiales!$F$12))</f>
        <v/>
      </c>
      <c r="J66" s="51">
        <f>IF(6+Materiales!$F$12&gt;8,0,INDEX($E$65:$L$65,1,6+Materiales!$F$12))</f>
        <v/>
      </c>
      <c r="K66" s="51">
        <f>IF(7+Materiales!$F$12&gt;8,0,INDEX($E$65:$L$65,1,7+Materiales!$F$12))</f>
        <v/>
      </c>
      <c r="L66" s="51">
        <f>IF(8+Materiales!$F$12&gt;8,0,INDEX($E$65:$L$65,1,8+Materiales!$F$12))</f>
        <v/>
      </c>
      <c r="M66" s="52">
        <f>IF($A61="","",IF(SUMPRODUCT((COLUMN($E$65:$L$65)-4&lt;=Materiales!$F$12)*$E$65:$L$65)&gt;0,"PEDIR YA (atrasado)","OK"))</f>
        <v/>
      </c>
    </row>
    <row r="67" ht="6" customHeight="1">
      <c r="A67" s="53" t="n"/>
      <c r="B67" s="53" t="n"/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</row>
    <row r="68">
      <c r="A68" s="42">
        <f>IF(Materiales!$A$13="","",Materiales!$A$13)</f>
        <v/>
      </c>
      <c r="B68" s="42">
        <f>IF(Materiales!$B$13="","",Materiales!$B$13)</f>
        <v/>
      </c>
      <c r="C68" s="43" t="inlineStr">
        <is>
          <t>Necesidad bruta</t>
        </is>
      </c>
      <c r="D68" s="44" t="n"/>
      <c r="E68" s="45">
        <f>ROUND(SUMIF(Consumo!$B$4:$B$103,$A68,Consumo!G$4:G$103),4)</f>
        <v/>
      </c>
      <c r="F68" s="45">
        <f>ROUND(SUMIF(Consumo!$B$4:$B$103,$A68,Consumo!H$4:H$103),4)</f>
        <v/>
      </c>
      <c r="G68" s="45">
        <f>ROUND(SUMIF(Consumo!$B$4:$B$103,$A68,Consumo!I$4:I$103),4)</f>
        <v/>
      </c>
      <c r="H68" s="45">
        <f>ROUND(SUMIF(Consumo!$B$4:$B$103,$A68,Consumo!J$4:J$103),4)</f>
        <v/>
      </c>
      <c r="I68" s="45">
        <f>ROUND(SUMIF(Consumo!$B$4:$B$103,$A68,Consumo!K$4:K$103),4)</f>
        <v/>
      </c>
      <c r="J68" s="45">
        <f>ROUND(SUMIF(Consumo!$B$4:$B$103,$A68,Consumo!L$4:L$103),4)</f>
        <v/>
      </c>
      <c r="K68" s="45">
        <f>ROUND(SUMIF(Consumo!$B$4:$B$103,$A68,Consumo!M$4:M$103),4)</f>
        <v/>
      </c>
      <c r="L68" s="45">
        <f>ROUND(SUMIF(Consumo!$B$4:$B$103,$A68,Consumo!N$4:N$103),4)</f>
        <v/>
      </c>
      <c r="M68" s="46" t="n"/>
    </row>
    <row r="69">
      <c r="C69" s="43" t="inlineStr">
        <is>
          <t>Recepciones programadas (ya pedido)</t>
        </is>
      </c>
      <c r="D69" s="44" t="n"/>
      <c r="E69" s="45">
        <f>SUMIF(Inventario!$A$5:$A$29,$A68,Inventario!E$5:E$29)</f>
        <v/>
      </c>
      <c r="F69" s="45">
        <f>SUMIF(Inventario!$A$5:$A$29,$A68,Inventario!F$5:F$29)</f>
        <v/>
      </c>
      <c r="G69" s="45">
        <f>SUMIF(Inventario!$A$5:$A$29,$A68,Inventario!G$5:G$29)</f>
        <v/>
      </c>
      <c r="H69" s="45">
        <f>SUMIF(Inventario!$A$5:$A$29,$A68,Inventario!H$5:H$29)</f>
        <v/>
      </c>
      <c r="I69" s="45">
        <f>SUMIF(Inventario!$A$5:$A$29,$A68,Inventario!I$5:I$29)</f>
        <v/>
      </c>
      <c r="J69" s="45">
        <f>SUMIF(Inventario!$A$5:$A$29,$A68,Inventario!J$5:J$29)</f>
        <v/>
      </c>
      <c r="K69" s="45">
        <f>SUMIF(Inventario!$A$5:$A$29,$A68,Inventario!K$5:K$29)</f>
        <v/>
      </c>
      <c r="L69" s="45">
        <f>SUMIF(Inventario!$A$5:$A$29,$A68,Inventario!L$5:L$29)</f>
        <v/>
      </c>
      <c r="M69" s="46" t="n"/>
    </row>
    <row r="70">
      <c r="C70" s="43" t="inlineStr">
        <is>
          <t>Stock proyectado disponible</t>
        </is>
      </c>
      <c r="D70" s="47">
        <f>SUMIF(Inventario!$A$5:$A$29,$A68,Inventario!$C$5:$C$29)</f>
        <v/>
      </c>
      <c r="E70" s="48">
        <f>D70+E69+E72-E68</f>
        <v/>
      </c>
      <c r="F70" s="48">
        <f>E70+F69+F72-F68</f>
        <v/>
      </c>
      <c r="G70" s="48">
        <f>F70+G69+G72-G68</f>
        <v/>
      </c>
      <c r="H70" s="48">
        <f>G70+H69+H72-H68</f>
        <v/>
      </c>
      <c r="I70" s="48">
        <f>H70+I69+I72-I68</f>
        <v/>
      </c>
      <c r="J70" s="48">
        <f>I70+J69+J72-J68</f>
        <v/>
      </c>
      <c r="K70" s="48">
        <f>J70+K69+K72-K68</f>
        <v/>
      </c>
      <c r="L70" s="48">
        <f>K70+L69+L72-L68</f>
        <v/>
      </c>
      <c r="M70" s="46" t="n"/>
    </row>
    <row r="71">
      <c r="C71" s="43" t="inlineStr">
        <is>
          <t>Necesidad neta</t>
        </is>
      </c>
      <c r="D71" s="44" t="n"/>
      <c r="E71" s="49">
        <f>MAX(0,ROUND(E68+Materiales!$H$13-D70-E69,4))</f>
        <v/>
      </c>
      <c r="F71" s="49">
        <f>MAX(0,ROUND(F68+Materiales!$H$13-E70-F69,4))</f>
        <v/>
      </c>
      <c r="G71" s="49">
        <f>MAX(0,ROUND(G68+Materiales!$H$13-F70-G69,4))</f>
        <v/>
      </c>
      <c r="H71" s="49">
        <f>MAX(0,ROUND(H68+Materiales!$H$13-G70-H69,4))</f>
        <v/>
      </c>
      <c r="I71" s="49">
        <f>MAX(0,ROUND(I68+Materiales!$H$13-H70-I69,4))</f>
        <v/>
      </c>
      <c r="J71" s="49">
        <f>MAX(0,ROUND(J68+Materiales!$H$13-I70-J69,4))</f>
        <v/>
      </c>
      <c r="K71" s="49">
        <f>MAX(0,ROUND(K68+Materiales!$H$13-J70-K69,4))</f>
        <v/>
      </c>
      <c r="L71" s="49">
        <f>MAX(0,ROUND(L68+Materiales!$H$13-K70-L69,4))</f>
        <v/>
      </c>
      <c r="M71" s="46" t="n"/>
    </row>
    <row r="72">
      <c r="C72" s="43" t="inlineStr">
        <is>
          <t>Recepcion de orden planificada</t>
        </is>
      </c>
      <c r="D72" s="44" t="n"/>
      <c r="E72" s="45">
        <f>IF(E71&lt;=0,0,IF(Materiales!$G$13&lt;=0,E71,ROUNDUP(E71/Materiales!$G$13,0)*Materiales!$G$13))</f>
        <v/>
      </c>
      <c r="F72" s="45">
        <f>IF(F71&lt;=0,0,IF(Materiales!$G$13&lt;=0,F71,ROUNDUP(F71/Materiales!$G$13,0)*Materiales!$G$13))</f>
        <v/>
      </c>
      <c r="G72" s="45">
        <f>IF(G71&lt;=0,0,IF(Materiales!$G$13&lt;=0,G71,ROUNDUP(G71/Materiales!$G$13,0)*Materiales!$G$13))</f>
        <v/>
      </c>
      <c r="H72" s="45">
        <f>IF(H71&lt;=0,0,IF(Materiales!$G$13&lt;=0,H71,ROUNDUP(H71/Materiales!$G$13,0)*Materiales!$G$13))</f>
        <v/>
      </c>
      <c r="I72" s="45">
        <f>IF(I71&lt;=0,0,IF(Materiales!$G$13&lt;=0,I71,ROUNDUP(I71/Materiales!$G$13,0)*Materiales!$G$13))</f>
        <v/>
      </c>
      <c r="J72" s="45">
        <f>IF(J71&lt;=0,0,IF(Materiales!$G$13&lt;=0,J71,ROUNDUP(J71/Materiales!$G$13,0)*Materiales!$G$13))</f>
        <v/>
      </c>
      <c r="K72" s="45">
        <f>IF(K71&lt;=0,0,IF(Materiales!$G$13&lt;=0,K71,ROUNDUP(K71/Materiales!$G$13,0)*Materiales!$G$13))</f>
        <v/>
      </c>
      <c r="L72" s="45">
        <f>IF(L71&lt;=0,0,IF(Materiales!$G$13&lt;=0,L71,ROUNDUP(L71/Materiales!$G$13,0)*Materiales!$G$13))</f>
        <v/>
      </c>
      <c r="M72" s="46" t="n"/>
    </row>
    <row r="73">
      <c r="C73" s="50" t="inlineStr">
        <is>
          <t>LANZAMIENTO DE ORDEN — pedir esta semana</t>
        </is>
      </c>
      <c r="D73" s="44" t="n"/>
      <c r="E73" s="51">
        <f>IF(1+Materiales!$F$13&gt;8,0,INDEX($E$72:$L$72,1,1+Materiales!$F$13))</f>
        <v/>
      </c>
      <c r="F73" s="51">
        <f>IF(2+Materiales!$F$13&gt;8,0,INDEX($E$72:$L$72,1,2+Materiales!$F$13))</f>
        <v/>
      </c>
      <c r="G73" s="51">
        <f>IF(3+Materiales!$F$13&gt;8,0,INDEX($E$72:$L$72,1,3+Materiales!$F$13))</f>
        <v/>
      </c>
      <c r="H73" s="51">
        <f>IF(4+Materiales!$F$13&gt;8,0,INDEX($E$72:$L$72,1,4+Materiales!$F$13))</f>
        <v/>
      </c>
      <c r="I73" s="51">
        <f>IF(5+Materiales!$F$13&gt;8,0,INDEX($E$72:$L$72,1,5+Materiales!$F$13))</f>
        <v/>
      </c>
      <c r="J73" s="51">
        <f>IF(6+Materiales!$F$13&gt;8,0,INDEX($E$72:$L$72,1,6+Materiales!$F$13))</f>
        <v/>
      </c>
      <c r="K73" s="51">
        <f>IF(7+Materiales!$F$13&gt;8,0,INDEX($E$72:$L$72,1,7+Materiales!$F$13))</f>
        <v/>
      </c>
      <c r="L73" s="51">
        <f>IF(8+Materiales!$F$13&gt;8,0,INDEX($E$72:$L$72,1,8+Materiales!$F$13))</f>
        <v/>
      </c>
      <c r="M73" s="52">
        <f>IF($A68="","",IF(SUMPRODUCT((COLUMN($E$72:$L$72)-4&lt;=Materiales!$F$13)*$E$72:$L$72)&gt;0,"PEDIR YA (atrasado)","OK"))</f>
        <v/>
      </c>
    </row>
    <row r="74" ht="6" customHeight="1">
      <c r="A74" s="53" t="n"/>
      <c r="B74" s="53" t="n"/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</row>
    <row r="75">
      <c r="A75" s="42">
        <f>IF(Materiales!$A$14="","",Materiales!$A$14)</f>
        <v/>
      </c>
      <c r="B75" s="42">
        <f>IF(Materiales!$B$14="","",Materiales!$B$14)</f>
        <v/>
      </c>
      <c r="C75" s="43" t="inlineStr">
        <is>
          <t>Necesidad bruta</t>
        </is>
      </c>
      <c r="D75" s="44" t="n"/>
      <c r="E75" s="45">
        <f>ROUND(SUMIF(Consumo!$B$4:$B$103,$A75,Consumo!G$4:G$103),4)</f>
        <v/>
      </c>
      <c r="F75" s="45">
        <f>ROUND(SUMIF(Consumo!$B$4:$B$103,$A75,Consumo!H$4:H$103),4)</f>
        <v/>
      </c>
      <c r="G75" s="45">
        <f>ROUND(SUMIF(Consumo!$B$4:$B$103,$A75,Consumo!I$4:I$103),4)</f>
        <v/>
      </c>
      <c r="H75" s="45">
        <f>ROUND(SUMIF(Consumo!$B$4:$B$103,$A75,Consumo!J$4:J$103),4)</f>
        <v/>
      </c>
      <c r="I75" s="45">
        <f>ROUND(SUMIF(Consumo!$B$4:$B$103,$A75,Consumo!K$4:K$103),4)</f>
        <v/>
      </c>
      <c r="J75" s="45">
        <f>ROUND(SUMIF(Consumo!$B$4:$B$103,$A75,Consumo!L$4:L$103),4)</f>
        <v/>
      </c>
      <c r="K75" s="45">
        <f>ROUND(SUMIF(Consumo!$B$4:$B$103,$A75,Consumo!M$4:M$103),4)</f>
        <v/>
      </c>
      <c r="L75" s="45">
        <f>ROUND(SUMIF(Consumo!$B$4:$B$103,$A75,Consumo!N$4:N$103),4)</f>
        <v/>
      </c>
      <c r="M75" s="46" t="n"/>
    </row>
    <row r="76">
      <c r="C76" s="43" t="inlineStr">
        <is>
          <t>Recepciones programadas (ya pedido)</t>
        </is>
      </c>
      <c r="D76" s="44" t="n"/>
      <c r="E76" s="45">
        <f>SUMIF(Inventario!$A$5:$A$29,$A75,Inventario!E$5:E$29)</f>
        <v/>
      </c>
      <c r="F76" s="45">
        <f>SUMIF(Inventario!$A$5:$A$29,$A75,Inventario!F$5:F$29)</f>
        <v/>
      </c>
      <c r="G76" s="45">
        <f>SUMIF(Inventario!$A$5:$A$29,$A75,Inventario!G$5:G$29)</f>
        <v/>
      </c>
      <c r="H76" s="45">
        <f>SUMIF(Inventario!$A$5:$A$29,$A75,Inventario!H$5:H$29)</f>
        <v/>
      </c>
      <c r="I76" s="45">
        <f>SUMIF(Inventario!$A$5:$A$29,$A75,Inventario!I$5:I$29)</f>
        <v/>
      </c>
      <c r="J76" s="45">
        <f>SUMIF(Inventario!$A$5:$A$29,$A75,Inventario!J$5:J$29)</f>
        <v/>
      </c>
      <c r="K76" s="45">
        <f>SUMIF(Inventario!$A$5:$A$29,$A75,Inventario!K$5:K$29)</f>
        <v/>
      </c>
      <c r="L76" s="45">
        <f>SUMIF(Inventario!$A$5:$A$29,$A75,Inventario!L$5:L$29)</f>
        <v/>
      </c>
      <c r="M76" s="46" t="n"/>
    </row>
    <row r="77">
      <c r="C77" s="43" t="inlineStr">
        <is>
          <t>Stock proyectado disponible</t>
        </is>
      </c>
      <c r="D77" s="47">
        <f>SUMIF(Inventario!$A$5:$A$29,$A75,Inventario!$C$5:$C$29)</f>
        <v/>
      </c>
      <c r="E77" s="48">
        <f>D77+E76+E79-E75</f>
        <v/>
      </c>
      <c r="F77" s="48">
        <f>E77+F76+F79-F75</f>
        <v/>
      </c>
      <c r="G77" s="48">
        <f>F77+G76+G79-G75</f>
        <v/>
      </c>
      <c r="H77" s="48">
        <f>G77+H76+H79-H75</f>
        <v/>
      </c>
      <c r="I77" s="48">
        <f>H77+I76+I79-I75</f>
        <v/>
      </c>
      <c r="J77" s="48">
        <f>I77+J76+J79-J75</f>
        <v/>
      </c>
      <c r="K77" s="48">
        <f>J77+K76+K79-K75</f>
        <v/>
      </c>
      <c r="L77" s="48">
        <f>K77+L76+L79-L75</f>
        <v/>
      </c>
      <c r="M77" s="46" t="n"/>
    </row>
    <row r="78">
      <c r="C78" s="43" t="inlineStr">
        <is>
          <t>Necesidad neta</t>
        </is>
      </c>
      <c r="D78" s="44" t="n"/>
      <c r="E78" s="49">
        <f>MAX(0,ROUND(E75+Materiales!$H$14-D77-E76,4))</f>
        <v/>
      </c>
      <c r="F78" s="49">
        <f>MAX(0,ROUND(F75+Materiales!$H$14-E77-F76,4))</f>
        <v/>
      </c>
      <c r="G78" s="49">
        <f>MAX(0,ROUND(G75+Materiales!$H$14-F77-G76,4))</f>
        <v/>
      </c>
      <c r="H78" s="49">
        <f>MAX(0,ROUND(H75+Materiales!$H$14-G77-H76,4))</f>
        <v/>
      </c>
      <c r="I78" s="49">
        <f>MAX(0,ROUND(I75+Materiales!$H$14-H77-I76,4))</f>
        <v/>
      </c>
      <c r="J78" s="49">
        <f>MAX(0,ROUND(J75+Materiales!$H$14-I77-J76,4))</f>
        <v/>
      </c>
      <c r="K78" s="49">
        <f>MAX(0,ROUND(K75+Materiales!$H$14-J77-K76,4))</f>
        <v/>
      </c>
      <c r="L78" s="49">
        <f>MAX(0,ROUND(L75+Materiales!$H$14-K77-L76,4))</f>
        <v/>
      </c>
      <c r="M78" s="46" t="n"/>
    </row>
    <row r="79">
      <c r="C79" s="43" t="inlineStr">
        <is>
          <t>Recepcion de orden planificada</t>
        </is>
      </c>
      <c r="D79" s="44" t="n"/>
      <c r="E79" s="45">
        <f>IF(E78&lt;=0,0,IF(Materiales!$G$14&lt;=0,E78,ROUNDUP(E78/Materiales!$G$14,0)*Materiales!$G$14))</f>
        <v/>
      </c>
      <c r="F79" s="45">
        <f>IF(F78&lt;=0,0,IF(Materiales!$G$14&lt;=0,F78,ROUNDUP(F78/Materiales!$G$14,0)*Materiales!$G$14))</f>
        <v/>
      </c>
      <c r="G79" s="45">
        <f>IF(G78&lt;=0,0,IF(Materiales!$G$14&lt;=0,G78,ROUNDUP(G78/Materiales!$G$14,0)*Materiales!$G$14))</f>
        <v/>
      </c>
      <c r="H79" s="45">
        <f>IF(H78&lt;=0,0,IF(Materiales!$G$14&lt;=0,H78,ROUNDUP(H78/Materiales!$G$14,0)*Materiales!$G$14))</f>
        <v/>
      </c>
      <c r="I79" s="45">
        <f>IF(I78&lt;=0,0,IF(Materiales!$G$14&lt;=0,I78,ROUNDUP(I78/Materiales!$G$14,0)*Materiales!$G$14))</f>
        <v/>
      </c>
      <c r="J79" s="45">
        <f>IF(J78&lt;=0,0,IF(Materiales!$G$14&lt;=0,J78,ROUNDUP(J78/Materiales!$G$14,0)*Materiales!$G$14))</f>
        <v/>
      </c>
      <c r="K79" s="45">
        <f>IF(K78&lt;=0,0,IF(Materiales!$G$14&lt;=0,K78,ROUNDUP(K78/Materiales!$G$14,0)*Materiales!$G$14))</f>
        <v/>
      </c>
      <c r="L79" s="45">
        <f>IF(L78&lt;=0,0,IF(Materiales!$G$14&lt;=0,L78,ROUNDUP(L78/Materiales!$G$14,0)*Materiales!$G$14))</f>
        <v/>
      </c>
      <c r="M79" s="46" t="n"/>
    </row>
    <row r="80">
      <c r="C80" s="50" t="inlineStr">
        <is>
          <t>LANZAMIENTO DE ORDEN — pedir esta semana</t>
        </is>
      </c>
      <c r="D80" s="44" t="n"/>
      <c r="E80" s="51">
        <f>IF(1+Materiales!$F$14&gt;8,0,INDEX($E$79:$L$79,1,1+Materiales!$F$14))</f>
        <v/>
      </c>
      <c r="F80" s="51">
        <f>IF(2+Materiales!$F$14&gt;8,0,INDEX($E$79:$L$79,1,2+Materiales!$F$14))</f>
        <v/>
      </c>
      <c r="G80" s="51">
        <f>IF(3+Materiales!$F$14&gt;8,0,INDEX($E$79:$L$79,1,3+Materiales!$F$14))</f>
        <v/>
      </c>
      <c r="H80" s="51">
        <f>IF(4+Materiales!$F$14&gt;8,0,INDEX($E$79:$L$79,1,4+Materiales!$F$14))</f>
        <v/>
      </c>
      <c r="I80" s="51">
        <f>IF(5+Materiales!$F$14&gt;8,0,INDEX($E$79:$L$79,1,5+Materiales!$F$14))</f>
        <v/>
      </c>
      <c r="J80" s="51">
        <f>IF(6+Materiales!$F$14&gt;8,0,INDEX($E$79:$L$79,1,6+Materiales!$F$14))</f>
        <v/>
      </c>
      <c r="K80" s="51">
        <f>IF(7+Materiales!$F$14&gt;8,0,INDEX($E$79:$L$79,1,7+Materiales!$F$14))</f>
        <v/>
      </c>
      <c r="L80" s="51">
        <f>IF(8+Materiales!$F$14&gt;8,0,INDEX($E$79:$L$79,1,8+Materiales!$F$14))</f>
        <v/>
      </c>
      <c r="M80" s="52">
        <f>IF($A75="","",IF(SUMPRODUCT((COLUMN($E$79:$L$79)-4&lt;=Materiales!$F$14)*$E$79:$L$79)&gt;0,"PEDIR YA (atrasado)","OK"))</f>
        <v/>
      </c>
    </row>
    <row r="81" ht="6" customHeight="1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</row>
    <row r="82">
      <c r="A82" s="42">
        <f>IF(Materiales!$A$15="","",Materiales!$A$15)</f>
        <v/>
      </c>
      <c r="B82" s="42">
        <f>IF(Materiales!$B$15="","",Materiales!$B$15)</f>
        <v/>
      </c>
      <c r="C82" s="43" t="inlineStr">
        <is>
          <t>Necesidad bruta</t>
        </is>
      </c>
      <c r="D82" s="44" t="n"/>
      <c r="E82" s="45">
        <f>ROUND(SUMIF(Consumo!$B$4:$B$103,$A82,Consumo!G$4:G$103),4)</f>
        <v/>
      </c>
      <c r="F82" s="45">
        <f>ROUND(SUMIF(Consumo!$B$4:$B$103,$A82,Consumo!H$4:H$103),4)</f>
        <v/>
      </c>
      <c r="G82" s="45">
        <f>ROUND(SUMIF(Consumo!$B$4:$B$103,$A82,Consumo!I$4:I$103),4)</f>
        <v/>
      </c>
      <c r="H82" s="45">
        <f>ROUND(SUMIF(Consumo!$B$4:$B$103,$A82,Consumo!J$4:J$103),4)</f>
        <v/>
      </c>
      <c r="I82" s="45">
        <f>ROUND(SUMIF(Consumo!$B$4:$B$103,$A82,Consumo!K$4:K$103),4)</f>
        <v/>
      </c>
      <c r="J82" s="45">
        <f>ROUND(SUMIF(Consumo!$B$4:$B$103,$A82,Consumo!L$4:L$103),4)</f>
        <v/>
      </c>
      <c r="K82" s="45">
        <f>ROUND(SUMIF(Consumo!$B$4:$B$103,$A82,Consumo!M$4:M$103),4)</f>
        <v/>
      </c>
      <c r="L82" s="45">
        <f>ROUND(SUMIF(Consumo!$B$4:$B$103,$A82,Consumo!N$4:N$103),4)</f>
        <v/>
      </c>
      <c r="M82" s="46" t="n"/>
    </row>
    <row r="83">
      <c r="C83" s="43" t="inlineStr">
        <is>
          <t>Recepciones programadas (ya pedido)</t>
        </is>
      </c>
      <c r="D83" s="44" t="n"/>
      <c r="E83" s="45">
        <f>SUMIF(Inventario!$A$5:$A$29,$A82,Inventario!E$5:E$29)</f>
        <v/>
      </c>
      <c r="F83" s="45">
        <f>SUMIF(Inventario!$A$5:$A$29,$A82,Inventario!F$5:F$29)</f>
        <v/>
      </c>
      <c r="G83" s="45">
        <f>SUMIF(Inventario!$A$5:$A$29,$A82,Inventario!G$5:G$29)</f>
        <v/>
      </c>
      <c r="H83" s="45">
        <f>SUMIF(Inventario!$A$5:$A$29,$A82,Inventario!H$5:H$29)</f>
        <v/>
      </c>
      <c r="I83" s="45">
        <f>SUMIF(Inventario!$A$5:$A$29,$A82,Inventario!I$5:I$29)</f>
        <v/>
      </c>
      <c r="J83" s="45">
        <f>SUMIF(Inventario!$A$5:$A$29,$A82,Inventario!J$5:J$29)</f>
        <v/>
      </c>
      <c r="K83" s="45">
        <f>SUMIF(Inventario!$A$5:$A$29,$A82,Inventario!K$5:K$29)</f>
        <v/>
      </c>
      <c r="L83" s="45">
        <f>SUMIF(Inventario!$A$5:$A$29,$A82,Inventario!L$5:L$29)</f>
        <v/>
      </c>
      <c r="M83" s="46" t="n"/>
    </row>
    <row r="84">
      <c r="C84" s="43" t="inlineStr">
        <is>
          <t>Stock proyectado disponible</t>
        </is>
      </c>
      <c r="D84" s="47">
        <f>SUMIF(Inventario!$A$5:$A$29,$A82,Inventario!$C$5:$C$29)</f>
        <v/>
      </c>
      <c r="E84" s="48">
        <f>D84+E83+E86-E82</f>
        <v/>
      </c>
      <c r="F84" s="48">
        <f>E84+F83+F86-F82</f>
        <v/>
      </c>
      <c r="G84" s="48">
        <f>F84+G83+G86-G82</f>
        <v/>
      </c>
      <c r="H84" s="48">
        <f>G84+H83+H86-H82</f>
        <v/>
      </c>
      <c r="I84" s="48">
        <f>H84+I83+I86-I82</f>
        <v/>
      </c>
      <c r="J84" s="48">
        <f>I84+J83+J86-J82</f>
        <v/>
      </c>
      <c r="K84" s="48">
        <f>J84+K83+K86-K82</f>
        <v/>
      </c>
      <c r="L84" s="48">
        <f>K84+L83+L86-L82</f>
        <v/>
      </c>
      <c r="M84" s="46" t="n"/>
    </row>
    <row r="85">
      <c r="C85" s="43" t="inlineStr">
        <is>
          <t>Necesidad neta</t>
        </is>
      </c>
      <c r="D85" s="44" t="n"/>
      <c r="E85" s="49">
        <f>MAX(0,ROUND(E82+Materiales!$H$15-D84-E83,4))</f>
        <v/>
      </c>
      <c r="F85" s="49">
        <f>MAX(0,ROUND(F82+Materiales!$H$15-E84-F83,4))</f>
        <v/>
      </c>
      <c r="G85" s="49">
        <f>MAX(0,ROUND(G82+Materiales!$H$15-F84-G83,4))</f>
        <v/>
      </c>
      <c r="H85" s="49">
        <f>MAX(0,ROUND(H82+Materiales!$H$15-G84-H83,4))</f>
        <v/>
      </c>
      <c r="I85" s="49">
        <f>MAX(0,ROUND(I82+Materiales!$H$15-H84-I83,4))</f>
        <v/>
      </c>
      <c r="J85" s="49">
        <f>MAX(0,ROUND(J82+Materiales!$H$15-I84-J83,4))</f>
        <v/>
      </c>
      <c r="K85" s="49">
        <f>MAX(0,ROUND(K82+Materiales!$H$15-J84-K83,4))</f>
        <v/>
      </c>
      <c r="L85" s="49">
        <f>MAX(0,ROUND(L82+Materiales!$H$15-K84-L83,4))</f>
        <v/>
      </c>
      <c r="M85" s="46" t="n"/>
    </row>
    <row r="86">
      <c r="C86" s="43" t="inlineStr">
        <is>
          <t>Recepcion de orden planificada</t>
        </is>
      </c>
      <c r="D86" s="44" t="n"/>
      <c r="E86" s="45">
        <f>IF(E85&lt;=0,0,IF(Materiales!$G$15&lt;=0,E85,ROUNDUP(E85/Materiales!$G$15,0)*Materiales!$G$15))</f>
        <v/>
      </c>
      <c r="F86" s="45">
        <f>IF(F85&lt;=0,0,IF(Materiales!$G$15&lt;=0,F85,ROUNDUP(F85/Materiales!$G$15,0)*Materiales!$G$15))</f>
        <v/>
      </c>
      <c r="G86" s="45">
        <f>IF(G85&lt;=0,0,IF(Materiales!$G$15&lt;=0,G85,ROUNDUP(G85/Materiales!$G$15,0)*Materiales!$G$15))</f>
        <v/>
      </c>
      <c r="H86" s="45">
        <f>IF(H85&lt;=0,0,IF(Materiales!$G$15&lt;=0,H85,ROUNDUP(H85/Materiales!$G$15,0)*Materiales!$G$15))</f>
        <v/>
      </c>
      <c r="I86" s="45">
        <f>IF(I85&lt;=0,0,IF(Materiales!$G$15&lt;=0,I85,ROUNDUP(I85/Materiales!$G$15,0)*Materiales!$G$15))</f>
        <v/>
      </c>
      <c r="J86" s="45">
        <f>IF(J85&lt;=0,0,IF(Materiales!$G$15&lt;=0,J85,ROUNDUP(J85/Materiales!$G$15,0)*Materiales!$G$15))</f>
        <v/>
      </c>
      <c r="K86" s="45">
        <f>IF(K85&lt;=0,0,IF(Materiales!$G$15&lt;=0,K85,ROUNDUP(K85/Materiales!$G$15,0)*Materiales!$G$15))</f>
        <v/>
      </c>
      <c r="L86" s="45">
        <f>IF(L85&lt;=0,0,IF(Materiales!$G$15&lt;=0,L85,ROUNDUP(L85/Materiales!$G$15,0)*Materiales!$G$15))</f>
        <v/>
      </c>
      <c r="M86" s="46" t="n"/>
    </row>
    <row r="87">
      <c r="C87" s="50" t="inlineStr">
        <is>
          <t>LANZAMIENTO DE ORDEN — pedir esta semana</t>
        </is>
      </c>
      <c r="D87" s="44" t="n"/>
      <c r="E87" s="51">
        <f>IF(1+Materiales!$F$15&gt;8,0,INDEX($E$86:$L$86,1,1+Materiales!$F$15))</f>
        <v/>
      </c>
      <c r="F87" s="51">
        <f>IF(2+Materiales!$F$15&gt;8,0,INDEX($E$86:$L$86,1,2+Materiales!$F$15))</f>
        <v/>
      </c>
      <c r="G87" s="51">
        <f>IF(3+Materiales!$F$15&gt;8,0,INDEX($E$86:$L$86,1,3+Materiales!$F$15))</f>
        <v/>
      </c>
      <c r="H87" s="51">
        <f>IF(4+Materiales!$F$15&gt;8,0,INDEX($E$86:$L$86,1,4+Materiales!$F$15))</f>
        <v/>
      </c>
      <c r="I87" s="51">
        <f>IF(5+Materiales!$F$15&gt;8,0,INDEX($E$86:$L$86,1,5+Materiales!$F$15))</f>
        <v/>
      </c>
      <c r="J87" s="51">
        <f>IF(6+Materiales!$F$15&gt;8,0,INDEX($E$86:$L$86,1,6+Materiales!$F$15))</f>
        <v/>
      </c>
      <c r="K87" s="51">
        <f>IF(7+Materiales!$F$15&gt;8,0,INDEX($E$86:$L$86,1,7+Materiales!$F$15))</f>
        <v/>
      </c>
      <c r="L87" s="51">
        <f>IF(8+Materiales!$F$15&gt;8,0,INDEX($E$86:$L$86,1,8+Materiales!$F$15))</f>
        <v/>
      </c>
      <c r="M87" s="52">
        <f>IF($A82="","",IF(SUMPRODUCT((COLUMN($E$86:$L$86)-4&lt;=Materiales!$F$15)*$E$86:$L$86)&gt;0,"PEDIR YA (atrasado)","OK"))</f>
        <v/>
      </c>
    </row>
    <row r="88" ht="6" customHeight="1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</row>
    <row r="89">
      <c r="A89" s="42">
        <f>IF(Materiales!$A$16="","",Materiales!$A$16)</f>
        <v/>
      </c>
      <c r="B89" s="42">
        <f>IF(Materiales!$B$16="","",Materiales!$B$16)</f>
        <v/>
      </c>
      <c r="C89" s="43" t="inlineStr">
        <is>
          <t>Necesidad bruta</t>
        </is>
      </c>
      <c r="D89" s="44" t="n"/>
      <c r="E89" s="45">
        <f>ROUND(SUMIF(Consumo!$B$4:$B$103,$A89,Consumo!G$4:G$103),4)</f>
        <v/>
      </c>
      <c r="F89" s="45">
        <f>ROUND(SUMIF(Consumo!$B$4:$B$103,$A89,Consumo!H$4:H$103),4)</f>
        <v/>
      </c>
      <c r="G89" s="45">
        <f>ROUND(SUMIF(Consumo!$B$4:$B$103,$A89,Consumo!I$4:I$103),4)</f>
        <v/>
      </c>
      <c r="H89" s="45">
        <f>ROUND(SUMIF(Consumo!$B$4:$B$103,$A89,Consumo!J$4:J$103),4)</f>
        <v/>
      </c>
      <c r="I89" s="45">
        <f>ROUND(SUMIF(Consumo!$B$4:$B$103,$A89,Consumo!K$4:K$103),4)</f>
        <v/>
      </c>
      <c r="J89" s="45">
        <f>ROUND(SUMIF(Consumo!$B$4:$B$103,$A89,Consumo!L$4:L$103),4)</f>
        <v/>
      </c>
      <c r="K89" s="45">
        <f>ROUND(SUMIF(Consumo!$B$4:$B$103,$A89,Consumo!M$4:M$103),4)</f>
        <v/>
      </c>
      <c r="L89" s="45">
        <f>ROUND(SUMIF(Consumo!$B$4:$B$103,$A89,Consumo!N$4:N$103),4)</f>
        <v/>
      </c>
      <c r="M89" s="46" t="n"/>
    </row>
    <row r="90">
      <c r="C90" s="43" t="inlineStr">
        <is>
          <t>Recepciones programadas (ya pedido)</t>
        </is>
      </c>
      <c r="D90" s="44" t="n"/>
      <c r="E90" s="45">
        <f>SUMIF(Inventario!$A$5:$A$29,$A89,Inventario!E$5:E$29)</f>
        <v/>
      </c>
      <c r="F90" s="45">
        <f>SUMIF(Inventario!$A$5:$A$29,$A89,Inventario!F$5:F$29)</f>
        <v/>
      </c>
      <c r="G90" s="45">
        <f>SUMIF(Inventario!$A$5:$A$29,$A89,Inventario!G$5:G$29)</f>
        <v/>
      </c>
      <c r="H90" s="45">
        <f>SUMIF(Inventario!$A$5:$A$29,$A89,Inventario!H$5:H$29)</f>
        <v/>
      </c>
      <c r="I90" s="45">
        <f>SUMIF(Inventario!$A$5:$A$29,$A89,Inventario!I$5:I$29)</f>
        <v/>
      </c>
      <c r="J90" s="45">
        <f>SUMIF(Inventario!$A$5:$A$29,$A89,Inventario!J$5:J$29)</f>
        <v/>
      </c>
      <c r="K90" s="45">
        <f>SUMIF(Inventario!$A$5:$A$29,$A89,Inventario!K$5:K$29)</f>
        <v/>
      </c>
      <c r="L90" s="45">
        <f>SUMIF(Inventario!$A$5:$A$29,$A89,Inventario!L$5:L$29)</f>
        <v/>
      </c>
      <c r="M90" s="46" t="n"/>
    </row>
    <row r="91">
      <c r="C91" s="43" t="inlineStr">
        <is>
          <t>Stock proyectado disponible</t>
        </is>
      </c>
      <c r="D91" s="47">
        <f>SUMIF(Inventario!$A$5:$A$29,$A89,Inventario!$C$5:$C$29)</f>
        <v/>
      </c>
      <c r="E91" s="48">
        <f>D91+E90+E93-E89</f>
        <v/>
      </c>
      <c r="F91" s="48">
        <f>E91+F90+F93-F89</f>
        <v/>
      </c>
      <c r="G91" s="48">
        <f>F91+G90+G93-G89</f>
        <v/>
      </c>
      <c r="H91" s="48">
        <f>G91+H90+H93-H89</f>
        <v/>
      </c>
      <c r="I91" s="48">
        <f>H91+I90+I93-I89</f>
        <v/>
      </c>
      <c r="J91" s="48">
        <f>I91+J90+J93-J89</f>
        <v/>
      </c>
      <c r="K91" s="48">
        <f>J91+K90+K93-K89</f>
        <v/>
      </c>
      <c r="L91" s="48">
        <f>K91+L90+L93-L89</f>
        <v/>
      </c>
      <c r="M91" s="46" t="n"/>
    </row>
    <row r="92">
      <c r="C92" s="43" t="inlineStr">
        <is>
          <t>Necesidad neta</t>
        </is>
      </c>
      <c r="D92" s="44" t="n"/>
      <c r="E92" s="49">
        <f>MAX(0,ROUND(E89+Materiales!$H$16-D91-E90,4))</f>
        <v/>
      </c>
      <c r="F92" s="49">
        <f>MAX(0,ROUND(F89+Materiales!$H$16-E91-F90,4))</f>
        <v/>
      </c>
      <c r="G92" s="49">
        <f>MAX(0,ROUND(G89+Materiales!$H$16-F91-G90,4))</f>
        <v/>
      </c>
      <c r="H92" s="49">
        <f>MAX(0,ROUND(H89+Materiales!$H$16-G91-H90,4))</f>
        <v/>
      </c>
      <c r="I92" s="49">
        <f>MAX(0,ROUND(I89+Materiales!$H$16-H91-I90,4))</f>
        <v/>
      </c>
      <c r="J92" s="49">
        <f>MAX(0,ROUND(J89+Materiales!$H$16-I91-J90,4))</f>
        <v/>
      </c>
      <c r="K92" s="49">
        <f>MAX(0,ROUND(K89+Materiales!$H$16-J91-K90,4))</f>
        <v/>
      </c>
      <c r="L92" s="49">
        <f>MAX(0,ROUND(L89+Materiales!$H$16-K91-L90,4))</f>
        <v/>
      </c>
      <c r="M92" s="46" t="n"/>
    </row>
    <row r="93">
      <c r="C93" s="43" t="inlineStr">
        <is>
          <t>Recepcion de orden planificada</t>
        </is>
      </c>
      <c r="D93" s="44" t="n"/>
      <c r="E93" s="45">
        <f>IF(E92&lt;=0,0,IF(Materiales!$G$16&lt;=0,E92,ROUNDUP(E92/Materiales!$G$16,0)*Materiales!$G$16))</f>
        <v/>
      </c>
      <c r="F93" s="45">
        <f>IF(F92&lt;=0,0,IF(Materiales!$G$16&lt;=0,F92,ROUNDUP(F92/Materiales!$G$16,0)*Materiales!$G$16))</f>
        <v/>
      </c>
      <c r="G93" s="45">
        <f>IF(G92&lt;=0,0,IF(Materiales!$G$16&lt;=0,G92,ROUNDUP(G92/Materiales!$G$16,0)*Materiales!$G$16))</f>
        <v/>
      </c>
      <c r="H93" s="45">
        <f>IF(H92&lt;=0,0,IF(Materiales!$G$16&lt;=0,H92,ROUNDUP(H92/Materiales!$G$16,0)*Materiales!$G$16))</f>
        <v/>
      </c>
      <c r="I93" s="45">
        <f>IF(I92&lt;=0,0,IF(Materiales!$G$16&lt;=0,I92,ROUNDUP(I92/Materiales!$G$16,0)*Materiales!$G$16))</f>
        <v/>
      </c>
      <c r="J93" s="45">
        <f>IF(J92&lt;=0,0,IF(Materiales!$G$16&lt;=0,J92,ROUNDUP(J92/Materiales!$G$16,0)*Materiales!$G$16))</f>
        <v/>
      </c>
      <c r="K93" s="45">
        <f>IF(K92&lt;=0,0,IF(Materiales!$G$16&lt;=0,K92,ROUNDUP(K92/Materiales!$G$16,0)*Materiales!$G$16))</f>
        <v/>
      </c>
      <c r="L93" s="45">
        <f>IF(L92&lt;=0,0,IF(Materiales!$G$16&lt;=0,L92,ROUNDUP(L92/Materiales!$G$16,0)*Materiales!$G$16))</f>
        <v/>
      </c>
      <c r="M93" s="46" t="n"/>
    </row>
    <row r="94">
      <c r="C94" s="50" t="inlineStr">
        <is>
          <t>LANZAMIENTO DE ORDEN — pedir esta semana</t>
        </is>
      </c>
      <c r="D94" s="44" t="n"/>
      <c r="E94" s="51">
        <f>IF(1+Materiales!$F$16&gt;8,0,INDEX($E$93:$L$93,1,1+Materiales!$F$16))</f>
        <v/>
      </c>
      <c r="F94" s="51">
        <f>IF(2+Materiales!$F$16&gt;8,0,INDEX($E$93:$L$93,1,2+Materiales!$F$16))</f>
        <v/>
      </c>
      <c r="G94" s="51">
        <f>IF(3+Materiales!$F$16&gt;8,0,INDEX($E$93:$L$93,1,3+Materiales!$F$16))</f>
        <v/>
      </c>
      <c r="H94" s="51">
        <f>IF(4+Materiales!$F$16&gt;8,0,INDEX($E$93:$L$93,1,4+Materiales!$F$16))</f>
        <v/>
      </c>
      <c r="I94" s="51">
        <f>IF(5+Materiales!$F$16&gt;8,0,INDEX($E$93:$L$93,1,5+Materiales!$F$16))</f>
        <v/>
      </c>
      <c r="J94" s="51">
        <f>IF(6+Materiales!$F$16&gt;8,0,INDEX($E$93:$L$93,1,6+Materiales!$F$16))</f>
        <v/>
      </c>
      <c r="K94" s="51">
        <f>IF(7+Materiales!$F$16&gt;8,0,INDEX($E$93:$L$93,1,7+Materiales!$F$16))</f>
        <v/>
      </c>
      <c r="L94" s="51">
        <f>IF(8+Materiales!$F$16&gt;8,0,INDEX($E$93:$L$93,1,8+Materiales!$F$16))</f>
        <v/>
      </c>
      <c r="M94" s="52">
        <f>IF($A89="","",IF(SUMPRODUCT((COLUMN($E$93:$L$93)-4&lt;=Materiales!$F$16)*$E$93:$L$93)&gt;0,"PEDIR YA (atrasado)","OK"))</f>
        <v/>
      </c>
    </row>
    <row r="95" ht="6" customHeight="1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</row>
    <row r="96">
      <c r="A96" s="42">
        <f>IF(Materiales!$A$17="","",Materiales!$A$17)</f>
        <v/>
      </c>
      <c r="B96" s="42">
        <f>IF(Materiales!$B$17="","",Materiales!$B$17)</f>
        <v/>
      </c>
      <c r="C96" s="43" t="inlineStr">
        <is>
          <t>Necesidad bruta</t>
        </is>
      </c>
      <c r="D96" s="44" t="n"/>
      <c r="E96" s="45">
        <f>ROUND(SUMIF(Consumo!$B$4:$B$103,$A96,Consumo!G$4:G$103),4)</f>
        <v/>
      </c>
      <c r="F96" s="45">
        <f>ROUND(SUMIF(Consumo!$B$4:$B$103,$A96,Consumo!H$4:H$103),4)</f>
        <v/>
      </c>
      <c r="G96" s="45">
        <f>ROUND(SUMIF(Consumo!$B$4:$B$103,$A96,Consumo!I$4:I$103),4)</f>
        <v/>
      </c>
      <c r="H96" s="45">
        <f>ROUND(SUMIF(Consumo!$B$4:$B$103,$A96,Consumo!J$4:J$103),4)</f>
        <v/>
      </c>
      <c r="I96" s="45">
        <f>ROUND(SUMIF(Consumo!$B$4:$B$103,$A96,Consumo!K$4:K$103),4)</f>
        <v/>
      </c>
      <c r="J96" s="45">
        <f>ROUND(SUMIF(Consumo!$B$4:$B$103,$A96,Consumo!L$4:L$103),4)</f>
        <v/>
      </c>
      <c r="K96" s="45">
        <f>ROUND(SUMIF(Consumo!$B$4:$B$103,$A96,Consumo!M$4:M$103),4)</f>
        <v/>
      </c>
      <c r="L96" s="45">
        <f>ROUND(SUMIF(Consumo!$B$4:$B$103,$A96,Consumo!N$4:N$103),4)</f>
        <v/>
      </c>
      <c r="M96" s="46" t="n"/>
    </row>
    <row r="97">
      <c r="C97" s="43" t="inlineStr">
        <is>
          <t>Recepciones programadas (ya pedido)</t>
        </is>
      </c>
      <c r="D97" s="44" t="n"/>
      <c r="E97" s="45">
        <f>SUMIF(Inventario!$A$5:$A$29,$A96,Inventario!E$5:E$29)</f>
        <v/>
      </c>
      <c r="F97" s="45">
        <f>SUMIF(Inventario!$A$5:$A$29,$A96,Inventario!F$5:F$29)</f>
        <v/>
      </c>
      <c r="G97" s="45">
        <f>SUMIF(Inventario!$A$5:$A$29,$A96,Inventario!G$5:G$29)</f>
        <v/>
      </c>
      <c r="H97" s="45">
        <f>SUMIF(Inventario!$A$5:$A$29,$A96,Inventario!H$5:H$29)</f>
        <v/>
      </c>
      <c r="I97" s="45">
        <f>SUMIF(Inventario!$A$5:$A$29,$A96,Inventario!I$5:I$29)</f>
        <v/>
      </c>
      <c r="J97" s="45">
        <f>SUMIF(Inventario!$A$5:$A$29,$A96,Inventario!J$5:J$29)</f>
        <v/>
      </c>
      <c r="K97" s="45">
        <f>SUMIF(Inventario!$A$5:$A$29,$A96,Inventario!K$5:K$29)</f>
        <v/>
      </c>
      <c r="L97" s="45">
        <f>SUMIF(Inventario!$A$5:$A$29,$A96,Inventario!L$5:L$29)</f>
        <v/>
      </c>
      <c r="M97" s="46" t="n"/>
    </row>
    <row r="98">
      <c r="C98" s="43" t="inlineStr">
        <is>
          <t>Stock proyectado disponible</t>
        </is>
      </c>
      <c r="D98" s="47">
        <f>SUMIF(Inventario!$A$5:$A$29,$A96,Inventario!$C$5:$C$29)</f>
        <v/>
      </c>
      <c r="E98" s="48">
        <f>D98+E97+E100-E96</f>
        <v/>
      </c>
      <c r="F98" s="48">
        <f>E98+F97+F100-F96</f>
        <v/>
      </c>
      <c r="G98" s="48">
        <f>F98+G97+G100-G96</f>
        <v/>
      </c>
      <c r="H98" s="48">
        <f>G98+H97+H100-H96</f>
        <v/>
      </c>
      <c r="I98" s="48">
        <f>H98+I97+I100-I96</f>
        <v/>
      </c>
      <c r="J98" s="48">
        <f>I98+J97+J100-J96</f>
        <v/>
      </c>
      <c r="K98" s="48">
        <f>J98+K97+K100-K96</f>
        <v/>
      </c>
      <c r="L98" s="48">
        <f>K98+L97+L100-L96</f>
        <v/>
      </c>
      <c r="M98" s="46" t="n"/>
    </row>
    <row r="99">
      <c r="C99" s="43" t="inlineStr">
        <is>
          <t>Necesidad neta</t>
        </is>
      </c>
      <c r="D99" s="44" t="n"/>
      <c r="E99" s="49">
        <f>MAX(0,ROUND(E96+Materiales!$H$17-D98-E97,4))</f>
        <v/>
      </c>
      <c r="F99" s="49">
        <f>MAX(0,ROUND(F96+Materiales!$H$17-E98-F97,4))</f>
        <v/>
      </c>
      <c r="G99" s="49">
        <f>MAX(0,ROUND(G96+Materiales!$H$17-F98-G97,4))</f>
        <v/>
      </c>
      <c r="H99" s="49">
        <f>MAX(0,ROUND(H96+Materiales!$H$17-G98-H97,4))</f>
        <v/>
      </c>
      <c r="I99" s="49">
        <f>MAX(0,ROUND(I96+Materiales!$H$17-H98-I97,4))</f>
        <v/>
      </c>
      <c r="J99" s="49">
        <f>MAX(0,ROUND(J96+Materiales!$H$17-I98-J97,4))</f>
        <v/>
      </c>
      <c r="K99" s="49">
        <f>MAX(0,ROUND(K96+Materiales!$H$17-J98-K97,4))</f>
        <v/>
      </c>
      <c r="L99" s="49">
        <f>MAX(0,ROUND(L96+Materiales!$H$17-K98-L97,4))</f>
        <v/>
      </c>
      <c r="M99" s="46" t="n"/>
    </row>
    <row r="100">
      <c r="C100" s="43" t="inlineStr">
        <is>
          <t>Recepcion de orden planificada</t>
        </is>
      </c>
      <c r="D100" s="44" t="n"/>
      <c r="E100" s="45">
        <f>IF(E99&lt;=0,0,IF(Materiales!$G$17&lt;=0,E99,ROUNDUP(E99/Materiales!$G$17,0)*Materiales!$G$17))</f>
        <v/>
      </c>
      <c r="F100" s="45">
        <f>IF(F99&lt;=0,0,IF(Materiales!$G$17&lt;=0,F99,ROUNDUP(F99/Materiales!$G$17,0)*Materiales!$G$17))</f>
        <v/>
      </c>
      <c r="G100" s="45">
        <f>IF(G99&lt;=0,0,IF(Materiales!$G$17&lt;=0,G99,ROUNDUP(G99/Materiales!$G$17,0)*Materiales!$G$17))</f>
        <v/>
      </c>
      <c r="H100" s="45">
        <f>IF(H99&lt;=0,0,IF(Materiales!$G$17&lt;=0,H99,ROUNDUP(H99/Materiales!$G$17,0)*Materiales!$G$17))</f>
        <v/>
      </c>
      <c r="I100" s="45">
        <f>IF(I99&lt;=0,0,IF(Materiales!$G$17&lt;=0,I99,ROUNDUP(I99/Materiales!$G$17,0)*Materiales!$G$17))</f>
        <v/>
      </c>
      <c r="J100" s="45">
        <f>IF(J99&lt;=0,0,IF(Materiales!$G$17&lt;=0,J99,ROUNDUP(J99/Materiales!$G$17,0)*Materiales!$G$17))</f>
        <v/>
      </c>
      <c r="K100" s="45">
        <f>IF(K99&lt;=0,0,IF(Materiales!$G$17&lt;=0,K99,ROUNDUP(K99/Materiales!$G$17,0)*Materiales!$G$17))</f>
        <v/>
      </c>
      <c r="L100" s="45">
        <f>IF(L99&lt;=0,0,IF(Materiales!$G$17&lt;=0,L99,ROUNDUP(L99/Materiales!$G$17,0)*Materiales!$G$17))</f>
        <v/>
      </c>
      <c r="M100" s="46" t="n"/>
    </row>
    <row r="101">
      <c r="C101" s="50" t="inlineStr">
        <is>
          <t>LANZAMIENTO DE ORDEN — pedir esta semana</t>
        </is>
      </c>
      <c r="D101" s="44" t="n"/>
      <c r="E101" s="51">
        <f>IF(1+Materiales!$F$17&gt;8,0,INDEX($E$100:$L$100,1,1+Materiales!$F$17))</f>
        <v/>
      </c>
      <c r="F101" s="51">
        <f>IF(2+Materiales!$F$17&gt;8,0,INDEX($E$100:$L$100,1,2+Materiales!$F$17))</f>
        <v/>
      </c>
      <c r="G101" s="51">
        <f>IF(3+Materiales!$F$17&gt;8,0,INDEX($E$100:$L$100,1,3+Materiales!$F$17))</f>
        <v/>
      </c>
      <c r="H101" s="51">
        <f>IF(4+Materiales!$F$17&gt;8,0,INDEX($E$100:$L$100,1,4+Materiales!$F$17))</f>
        <v/>
      </c>
      <c r="I101" s="51">
        <f>IF(5+Materiales!$F$17&gt;8,0,INDEX($E$100:$L$100,1,5+Materiales!$F$17))</f>
        <v/>
      </c>
      <c r="J101" s="51">
        <f>IF(6+Materiales!$F$17&gt;8,0,INDEX($E$100:$L$100,1,6+Materiales!$F$17))</f>
        <v/>
      </c>
      <c r="K101" s="51">
        <f>IF(7+Materiales!$F$17&gt;8,0,INDEX($E$100:$L$100,1,7+Materiales!$F$17))</f>
        <v/>
      </c>
      <c r="L101" s="51">
        <f>IF(8+Materiales!$F$17&gt;8,0,INDEX($E$100:$L$100,1,8+Materiales!$F$17))</f>
        <v/>
      </c>
      <c r="M101" s="52">
        <f>IF($A96="","",IF(SUMPRODUCT((COLUMN($E$100:$L$100)-4&lt;=Materiales!$F$17)*$E$100:$L$100)&gt;0,"PEDIR YA (atrasado)","OK"))</f>
        <v/>
      </c>
    </row>
    <row r="102" ht="6" customHeight="1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</row>
    <row r="103">
      <c r="A103" s="42">
        <f>IF(Materiales!$A$18="","",Materiales!$A$18)</f>
        <v/>
      </c>
      <c r="B103" s="42">
        <f>IF(Materiales!$B$18="","",Materiales!$B$18)</f>
        <v/>
      </c>
      <c r="C103" s="43" t="inlineStr">
        <is>
          <t>Necesidad bruta</t>
        </is>
      </c>
      <c r="D103" s="44" t="n"/>
      <c r="E103" s="45">
        <f>ROUND(SUMIF(Consumo!$B$4:$B$103,$A103,Consumo!G$4:G$103),4)</f>
        <v/>
      </c>
      <c r="F103" s="45">
        <f>ROUND(SUMIF(Consumo!$B$4:$B$103,$A103,Consumo!H$4:H$103),4)</f>
        <v/>
      </c>
      <c r="G103" s="45">
        <f>ROUND(SUMIF(Consumo!$B$4:$B$103,$A103,Consumo!I$4:I$103),4)</f>
        <v/>
      </c>
      <c r="H103" s="45">
        <f>ROUND(SUMIF(Consumo!$B$4:$B$103,$A103,Consumo!J$4:J$103),4)</f>
        <v/>
      </c>
      <c r="I103" s="45">
        <f>ROUND(SUMIF(Consumo!$B$4:$B$103,$A103,Consumo!K$4:K$103),4)</f>
        <v/>
      </c>
      <c r="J103" s="45">
        <f>ROUND(SUMIF(Consumo!$B$4:$B$103,$A103,Consumo!L$4:L$103),4)</f>
        <v/>
      </c>
      <c r="K103" s="45">
        <f>ROUND(SUMIF(Consumo!$B$4:$B$103,$A103,Consumo!M$4:M$103),4)</f>
        <v/>
      </c>
      <c r="L103" s="45">
        <f>ROUND(SUMIF(Consumo!$B$4:$B$103,$A103,Consumo!N$4:N$103),4)</f>
        <v/>
      </c>
      <c r="M103" s="46" t="n"/>
    </row>
    <row r="104">
      <c r="C104" s="43" t="inlineStr">
        <is>
          <t>Recepciones programadas (ya pedido)</t>
        </is>
      </c>
      <c r="D104" s="44" t="n"/>
      <c r="E104" s="45">
        <f>SUMIF(Inventario!$A$5:$A$29,$A103,Inventario!E$5:E$29)</f>
        <v/>
      </c>
      <c r="F104" s="45">
        <f>SUMIF(Inventario!$A$5:$A$29,$A103,Inventario!F$5:F$29)</f>
        <v/>
      </c>
      <c r="G104" s="45">
        <f>SUMIF(Inventario!$A$5:$A$29,$A103,Inventario!G$5:G$29)</f>
        <v/>
      </c>
      <c r="H104" s="45">
        <f>SUMIF(Inventario!$A$5:$A$29,$A103,Inventario!H$5:H$29)</f>
        <v/>
      </c>
      <c r="I104" s="45">
        <f>SUMIF(Inventario!$A$5:$A$29,$A103,Inventario!I$5:I$29)</f>
        <v/>
      </c>
      <c r="J104" s="45">
        <f>SUMIF(Inventario!$A$5:$A$29,$A103,Inventario!J$5:J$29)</f>
        <v/>
      </c>
      <c r="K104" s="45">
        <f>SUMIF(Inventario!$A$5:$A$29,$A103,Inventario!K$5:K$29)</f>
        <v/>
      </c>
      <c r="L104" s="45">
        <f>SUMIF(Inventario!$A$5:$A$29,$A103,Inventario!L$5:L$29)</f>
        <v/>
      </c>
      <c r="M104" s="46" t="n"/>
    </row>
    <row r="105">
      <c r="C105" s="43" t="inlineStr">
        <is>
          <t>Stock proyectado disponible</t>
        </is>
      </c>
      <c r="D105" s="47">
        <f>SUMIF(Inventario!$A$5:$A$29,$A103,Inventario!$C$5:$C$29)</f>
        <v/>
      </c>
      <c r="E105" s="48">
        <f>D105+E104+E107-E103</f>
        <v/>
      </c>
      <c r="F105" s="48">
        <f>E105+F104+F107-F103</f>
        <v/>
      </c>
      <c r="G105" s="48">
        <f>F105+G104+G107-G103</f>
        <v/>
      </c>
      <c r="H105" s="48">
        <f>G105+H104+H107-H103</f>
        <v/>
      </c>
      <c r="I105" s="48">
        <f>H105+I104+I107-I103</f>
        <v/>
      </c>
      <c r="J105" s="48">
        <f>I105+J104+J107-J103</f>
        <v/>
      </c>
      <c r="K105" s="48">
        <f>J105+K104+K107-K103</f>
        <v/>
      </c>
      <c r="L105" s="48">
        <f>K105+L104+L107-L103</f>
        <v/>
      </c>
      <c r="M105" s="46" t="n"/>
    </row>
    <row r="106">
      <c r="C106" s="43" t="inlineStr">
        <is>
          <t>Necesidad neta</t>
        </is>
      </c>
      <c r="D106" s="44" t="n"/>
      <c r="E106" s="49">
        <f>MAX(0,ROUND(E103+Materiales!$H$18-D105-E104,4))</f>
        <v/>
      </c>
      <c r="F106" s="49">
        <f>MAX(0,ROUND(F103+Materiales!$H$18-E105-F104,4))</f>
        <v/>
      </c>
      <c r="G106" s="49">
        <f>MAX(0,ROUND(G103+Materiales!$H$18-F105-G104,4))</f>
        <v/>
      </c>
      <c r="H106" s="49">
        <f>MAX(0,ROUND(H103+Materiales!$H$18-G105-H104,4))</f>
        <v/>
      </c>
      <c r="I106" s="49">
        <f>MAX(0,ROUND(I103+Materiales!$H$18-H105-I104,4))</f>
        <v/>
      </c>
      <c r="J106" s="49">
        <f>MAX(0,ROUND(J103+Materiales!$H$18-I105-J104,4))</f>
        <v/>
      </c>
      <c r="K106" s="49">
        <f>MAX(0,ROUND(K103+Materiales!$H$18-J105-K104,4))</f>
        <v/>
      </c>
      <c r="L106" s="49">
        <f>MAX(0,ROUND(L103+Materiales!$H$18-K105-L104,4))</f>
        <v/>
      </c>
      <c r="M106" s="46" t="n"/>
    </row>
    <row r="107">
      <c r="C107" s="43" t="inlineStr">
        <is>
          <t>Recepcion de orden planificada</t>
        </is>
      </c>
      <c r="D107" s="44" t="n"/>
      <c r="E107" s="45">
        <f>IF(E106&lt;=0,0,IF(Materiales!$G$18&lt;=0,E106,ROUNDUP(E106/Materiales!$G$18,0)*Materiales!$G$18))</f>
        <v/>
      </c>
      <c r="F107" s="45">
        <f>IF(F106&lt;=0,0,IF(Materiales!$G$18&lt;=0,F106,ROUNDUP(F106/Materiales!$G$18,0)*Materiales!$G$18))</f>
        <v/>
      </c>
      <c r="G107" s="45">
        <f>IF(G106&lt;=0,0,IF(Materiales!$G$18&lt;=0,G106,ROUNDUP(G106/Materiales!$G$18,0)*Materiales!$G$18))</f>
        <v/>
      </c>
      <c r="H107" s="45">
        <f>IF(H106&lt;=0,0,IF(Materiales!$G$18&lt;=0,H106,ROUNDUP(H106/Materiales!$G$18,0)*Materiales!$G$18))</f>
        <v/>
      </c>
      <c r="I107" s="45">
        <f>IF(I106&lt;=0,0,IF(Materiales!$G$18&lt;=0,I106,ROUNDUP(I106/Materiales!$G$18,0)*Materiales!$G$18))</f>
        <v/>
      </c>
      <c r="J107" s="45">
        <f>IF(J106&lt;=0,0,IF(Materiales!$G$18&lt;=0,J106,ROUNDUP(J106/Materiales!$G$18,0)*Materiales!$G$18))</f>
        <v/>
      </c>
      <c r="K107" s="45">
        <f>IF(K106&lt;=0,0,IF(Materiales!$G$18&lt;=0,K106,ROUNDUP(K106/Materiales!$G$18,0)*Materiales!$G$18))</f>
        <v/>
      </c>
      <c r="L107" s="45">
        <f>IF(L106&lt;=0,0,IF(Materiales!$G$18&lt;=0,L106,ROUNDUP(L106/Materiales!$G$18,0)*Materiales!$G$18))</f>
        <v/>
      </c>
      <c r="M107" s="46" t="n"/>
    </row>
    <row r="108">
      <c r="C108" s="50" t="inlineStr">
        <is>
          <t>LANZAMIENTO DE ORDEN — pedir esta semana</t>
        </is>
      </c>
      <c r="D108" s="44" t="n"/>
      <c r="E108" s="51">
        <f>IF(1+Materiales!$F$18&gt;8,0,INDEX($E$107:$L$107,1,1+Materiales!$F$18))</f>
        <v/>
      </c>
      <c r="F108" s="51">
        <f>IF(2+Materiales!$F$18&gt;8,0,INDEX($E$107:$L$107,1,2+Materiales!$F$18))</f>
        <v/>
      </c>
      <c r="G108" s="51">
        <f>IF(3+Materiales!$F$18&gt;8,0,INDEX($E$107:$L$107,1,3+Materiales!$F$18))</f>
        <v/>
      </c>
      <c r="H108" s="51">
        <f>IF(4+Materiales!$F$18&gt;8,0,INDEX($E$107:$L$107,1,4+Materiales!$F$18))</f>
        <v/>
      </c>
      <c r="I108" s="51">
        <f>IF(5+Materiales!$F$18&gt;8,0,INDEX($E$107:$L$107,1,5+Materiales!$F$18))</f>
        <v/>
      </c>
      <c r="J108" s="51">
        <f>IF(6+Materiales!$F$18&gt;8,0,INDEX($E$107:$L$107,1,6+Materiales!$F$18))</f>
        <v/>
      </c>
      <c r="K108" s="51">
        <f>IF(7+Materiales!$F$18&gt;8,0,INDEX($E$107:$L$107,1,7+Materiales!$F$18))</f>
        <v/>
      </c>
      <c r="L108" s="51">
        <f>IF(8+Materiales!$F$18&gt;8,0,INDEX($E$107:$L$107,1,8+Materiales!$F$18))</f>
        <v/>
      </c>
      <c r="M108" s="52">
        <f>IF($A103="","",IF(SUMPRODUCT((COLUMN($E$107:$L$107)-4&lt;=Materiales!$F$18)*$E$107:$L$107)&gt;0,"PEDIR YA (atrasado)","OK"))</f>
        <v/>
      </c>
    </row>
    <row r="109" ht="6" customHeight="1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</row>
  </sheetData>
  <mergeCells count="32">
    <mergeCell ref="B26:B31"/>
    <mergeCell ref="A40:A45"/>
    <mergeCell ref="B75:B80"/>
    <mergeCell ref="A68:A73"/>
    <mergeCell ref="A82:A87"/>
    <mergeCell ref="A103:A108"/>
    <mergeCell ref="B47:B52"/>
    <mergeCell ref="A61:A66"/>
    <mergeCell ref="B12:B17"/>
    <mergeCell ref="B96:B101"/>
    <mergeCell ref="B61:B66"/>
    <mergeCell ref="A54:A59"/>
    <mergeCell ref="B82:B87"/>
    <mergeCell ref="A75:A80"/>
    <mergeCell ref="A89:A94"/>
    <mergeCell ref="A12:A17"/>
    <mergeCell ref="A1:M1"/>
    <mergeCell ref="A26:A31"/>
    <mergeCell ref="B54:B59"/>
    <mergeCell ref="B103:B108"/>
    <mergeCell ref="B68:B73"/>
    <mergeCell ref="A33:A38"/>
    <mergeCell ref="B19:B24"/>
    <mergeCell ref="B33:B38"/>
    <mergeCell ref="A47:A52"/>
    <mergeCell ref="A5:A10"/>
    <mergeCell ref="B89:B94"/>
    <mergeCell ref="B40:B45"/>
    <mergeCell ref="A96:A101"/>
    <mergeCell ref="B5:B10"/>
    <mergeCell ref="A19:A24"/>
    <mergeCell ref="A2:M2"/>
  </mergeCells>
  <conditionalFormatting sqref="D7:L7">
    <cfRule type="cellIs" priority="1" operator="lessThan" dxfId="0">
      <formula>0</formula>
    </cfRule>
  </conditionalFormatting>
  <conditionalFormatting sqref="M10">
    <cfRule type="cellIs" priority="2" operator="equal" dxfId="0">
      <formula>"PEDIR YA (atrasado)"</formula>
    </cfRule>
  </conditionalFormatting>
  <conditionalFormatting sqref="D14:L14">
    <cfRule type="cellIs" priority="3" operator="lessThan" dxfId="0">
      <formula>0</formula>
    </cfRule>
  </conditionalFormatting>
  <conditionalFormatting sqref="M17">
    <cfRule type="cellIs" priority="4" operator="equal" dxfId="0">
      <formula>"PEDIR YA (atrasado)"</formula>
    </cfRule>
  </conditionalFormatting>
  <conditionalFormatting sqref="D21:L21">
    <cfRule type="cellIs" priority="5" operator="lessThan" dxfId="0">
      <formula>0</formula>
    </cfRule>
  </conditionalFormatting>
  <conditionalFormatting sqref="M24">
    <cfRule type="cellIs" priority="6" operator="equal" dxfId="0">
      <formula>"PEDIR YA (atrasado)"</formula>
    </cfRule>
  </conditionalFormatting>
  <conditionalFormatting sqref="D28:L28">
    <cfRule type="cellIs" priority="7" operator="lessThan" dxfId="0">
      <formula>0</formula>
    </cfRule>
  </conditionalFormatting>
  <conditionalFormatting sqref="M31">
    <cfRule type="cellIs" priority="8" operator="equal" dxfId="0">
      <formula>"PEDIR YA (atrasado)"</formula>
    </cfRule>
  </conditionalFormatting>
  <conditionalFormatting sqref="D35:L35">
    <cfRule type="cellIs" priority="9" operator="lessThan" dxfId="0">
      <formula>0</formula>
    </cfRule>
  </conditionalFormatting>
  <conditionalFormatting sqref="M38">
    <cfRule type="cellIs" priority="10" operator="equal" dxfId="0">
      <formula>"PEDIR YA (atrasado)"</formula>
    </cfRule>
  </conditionalFormatting>
  <conditionalFormatting sqref="D42:L42">
    <cfRule type="cellIs" priority="11" operator="lessThan" dxfId="0">
      <formula>0</formula>
    </cfRule>
  </conditionalFormatting>
  <conditionalFormatting sqref="M45">
    <cfRule type="cellIs" priority="12" operator="equal" dxfId="0">
      <formula>"PEDIR YA (atrasado)"</formula>
    </cfRule>
  </conditionalFormatting>
  <conditionalFormatting sqref="D49:L49">
    <cfRule type="cellIs" priority="13" operator="lessThan" dxfId="0">
      <formula>0</formula>
    </cfRule>
  </conditionalFormatting>
  <conditionalFormatting sqref="M52">
    <cfRule type="cellIs" priority="14" operator="equal" dxfId="0">
      <formula>"PEDIR YA (atrasado)"</formula>
    </cfRule>
  </conditionalFormatting>
  <conditionalFormatting sqref="D56:L56">
    <cfRule type="cellIs" priority="15" operator="lessThan" dxfId="0">
      <formula>0</formula>
    </cfRule>
  </conditionalFormatting>
  <conditionalFormatting sqref="M59">
    <cfRule type="cellIs" priority="16" operator="equal" dxfId="0">
      <formula>"PEDIR YA (atrasado)"</formula>
    </cfRule>
  </conditionalFormatting>
  <conditionalFormatting sqref="D63:L63">
    <cfRule type="cellIs" priority="17" operator="lessThan" dxfId="0">
      <formula>0</formula>
    </cfRule>
  </conditionalFormatting>
  <conditionalFormatting sqref="M66">
    <cfRule type="cellIs" priority="18" operator="equal" dxfId="0">
      <formula>"PEDIR YA (atrasado)"</formula>
    </cfRule>
  </conditionalFormatting>
  <conditionalFormatting sqref="D70:L70">
    <cfRule type="cellIs" priority="19" operator="lessThan" dxfId="0">
      <formula>0</formula>
    </cfRule>
  </conditionalFormatting>
  <conditionalFormatting sqref="M73">
    <cfRule type="cellIs" priority="20" operator="equal" dxfId="0">
      <formula>"PEDIR YA (atrasado)"</formula>
    </cfRule>
  </conditionalFormatting>
  <conditionalFormatting sqref="D77:L77">
    <cfRule type="cellIs" priority="21" operator="lessThan" dxfId="0">
      <formula>0</formula>
    </cfRule>
  </conditionalFormatting>
  <conditionalFormatting sqref="M80">
    <cfRule type="cellIs" priority="22" operator="equal" dxfId="0">
      <formula>"PEDIR YA (atrasado)"</formula>
    </cfRule>
  </conditionalFormatting>
  <conditionalFormatting sqref="D84:L84">
    <cfRule type="cellIs" priority="23" operator="lessThan" dxfId="0">
      <formula>0</formula>
    </cfRule>
  </conditionalFormatting>
  <conditionalFormatting sqref="M87">
    <cfRule type="cellIs" priority="24" operator="equal" dxfId="0">
      <formula>"PEDIR YA (atrasado)"</formula>
    </cfRule>
  </conditionalFormatting>
  <conditionalFormatting sqref="D91:L91">
    <cfRule type="cellIs" priority="25" operator="lessThan" dxfId="0">
      <formula>0</formula>
    </cfRule>
  </conditionalFormatting>
  <conditionalFormatting sqref="M94">
    <cfRule type="cellIs" priority="26" operator="equal" dxfId="0">
      <formula>"PEDIR YA (atrasado)"</formula>
    </cfRule>
  </conditionalFormatting>
  <conditionalFormatting sqref="D98:L98">
    <cfRule type="cellIs" priority="27" operator="lessThan" dxfId="0">
      <formula>0</formula>
    </cfRule>
  </conditionalFormatting>
  <conditionalFormatting sqref="M101">
    <cfRule type="cellIs" priority="28" operator="equal" dxfId="0">
      <formula>"PEDIR YA (atrasado)"</formula>
    </cfRule>
  </conditionalFormatting>
  <conditionalFormatting sqref="D105:L105">
    <cfRule type="cellIs" priority="29" operator="lessThan" dxfId="0">
      <formula>0</formula>
    </cfRule>
  </conditionalFormatting>
  <conditionalFormatting sqref="M108">
    <cfRule type="cellIs" priority="30" operator="equal" dxfId="0">
      <formula>"PEDIR YA (atrasado)"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2EFDA"/>
    <outlinePr summaryBelow="1" summaryRight="1"/>
    <pageSetUpPr/>
  </sheetPr>
  <dimension ref="A1:N20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9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 ht="26" customHeight="1">
      <c r="A1" s="1" t="inlineStr">
        <is>
          <t>RESULTADO — Que pedir, cuanto y en que semana</t>
        </is>
      </c>
    </row>
    <row r="2" ht="18" customHeight="1">
      <c r="A2" s="2" t="inlineStr">
        <is>
          <t>Resumen del renglon LANZAMIENTO DE ORDEN del MRP. Esta es la hoja que le pasas a Logistica.</t>
        </is>
      </c>
    </row>
    <row r="3">
      <c r="E3" s="90">
        <f>Plan!E$3</f>
        <v/>
      </c>
      <c r="F3" s="90">
        <f>Plan!F$3</f>
        <v/>
      </c>
      <c r="G3" s="90">
        <f>Plan!G$3</f>
        <v/>
      </c>
      <c r="H3" s="90">
        <f>Plan!H$3</f>
        <v/>
      </c>
      <c r="I3" s="90">
        <f>Plan!I$3</f>
        <v/>
      </c>
      <c r="J3" s="90">
        <f>Plan!J$3</f>
        <v/>
      </c>
      <c r="K3" s="90">
        <f>Plan!K$3</f>
        <v/>
      </c>
      <c r="L3" s="90">
        <f>Plan!L$3</f>
        <v/>
      </c>
    </row>
    <row r="4" ht="32" customHeight="1">
      <c r="A4" s="6" t="inlineStr">
        <is>
          <t>Codigo</t>
        </is>
      </c>
      <c r="B4" s="6" t="inlineStr">
        <is>
          <t>Material</t>
        </is>
      </c>
      <c r="C4" s="6" t="inlineStr">
        <is>
          <t>Unidad</t>
        </is>
      </c>
      <c r="D4" s="6" t="inlineStr">
        <is>
          <t>Precio (S/)</t>
        </is>
      </c>
      <c r="E4" s="6" t="inlineStr">
        <is>
          <t>Sem 1</t>
        </is>
      </c>
      <c r="F4" s="6" t="inlineStr">
        <is>
          <t>Sem 2</t>
        </is>
      </c>
      <c r="G4" s="6" t="inlineStr">
        <is>
          <t>Sem 3</t>
        </is>
      </c>
      <c r="H4" s="6" t="inlineStr">
        <is>
          <t>Sem 4</t>
        </is>
      </c>
      <c r="I4" s="6" t="inlineStr">
        <is>
          <t>Sem 5</t>
        </is>
      </c>
      <c r="J4" s="6" t="inlineStr">
        <is>
          <t>Sem 6</t>
        </is>
      </c>
      <c r="K4" s="6" t="inlineStr">
        <is>
          <t>Sem 7</t>
        </is>
      </c>
      <c r="L4" s="6" t="inlineStr">
        <is>
          <t>Sem 8</t>
        </is>
      </c>
      <c r="M4" s="6" t="inlineStr">
        <is>
          <t>Total unidades</t>
        </is>
      </c>
      <c r="N4" s="6" t="inlineStr">
        <is>
          <t>Total S/</t>
        </is>
      </c>
    </row>
    <row r="5">
      <c r="A5" s="40">
        <f>IF(Materiales!$A$4="","",Materiales!$A$4)</f>
        <v/>
      </c>
      <c r="B5" s="39">
        <f>IF(Materiales!$B$4="","",Materiales!$B$4)</f>
        <v/>
      </c>
      <c r="C5" s="40">
        <f>IF(Materiales!$C$4="","",Materiales!$C$4)</f>
        <v/>
      </c>
      <c r="D5" s="54">
        <f>IF(Materiales!$D$4="","",Materiales!$D$4)</f>
        <v/>
      </c>
      <c r="E5" s="55">
        <f>IF($A5="","",MRP!E10)</f>
        <v/>
      </c>
      <c r="F5" s="55">
        <f>IF($A5="","",MRP!F10)</f>
        <v/>
      </c>
      <c r="G5" s="55">
        <f>IF($A5="","",MRP!G10)</f>
        <v/>
      </c>
      <c r="H5" s="55">
        <f>IF($A5="","",MRP!H10)</f>
        <v/>
      </c>
      <c r="I5" s="55">
        <f>IF($A5="","",MRP!I10)</f>
        <v/>
      </c>
      <c r="J5" s="55">
        <f>IF($A5="","",MRP!J10)</f>
        <v/>
      </c>
      <c r="K5" s="55">
        <f>IF($A5="","",MRP!K10)</f>
        <v/>
      </c>
      <c r="L5" s="55">
        <f>IF($A5="","",MRP!L10)</f>
        <v/>
      </c>
      <c r="M5" s="56">
        <f>IF($A5="","",SUM(E5:L5))</f>
        <v/>
      </c>
      <c r="N5" s="57">
        <f>IF($A5="","",M5*D5)</f>
        <v/>
      </c>
    </row>
    <row r="6">
      <c r="A6" s="40">
        <f>IF(Materiales!$A$5="","",Materiales!$A$5)</f>
        <v/>
      </c>
      <c r="B6" s="39">
        <f>IF(Materiales!$B$5="","",Materiales!$B$5)</f>
        <v/>
      </c>
      <c r="C6" s="40">
        <f>IF(Materiales!$C$5="","",Materiales!$C$5)</f>
        <v/>
      </c>
      <c r="D6" s="54">
        <f>IF(Materiales!$D$5="","",Materiales!$D$5)</f>
        <v/>
      </c>
      <c r="E6" s="55">
        <f>IF($A6="","",MRP!E17)</f>
        <v/>
      </c>
      <c r="F6" s="55">
        <f>IF($A6="","",MRP!F17)</f>
        <v/>
      </c>
      <c r="G6" s="55">
        <f>IF($A6="","",MRP!G17)</f>
        <v/>
      </c>
      <c r="H6" s="55">
        <f>IF($A6="","",MRP!H17)</f>
        <v/>
      </c>
      <c r="I6" s="55">
        <f>IF($A6="","",MRP!I17)</f>
        <v/>
      </c>
      <c r="J6" s="55">
        <f>IF($A6="","",MRP!J17)</f>
        <v/>
      </c>
      <c r="K6" s="55">
        <f>IF($A6="","",MRP!K17)</f>
        <v/>
      </c>
      <c r="L6" s="55">
        <f>IF($A6="","",MRP!L17)</f>
        <v/>
      </c>
      <c r="M6" s="56">
        <f>IF($A6="","",SUM(E6:L6))</f>
        <v/>
      </c>
      <c r="N6" s="57">
        <f>IF($A6="","",M6*D6)</f>
        <v/>
      </c>
    </row>
    <row r="7">
      <c r="A7" s="40">
        <f>IF(Materiales!$A$6="","",Materiales!$A$6)</f>
        <v/>
      </c>
      <c r="B7" s="39">
        <f>IF(Materiales!$B$6="","",Materiales!$B$6)</f>
        <v/>
      </c>
      <c r="C7" s="40">
        <f>IF(Materiales!$C$6="","",Materiales!$C$6)</f>
        <v/>
      </c>
      <c r="D7" s="54">
        <f>IF(Materiales!$D$6="","",Materiales!$D$6)</f>
        <v/>
      </c>
      <c r="E7" s="55">
        <f>IF($A7="","",MRP!E24)</f>
        <v/>
      </c>
      <c r="F7" s="55">
        <f>IF($A7="","",MRP!F24)</f>
        <v/>
      </c>
      <c r="G7" s="55">
        <f>IF($A7="","",MRP!G24)</f>
        <v/>
      </c>
      <c r="H7" s="55">
        <f>IF($A7="","",MRP!H24)</f>
        <v/>
      </c>
      <c r="I7" s="55">
        <f>IF($A7="","",MRP!I24)</f>
        <v/>
      </c>
      <c r="J7" s="55">
        <f>IF($A7="","",MRP!J24)</f>
        <v/>
      </c>
      <c r="K7" s="55">
        <f>IF($A7="","",MRP!K24)</f>
        <v/>
      </c>
      <c r="L7" s="55">
        <f>IF($A7="","",MRP!L24)</f>
        <v/>
      </c>
      <c r="M7" s="56">
        <f>IF($A7="","",SUM(E7:L7))</f>
        <v/>
      </c>
      <c r="N7" s="57">
        <f>IF($A7="","",M7*D7)</f>
        <v/>
      </c>
    </row>
    <row r="8">
      <c r="A8" s="40">
        <f>IF(Materiales!$A$7="","",Materiales!$A$7)</f>
        <v/>
      </c>
      <c r="B8" s="39">
        <f>IF(Materiales!$B$7="","",Materiales!$B$7)</f>
        <v/>
      </c>
      <c r="C8" s="40">
        <f>IF(Materiales!$C$7="","",Materiales!$C$7)</f>
        <v/>
      </c>
      <c r="D8" s="54">
        <f>IF(Materiales!$D$7="","",Materiales!$D$7)</f>
        <v/>
      </c>
      <c r="E8" s="55">
        <f>IF($A8="","",MRP!E31)</f>
        <v/>
      </c>
      <c r="F8" s="55">
        <f>IF($A8="","",MRP!F31)</f>
        <v/>
      </c>
      <c r="G8" s="55">
        <f>IF($A8="","",MRP!G31)</f>
        <v/>
      </c>
      <c r="H8" s="55">
        <f>IF($A8="","",MRP!H31)</f>
        <v/>
      </c>
      <c r="I8" s="55">
        <f>IF($A8="","",MRP!I31)</f>
        <v/>
      </c>
      <c r="J8" s="55">
        <f>IF($A8="","",MRP!J31)</f>
        <v/>
      </c>
      <c r="K8" s="55">
        <f>IF($A8="","",MRP!K31)</f>
        <v/>
      </c>
      <c r="L8" s="55">
        <f>IF($A8="","",MRP!L31)</f>
        <v/>
      </c>
      <c r="M8" s="56">
        <f>IF($A8="","",SUM(E8:L8))</f>
        <v/>
      </c>
      <c r="N8" s="57">
        <f>IF($A8="","",M8*D8)</f>
        <v/>
      </c>
    </row>
    <row r="9">
      <c r="A9" s="40">
        <f>IF(Materiales!$A$8="","",Materiales!$A$8)</f>
        <v/>
      </c>
      <c r="B9" s="39">
        <f>IF(Materiales!$B$8="","",Materiales!$B$8)</f>
        <v/>
      </c>
      <c r="C9" s="40">
        <f>IF(Materiales!$C$8="","",Materiales!$C$8)</f>
        <v/>
      </c>
      <c r="D9" s="54">
        <f>IF(Materiales!$D$8="","",Materiales!$D$8)</f>
        <v/>
      </c>
      <c r="E9" s="55">
        <f>IF($A9="","",MRP!E38)</f>
        <v/>
      </c>
      <c r="F9" s="55">
        <f>IF($A9="","",MRP!F38)</f>
        <v/>
      </c>
      <c r="G9" s="55">
        <f>IF($A9="","",MRP!G38)</f>
        <v/>
      </c>
      <c r="H9" s="55">
        <f>IF($A9="","",MRP!H38)</f>
        <v/>
      </c>
      <c r="I9" s="55">
        <f>IF($A9="","",MRP!I38)</f>
        <v/>
      </c>
      <c r="J9" s="55">
        <f>IF($A9="","",MRP!J38)</f>
        <v/>
      </c>
      <c r="K9" s="55">
        <f>IF($A9="","",MRP!K38)</f>
        <v/>
      </c>
      <c r="L9" s="55">
        <f>IF($A9="","",MRP!L38)</f>
        <v/>
      </c>
      <c r="M9" s="56">
        <f>IF($A9="","",SUM(E9:L9))</f>
        <v/>
      </c>
      <c r="N9" s="57">
        <f>IF($A9="","",M9*D9)</f>
        <v/>
      </c>
    </row>
    <row r="10">
      <c r="A10" s="40">
        <f>IF(Materiales!$A$9="","",Materiales!$A$9)</f>
        <v/>
      </c>
      <c r="B10" s="39">
        <f>IF(Materiales!$B$9="","",Materiales!$B$9)</f>
        <v/>
      </c>
      <c r="C10" s="40">
        <f>IF(Materiales!$C$9="","",Materiales!$C$9)</f>
        <v/>
      </c>
      <c r="D10" s="54">
        <f>IF(Materiales!$D$9="","",Materiales!$D$9)</f>
        <v/>
      </c>
      <c r="E10" s="55">
        <f>IF($A10="","",MRP!E45)</f>
        <v/>
      </c>
      <c r="F10" s="55">
        <f>IF($A10="","",MRP!F45)</f>
        <v/>
      </c>
      <c r="G10" s="55">
        <f>IF($A10="","",MRP!G45)</f>
        <v/>
      </c>
      <c r="H10" s="55">
        <f>IF($A10="","",MRP!H45)</f>
        <v/>
      </c>
      <c r="I10" s="55">
        <f>IF($A10="","",MRP!I45)</f>
        <v/>
      </c>
      <c r="J10" s="55">
        <f>IF($A10="","",MRP!J45)</f>
        <v/>
      </c>
      <c r="K10" s="55">
        <f>IF($A10="","",MRP!K45)</f>
        <v/>
      </c>
      <c r="L10" s="55">
        <f>IF($A10="","",MRP!L45)</f>
        <v/>
      </c>
      <c r="M10" s="56">
        <f>IF($A10="","",SUM(E10:L10))</f>
        <v/>
      </c>
      <c r="N10" s="57">
        <f>IF($A10="","",M10*D10)</f>
        <v/>
      </c>
    </row>
    <row r="11">
      <c r="A11" s="40">
        <f>IF(Materiales!$A$10="","",Materiales!$A$10)</f>
        <v/>
      </c>
      <c r="B11" s="39">
        <f>IF(Materiales!$B$10="","",Materiales!$B$10)</f>
        <v/>
      </c>
      <c r="C11" s="40">
        <f>IF(Materiales!$C$10="","",Materiales!$C$10)</f>
        <v/>
      </c>
      <c r="D11" s="54">
        <f>IF(Materiales!$D$10="","",Materiales!$D$10)</f>
        <v/>
      </c>
      <c r="E11" s="55">
        <f>IF($A11="","",MRP!E52)</f>
        <v/>
      </c>
      <c r="F11" s="55">
        <f>IF($A11="","",MRP!F52)</f>
        <v/>
      </c>
      <c r="G11" s="55">
        <f>IF($A11="","",MRP!G52)</f>
        <v/>
      </c>
      <c r="H11" s="55">
        <f>IF($A11="","",MRP!H52)</f>
        <v/>
      </c>
      <c r="I11" s="55">
        <f>IF($A11="","",MRP!I52)</f>
        <v/>
      </c>
      <c r="J11" s="55">
        <f>IF($A11="","",MRP!J52)</f>
        <v/>
      </c>
      <c r="K11" s="55">
        <f>IF($A11="","",MRP!K52)</f>
        <v/>
      </c>
      <c r="L11" s="55">
        <f>IF($A11="","",MRP!L52)</f>
        <v/>
      </c>
      <c r="M11" s="56">
        <f>IF($A11="","",SUM(E11:L11))</f>
        <v/>
      </c>
      <c r="N11" s="57">
        <f>IF($A11="","",M11*D11)</f>
        <v/>
      </c>
    </row>
    <row r="12">
      <c r="A12" s="40">
        <f>IF(Materiales!$A$11="","",Materiales!$A$11)</f>
        <v/>
      </c>
      <c r="B12" s="39">
        <f>IF(Materiales!$B$11="","",Materiales!$B$11)</f>
        <v/>
      </c>
      <c r="C12" s="40">
        <f>IF(Materiales!$C$11="","",Materiales!$C$11)</f>
        <v/>
      </c>
      <c r="D12" s="54">
        <f>IF(Materiales!$D$11="","",Materiales!$D$11)</f>
        <v/>
      </c>
      <c r="E12" s="55">
        <f>IF($A12="","",MRP!E59)</f>
        <v/>
      </c>
      <c r="F12" s="55">
        <f>IF($A12="","",MRP!F59)</f>
        <v/>
      </c>
      <c r="G12" s="55">
        <f>IF($A12="","",MRP!G59)</f>
        <v/>
      </c>
      <c r="H12" s="55">
        <f>IF($A12="","",MRP!H59)</f>
        <v/>
      </c>
      <c r="I12" s="55">
        <f>IF($A12="","",MRP!I59)</f>
        <v/>
      </c>
      <c r="J12" s="55">
        <f>IF($A12="","",MRP!J59)</f>
        <v/>
      </c>
      <c r="K12" s="55">
        <f>IF($A12="","",MRP!K59)</f>
        <v/>
      </c>
      <c r="L12" s="55">
        <f>IF($A12="","",MRP!L59)</f>
        <v/>
      </c>
      <c r="M12" s="56">
        <f>IF($A12="","",SUM(E12:L12))</f>
        <v/>
      </c>
      <c r="N12" s="57">
        <f>IF($A12="","",M12*D12)</f>
        <v/>
      </c>
    </row>
    <row r="13">
      <c r="A13" s="40">
        <f>IF(Materiales!$A$12="","",Materiales!$A$12)</f>
        <v/>
      </c>
      <c r="B13" s="39">
        <f>IF(Materiales!$B$12="","",Materiales!$B$12)</f>
        <v/>
      </c>
      <c r="C13" s="40">
        <f>IF(Materiales!$C$12="","",Materiales!$C$12)</f>
        <v/>
      </c>
      <c r="D13" s="54">
        <f>IF(Materiales!$D$12="","",Materiales!$D$12)</f>
        <v/>
      </c>
      <c r="E13" s="55">
        <f>IF($A13="","",MRP!E66)</f>
        <v/>
      </c>
      <c r="F13" s="55">
        <f>IF($A13="","",MRP!F66)</f>
        <v/>
      </c>
      <c r="G13" s="55">
        <f>IF($A13="","",MRP!G66)</f>
        <v/>
      </c>
      <c r="H13" s="55">
        <f>IF($A13="","",MRP!H66)</f>
        <v/>
      </c>
      <c r="I13" s="55">
        <f>IF($A13="","",MRP!I66)</f>
        <v/>
      </c>
      <c r="J13" s="55">
        <f>IF($A13="","",MRP!J66)</f>
        <v/>
      </c>
      <c r="K13" s="55">
        <f>IF($A13="","",MRP!K66)</f>
        <v/>
      </c>
      <c r="L13" s="55">
        <f>IF($A13="","",MRP!L66)</f>
        <v/>
      </c>
      <c r="M13" s="56">
        <f>IF($A13="","",SUM(E13:L13))</f>
        <v/>
      </c>
      <c r="N13" s="57">
        <f>IF($A13="","",M13*D13)</f>
        <v/>
      </c>
    </row>
    <row r="14">
      <c r="A14" s="40">
        <f>IF(Materiales!$A$13="","",Materiales!$A$13)</f>
        <v/>
      </c>
      <c r="B14" s="39">
        <f>IF(Materiales!$B$13="","",Materiales!$B$13)</f>
        <v/>
      </c>
      <c r="C14" s="40">
        <f>IF(Materiales!$C$13="","",Materiales!$C$13)</f>
        <v/>
      </c>
      <c r="D14" s="54">
        <f>IF(Materiales!$D$13="","",Materiales!$D$13)</f>
        <v/>
      </c>
      <c r="E14" s="55">
        <f>IF($A14="","",MRP!E73)</f>
        <v/>
      </c>
      <c r="F14" s="55">
        <f>IF($A14="","",MRP!F73)</f>
        <v/>
      </c>
      <c r="G14" s="55">
        <f>IF($A14="","",MRP!G73)</f>
        <v/>
      </c>
      <c r="H14" s="55">
        <f>IF($A14="","",MRP!H73)</f>
        <v/>
      </c>
      <c r="I14" s="55">
        <f>IF($A14="","",MRP!I73)</f>
        <v/>
      </c>
      <c r="J14" s="55">
        <f>IF($A14="","",MRP!J73)</f>
        <v/>
      </c>
      <c r="K14" s="55">
        <f>IF($A14="","",MRP!K73)</f>
        <v/>
      </c>
      <c r="L14" s="55">
        <f>IF($A14="","",MRP!L73)</f>
        <v/>
      </c>
      <c r="M14" s="56">
        <f>IF($A14="","",SUM(E14:L14))</f>
        <v/>
      </c>
      <c r="N14" s="57">
        <f>IF($A14="","",M14*D14)</f>
        <v/>
      </c>
    </row>
    <row r="15">
      <c r="A15" s="40">
        <f>IF(Materiales!$A$14="","",Materiales!$A$14)</f>
        <v/>
      </c>
      <c r="B15" s="39">
        <f>IF(Materiales!$B$14="","",Materiales!$B$14)</f>
        <v/>
      </c>
      <c r="C15" s="40">
        <f>IF(Materiales!$C$14="","",Materiales!$C$14)</f>
        <v/>
      </c>
      <c r="D15" s="54">
        <f>IF(Materiales!$D$14="","",Materiales!$D$14)</f>
        <v/>
      </c>
      <c r="E15" s="55">
        <f>IF($A15="","",MRP!E80)</f>
        <v/>
      </c>
      <c r="F15" s="55">
        <f>IF($A15="","",MRP!F80)</f>
        <v/>
      </c>
      <c r="G15" s="55">
        <f>IF($A15="","",MRP!G80)</f>
        <v/>
      </c>
      <c r="H15" s="55">
        <f>IF($A15="","",MRP!H80)</f>
        <v/>
      </c>
      <c r="I15" s="55">
        <f>IF($A15="","",MRP!I80)</f>
        <v/>
      </c>
      <c r="J15" s="55">
        <f>IF($A15="","",MRP!J80)</f>
        <v/>
      </c>
      <c r="K15" s="55">
        <f>IF($A15="","",MRP!K80)</f>
        <v/>
      </c>
      <c r="L15" s="55">
        <f>IF($A15="","",MRP!L80)</f>
        <v/>
      </c>
      <c r="M15" s="56">
        <f>IF($A15="","",SUM(E15:L15))</f>
        <v/>
      </c>
      <c r="N15" s="57">
        <f>IF($A15="","",M15*D15)</f>
        <v/>
      </c>
    </row>
    <row r="16">
      <c r="A16" s="40">
        <f>IF(Materiales!$A$15="","",Materiales!$A$15)</f>
        <v/>
      </c>
      <c r="B16" s="39">
        <f>IF(Materiales!$B$15="","",Materiales!$B$15)</f>
        <v/>
      </c>
      <c r="C16" s="40">
        <f>IF(Materiales!$C$15="","",Materiales!$C$15)</f>
        <v/>
      </c>
      <c r="D16" s="54">
        <f>IF(Materiales!$D$15="","",Materiales!$D$15)</f>
        <v/>
      </c>
      <c r="E16" s="55">
        <f>IF($A16="","",MRP!E87)</f>
        <v/>
      </c>
      <c r="F16" s="55">
        <f>IF($A16="","",MRP!F87)</f>
        <v/>
      </c>
      <c r="G16" s="55">
        <f>IF($A16="","",MRP!G87)</f>
        <v/>
      </c>
      <c r="H16" s="55">
        <f>IF($A16="","",MRP!H87)</f>
        <v/>
      </c>
      <c r="I16" s="55">
        <f>IF($A16="","",MRP!I87)</f>
        <v/>
      </c>
      <c r="J16" s="55">
        <f>IF($A16="","",MRP!J87)</f>
        <v/>
      </c>
      <c r="K16" s="55">
        <f>IF($A16="","",MRP!K87)</f>
        <v/>
      </c>
      <c r="L16" s="55">
        <f>IF($A16="","",MRP!L87)</f>
        <v/>
      </c>
      <c r="M16" s="56">
        <f>IF($A16="","",SUM(E16:L16))</f>
        <v/>
      </c>
      <c r="N16" s="57">
        <f>IF($A16="","",M16*D16)</f>
        <v/>
      </c>
    </row>
    <row r="17">
      <c r="A17" s="40">
        <f>IF(Materiales!$A$16="","",Materiales!$A$16)</f>
        <v/>
      </c>
      <c r="B17" s="39">
        <f>IF(Materiales!$B$16="","",Materiales!$B$16)</f>
        <v/>
      </c>
      <c r="C17" s="40">
        <f>IF(Materiales!$C$16="","",Materiales!$C$16)</f>
        <v/>
      </c>
      <c r="D17" s="54">
        <f>IF(Materiales!$D$16="","",Materiales!$D$16)</f>
        <v/>
      </c>
      <c r="E17" s="55">
        <f>IF($A17="","",MRP!E94)</f>
        <v/>
      </c>
      <c r="F17" s="55">
        <f>IF($A17="","",MRP!F94)</f>
        <v/>
      </c>
      <c r="G17" s="55">
        <f>IF($A17="","",MRP!G94)</f>
        <v/>
      </c>
      <c r="H17" s="55">
        <f>IF($A17="","",MRP!H94)</f>
        <v/>
      </c>
      <c r="I17" s="55">
        <f>IF($A17="","",MRP!I94)</f>
        <v/>
      </c>
      <c r="J17" s="55">
        <f>IF($A17="","",MRP!J94)</f>
        <v/>
      </c>
      <c r="K17" s="55">
        <f>IF($A17="","",MRP!K94)</f>
        <v/>
      </c>
      <c r="L17" s="55">
        <f>IF($A17="","",MRP!L94)</f>
        <v/>
      </c>
      <c r="M17" s="56">
        <f>IF($A17="","",SUM(E17:L17))</f>
        <v/>
      </c>
      <c r="N17" s="57">
        <f>IF($A17="","",M17*D17)</f>
        <v/>
      </c>
    </row>
    <row r="18">
      <c r="A18" s="40">
        <f>IF(Materiales!$A$17="","",Materiales!$A$17)</f>
        <v/>
      </c>
      <c r="B18" s="39">
        <f>IF(Materiales!$B$17="","",Materiales!$B$17)</f>
        <v/>
      </c>
      <c r="C18" s="40">
        <f>IF(Materiales!$C$17="","",Materiales!$C$17)</f>
        <v/>
      </c>
      <c r="D18" s="54">
        <f>IF(Materiales!$D$17="","",Materiales!$D$17)</f>
        <v/>
      </c>
      <c r="E18" s="55">
        <f>IF($A18="","",MRP!E101)</f>
        <v/>
      </c>
      <c r="F18" s="55">
        <f>IF($A18="","",MRP!F101)</f>
        <v/>
      </c>
      <c r="G18" s="55">
        <f>IF($A18="","",MRP!G101)</f>
        <v/>
      </c>
      <c r="H18" s="55">
        <f>IF($A18="","",MRP!H101)</f>
        <v/>
      </c>
      <c r="I18" s="55">
        <f>IF($A18="","",MRP!I101)</f>
        <v/>
      </c>
      <c r="J18" s="55">
        <f>IF($A18="","",MRP!J101)</f>
        <v/>
      </c>
      <c r="K18" s="55">
        <f>IF($A18="","",MRP!K101)</f>
        <v/>
      </c>
      <c r="L18" s="55">
        <f>IF($A18="","",MRP!L101)</f>
        <v/>
      </c>
      <c r="M18" s="56">
        <f>IF($A18="","",SUM(E18:L18))</f>
        <v/>
      </c>
      <c r="N18" s="57">
        <f>IF($A18="","",M18*D18)</f>
        <v/>
      </c>
    </row>
    <row r="19">
      <c r="A19" s="40">
        <f>IF(Materiales!$A$18="","",Materiales!$A$18)</f>
        <v/>
      </c>
      <c r="B19" s="39">
        <f>IF(Materiales!$B$18="","",Materiales!$B$18)</f>
        <v/>
      </c>
      <c r="C19" s="40">
        <f>IF(Materiales!$C$18="","",Materiales!$C$18)</f>
        <v/>
      </c>
      <c r="D19" s="54">
        <f>IF(Materiales!$D$18="","",Materiales!$D$18)</f>
        <v/>
      </c>
      <c r="E19" s="55">
        <f>IF($A19="","",MRP!E108)</f>
        <v/>
      </c>
      <c r="F19" s="55">
        <f>IF($A19="","",MRP!F108)</f>
        <v/>
      </c>
      <c r="G19" s="55">
        <f>IF($A19="","",MRP!G108)</f>
        <v/>
      </c>
      <c r="H19" s="55">
        <f>IF($A19="","",MRP!H108)</f>
        <v/>
      </c>
      <c r="I19" s="55">
        <f>IF($A19="","",MRP!I108)</f>
        <v/>
      </c>
      <c r="J19" s="55">
        <f>IF($A19="","",MRP!J108)</f>
        <v/>
      </c>
      <c r="K19" s="55">
        <f>IF($A19="","",MRP!K108)</f>
        <v/>
      </c>
      <c r="L19" s="55">
        <f>IF($A19="","",MRP!L108)</f>
        <v/>
      </c>
      <c r="M19" s="56">
        <f>IF($A19="","",SUM(E19:L19))</f>
        <v/>
      </c>
      <c r="N19" s="57">
        <f>IF($A19="","",M19*D19)</f>
        <v/>
      </c>
    </row>
    <row r="20">
      <c r="A20" s="58" t="inlineStr">
        <is>
          <t>TOTAL A COMPRAR EN EL HORIZONTE</t>
        </is>
      </c>
      <c r="B20" s="63" t="n"/>
      <c r="C20" s="63" t="n"/>
      <c r="D20" s="64" t="n"/>
      <c r="E20" s="59">
        <f>SUM(E5:E19)</f>
        <v/>
      </c>
      <c r="F20" s="59">
        <f>SUM(F5:F19)</f>
        <v/>
      </c>
      <c r="G20" s="59">
        <f>SUM(G5:G19)</f>
        <v/>
      </c>
      <c r="H20" s="59">
        <f>SUM(H5:H19)</f>
        <v/>
      </c>
      <c r="I20" s="59">
        <f>SUM(I5:I19)</f>
        <v/>
      </c>
      <c r="J20" s="59">
        <f>SUM(J5:J19)</f>
        <v/>
      </c>
      <c r="K20" s="59">
        <f>SUM(K5:K19)</f>
        <v/>
      </c>
      <c r="L20" s="59">
        <f>SUM(L5:L19)</f>
        <v/>
      </c>
      <c r="M20" s="60">
        <f>SUM(M5:M19)</f>
        <v/>
      </c>
      <c r="N20" s="61">
        <f>SUM(N5:N19)</f>
        <v/>
      </c>
    </row>
  </sheetData>
  <mergeCells count="3">
    <mergeCell ref="A20:D20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2026-08-23T20:27:19Z</dcterms:created>
  <dcterms:modified xsi:type="dcterms:W3CDTF">2026-08-23T20:27:20Z</dcterms:modified>
</cp:coreProperties>
</file>