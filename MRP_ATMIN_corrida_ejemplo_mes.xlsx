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RESUMEN MES" sheetId="2" state="visible" r:id="rId2"/>
    <sheet name="Materiales" sheetId="3" state="visible" r:id="rId3"/>
    <sheet name="Plan" sheetId="4" state="visible" r:id="rId4"/>
    <sheet name="Consumo" sheetId="5" state="visible" r:id="rId5"/>
    <sheet name="Inventario" sheetId="6" state="visible" r:id="rId6"/>
    <sheet name="MRP" sheetId="7" state="visible" r:id="rId7"/>
    <sheet name="Ordenes" sheetId="8" state="visible" r:id="rId8"/>
  </sheets>
  <definedNames>
    <definedName name="_xlnm._FilterDatabase" localSheetId="2" hidden="1">'Materiales'!$A$3:$K$66</definedName>
    <definedName name="_xlnm._FilterDatabase" localSheetId="7" hidden="1">'Ordenes'!$A$4:$O$67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dd/mm/yyyy"/>
    <numFmt numFmtId="168" formatCode="#,##0.0000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C55A11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1F3864"/>
      <sz val="10"/>
    </font>
    <font>
      <name val="Arial"/>
      <color rgb="000000FF"/>
      <sz val="10"/>
    </font>
    <font>
      <name val="Arial"/>
      <color rgb="00C55A11"/>
      <sz val="10"/>
    </font>
    <font>
      <name val="Arial"/>
      <color rgb="001E7B34"/>
      <sz val="10"/>
    </font>
    <font>
      <name val="Arial"/>
      <color rgb="009C0006"/>
      <sz val="10"/>
    </font>
    <font>
      <name val="Arial"/>
      <i val="1"/>
      <color rgb="00444444"/>
      <sz val="9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color rgb="00008000"/>
      <sz val="10"/>
    </font>
    <font>
      <name val="Arial"/>
      <b val="1"/>
      <color rgb="00C55A11"/>
      <sz val="10"/>
    </font>
    <font>
      <name val="Arial"/>
      <b val="1"/>
      <color rgb="00008000"/>
      <sz val="10"/>
    </font>
    <font>
      <name val="Arial"/>
      <b val="1"/>
      <color rgb="00008000"/>
      <sz val="9"/>
    </font>
    <font>
      <name val="Arial"/>
      <color rgb="00808080"/>
      <sz val="9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8000"/>
      <sz val="9"/>
    </font>
    <font>
      <name val="Arial"/>
      <b val="1"/>
      <color rgb="00C55A11"/>
      <sz val="9"/>
    </font>
    <font>
      <name val="Arial"/>
      <b val="1"/>
      <color rgb="009C0006"/>
      <sz val="9"/>
    </font>
  </fonts>
  <fills count="12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applyAlignment="1" pivotButton="0" quotePrefix="0" xfId="0">
      <alignment vertical="center" wrapText="1"/>
    </xf>
    <xf numFmtId="0" fontId="0" fillId="8" borderId="1" pivotButton="0" quotePrefix="0" xfId="0"/>
    <xf numFmtId="0" fontId="11" fillId="0" borderId="0" applyAlignment="1" pivotButton="0" quotePrefix="0" xfId="0">
      <alignment vertical="center" wrapText="1"/>
    </xf>
    <xf numFmtId="0" fontId="0" fillId="9" borderId="1" pivotButton="0" quotePrefix="0" xfId="0"/>
    <xf numFmtId="0" fontId="12" fillId="0" borderId="0" applyAlignment="1" pivotButton="0" quotePrefix="0" xfId="0">
      <alignment vertical="center" wrapText="1"/>
    </xf>
    <xf numFmtId="0" fontId="0" fillId="10" borderId="1" pivotButton="0" quotePrefix="0" xfId="0"/>
    <xf numFmtId="0" fontId="0" fillId="6" borderId="1" pivotButton="0" quotePrefix="0" xfId="0"/>
    <xf numFmtId="0" fontId="13" fillId="0" borderId="0" applyAlignment="1" pivotButton="0" quotePrefix="0" xfId="0">
      <alignment vertical="center" wrapText="1"/>
    </xf>
    <xf numFmtId="0" fontId="0" fillId="11" borderId="1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indent="1"/>
    </xf>
    <xf numFmtId="0" fontId="16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166" fontId="11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164" fontId="12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165" fontId="12" fillId="9" borderId="1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7" fontId="17" fillId="8" borderId="1" applyAlignment="1" pivotButton="0" quotePrefix="0" xfId="0">
      <alignment horizontal="center" vertical="center"/>
    </xf>
    <xf numFmtId="0" fontId="18" fillId="0" borderId="0" pivotButton="0" quotePrefix="0" xfId="0"/>
    <xf numFmtId="167" fontId="19" fillId="1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 wrapText="1"/>
    </xf>
    <xf numFmtId="166" fontId="4" fillId="10" borderId="1" applyAlignment="1" pivotButton="0" quotePrefix="0" xfId="0">
      <alignment horizontal="center" vertical="center"/>
    </xf>
    <xf numFmtId="166" fontId="17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  <xf numFmtId="166" fontId="16" fillId="7" borderId="1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24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25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center" vertical="center"/>
    </xf>
    <xf numFmtId="164" fontId="20" fillId="10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3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center" vertical="center"/>
    </xf>
    <xf numFmtId="166" fontId="2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8" fontId="8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 wrapText="1"/>
    </xf>
    <xf numFmtId="166" fontId="20" fillId="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center" vertical="center"/>
    </xf>
    <xf numFmtId="164" fontId="26" fillId="3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167" fontId="17" fillId="8" borderId="1" applyAlignment="1" pivotButton="0" quotePrefix="0" xfId="0">
      <alignment horizontal="center" vertical="center"/>
    </xf>
    <xf numFmtId="167" fontId="19" fillId="10" borderId="1" applyAlignment="1" pivotButton="0" quotePrefix="0" xfId="0">
      <alignment horizontal="center" vertical="center"/>
    </xf>
    <xf numFmtId="168" fontId="16" fillId="7" borderId="1" applyAlignment="1" pivotButton="0" quotePrefix="0" xfId="0">
      <alignment horizontal="center" vertical="center"/>
    </xf>
    <xf numFmtId="168" fontId="21" fillId="9" borderId="1" applyAlignment="1" pivotButton="0" quotePrefix="0" xfId="0">
      <alignment horizontal="center" vertical="center"/>
    </xf>
    <xf numFmtId="168" fontId="11" fillId="8" borderId="1" applyAlignment="1" pivotButton="0" quotePrefix="0" xfId="0">
      <alignment horizontal="center" vertical="center"/>
    </xf>
    <xf numFmtId="167" fontId="23" fillId="1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CORRIDA DE EJEMPLO (mes de setiembre 2026). Celdas naranjas = SUPUESTOS mios, confirmalos. Celdas azules = maestro real de MukiCloud.</t>
        </is>
      </c>
    </row>
    <row r="4" ht="22" customHeight="1">
      <c r="B4" s="3" t="inlineStr">
        <is>
          <t>1.  Que responde un MRP</t>
        </is>
      </c>
    </row>
    <row r="6" ht="15" customHeight="1">
      <c r="B6" s="4" t="inlineStr">
        <is>
          <t>QUE material pedir, CUANTO pedir y CUANDO lanzar el pedido para que llegue a tiempo.</t>
        </is>
      </c>
    </row>
    <row r="8" ht="15" customHeight="1">
      <c r="B8" s="5" t="inlineStr">
        <is>
          <t>Necesidad neta  =  Necesidad bruta  −  Stock disponible  −  Ordenes en transito  +  Stock de seguridad</t>
        </is>
      </c>
    </row>
    <row r="9" ht="15" customHeight="1">
      <c r="B9" s="5" t="inlineStr">
        <is>
          <t>Fecha de pedido  =  Semana en que se necesita  −  Lead time del proveedor</t>
        </is>
      </c>
    </row>
    <row r="11" ht="22" customHeight="1">
      <c r="B11" s="3" t="inlineStr">
        <is>
          <t>2.  Orden de llenado (pestañas de izquierda a derecha)</t>
        </is>
      </c>
    </row>
    <row r="13" ht="22" customHeight="1">
      <c r="A13" s="6" t="inlineStr">
        <is>
          <t>Paso</t>
        </is>
      </c>
      <c r="B13" s="6" t="inlineStr">
        <is>
          <t>Pestaña</t>
        </is>
      </c>
      <c r="C13" s="6" t="inlineStr">
        <is>
          <t>Que llenas ahi</t>
        </is>
      </c>
      <c r="D13" s="6" t="inlineStr">
        <is>
          <t>Ya viene cargado</t>
        </is>
      </c>
      <c r="E13" s="6" t="inlineStr">
        <is>
          <t>Ojo con esto</t>
        </is>
      </c>
    </row>
    <row r="14" ht="62" customHeight="1">
      <c r="A14" s="7" t="inlineStr">
        <is>
          <t>1</t>
        </is>
      </c>
      <c r="B14" s="8" t="inlineStr">
        <is>
          <t>Materiales</t>
        </is>
      </c>
      <c r="C14" s="9" t="inlineStr">
        <is>
          <t>Solo 4 datos por material: precio, proveedor, lead time y lote de compra, mas el stock de seguridad.</t>
        </is>
      </c>
      <c r="D14" s="9" t="inlineStr">
        <is>
          <t>Los 63 materiales del maestro de MukiCloud: codigo nuevo, codigo anterior, nombre, unidad y clase.</t>
        </is>
      </c>
      <c r="E14" s="9" t="inlineStr">
        <is>
          <t>El LEAD TIME va en SEMANAS enteras. El LOTE es el multiplo de compra: si pones 20, el MRP redondea siempre a 20, 40, 60. Si lo dejas en 0 pide la cantidad exacta.</t>
        </is>
      </c>
    </row>
    <row r="15" ht="62" customHeight="1">
      <c r="A15" s="10" t="inlineStr">
        <is>
          <t>2</t>
        </is>
      </c>
      <c r="B15" s="11" t="inlineStr">
        <is>
          <t>Plan</t>
        </is>
      </c>
      <c r="C15" s="12" t="inlineStr">
        <is>
          <t>Metros de avance por frente y por semana, y la fecha de inicio de la Semana 1.</t>
        </is>
      </c>
      <c r="D15" s="12" t="inlineStr">
        <is>
          <t>Tus 6 frentes, tomados de la constante FRENTES de index.html.</t>
        </is>
      </c>
      <c r="E15" s="12" t="inlineStr">
        <is>
          <t>Trabaja en multiplos de 1.5 m (un disparo) para que las semanas cierren en disparos enteros.</t>
        </is>
      </c>
    </row>
    <row r="16" ht="62" customHeight="1">
      <c r="A16" s="7" t="inlineStr">
        <is>
          <t>3</t>
        </is>
      </c>
      <c r="B16" s="8" t="inlineStr">
        <is>
          <t>Consumo</t>
        </is>
      </c>
      <c r="C16" s="9" t="inlineStr">
        <is>
          <t>El estandar: cuanto material se gasta por CADA metro de avance, por frente.</t>
        </is>
      </c>
      <c r="D16" s="9" t="inlineStr">
        <is>
          <t>El nombre y la unidad se autocompletan al elegir el codigo.</t>
        </is>
      </c>
      <c r="E16" s="9" t="inlineStr">
        <is>
          <t>Aca esta el 80% de la exactitud del MRP. Saca el numero del consumo real historico del Compresorista (consumo del mes / metros del mes), no del catalogo teorico.</t>
        </is>
      </c>
    </row>
    <row r="17" ht="62" customHeight="1">
      <c r="A17" s="10" t="inlineStr">
        <is>
          <t>4</t>
        </is>
      </c>
      <c r="B17" s="11" t="inlineStr">
        <is>
          <t>Inventario</t>
        </is>
      </c>
      <c r="C17" s="12" t="inlineStr">
        <is>
          <t>Solo las ordenes de compra ya emitidas, en la semana en que llegaran.</t>
        </is>
      </c>
      <c r="D17" s="12" t="inlineStr">
        <is>
          <t>El STOCK ACTUAL de los 63 materiales, tal como esta en el maestro de MukiCloud.</t>
        </is>
      </c>
      <c r="E17" s="12" t="inlineStr">
        <is>
          <t>Si el stock ya se movio, actualizalo aca. Si un material tiene 2 OC en camino, usa 2 renglones con el mismo codigo.</t>
        </is>
      </c>
    </row>
    <row r="18" ht="62" customHeight="1">
      <c r="A18" s="7" t="inlineStr">
        <is>
          <t>—</t>
        </is>
      </c>
      <c r="B18" s="8" t="inlineStr">
        <is>
          <t>MRP</t>
        </is>
      </c>
      <c r="C18" s="9" t="inlineStr">
        <is>
          <t>NO SE LLENA. El calculo semana por semana, 6 renglones por material.</t>
        </is>
      </c>
      <c r="D18" s="9" t="inlineStr">
        <is>
          <t>Los 63 materiales, cada uno con su bloque.</t>
        </is>
      </c>
      <c r="E18" s="9" t="inlineStr">
        <is>
          <t>Renglon verde = la semana en que debes pedir. Stock proyectado en rojo = te quedas sin material.</t>
        </is>
      </c>
    </row>
    <row r="19" ht="62" customHeight="1">
      <c r="A19" s="10" t="inlineStr">
        <is>
          <t>—</t>
        </is>
      </c>
      <c r="B19" s="11" t="inlineStr">
        <is>
          <t>Ordenes</t>
        </is>
      </c>
      <c r="C19" s="12" t="inlineStr">
        <is>
          <t>NO SE LLENA. El resumen de compra para Logistica.</t>
        </is>
      </c>
      <c r="D19" s="12" t="inlineStr">
        <is>
          <t>—</t>
        </is>
      </c>
      <c r="E19" s="12" t="inlineStr">
        <is>
          <t>PEDIR YA (atrasado) = el material se necesita antes de lo que alcanza el lead time.</t>
        </is>
      </c>
    </row>
    <row r="21" ht="22" customHeight="1">
      <c r="B21" s="3" t="inlineStr">
        <is>
          <t>3.  Los 6 renglones de cada material en la hoja MRP</t>
        </is>
      </c>
    </row>
    <row r="23" ht="26" customHeight="1">
      <c r="B23" s="13" t="inlineStr">
        <is>
          <t>Necesidad bruta</t>
        </is>
      </c>
      <c r="C23" s="14" t="inlineStr">
        <is>
          <t>Lo que el plan de avance consume esa semana = metros del frente x consumo por metro.</t>
        </is>
      </c>
      <c r="D23" s="78" t="n"/>
      <c r="E23" s="79" t="n"/>
    </row>
    <row r="24" ht="26" customHeight="1">
      <c r="B24" s="13" t="inlineStr">
        <is>
          <t>Recepciones programadas</t>
        </is>
      </c>
      <c r="C24" s="14" t="inlineStr">
        <is>
          <t>Lo que YA esta pedido y llega esa semana (hoja Inventario).</t>
        </is>
      </c>
      <c r="D24" s="78" t="n"/>
      <c r="E24" s="79" t="n"/>
    </row>
    <row r="25" ht="26" customHeight="1">
      <c r="B25" s="13" t="inlineStr">
        <is>
          <t>Stock proyectado disponible</t>
        </is>
      </c>
      <c r="C25" s="14" t="inlineStr">
        <is>
          <t>Lo que quedara al cerrar la semana. En rojo = quiebre de stock.</t>
        </is>
      </c>
      <c r="D25" s="78" t="n"/>
      <c r="E25" s="79" t="n"/>
    </row>
    <row r="26" ht="26" customHeight="1">
      <c r="B26" s="13" t="inlineStr">
        <is>
          <t>Necesidad neta</t>
        </is>
      </c>
      <c r="C26" s="14" t="inlineStr">
        <is>
          <t>Lo que falta comprar, ya descontado el stock y lo que viene en camino.</t>
        </is>
      </c>
      <c r="D26" s="78" t="n"/>
      <c r="E26" s="79" t="n"/>
    </row>
    <row r="27" ht="26" customHeight="1">
      <c r="B27" s="13" t="inlineStr">
        <is>
          <t>Recepcion de orden planificada</t>
        </is>
      </c>
      <c r="C27" s="14" t="inlineStr">
        <is>
          <t>La necesidad neta redondeada al lote. Es lo que debe LLEGAR esa semana.</t>
        </is>
      </c>
      <c r="D27" s="78" t="n"/>
      <c r="E27" s="79" t="n"/>
    </row>
    <row r="28" ht="26" customHeight="1">
      <c r="B28" s="15" t="inlineStr">
        <is>
          <t>LANZAMIENTO DE ORDEN</t>
        </is>
      </c>
      <c r="C28" s="14" t="inlineStr">
        <is>
          <t>La misma cantidad corrida hacia atras por el lead time. ES CUANDO DEBES PEDIR.</t>
        </is>
      </c>
      <c r="D28" s="78" t="n"/>
      <c r="E28" s="79" t="n"/>
    </row>
    <row r="30" ht="22" customHeight="1">
      <c r="B30" s="3" t="inlineStr">
        <is>
          <t>4.  Leyenda de colores</t>
        </is>
      </c>
    </row>
    <row r="32">
      <c r="B32" s="16" t="n"/>
      <c r="C32" s="17" t="inlineStr">
        <is>
          <t>Dato del maestro de MukiCloud: ya viene cargado, no lo cambies sin actualizar el maestro</t>
        </is>
      </c>
    </row>
    <row r="33">
      <c r="B33" s="18" t="n"/>
      <c r="C33" s="19" t="inlineStr">
        <is>
          <t>Celda que TU llenas</t>
        </is>
      </c>
    </row>
    <row r="34">
      <c r="B34" s="20" t="n"/>
      <c r="C34" s="21" t="inlineStr">
        <is>
          <t>SUPUESTO mio: precio, proveedor, lead time, lote o stock de seguridad — confirmalo</t>
        </is>
      </c>
    </row>
    <row r="35">
      <c r="B35" s="22" t="n"/>
      <c r="C35" s="4" t="inlineStr">
        <is>
          <t>Celda calculada: no la toques</t>
        </is>
      </c>
    </row>
    <row r="36">
      <c r="B36" s="23" t="n"/>
      <c r="C36" s="24" t="inlineStr">
        <is>
          <t>Resultado accionable: la orden que debes lanzar</t>
        </is>
      </c>
    </row>
    <row r="37">
      <c r="B37" s="25" t="n"/>
      <c r="C37" s="26" t="inlineStr">
        <is>
          <t>Rojo = quiebre de stock proyectado esa semana</t>
        </is>
      </c>
    </row>
    <row r="39" ht="22" customHeight="1">
      <c r="B39" s="3" t="inlineStr">
        <is>
          <t>5.  Supuestos de esta plantilla</t>
        </is>
      </c>
    </row>
    <row r="41" ht="15" customHeight="1">
      <c r="B41" s="4" t="inlineStr">
        <is>
          <t>•  Horizonte de 8 semanas. La Semana 1 arranca en la fecha de la hoja Plan (celda C3).</t>
        </is>
      </c>
    </row>
    <row r="42" ht="15" customHeight="1">
      <c r="B42" s="4" t="inlineStr">
        <is>
          <t>•  Moneda: Soles (S/).  Un disparo = 1.5 m de avance.</t>
        </is>
      </c>
    </row>
    <row r="43" ht="15" customHeight="1">
      <c r="B43" s="4" t="inlineStr">
        <is>
          <t>•  Fuente del maestro: codigos_materiales_mukicloud.xlsx, hoja Codificacion (63 materiales).</t>
        </is>
      </c>
    </row>
    <row r="44" ht="15" customHeight="1">
      <c r="B44" s="4" t="inlineStr">
        <is>
          <t>•  El maestro NO trae precios ni lead times: esos campos quedan para que los llenes.</t>
        </is>
      </c>
    </row>
    <row r="45" ht="15" customHeight="1">
      <c r="B45" s="4" t="inlineStr">
        <is>
          <t>•  Lead time en semanas enteras. Lote de compra = multiplo; en 0 se pide la cantidad exacta.</t>
        </is>
      </c>
    </row>
  </sheetData>
  <mergeCells count="27">
    <mergeCell ref="B9:E9"/>
    <mergeCell ref="B6:E6"/>
    <mergeCell ref="B30:E30"/>
    <mergeCell ref="A1:E1"/>
    <mergeCell ref="B45:E45"/>
    <mergeCell ref="C36:E36"/>
    <mergeCell ref="B41:E41"/>
    <mergeCell ref="C27:E27"/>
    <mergeCell ref="B4:E4"/>
    <mergeCell ref="C23:E23"/>
    <mergeCell ref="C32:E32"/>
    <mergeCell ref="C28:E28"/>
    <mergeCell ref="A2:E2"/>
    <mergeCell ref="C37:E37"/>
    <mergeCell ref="B43:E43"/>
    <mergeCell ref="B21:E21"/>
    <mergeCell ref="B39:E39"/>
    <mergeCell ref="B11:E11"/>
    <mergeCell ref="C34:E34"/>
    <mergeCell ref="B42:E42"/>
    <mergeCell ref="C24:E24"/>
    <mergeCell ref="C33:E33"/>
    <mergeCell ref="B8:E8"/>
    <mergeCell ref="B44:E44"/>
    <mergeCell ref="C26:E26"/>
    <mergeCell ref="C35:E35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2EFDA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6" customWidth="1" min="9" max="9"/>
    <col width="20" customWidth="1" min="10" max="10"/>
  </cols>
  <sheetData>
    <row r="1" ht="28" customHeight="1">
      <c r="A1" s="1" t="inlineStr">
        <is>
          <t>CORRIDA MRP — MES DE SETIEMBRE 2026 (semanas 1 a 4)</t>
        </is>
      </c>
    </row>
    <row r="2">
      <c r="A2" s="27" t="inlineStr">
        <is>
          <t>Sobre el maestro real de MukiCloud (63 materiales, con su codigo, unidad y stock actual). Todo se recalcula si cambias el plan de avance en la hoja Plan.</t>
        </is>
      </c>
    </row>
    <row r="4" ht="20" customHeight="1">
      <c r="B4" s="80" t="inlineStr">
        <is>
          <t>A.  El material real del maestro que usa cada estandar</t>
        </is>
      </c>
    </row>
    <row r="6" ht="30" customHeight="1">
      <c r="B6" s="6" t="inlineStr">
        <is>
          <t>Frente</t>
        </is>
      </c>
      <c r="C6" s="6" t="inlineStr">
        <is>
          <t>Material del maestro MukiCloud</t>
        </is>
      </c>
      <c r="D6" s="6" t="inlineStr">
        <is>
          <t>Codigo</t>
        </is>
      </c>
      <c r="E6" s="6" t="inlineStr">
        <is>
          <t>Unidad</t>
        </is>
      </c>
      <c r="F6" s="6" t="inlineStr">
        <is>
          <t>Stock hoy</t>
        </is>
      </c>
      <c r="G6" s="6" t="inlineStr">
        <is>
          <t>Regla</t>
        </is>
      </c>
      <c r="H6" s="6" t="inlineStr">
        <is>
          <t>Por metro</t>
        </is>
      </c>
      <c r="I6" s="6" t="inlineStr">
        <is>
          <t>Origen del estandar</t>
        </is>
      </c>
    </row>
    <row r="7" ht="28" customHeight="1">
      <c r="B7" s="81" t="inlineStr">
        <is>
          <t>RA Brenda</t>
        </is>
      </c>
      <c r="C7" s="82">
        <f>Materiales!B27</f>
        <v/>
      </c>
      <c r="D7" s="83">
        <f>Materiales!A27</f>
        <v/>
      </c>
      <c r="E7" s="83">
        <f>Materiales!C27</f>
        <v/>
      </c>
      <c r="F7" s="84">
        <f>Inventario!C28</f>
        <v/>
      </c>
      <c r="G7" s="85" t="inlineStr">
        <is>
          <t>1 juego por disparo de 1.5 m</t>
        </is>
      </c>
      <c r="H7" s="86">
        <f>1/1.5</f>
        <v/>
      </c>
      <c r="I7" s="87" t="inlineStr">
        <is>
          <t>DATO REAL</t>
        </is>
      </c>
    </row>
    <row r="8" ht="28" customHeight="1">
      <c r="B8" s="81" t="inlineStr">
        <is>
          <t>CRNE</t>
        </is>
      </c>
      <c r="C8" s="82">
        <f>Materiales!B44</f>
        <v/>
      </c>
      <c r="D8" s="83">
        <f>Materiales!A44</f>
        <v/>
      </c>
      <c r="E8" s="83">
        <f>Materiales!C44</f>
        <v/>
      </c>
      <c r="F8" s="84">
        <f>Inventario!C45</f>
        <v/>
      </c>
      <c r="G8" s="85" t="inlineStr">
        <is>
          <t>11 pernos por disparo de 1.5 m</t>
        </is>
      </c>
      <c r="H8" s="86">
        <f>11/1.5</f>
        <v/>
      </c>
      <c r="I8" s="87" t="inlineStr">
        <is>
          <t>DATO REAL</t>
        </is>
      </c>
    </row>
    <row r="9" ht="28" customHeight="1">
      <c r="B9" s="81" t="inlineStr">
        <is>
          <t>CRNE</t>
        </is>
      </c>
      <c r="C9" s="82">
        <f>Materiales!B36</f>
        <v/>
      </c>
      <c r="D9" s="83">
        <f>Materiales!A36</f>
        <v/>
      </c>
      <c r="E9" s="83">
        <f>Materiales!C36</f>
        <v/>
      </c>
      <c r="F9" s="84">
        <f>Inventario!C37</f>
        <v/>
      </c>
      <c r="G9" s="85" t="inlineStr">
        <is>
          <t>1 malla cada 2 m de avance (traslape 21 cm)</t>
        </is>
      </c>
      <c r="H9" s="86">
        <f>1/2</f>
        <v/>
      </c>
      <c r="I9" s="87" t="inlineStr">
        <is>
          <t>DATO REAL</t>
        </is>
      </c>
    </row>
    <row r="10" ht="28" customHeight="1">
      <c r="B10" s="81" t="inlineStr">
        <is>
          <t>CRNE</t>
        </is>
      </c>
      <c r="C10" s="82">
        <f>Materiales!B48</f>
        <v/>
      </c>
      <c r="D10" s="83">
        <f>Materiales!A48</f>
        <v/>
      </c>
      <c r="E10" s="83">
        <f>Materiales!C48</f>
        <v/>
      </c>
      <c r="F10" s="84">
        <f>Inventario!C49</f>
        <v/>
      </c>
      <c r="G10" s="85" t="inlineStr">
        <is>
          <t>2 cartuchos por perno</t>
        </is>
      </c>
      <c r="H10" s="86">
        <f>22/1.5</f>
        <v/>
      </c>
      <c r="I10" s="88" t="inlineStr">
        <is>
          <t>SUPUESTO</t>
        </is>
      </c>
    </row>
    <row r="12" ht="20" customHeight="1">
      <c r="B12" s="80" t="inlineStr">
        <is>
          <t>B.  Plan de avance del mes</t>
        </is>
      </c>
    </row>
    <row r="14" ht="30" customHeight="1">
      <c r="B14" s="6" t="inlineStr">
        <is>
          <t>Frente</t>
        </is>
      </c>
      <c r="C14" s="6" t="inlineStr">
        <is>
          <t>Unidad</t>
        </is>
      </c>
      <c r="D14" s="6" t="inlineStr">
        <is>
          <t>Sem 1</t>
        </is>
      </c>
      <c r="E14" s="6" t="inlineStr">
        <is>
          <t>Sem 2</t>
        </is>
      </c>
      <c r="F14" s="6" t="inlineStr">
        <is>
          <t>Sem 3</t>
        </is>
      </c>
      <c r="G14" s="6" t="inlineStr">
        <is>
          <t>Sem 4</t>
        </is>
      </c>
      <c r="H14" s="6" t="inlineStr">
        <is>
          <t>Metros del mes</t>
        </is>
      </c>
      <c r="I14" s="6" t="inlineStr">
        <is>
          <t>Disparos del mes</t>
        </is>
      </c>
    </row>
    <row r="15">
      <c r="B15" s="89">
        <f>Plan!A5</f>
        <v/>
      </c>
      <c r="C15" s="89">
        <f>Plan!B5</f>
        <v/>
      </c>
      <c r="D15" s="90">
        <f>Plan!E5</f>
        <v/>
      </c>
      <c r="E15" s="90">
        <f>Plan!F5</f>
        <v/>
      </c>
      <c r="F15" s="90">
        <f>Plan!G5</f>
        <v/>
      </c>
      <c r="G15" s="90">
        <f>Plan!H5</f>
        <v/>
      </c>
      <c r="H15" s="71">
        <f>SUM(D15:G15)</f>
        <v/>
      </c>
      <c r="I15" s="71">
        <f>H15/1.5</f>
        <v/>
      </c>
    </row>
    <row r="16">
      <c r="B16" s="89">
        <f>Plan!A6</f>
        <v/>
      </c>
      <c r="C16" s="89">
        <f>Plan!B6</f>
        <v/>
      </c>
      <c r="D16" s="90">
        <f>Plan!E6</f>
        <v/>
      </c>
      <c r="E16" s="90">
        <f>Plan!F6</f>
        <v/>
      </c>
      <c r="F16" s="90">
        <f>Plan!G6</f>
        <v/>
      </c>
      <c r="G16" s="90">
        <f>Plan!H6</f>
        <v/>
      </c>
      <c r="H16" s="71">
        <f>SUM(D16:G16)</f>
        <v/>
      </c>
      <c r="I16" s="71">
        <f>H16/1.5</f>
        <v/>
      </c>
    </row>
    <row r="17">
      <c r="B17" s="91" t="inlineStr">
        <is>
          <t>TOTAL</t>
        </is>
      </c>
      <c r="C17" s="91" t="inlineStr"/>
      <c r="D17" s="75">
        <f>SUM(D15:D16)</f>
        <v/>
      </c>
      <c r="E17" s="75">
        <f>SUM(E15:E16)</f>
        <v/>
      </c>
      <c r="F17" s="75">
        <f>SUM(F15:F16)</f>
        <v/>
      </c>
      <c r="G17" s="75">
        <f>SUM(G15:G16)</f>
        <v/>
      </c>
      <c r="H17" s="75">
        <f>SUM(H15:H16)</f>
        <v/>
      </c>
      <c r="I17" s="75">
        <f>SUM(I15:I16)</f>
        <v/>
      </c>
    </row>
    <row r="19" ht="20" customHeight="1">
      <c r="B19" s="80" t="inlineStr">
        <is>
          <t>C.  Lo que el mes consume  (necesidad bruta = plan x estandar)</t>
        </is>
      </c>
    </row>
    <row r="21" ht="30" customHeight="1">
      <c r="B21" s="6" t="inlineStr">
        <is>
          <t>Codigo</t>
        </is>
      </c>
      <c r="C21" s="6" t="inlineStr">
        <is>
          <t>Material</t>
        </is>
      </c>
      <c r="D21" s="6" t="inlineStr">
        <is>
          <t>Sem 1</t>
        </is>
      </c>
      <c r="E21" s="6" t="inlineStr">
        <is>
          <t>Sem 2</t>
        </is>
      </c>
      <c r="F21" s="6" t="inlineStr">
        <is>
          <t>Sem 3</t>
        </is>
      </c>
      <c r="G21" s="6" t="inlineStr">
        <is>
          <t>Sem 4</t>
        </is>
      </c>
      <c r="H21" s="6" t="inlineStr">
        <is>
          <t>Total del mes</t>
        </is>
      </c>
      <c r="I21" s="6" t="inlineStr">
        <is>
          <t>Costo del mes (S/)</t>
        </is>
      </c>
    </row>
    <row r="22">
      <c r="B22" s="92">
        <f>Materiales!A27</f>
        <v/>
      </c>
      <c r="C22" s="93">
        <f>Materiales!B27</f>
        <v/>
      </c>
      <c r="D22" s="94">
        <f>MRP!E166</f>
        <v/>
      </c>
      <c r="E22" s="94">
        <f>MRP!F166</f>
        <v/>
      </c>
      <c r="F22" s="94">
        <f>MRP!G166</f>
        <v/>
      </c>
      <c r="G22" s="94">
        <f>MRP!H166</f>
        <v/>
      </c>
      <c r="H22" s="95">
        <f>SUM(D22:G22)</f>
        <v/>
      </c>
      <c r="I22" s="96">
        <f>H22*Materiales!D27</f>
        <v/>
      </c>
    </row>
    <row r="23">
      <c r="B23" s="92">
        <f>Materiales!A36</f>
        <v/>
      </c>
      <c r="C23" s="93">
        <f>Materiales!B36</f>
        <v/>
      </c>
      <c r="D23" s="94">
        <f>MRP!E229</f>
        <v/>
      </c>
      <c r="E23" s="94">
        <f>MRP!F229</f>
        <v/>
      </c>
      <c r="F23" s="94">
        <f>MRP!G229</f>
        <v/>
      </c>
      <c r="G23" s="94">
        <f>MRP!H229</f>
        <v/>
      </c>
      <c r="H23" s="95">
        <f>SUM(D23:G23)</f>
        <v/>
      </c>
      <c r="I23" s="96">
        <f>H23*Materiales!D36</f>
        <v/>
      </c>
    </row>
    <row r="24">
      <c r="B24" s="92">
        <f>Materiales!A44</f>
        <v/>
      </c>
      <c r="C24" s="93">
        <f>Materiales!B44</f>
        <v/>
      </c>
      <c r="D24" s="94">
        <f>MRP!E285</f>
        <v/>
      </c>
      <c r="E24" s="94">
        <f>MRP!F285</f>
        <v/>
      </c>
      <c r="F24" s="94">
        <f>MRP!G285</f>
        <v/>
      </c>
      <c r="G24" s="94">
        <f>MRP!H285</f>
        <v/>
      </c>
      <c r="H24" s="95">
        <f>SUM(D24:G24)</f>
        <v/>
      </c>
      <c r="I24" s="96">
        <f>H24*Materiales!D44</f>
        <v/>
      </c>
    </row>
    <row r="25">
      <c r="B25" s="92">
        <f>Materiales!A48</f>
        <v/>
      </c>
      <c r="C25" s="93">
        <f>Materiales!B48</f>
        <v/>
      </c>
      <c r="D25" s="94">
        <f>MRP!E313</f>
        <v/>
      </c>
      <c r="E25" s="94">
        <f>MRP!F313</f>
        <v/>
      </c>
      <c r="F25" s="94">
        <f>MRP!G313</f>
        <v/>
      </c>
      <c r="G25" s="94">
        <f>MRP!H313</f>
        <v/>
      </c>
      <c r="H25" s="95">
        <f>SUM(D25:G25)</f>
        <v/>
      </c>
      <c r="I25" s="96">
        <f>H25*Materiales!D48</f>
        <v/>
      </c>
    </row>
    <row r="26">
      <c r="B26" s="97" t="inlineStr">
        <is>
          <t>TOTAL CONSUMO DEL MES</t>
        </is>
      </c>
      <c r="C26" s="97" t="n"/>
      <c r="D26" s="98" t="n"/>
      <c r="E26" s="98" t="n"/>
      <c r="F26" s="98" t="n"/>
      <c r="G26" s="98" t="n"/>
      <c r="H26" s="98" t="n"/>
      <c r="I26" s="99">
        <f>SUM(I22:I25)</f>
        <v/>
      </c>
    </row>
    <row r="28" ht="20" customHeight="1">
      <c r="B28" s="80" t="inlineStr">
        <is>
          <t>D.  Lo que hay que COMPRAR y en que semana lanzarlo  (la salida del MRP)</t>
        </is>
      </c>
    </row>
    <row r="30" ht="30" customHeight="1">
      <c r="B30" s="6" t="inlineStr">
        <is>
          <t>Codigo</t>
        </is>
      </c>
      <c r="C30" s="6" t="inlineStr">
        <is>
          <t>Material</t>
        </is>
      </c>
      <c r="D30" s="6" t="inlineStr">
        <is>
          <t>Sem 1</t>
        </is>
      </c>
      <c r="E30" s="6" t="inlineStr">
        <is>
          <t>Sem 2</t>
        </is>
      </c>
      <c r="F30" s="6" t="inlineStr">
        <is>
          <t>Sem 3</t>
        </is>
      </c>
      <c r="G30" s="6" t="inlineStr">
        <is>
          <t>Sem 4</t>
        </is>
      </c>
      <c r="H30" s="6" t="inlineStr">
        <is>
          <t>Total a pedir</t>
        </is>
      </c>
      <c r="I30" s="6" t="inlineStr">
        <is>
          <t>Alerta</t>
        </is>
      </c>
    </row>
    <row r="31">
      <c r="B31" s="92">
        <f>Materiales!A27</f>
        <v/>
      </c>
      <c r="C31" s="93">
        <f>Materiales!B27</f>
        <v/>
      </c>
      <c r="D31" s="100">
        <f>MRP!E171</f>
        <v/>
      </c>
      <c r="E31" s="100">
        <f>MRP!F171</f>
        <v/>
      </c>
      <c r="F31" s="100">
        <f>MRP!G171</f>
        <v/>
      </c>
      <c r="G31" s="100">
        <f>MRP!H171</f>
        <v/>
      </c>
      <c r="H31" s="100">
        <f>SUM(D31:G31)</f>
        <v/>
      </c>
      <c r="I31" s="101">
        <f>MRP!M171</f>
        <v/>
      </c>
    </row>
    <row r="32">
      <c r="B32" s="92">
        <f>Materiales!A36</f>
        <v/>
      </c>
      <c r="C32" s="93">
        <f>Materiales!B36</f>
        <v/>
      </c>
      <c r="D32" s="100">
        <f>MRP!E234</f>
        <v/>
      </c>
      <c r="E32" s="100">
        <f>MRP!F234</f>
        <v/>
      </c>
      <c r="F32" s="100">
        <f>MRP!G234</f>
        <v/>
      </c>
      <c r="G32" s="100">
        <f>MRP!H234</f>
        <v/>
      </c>
      <c r="H32" s="100">
        <f>SUM(D32:G32)</f>
        <v/>
      </c>
      <c r="I32" s="101">
        <f>MRP!M234</f>
        <v/>
      </c>
    </row>
    <row r="33">
      <c r="B33" s="92">
        <f>Materiales!A44</f>
        <v/>
      </c>
      <c r="C33" s="93">
        <f>Materiales!B44</f>
        <v/>
      </c>
      <c r="D33" s="100">
        <f>MRP!E290</f>
        <v/>
      </c>
      <c r="E33" s="100">
        <f>MRP!F290</f>
        <v/>
      </c>
      <c r="F33" s="100">
        <f>MRP!G290</f>
        <v/>
      </c>
      <c r="G33" s="100">
        <f>MRP!H290</f>
        <v/>
      </c>
      <c r="H33" s="100">
        <f>SUM(D33:G33)</f>
        <v/>
      </c>
      <c r="I33" s="101">
        <f>MRP!M290</f>
        <v/>
      </c>
    </row>
    <row r="34">
      <c r="B34" s="92">
        <f>Materiales!A48</f>
        <v/>
      </c>
      <c r="C34" s="93">
        <f>Materiales!B48</f>
        <v/>
      </c>
      <c r="D34" s="100">
        <f>MRP!E318</f>
        <v/>
      </c>
      <c r="E34" s="100">
        <f>MRP!F318</f>
        <v/>
      </c>
      <c r="F34" s="100">
        <f>MRP!G318</f>
        <v/>
      </c>
      <c r="G34" s="100">
        <f>MRP!H318</f>
        <v/>
      </c>
      <c r="H34" s="100">
        <f>SUM(D34:G34)</f>
        <v/>
      </c>
      <c r="I34" s="101">
        <f>MRP!M318</f>
        <v/>
      </c>
    </row>
    <row r="36" ht="20" customHeight="1">
      <c r="B36" s="80" t="inlineStr">
        <is>
          <t>E.  Como leer esta corrida</t>
        </is>
      </c>
    </row>
    <row r="38" ht="32" customHeight="1">
      <c r="B38" s="102" t="inlineStr">
        <is>
          <t>Las cimbras son el cuello de botella.</t>
        </is>
      </c>
      <c r="C38" s="14" t="inlineStr">
        <is>
          <t>El maestro tiene 2 juegos en stock y el mes necesita 40. Con 3 semanas de fabricacion, las cimbras de las semanas 1 a 3 se debieron ordenar el mes pasado: por eso sale PEDIR YA.</t>
        </is>
      </c>
    </row>
    <row r="39" ht="32" customHeight="1">
      <c r="B39" s="102" t="inlineStr">
        <is>
          <t>Los pernos tambien van justos.</t>
        </is>
      </c>
      <c r="C39" s="14" t="inlineStr">
        <is>
          <t>150 en stock contra 352 del mes. La Semana 3 (15 m = 110 pernos) es la que rompe el stock.</t>
        </is>
      </c>
    </row>
    <row r="40" ht="32" customHeight="1">
      <c r="B40" s="102" t="inlineStr">
        <is>
          <t>La malla se repone desde la Semana 2.</t>
        </is>
      </c>
      <c r="C40" s="14" t="inlineStr">
        <is>
          <t>9 en stock contra 24 que pide el mes. A razon de 1 malla cada 2 m de avance, el stock alcanza solo para las dos primeras semanas.</t>
        </is>
      </c>
    </row>
    <row r="41" ht="32" customHeight="1">
      <c r="B41" s="102" t="inlineStr">
        <is>
          <t>La resina aguanta todo el horizonte.</t>
        </is>
      </c>
      <c r="C41" s="14" t="inlineStr">
        <is>
          <t>1,950 cartuchos contra 704 del mes: no hay que pedir nada en las 8 semanas.</t>
        </is>
      </c>
    </row>
    <row r="42" ht="32" customHeight="1">
      <c r="B42" s="102" t="inlineStr">
        <is>
          <t>Falta cerrar la unidad de la malla.</t>
        </is>
      </c>
      <c r="C42" s="14" t="inlineStr">
        <is>
          <t>El estandar (1 cada 2 m) es tuyo, pero el maestro la vende como rollo de 2.42 x 25 m. Hay que confirmar si 1 malla = 1 rollo o un paño cortado. Tambien: 2.42 menos 21 cm de traslape da 2.21 m, no 2.00 m — si el ancho util real es 2.21 m, esta corrida pide 10% de mas.</t>
        </is>
      </c>
    </row>
    <row r="43" ht="32" customHeight="1">
      <c r="B43" s="102" t="inlineStr">
        <is>
          <t>La resina es un supuesto mio.</t>
        </is>
      </c>
      <c r="C43" s="14" t="inlineStr">
        <is>
          <t>Asumi 2 cartuchos por perno helicoidal. Confirmar cuantos usa realmente cada perno.</t>
        </is>
      </c>
    </row>
    <row r="44" ht="32" customHeight="1">
      <c r="B44" s="102" t="inlineStr">
        <is>
          <t>Faltan precios y lead times.</t>
        </is>
      </c>
      <c r="C44" s="14" t="inlineStr">
        <is>
          <t>El maestro no los trae. Los que puse son referenciales (naranja). Sin ellos el MRP calcula cantidades correctas pero no fechas de pedido ni costos reales.</t>
        </is>
      </c>
    </row>
  </sheetData>
  <mergeCells count="15">
    <mergeCell ref="A1:J1"/>
    <mergeCell ref="B19:J19"/>
    <mergeCell ref="B26:H26"/>
    <mergeCell ref="B28:J28"/>
    <mergeCell ref="C43:J43"/>
    <mergeCell ref="B36:J36"/>
    <mergeCell ref="C38:J38"/>
    <mergeCell ref="C42:J42"/>
    <mergeCell ref="C44:J44"/>
    <mergeCell ref="C41:J41"/>
    <mergeCell ref="B4:J4"/>
    <mergeCell ref="A2:J2"/>
    <mergeCell ref="B12:J12"/>
    <mergeCell ref="C39:J39"/>
    <mergeCell ref="C40:J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L66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8" customWidth="1" min="3" max="3"/>
    <col width="15" customWidth="1" min="4" max="4"/>
    <col width="18" customWidth="1" min="5" max="5"/>
    <col width="12" customWidth="1" min="6" max="6"/>
    <col width="14" customWidth="1" min="7" max="7"/>
    <col width="13" customWidth="1" min="8" max="8"/>
    <col width="26" customWidth="1" min="9" max="9"/>
    <col width="14" customWidth="1" min="10" max="10"/>
    <col width="30" customWidth="1" min="11" max="11"/>
    <col hidden="1" width="13" customWidth="1" min="12" max="12"/>
  </cols>
  <sheetData>
    <row r="1" ht="26" customHeight="1">
      <c r="A1" s="1" t="inlineStr">
        <is>
          <t>PASO 1 — Maestro de materiales (63 items de MukiCloud)</t>
        </is>
      </c>
    </row>
    <row r="2" ht="18" customHeight="1">
      <c r="A2" s="27" t="inlineStr">
        <is>
          <t>Azul = viene del maestro. Amarillo = lo llenas tu. Sin precio y lead time el MRP igual calcula cantidades, pero no fechas de pedido ni costos.</t>
        </is>
      </c>
    </row>
    <row r="3" ht="32" customHeight="1">
      <c r="A3" s="6" t="inlineStr">
        <is>
          <t>Codigo</t>
        </is>
      </c>
      <c r="B3" s="6" t="inlineStr">
        <is>
          <t>Material</t>
        </is>
      </c>
      <c r="C3" s="6" t="inlineStr">
        <is>
          <t>Unidad</t>
        </is>
      </c>
      <c r="D3" s="6" t="inlineStr">
        <is>
          <t>Precio unitario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 (multiplo)</t>
        </is>
      </c>
      <c r="H3" s="6" t="inlineStr">
        <is>
          <t>Stock de seguridad</t>
        </is>
      </c>
      <c r="I3" s="6" t="inlineStr">
        <is>
          <t>Clase</t>
        </is>
      </c>
      <c r="J3" s="6" t="inlineStr">
        <is>
          <t>Cod. anterior</t>
        </is>
      </c>
      <c r="K3" s="6" t="inlineStr">
        <is>
          <t>Notas</t>
        </is>
      </c>
      <c r="L3" s="6" t="inlineStr">
        <is>
          <t>clave</t>
        </is>
      </c>
    </row>
    <row r="4">
      <c r="A4" s="28" t="inlineStr">
        <is>
          <t>02-02-10-0001</t>
        </is>
      </c>
      <c r="B4" s="29" t="inlineStr">
        <is>
          <t>ACEITE AIR TOOL OIL S2 A 100</t>
        </is>
      </c>
      <c r="C4" s="30" t="inlineStr">
        <is>
          <t>CIL</t>
        </is>
      </c>
      <c r="D4" s="31" t="n"/>
      <c r="E4" s="32" t="n"/>
      <c r="F4" s="33" t="n"/>
      <c r="G4" s="34" t="n"/>
      <c r="H4" s="34" t="n"/>
      <c r="I4" s="29" t="inlineStr">
        <is>
          <t>Aceites y Lubricantes</t>
        </is>
      </c>
      <c r="J4" s="30" t="inlineStr">
        <is>
          <t>1200000022</t>
        </is>
      </c>
      <c r="K4" s="32" t="n"/>
      <c r="L4" s="35">
        <f>IF(A4="","","#"&amp;A4)</f>
        <v/>
      </c>
    </row>
    <row r="5">
      <c r="A5" s="28" t="inlineStr">
        <is>
          <t>16-02-90-0001</t>
        </is>
      </c>
      <c r="B5" s="29" t="inlineStr">
        <is>
          <t>ACOPLE VITAULIC P/TUBERIA HDPE 4" 305</t>
        </is>
      </c>
      <c r="C5" s="30" t="inlineStr">
        <is>
          <t>PZA</t>
        </is>
      </c>
      <c r="D5" s="31" t="n"/>
      <c r="E5" s="32" t="n"/>
      <c r="F5" s="33" t="n"/>
      <c r="G5" s="34" t="n"/>
      <c r="H5" s="34" t="n"/>
      <c r="I5" s="29" t="inlineStr">
        <is>
          <t>Tuberías y Accesorios</t>
        </is>
      </c>
      <c r="J5" s="30" t="inlineStr">
        <is>
          <t>1900000265</t>
        </is>
      </c>
      <c r="K5" s="32" t="n"/>
      <c r="L5" s="35">
        <f>IF(A5="","","#"&amp;A5)</f>
        <v/>
      </c>
    </row>
    <row r="6">
      <c r="A6" s="28" t="inlineStr">
        <is>
          <t>11-01-05-0001</t>
        </is>
      </c>
      <c r="B6" s="29" t="inlineStr">
        <is>
          <t>ADAPTADOR DE PERNO HELICOIDAL 22MM</t>
        </is>
      </c>
      <c r="C6" s="30" t="inlineStr">
        <is>
          <t>PZA</t>
        </is>
      </c>
      <c r="D6" s="31" t="n"/>
      <c r="E6" s="32" t="n"/>
      <c r="F6" s="33" t="n"/>
      <c r="G6" s="34" t="n"/>
      <c r="H6" s="34" t="n"/>
      <c r="I6" s="29" t="inlineStr">
        <is>
          <t>Pernería</t>
        </is>
      </c>
      <c r="J6" s="30" t="inlineStr">
        <is>
          <t>1500003182</t>
        </is>
      </c>
      <c r="K6" s="32" t="n"/>
      <c r="L6" s="35">
        <f>IF(A6="","","#"&amp;A6)</f>
        <v/>
      </c>
    </row>
    <row r="7">
      <c r="A7" s="28" t="inlineStr">
        <is>
          <t>10-02-90-0001</t>
        </is>
      </c>
      <c r="B7" s="29" t="inlineStr">
        <is>
          <t>ALAMBRE NEGRO N° 16</t>
        </is>
      </c>
      <c r="C7" s="30" t="inlineStr">
        <is>
          <t>KG</t>
        </is>
      </c>
      <c r="D7" s="31" t="n"/>
      <c r="E7" s="32" t="n"/>
      <c r="F7" s="33" t="n"/>
      <c r="G7" s="34" t="n"/>
      <c r="H7" s="34" t="n"/>
      <c r="I7" s="29" t="inlineStr">
        <is>
          <t>Aceros y Metales</t>
        </is>
      </c>
      <c r="J7" s="30" t="inlineStr">
        <is>
          <t>1500003358</t>
        </is>
      </c>
      <c r="K7" s="32" t="n"/>
      <c r="L7" s="35">
        <f>IF(A7="","","#"&amp;A7)</f>
        <v/>
      </c>
    </row>
    <row r="8">
      <c r="A8" s="28" t="inlineStr">
        <is>
          <t>08-02-01-0001</t>
        </is>
      </c>
      <c r="B8" s="29" t="inlineStr">
        <is>
          <t>ALCAYATA DE FE CORRUGADO 3/8" X 35 CM</t>
        </is>
      </c>
      <c r="C8" s="30" t="inlineStr">
        <is>
          <t>PZA</t>
        </is>
      </c>
      <c r="D8" s="31" t="n"/>
      <c r="E8" s="32" t="n"/>
      <c r="F8" s="33" t="n"/>
      <c r="G8" s="34" t="n"/>
      <c r="H8" s="34" t="n"/>
      <c r="I8" s="29" t="inlineStr">
        <is>
          <t>Ferretería General</t>
        </is>
      </c>
      <c r="J8" s="30" t="inlineStr">
        <is>
          <t>1500001454</t>
        </is>
      </c>
      <c r="K8" s="32" t="n"/>
      <c r="L8" s="35">
        <f>IF(A8="","","#"&amp;A8)</f>
        <v/>
      </c>
    </row>
    <row r="9">
      <c r="A9" s="28" t="inlineStr">
        <is>
          <t>08-02-01-0002</t>
        </is>
      </c>
      <c r="B9" s="29" t="inlineStr">
        <is>
          <t>ALCAYATA DE FE CORRUGADO T-G 5/8"X29 CM</t>
        </is>
      </c>
      <c r="C9" s="30" t="inlineStr">
        <is>
          <t>PZA</t>
        </is>
      </c>
      <c r="D9" s="31" t="n"/>
      <c r="E9" s="32" t="n"/>
      <c r="F9" s="33" t="n"/>
      <c r="G9" s="34" t="n"/>
      <c r="H9" s="34" t="n"/>
      <c r="I9" s="29" t="inlineStr">
        <is>
          <t>Ferretería General</t>
        </is>
      </c>
      <c r="J9" s="30" t="inlineStr">
        <is>
          <t>1500001437</t>
        </is>
      </c>
      <c r="K9" s="32" t="n"/>
      <c r="L9" s="35">
        <f>IF(A9="","","#"&amp;A9)</f>
        <v/>
      </c>
    </row>
    <row r="10">
      <c r="A10" s="28" t="inlineStr">
        <is>
          <t>08-02-01-0003</t>
        </is>
      </c>
      <c r="B10" s="29" t="inlineStr">
        <is>
          <t>ALCAYATA DE FE CORRUGADO T-L 3/4"X70CM</t>
        </is>
      </c>
      <c r="C10" s="30" t="inlineStr">
        <is>
          <t>PZA</t>
        </is>
      </c>
      <c r="D10" s="31" t="n"/>
      <c r="E10" s="32" t="n"/>
      <c r="F10" s="33" t="n"/>
      <c r="G10" s="34" t="n"/>
      <c r="H10" s="34" t="n"/>
      <c r="I10" s="29" t="inlineStr">
        <is>
          <t>Ferretería General</t>
        </is>
      </c>
      <c r="J10" s="30" t="inlineStr">
        <is>
          <t>1500001438</t>
        </is>
      </c>
      <c r="K10" s="32" t="n"/>
      <c r="L10" s="35">
        <f>IF(A10="","","#"&amp;A10)</f>
        <v/>
      </c>
    </row>
    <row r="11">
      <c r="A11" s="28" t="inlineStr">
        <is>
          <t>07-02-01-0001</t>
        </is>
      </c>
      <c r="B11" s="29" t="inlineStr">
        <is>
          <t>ATACADORES DE MADERA 1" X 2.5 MTR</t>
        </is>
      </c>
      <c r="C11" s="30" t="inlineStr">
        <is>
          <t>PZA</t>
        </is>
      </c>
      <c r="D11" s="31" t="n"/>
      <c r="E11" s="32" t="n"/>
      <c r="F11" s="33" t="n"/>
      <c r="G11" s="34" t="n"/>
      <c r="H11" s="34" t="n"/>
      <c r="I11" s="29" t="inlineStr">
        <is>
          <t>Madera</t>
        </is>
      </c>
      <c r="J11" s="30" t="inlineStr">
        <is>
          <t>1500000031</t>
        </is>
      </c>
      <c r="K11" s="32" t="n"/>
      <c r="L11" s="35">
        <f>IF(A11="","","#"&amp;A11)</f>
        <v/>
      </c>
    </row>
    <row r="12">
      <c r="A12" s="28" t="inlineStr">
        <is>
          <t>01-02-10-0001</t>
        </is>
      </c>
      <c r="B12" s="29" t="inlineStr">
        <is>
          <t>BARRA CONICA 4' X 7/8''</t>
        </is>
      </c>
      <c r="C12" s="30" t="inlineStr">
        <is>
          <t>PZA</t>
        </is>
      </c>
      <c r="D12" s="31" t="n"/>
      <c r="E12" s="32" t="n"/>
      <c r="F12" s="33" t="n"/>
      <c r="G12" s="34" t="n"/>
      <c r="H12" s="34" t="n"/>
      <c r="I12" s="29" t="inlineStr">
        <is>
          <t>Accesorios y Herram. de Mina</t>
        </is>
      </c>
      <c r="J12" s="30" t="inlineStr">
        <is>
          <t>1300000037</t>
        </is>
      </c>
      <c r="K12" s="32" t="n"/>
      <c r="L12" s="35">
        <f>IF(A12="","","#"&amp;A12)</f>
        <v/>
      </c>
    </row>
    <row r="13">
      <c r="A13" s="28" t="inlineStr">
        <is>
          <t>01-02-10-0002</t>
        </is>
      </c>
      <c r="B13" s="29" t="inlineStr">
        <is>
          <t>BARRA CONICA 6' X 7/8''</t>
        </is>
      </c>
      <c r="C13" s="30" t="inlineStr">
        <is>
          <t>PZA</t>
        </is>
      </c>
      <c r="D13" s="31" t="n"/>
      <c r="E13" s="32" t="n"/>
      <c r="F13" s="33" t="n"/>
      <c r="G13" s="34" t="n"/>
      <c r="H13" s="34" t="n"/>
      <c r="I13" s="29" t="inlineStr">
        <is>
          <t>Accesorios y Herram. de Mina</t>
        </is>
      </c>
      <c r="J13" s="30" t="inlineStr">
        <is>
          <t>1300000036</t>
        </is>
      </c>
      <c r="K13" s="32" t="n"/>
      <c r="L13" s="35">
        <f>IF(A13="","","#"&amp;A13)</f>
        <v/>
      </c>
    </row>
    <row r="14">
      <c r="A14" s="28" t="inlineStr">
        <is>
          <t>01-02-10-0003</t>
        </is>
      </c>
      <c r="B14" s="29" t="inlineStr">
        <is>
          <t>BARRA CONICA 8' X 7/8''</t>
        </is>
      </c>
      <c r="C14" s="30" t="inlineStr">
        <is>
          <t>PZA</t>
        </is>
      </c>
      <c r="D14" s="31" t="n"/>
      <c r="E14" s="32" t="n"/>
      <c r="F14" s="33" t="n"/>
      <c r="G14" s="34" t="n"/>
      <c r="H14" s="34" t="n"/>
      <c r="I14" s="29" t="inlineStr">
        <is>
          <t>Accesorios y Herram. de Mina</t>
        </is>
      </c>
      <c r="J14" s="30" t="inlineStr">
        <is>
          <t>1300000039</t>
        </is>
      </c>
      <c r="K14" s="32" t="n"/>
      <c r="L14" s="35">
        <f>IF(A14="","","#"&amp;A14)</f>
        <v/>
      </c>
    </row>
    <row r="15">
      <c r="A15" s="28" t="inlineStr">
        <is>
          <t>01-02-30-0001</t>
        </is>
      </c>
      <c r="B15" s="29" t="inlineStr">
        <is>
          <t>BARRA DE ALUMINIO PARA ACUÑAR 1" x 10´</t>
        </is>
      </c>
      <c r="C15" s="30" t="inlineStr">
        <is>
          <t>PZA</t>
        </is>
      </c>
      <c r="D15" s="31" t="n"/>
      <c r="E15" s="32" t="n"/>
      <c r="F15" s="33" t="n"/>
      <c r="G15" s="34" t="n"/>
      <c r="H15" s="34" t="n"/>
      <c r="I15" s="29" t="inlineStr">
        <is>
          <t>Accesorios y Herram. de Mina</t>
        </is>
      </c>
      <c r="J15" s="30" t="inlineStr">
        <is>
          <t>1500003022</t>
        </is>
      </c>
      <c r="K15" s="32" t="n"/>
      <c r="L15" s="35">
        <f>IF(A15="","","#"&amp;A15)</f>
        <v/>
      </c>
    </row>
    <row r="16">
      <c r="A16" s="28" t="inlineStr">
        <is>
          <t>01-02-30-0002</t>
        </is>
      </c>
      <c r="B16" s="29" t="inlineStr">
        <is>
          <t>BARRA DE ALUMINIO PARA ACUÑAR 1" X 12</t>
        </is>
      </c>
      <c r="C16" s="30" t="inlineStr">
        <is>
          <t>PZA</t>
        </is>
      </c>
      <c r="D16" s="31" t="n"/>
      <c r="E16" s="32" t="n"/>
      <c r="F16" s="33" t="n"/>
      <c r="G16" s="34" t="n"/>
      <c r="H16" s="34" t="n"/>
      <c r="I16" s="29" t="inlineStr">
        <is>
          <t>Accesorios y Herram. de Mina</t>
        </is>
      </c>
      <c r="J16" s="30" t="inlineStr">
        <is>
          <t>1500002745</t>
        </is>
      </c>
      <c r="K16" s="32" t="n"/>
      <c r="L16" s="35">
        <f>IF(A16="","","#"&amp;A16)</f>
        <v/>
      </c>
    </row>
    <row r="17">
      <c r="A17" s="28" t="inlineStr">
        <is>
          <t>01-02-30-0003</t>
        </is>
      </c>
      <c r="B17" s="29" t="inlineStr">
        <is>
          <t>BARRA DE ALUMINIO PARA ACUÑAR 1" X 4"</t>
        </is>
      </c>
      <c r="C17" s="30" t="inlineStr">
        <is>
          <t>PZA</t>
        </is>
      </c>
      <c r="D17" s="31" t="n"/>
      <c r="E17" s="32" t="n"/>
      <c r="F17" s="33" t="n"/>
      <c r="G17" s="34" t="n"/>
      <c r="H17" s="34" t="n"/>
      <c r="I17" s="29" t="inlineStr">
        <is>
          <t>Accesorios y Herram. de Mina</t>
        </is>
      </c>
      <c r="J17" s="30" t="inlineStr">
        <is>
          <t>1500002766</t>
        </is>
      </c>
      <c r="K17" s="32" t="n"/>
      <c r="L17" s="35">
        <f>IF(A17="","","#"&amp;A17)</f>
        <v/>
      </c>
    </row>
    <row r="18">
      <c r="A18" s="28" t="inlineStr">
        <is>
          <t>01-02-30-0004</t>
        </is>
      </c>
      <c r="B18" s="29" t="inlineStr">
        <is>
          <t>BARRA DE ALUMINIO PARA ACUÑAR 1" X 6´</t>
        </is>
      </c>
      <c r="C18" s="30" t="inlineStr">
        <is>
          <t>PZA</t>
        </is>
      </c>
      <c r="D18" s="31" t="n"/>
      <c r="E18" s="32" t="n"/>
      <c r="F18" s="33" t="n"/>
      <c r="G18" s="34" t="n"/>
      <c r="H18" s="34" t="n"/>
      <c r="I18" s="29" t="inlineStr">
        <is>
          <t>Accesorios y Herram. de Mina</t>
        </is>
      </c>
      <c r="J18" s="30" t="inlineStr">
        <is>
          <t>1500002765</t>
        </is>
      </c>
      <c r="K18" s="32" t="n"/>
      <c r="L18" s="35">
        <f>IF(A18="","","#"&amp;A18)</f>
        <v/>
      </c>
    </row>
    <row r="19">
      <c r="A19" s="28" t="inlineStr">
        <is>
          <t>01-02-30-0005</t>
        </is>
      </c>
      <c r="B19" s="29" t="inlineStr">
        <is>
          <t>BARRA DE ALUMINIO PARA ACUÑAR 1" X 8´</t>
        </is>
      </c>
      <c r="C19" s="30" t="inlineStr">
        <is>
          <t>PZA</t>
        </is>
      </c>
      <c r="D19" s="31" t="n"/>
      <c r="E19" s="32" t="n"/>
      <c r="F19" s="33" t="n"/>
      <c r="G19" s="34" t="n"/>
      <c r="H19" s="34" t="n"/>
      <c r="I19" s="29" t="inlineStr">
        <is>
          <t>Accesorios y Herram. de Mina</t>
        </is>
      </c>
      <c r="J19" s="30" t="inlineStr">
        <is>
          <t>1500003013</t>
        </is>
      </c>
      <c r="K19" s="32" t="n"/>
      <c r="L19" s="35">
        <f>IF(A19="","","#"&amp;A19)</f>
        <v/>
      </c>
    </row>
    <row r="20">
      <c r="A20" s="28" t="inlineStr">
        <is>
          <t>01-02-20-0001</t>
        </is>
      </c>
      <c r="B20" s="29" t="inlineStr">
        <is>
          <t>BROCA DESCARTABLE DE BOTONES 32 MM</t>
        </is>
      </c>
      <c r="C20" s="30" t="inlineStr">
        <is>
          <t>PZA</t>
        </is>
      </c>
      <c r="D20" s="31" t="n"/>
      <c r="E20" s="32" t="n"/>
      <c r="F20" s="33" t="n"/>
      <c r="G20" s="34" t="n"/>
      <c r="H20" s="34" t="n"/>
      <c r="I20" s="29" t="inlineStr">
        <is>
          <t>Accesorios y Herram. de Mina</t>
        </is>
      </c>
      <c r="J20" s="30" t="inlineStr">
        <is>
          <t>1300000023</t>
        </is>
      </c>
      <c r="K20" s="32" t="n"/>
      <c r="L20" s="35">
        <f>IF(A20="","","#"&amp;A20)</f>
        <v/>
      </c>
    </row>
    <row r="21">
      <c r="A21" s="28" t="inlineStr">
        <is>
          <t>01-02-20-0002</t>
        </is>
      </c>
      <c r="B21" s="29" t="inlineStr">
        <is>
          <t>BROCA DESCARTABLE DE BOTONES 36 MM</t>
        </is>
      </c>
      <c r="C21" s="30" t="inlineStr">
        <is>
          <t>PZA</t>
        </is>
      </c>
      <c r="D21" s="31" t="n"/>
      <c r="E21" s="32" t="n"/>
      <c r="F21" s="33" t="n"/>
      <c r="G21" s="34" t="n"/>
      <c r="H21" s="34" t="n"/>
      <c r="I21" s="29" t="inlineStr">
        <is>
          <t>Accesorios y Herram. de Mina</t>
        </is>
      </c>
      <c r="J21" s="30" t="inlineStr">
        <is>
          <t>1300000026</t>
        </is>
      </c>
      <c r="K21" s="32" t="n"/>
      <c r="L21" s="35">
        <f>IF(A21="","","#"&amp;A21)</f>
        <v/>
      </c>
    </row>
    <row r="22">
      <c r="A22" s="28" t="inlineStr">
        <is>
          <t>10-02-90-0002</t>
        </is>
      </c>
      <c r="B22" s="29" t="inlineStr">
        <is>
          <t>CABLE DE ACERO ALMA D/ACERO 1/2"X250MTR</t>
        </is>
      </c>
      <c r="C22" s="30" t="inlineStr">
        <is>
          <t>M</t>
        </is>
      </c>
      <c r="D22" s="31" t="n"/>
      <c r="E22" s="32" t="n"/>
      <c r="F22" s="33" t="n"/>
      <c r="G22" s="34" t="n"/>
      <c r="H22" s="34" t="n"/>
      <c r="I22" s="29" t="inlineStr">
        <is>
          <t>Aceros y Metales</t>
        </is>
      </c>
      <c r="J22" s="30" t="inlineStr">
        <is>
          <t>1500003364</t>
        </is>
      </c>
      <c r="K22" s="32" t="n"/>
      <c r="L22" s="35">
        <f>IF(A22="","","#"&amp;A22)</f>
        <v/>
      </c>
    </row>
    <row r="23">
      <c r="A23" s="28" t="inlineStr">
        <is>
          <t>10-02-90-0003</t>
        </is>
      </c>
      <c r="B23" s="29" t="inlineStr">
        <is>
          <t>CABLE DE ACERO GALVANIZADO 5/32" (6X19)</t>
        </is>
      </c>
      <c r="C23" s="30" t="inlineStr">
        <is>
          <t>M</t>
        </is>
      </c>
      <c r="D23" s="31" t="n"/>
      <c r="E23" s="32" t="n"/>
      <c r="F23" s="33" t="n"/>
      <c r="G23" s="34" t="n"/>
      <c r="H23" s="34" t="n"/>
      <c r="I23" s="29" t="inlineStr">
        <is>
          <t>Aceros y Metales</t>
        </is>
      </c>
      <c r="J23" s="30" t="inlineStr">
        <is>
          <t>1500003378</t>
        </is>
      </c>
      <c r="K23" s="32" t="n"/>
      <c r="L23" s="35">
        <f>IF(A23="","","#"&amp;A23)</f>
        <v/>
      </c>
    </row>
    <row r="24">
      <c r="A24" s="28" t="inlineStr">
        <is>
          <t>40-01-90-0001</t>
        </is>
      </c>
      <c r="B24" s="29" t="inlineStr">
        <is>
          <t>CARRETILLA C/RUEDAS DE JEBE 4 P3</t>
        </is>
      </c>
      <c r="C24" s="30" t="inlineStr">
        <is>
          <t>PZA</t>
        </is>
      </c>
      <c r="D24" s="31" t="n"/>
      <c r="E24" s="32" t="n"/>
      <c r="F24" s="33" t="n"/>
      <c r="G24" s="34" t="n"/>
      <c r="H24" s="34" t="n"/>
      <c r="I24" s="29" t="inlineStr">
        <is>
          <t>Equipos y Accesorios</t>
        </is>
      </c>
      <c r="J24" s="30" t="inlineStr">
        <is>
          <t>1500003149</t>
        </is>
      </c>
      <c r="K24" s="32" t="n"/>
      <c r="L24" s="35">
        <f>IF(A24="","","#"&amp;A24)</f>
        <v/>
      </c>
    </row>
    <row r="25">
      <c r="A25" s="28" t="inlineStr">
        <is>
          <t>01-03-90-0001</t>
        </is>
      </c>
      <c r="B25" s="29" t="inlineStr">
        <is>
          <t>CARTUCHO DE CEMENTO 30MM X 305MM</t>
        </is>
      </c>
      <c r="C25" s="30" t="inlineStr">
        <is>
          <t>PZA</t>
        </is>
      </c>
      <c r="D25" s="31" t="n"/>
      <c r="E25" s="32" t="n"/>
      <c r="F25" s="33" t="n"/>
      <c r="G25" s="34" t="n"/>
      <c r="H25" s="34" t="n"/>
      <c r="I25" s="29" t="inlineStr">
        <is>
          <t>Accesorios y Herram. de Mina</t>
        </is>
      </c>
      <c r="J25" s="30" t="inlineStr">
        <is>
          <t>1500003087</t>
        </is>
      </c>
      <c r="K25" s="32" t="n"/>
      <c r="L25" s="35">
        <f>IF(A25="","","#"&amp;A25)</f>
        <v/>
      </c>
    </row>
    <row r="26">
      <c r="A26" s="28" t="inlineStr">
        <is>
          <t>08-06-90-0001</t>
        </is>
      </c>
      <c r="B26" s="29" t="inlineStr">
        <is>
          <t>CEMENTO GRIS ANTISALITRE PORTL. TIPO MS</t>
        </is>
      </c>
      <c r="C26" s="30" t="inlineStr">
        <is>
          <t>PZA</t>
        </is>
      </c>
      <c r="D26" s="31" t="n"/>
      <c r="E26" s="32" t="n"/>
      <c r="F26" s="33" t="n"/>
      <c r="G26" s="34" t="n"/>
      <c r="H26" s="34" t="n"/>
      <c r="I26" s="29" t="inlineStr">
        <is>
          <t>Ferretería General</t>
        </is>
      </c>
      <c r="J26" s="30" t="inlineStr">
        <is>
          <t>1500003086</t>
        </is>
      </c>
      <c r="K26" s="32" t="n"/>
      <c r="L26" s="35">
        <f>IF(A26="","","#"&amp;A26)</f>
        <v/>
      </c>
    </row>
    <row r="27">
      <c r="A27" s="28" t="inlineStr">
        <is>
          <t>10-02-09-0001</t>
        </is>
      </c>
      <c r="B27" s="29" t="inlineStr">
        <is>
          <t>CIMBRA AC (2C) 3.5X3.5 MTR W6" X20 LB/FT</t>
        </is>
      </c>
      <c r="C27" s="30" t="inlineStr">
        <is>
          <t>JGO</t>
        </is>
      </c>
      <c r="D27" s="36" t="n">
        <v>1850</v>
      </c>
      <c r="E27" s="37" t="inlineStr">
        <is>
          <t>Por definir</t>
        </is>
      </c>
      <c r="F27" s="38" t="n">
        <v>3</v>
      </c>
      <c r="G27" s="39" t="n">
        <v>1</v>
      </c>
      <c r="H27" s="39" t="n">
        <v>2</v>
      </c>
      <c r="I27" s="29" t="inlineStr">
        <is>
          <t>Aceros y Metales</t>
        </is>
      </c>
      <c r="J27" s="30" t="inlineStr">
        <is>
          <t>1700000144</t>
        </is>
      </c>
      <c r="K27" s="37" t="inlineStr">
        <is>
          <t>SUPUESTO — confirmar con Logistica (fabricacion, por eso 3 semanas)</t>
        </is>
      </c>
      <c r="L27" s="35">
        <f>IF(A27="","","#"&amp;A27)</f>
        <v/>
      </c>
    </row>
    <row r="28">
      <c r="A28" s="28" t="inlineStr">
        <is>
          <t>10-02-09-0002</t>
        </is>
      </c>
      <c r="B28" s="29" t="inlineStr">
        <is>
          <t>CIMBRA AC (2C) 3 X 3M W6' X 20LB/FT</t>
        </is>
      </c>
      <c r="C28" s="30" t="inlineStr">
        <is>
          <t>JGO</t>
        </is>
      </c>
      <c r="D28" s="31" t="n"/>
      <c r="E28" s="32" t="n"/>
      <c r="F28" s="33" t="n"/>
      <c r="G28" s="34" t="n"/>
      <c r="H28" s="34" t="n"/>
      <c r="I28" s="29" t="inlineStr">
        <is>
          <t>Aceros y Metales</t>
        </is>
      </c>
      <c r="J28" s="30" t="inlineStr">
        <is>
          <t>1700000170</t>
        </is>
      </c>
      <c r="K28" s="32" t="n"/>
      <c r="L28" s="35">
        <f>IF(A28="","","#"&amp;A28)</f>
        <v/>
      </c>
    </row>
    <row r="29">
      <c r="A29" s="28" t="inlineStr">
        <is>
          <t>10-02-90-0004</t>
        </is>
      </c>
      <c r="B29" s="29" t="inlineStr">
        <is>
          <t>CINTA DE ACERO INOX.1/2"X0.76MM L=30.5MT</t>
        </is>
      </c>
      <c r="C29" s="30" t="inlineStr">
        <is>
          <t>CJA</t>
        </is>
      </c>
      <c r="D29" s="31" t="n"/>
      <c r="E29" s="32" t="n"/>
      <c r="F29" s="33" t="n"/>
      <c r="G29" s="34" t="n"/>
      <c r="H29" s="34" t="n"/>
      <c r="I29" s="29" t="inlineStr">
        <is>
          <t>Aceros y Metales</t>
        </is>
      </c>
      <c r="J29" s="30" t="inlineStr">
        <is>
          <t>1500003164</t>
        </is>
      </c>
      <c r="K29" s="32" t="n"/>
      <c r="L29" s="35">
        <f>IF(A29="","","#"&amp;A29)</f>
        <v/>
      </c>
    </row>
    <row r="30">
      <c r="A30" s="28" t="inlineStr">
        <is>
          <t>10-02-90-0005</t>
        </is>
      </c>
      <c r="B30" s="29" t="inlineStr">
        <is>
          <t>CINTA DE ACERO INOX.3/4"X0.76MM L=30.5MT</t>
        </is>
      </c>
      <c r="C30" s="30" t="inlineStr">
        <is>
          <t>CJA</t>
        </is>
      </c>
      <c r="D30" s="31" t="n"/>
      <c r="E30" s="32" t="n"/>
      <c r="F30" s="33" t="n"/>
      <c r="G30" s="34" t="n"/>
      <c r="H30" s="34" t="n"/>
      <c r="I30" s="29" t="inlineStr">
        <is>
          <t>Aceros y Metales</t>
        </is>
      </c>
      <c r="J30" s="30" t="inlineStr">
        <is>
          <t>1500003165</t>
        </is>
      </c>
      <c r="K30" s="32" t="n"/>
      <c r="L30" s="35">
        <f>IF(A30="","","#"&amp;A30)</f>
        <v/>
      </c>
    </row>
    <row r="31">
      <c r="A31" s="28" t="inlineStr">
        <is>
          <t>07-01-90-0001</t>
        </is>
      </c>
      <c r="B31" s="29" t="inlineStr">
        <is>
          <t>ESCALERA DE MADERA  3.60 MTRX 11 PELD.</t>
        </is>
      </c>
      <c r="C31" s="30" t="inlineStr">
        <is>
          <t>PZA</t>
        </is>
      </c>
      <c r="D31" s="31" t="n"/>
      <c r="E31" s="32" t="n"/>
      <c r="F31" s="33" t="n"/>
      <c r="G31" s="34" t="n"/>
      <c r="H31" s="34" t="n"/>
      <c r="I31" s="29" t="inlineStr">
        <is>
          <t>Madera</t>
        </is>
      </c>
      <c r="J31" s="30" t="inlineStr">
        <is>
          <t>1600000006</t>
        </is>
      </c>
      <c r="K31" s="32" t="n"/>
      <c r="L31" s="35">
        <f>IF(A31="","","#"&amp;A31)</f>
        <v/>
      </c>
    </row>
    <row r="32">
      <c r="A32" s="28" t="inlineStr">
        <is>
          <t>08-02-01-0004</t>
        </is>
      </c>
      <c r="B32" s="29" t="inlineStr">
        <is>
          <t>GRAPA DE ACERO PARA CABLE 3/16"</t>
        </is>
      </c>
      <c r="C32" s="30" t="inlineStr">
        <is>
          <t>PZA</t>
        </is>
      </c>
      <c r="D32" s="31" t="n"/>
      <c r="E32" s="32" t="n"/>
      <c r="F32" s="33" t="n"/>
      <c r="G32" s="34" t="n"/>
      <c r="H32" s="34" t="n"/>
      <c r="I32" s="29" t="inlineStr">
        <is>
          <t>Ferretería General</t>
        </is>
      </c>
      <c r="J32" s="30" t="inlineStr">
        <is>
          <t>1500003379</t>
        </is>
      </c>
      <c r="K32" s="32" t="n"/>
      <c r="L32" s="35">
        <f>IF(A32="","","#"&amp;A32)</f>
        <v/>
      </c>
    </row>
    <row r="33">
      <c r="A33" s="28" t="inlineStr">
        <is>
          <t>08-02-01-0005</t>
        </is>
      </c>
      <c r="B33" s="29" t="inlineStr">
        <is>
          <t>GRAPA GALVANIZADA P/CABLE 1/2"</t>
        </is>
      </c>
      <c r="C33" s="30" t="inlineStr">
        <is>
          <t>PZA</t>
        </is>
      </c>
      <c r="D33" s="31" t="n"/>
      <c r="E33" s="32" t="n"/>
      <c r="F33" s="33" t="n"/>
      <c r="G33" s="34" t="n"/>
      <c r="H33" s="34" t="n"/>
      <c r="I33" s="29" t="inlineStr">
        <is>
          <t>Ferretería General</t>
        </is>
      </c>
      <c r="J33" s="30" t="inlineStr">
        <is>
          <t>1500003363</t>
        </is>
      </c>
      <c r="K33" s="32" t="n"/>
      <c r="L33" s="35">
        <f>IF(A33="","","#"&amp;A33)</f>
        <v/>
      </c>
    </row>
    <row r="34">
      <c r="A34" s="28" t="inlineStr">
        <is>
          <t>08-90-90-0001</t>
        </is>
      </c>
      <c r="B34" s="29" t="inlineStr">
        <is>
          <t>GUIADORES  DE MADERA 1" X 1.30 MTR</t>
        </is>
      </c>
      <c r="C34" s="30" t="inlineStr">
        <is>
          <t>PZA</t>
        </is>
      </c>
      <c r="D34" s="31" t="n"/>
      <c r="E34" s="32" t="n"/>
      <c r="F34" s="33" t="n"/>
      <c r="G34" s="34" t="n"/>
      <c r="H34" s="34" t="n"/>
      <c r="I34" s="29" t="inlineStr">
        <is>
          <t>Ferretería General</t>
        </is>
      </c>
      <c r="J34" s="30" t="inlineStr">
        <is>
          <t>1500000032</t>
        </is>
      </c>
      <c r="K34" s="32" t="n"/>
      <c r="L34" s="35">
        <f>IF(A34="","","#"&amp;A34)</f>
        <v/>
      </c>
    </row>
    <row r="35">
      <c r="A35" s="28" t="inlineStr">
        <is>
          <t>07-01-04-0001</t>
        </is>
      </c>
      <c r="B35" s="29" t="inlineStr">
        <is>
          <t>LISTON  2" X 3" X 10´</t>
        </is>
      </c>
      <c r="C35" s="30" t="inlineStr">
        <is>
          <t>PZA</t>
        </is>
      </c>
      <c r="D35" s="31" t="n"/>
      <c r="E35" s="32" t="n"/>
      <c r="F35" s="33" t="n"/>
      <c r="G35" s="34" t="n"/>
      <c r="H35" s="34" t="n"/>
      <c r="I35" s="29" t="inlineStr">
        <is>
          <t>Madera</t>
        </is>
      </c>
      <c r="J35" s="30" t="inlineStr">
        <is>
          <t>1600000008</t>
        </is>
      </c>
      <c r="K35" s="32" t="n"/>
      <c r="L35" s="35">
        <f>IF(A35="","","#"&amp;A35)</f>
        <v/>
      </c>
    </row>
    <row r="36">
      <c r="A36" s="28" t="inlineStr">
        <is>
          <t>10-02-90-0006</t>
        </is>
      </c>
      <c r="B36" s="29" t="inlineStr">
        <is>
          <t>MALLA ELECTROSOLDADA 4"X4"-2.42 X 25 MTR</t>
        </is>
      </c>
      <c r="C36" s="30" t="inlineStr">
        <is>
          <t>JGO</t>
        </is>
      </c>
      <c r="D36" s="36" t="n">
        <v>1150</v>
      </c>
      <c r="E36" s="37" t="inlineStr">
        <is>
          <t>Por definir</t>
        </is>
      </c>
      <c r="F36" s="38" t="n">
        <v>2</v>
      </c>
      <c r="G36" s="39" t="n">
        <v>5</v>
      </c>
      <c r="H36" s="39" t="n">
        <v>3</v>
      </c>
      <c r="I36" s="29" t="inlineStr">
        <is>
          <t>Aceros y Metales</t>
        </is>
      </c>
      <c r="J36" s="30" t="inlineStr">
        <is>
          <t>1500003424</t>
        </is>
      </c>
      <c r="K36" s="37" t="inlineStr">
        <is>
          <t>SUPUESTO — confirmar con Logistica (precio por rollo de 2.42 x 25 m)</t>
        </is>
      </c>
      <c r="L36" s="35">
        <f>IF(A36="","","#"&amp;A36)</f>
        <v/>
      </c>
    </row>
    <row r="37">
      <c r="A37" s="28" t="inlineStr">
        <is>
          <t>19-01-02-0001</t>
        </is>
      </c>
      <c r="B37" s="29" t="inlineStr">
        <is>
          <t>MANGA DE VENT. 12" X 10 MTR</t>
        </is>
      </c>
      <c r="C37" s="30" t="inlineStr">
        <is>
          <t>M</t>
        </is>
      </c>
      <c r="D37" s="31" t="n"/>
      <c r="E37" s="32" t="n"/>
      <c r="F37" s="33" t="n"/>
      <c r="G37" s="34" t="n"/>
      <c r="H37" s="34" t="n"/>
      <c r="I37" s="29" t="inlineStr">
        <is>
          <t>EPP y Ventilación</t>
        </is>
      </c>
      <c r="J37" s="30" t="inlineStr">
        <is>
          <t>2100000012</t>
        </is>
      </c>
      <c r="K37" s="32" t="n"/>
      <c r="L37" s="35">
        <f>IF(A37="","","#"&amp;A37)</f>
        <v/>
      </c>
    </row>
    <row r="38">
      <c r="A38" s="28" t="inlineStr">
        <is>
          <t>19-01-02-0002</t>
        </is>
      </c>
      <c r="B38" s="29" t="inlineStr">
        <is>
          <t>MANGA DE VENT. 30" X 100 MTR 600 GR/M2</t>
        </is>
      </c>
      <c r="C38" s="30" t="inlineStr">
        <is>
          <t>M</t>
        </is>
      </c>
      <c r="D38" s="31" t="n"/>
      <c r="E38" s="32" t="n"/>
      <c r="F38" s="33" t="n"/>
      <c r="G38" s="34" t="n"/>
      <c r="H38" s="34" t="n"/>
      <c r="I38" s="29" t="inlineStr">
        <is>
          <t>EPP y Ventilación</t>
        </is>
      </c>
      <c r="J38" s="30" t="inlineStr">
        <is>
          <t>2100000018</t>
        </is>
      </c>
      <c r="K38" s="32" t="n"/>
      <c r="L38" s="35">
        <f>IF(A38="","","#"&amp;A38)</f>
        <v/>
      </c>
    </row>
    <row r="39">
      <c r="A39" s="28" t="inlineStr">
        <is>
          <t>19-01-02-0003</t>
        </is>
      </c>
      <c r="B39" s="29" t="inlineStr">
        <is>
          <t>MANGA DE VENT. 30" X 20 MTR</t>
        </is>
      </c>
      <c r="C39" s="30" t="inlineStr">
        <is>
          <t>M</t>
        </is>
      </c>
      <c r="D39" s="31" t="n"/>
      <c r="E39" s="32" t="n"/>
      <c r="F39" s="33" t="n"/>
      <c r="G39" s="34" t="n"/>
      <c r="H39" s="34" t="n"/>
      <c r="I39" s="29" t="inlineStr">
        <is>
          <t>EPP y Ventilación</t>
        </is>
      </c>
      <c r="J39" s="30" t="inlineStr">
        <is>
          <t>2100000014</t>
        </is>
      </c>
      <c r="K39" s="32" t="n"/>
      <c r="L39" s="35">
        <f>IF(A39="","","#"&amp;A39)</f>
        <v/>
      </c>
    </row>
    <row r="40">
      <c r="A40" s="28" t="inlineStr">
        <is>
          <t>03-02-90-0001</t>
        </is>
      </c>
      <c r="B40" s="29" t="inlineStr">
        <is>
          <t>MANGUERA DE JEBE Y LONA 1" 300 PSI</t>
        </is>
      </c>
      <c r="C40" s="30" t="inlineStr">
        <is>
          <t>ROLL</t>
        </is>
      </c>
      <c r="D40" s="31" t="n"/>
      <c r="E40" s="32" t="n"/>
      <c r="F40" s="33" t="n"/>
      <c r="G40" s="34" t="n"/>
      <c r="H40" s="34" t="n"/>
      <c r="I40" s="29" t="inlineStr">
        <is>
          <t>Caucho y Jebe</t>
        </is>
      </c>
      <c r="J40" s="30" t="inlineStr">
        <is>
          <t>1500002650</t>
        </is>
      </c>
      <c r="K40" s="32" t="n"/>
      <c r="L40" s="35">
        <f>IF(A40="","","#"&amp;A40)</f>
        <v/>
      </c>
    </row>
    <row r="41">
      <c r="A41" s="28" t="inlineStr">
        <is>
          <t>03-02-90-0002</t>
        </is>
      </c>
      <c r="B41" s="29" t="inlineStr">
        <is>
          <t>MANGUERA DE JEBE Y LONA 1/2"</t>
        </is>
      </c>
      <c r="C41" s="30" t="inlineStr">
        <is>
          <t>ROLL</t>
        </is>
      </c>
      <c r="D41" s="31" t="n"/>
      <c r="E41" s="32" t="n"/>
      <c r="F41" s="33" t="n"/>
      <c r="G41" s="34" t="n"/>
      <c r="H41" s="34" t="n"/>
      <c r="I41" s="29" t="inlineStr">
        <is>
          <t>Caucho y Jebe</t>
        </is>
      </c>
      <c r="J41" s="30" t="inlineStr">
        <is>
          <t>1500002649</t>
        </is>
      </c>
      <c r="K41" s="32" t="n"/>
      <c r="L41" s="35">
        <f>IF(A41="","","#"&amp;A41)</f>
        <v/>
      </c>
    </row>
    <row r="42">
      <c r="A42" s="28" t="inlineStr">
        <is>
          <t>11-01-05-0002</t>
        </is>
      </c>
      <c r="B42" s="29" t="inlineStr">
        <is>
          <t>PERNO HELICOIDAL 19 MM X 5´(1.52MTR)</t>
        </is>
      </c>
      <c r="C42" s="30" t="inlineStr">
        <is>
          <t>PZA</t>
        </is>
      </c>
      <c r="D42" s="31" t="n"/>
      <c r="E42" s="32" t="n"/>
      <c r="F42" s="33" t="n"/>
      <c r="G42" s="34" t="n"/>
      <c r="H42" s="34" t="n"/>
      <c r="I42" s="29" t="inlineStr">
        <is>
          <t>Pernería</t>
        </is>
      </c>
      <c r="J42" s="30" t="inlineStr">
        <is>
          <t>1500001442</t>
        </is>
      </c>
      <c r="K42" s="32" t="n"/>
      <c r="L42" s="35">
        <f>IF(A42="","","#"&amp;A42)</f>
        <v/>
      </c>
    </row>
    <row r="43">
      <c r="A43" s="28" t="inlineStr">
        <is>
          <t>11-01-05-0003</t>
        </is>
      </c>
      <c r="B43" s="29" t="inlineStr">
        <is>
          <t>PERNO HELICOIDAL 19 MM X 6´(1.83MTR)</t>
        </is>
      </c>
      <c r="C43" s="30" t="inlineStr">
        <is>
          <t>PZA</t>
        </is>
      </c>
      <c r="D43" s="31" t="n"/>
      <c r="E43" s="32" t="n"/>
      <c r="F43" s="33" t="n"/>
      <c r="G43" s="34" t="n"/>
      <c r="H43" s="34" t="n"/>
      <c r="I43" s="29" t="inlineStr">
        <is>
          <t>Pernería</t>
        </is>
      </c>
      <c r="J43" s="30" t="inlineStr">
        <is>
          <t>1500001443</t>
        </is>
      </c>
      <c r="K43" s="32" t="n"/>
      <c r="L43" s="35">
        <f>IF(A43="","","#"&amp;A43)</f>
        <v/>
      </c>
    </row>
    <row r="44">
      <c r="A44" s="28" t="inlineStr">
        <is>
          <t>11-01-05-0004</t>
        </is>
      </c>
      <c r="B44" s="29" t="inlineStr">
        <is>
          <t>PERNO HELICOIDAL 19 MM X 7´(2.13MTR)</t>
        </is>
      </c>
      <c r="C44" s="30" t="inlineStr">
        <is>
          <t>PZA</t>
        </is>
      </c>
      <c r="D44" s="36" t="n">
        <v>38</v>
      </c>
      <c r="E44" s="37" t="inlineStr">
        <is>
          <t>Por definir</t>
        </is>
      </c>
      <c r="F44" s="38" t="n">
        <v>2</v>
      </c>
      <c r="G44" s="39" t="n">
        <v>100</v>
      </c>
      <c r="H44" s="39" t="n">
        <v>90</v>
      </c>
      <c r="I44" s="29" t="inlineStr">
        <is>
          <t>Pernería</t>
        </is>
      </c>
      <c r="J44" s="30" t="inlineStr">
        <is>
          <t>1500001441</t>
        </is>
      </c>
      <c r="K44" s="37" t="inlineStr">
        <is>
          <t>SUPUESTO — confirmar con Logistica</t>
        </is>
      </c>
      <c r="L44" s="35">
        <f>IF(A44="","","#"&amp;A44)</f>
        <v/>
      </c>
    </row>
    <row r="45">
      <c r="A45" s="28" t="inlineStr">
        <is>
          <t>10-02-05-0001</t>
        </is>
      </c>
      <c r="B45" s="29" t="inlineStr">
        <is>
          <t>PLANCHA ACANALADA T/ONDUL. 2X1100X1700MM</t>
        </is>
      </c>
      <c r="C45" s="30" t="inlineStr">
        <is>
          <t>PZA</t>
        </is>
      </c>
      <c r="D45" s="31" t="n"/>
      <c r="E45" s="32" t="n"/>
      <c r="F45" s="33" t="n"/>
      <c r="G45" s="34" t="n"/>
      <c r="H45" s="34" t="n"/>
      <c r="I45" s="29" t="inlineStr">
        <is>
          <t>Aceros y Metales</t>
        </is>
      </c>
      <c r="J45" s="30" t="inlineStr">
        <is>
          <t>1500001491</t>
        </is>
      </c>
      <c r="K45" s="32" t="n"/>
      <c r="L45" s="35">
        <f>IF(A45="","","#"&amp;A45)</f>
        <v/>
      </c>
    </row>
    <row r="46">
      <c r="A46" s="28" t="inlineStr">
        <is>
          <t>16-04-05-0001</t>
        </is>
      </c>
      <c r="B46" s="29" t="inlineStr">
        <is>
          <t>REDUCCION POLIP.C/ROSCA 110 A 63 MM</t>
        </is>
      </c>
      <c r="C46" s="30" t="inlineStr">
        <is>
          <t>PZA</t>
        </is>
      </c>
      <c r="D46" s="31" t="n"/>
      <c r="E46" s="32" t="n"/>
      <c r="F46" s="33" t="n"/>
      <c r="G46" s="34" t="n"/>
      <c r="H46" s="34" t="n"/>
      <c r="I46" s="29" t="inlineStr">
        <is>
          <t>Tuberías y Accesorios</t>
        </is>
      </c>
      <c r="J46" s="30" t="inlineStr">
        <is>
          <t>1900000296</t>
        </is>
      </c>
      <c r="K46" s="32" t="n"/>
      <c r="L46" s="35">
        <f>IF(A46="","","#"&amp;A46)</f>
        <v/>
      </c>
    </row>
    <row r="47">
      <c r="A47" s="28" t="inlineStr">
        <is>
          <t>16-04-05-0002</t>
        </is>
      </c>
      <c r="B47" s="29" t="inlineStr">
        <is>
          <t>REDUCCION POLIP.C/ROSCA 63 A 32 MM</t>
        </is>
      </c>
      <c r="C47" s="30" t="inlineStr">
        <is>
          <t>PZA</t>
        </is>
      </c>
      <c r="D47" s="31" t="n"/>
      <c r="E47" s="32" t="n"/>
      <c r="F47" s="33" t="n"/>
      <c r="G47" s="34" t="n"/>
      <c r="H47" s="34" t="n"/>
      <c r="I47" s="29" t="inlineStr">
        <is>
          <t>Tuberías y Accesorios</t>
        </is>
      </c>
      <c r="J47" s="30" t="inlineStr">
        <is>
          <t>1900000295</t>
        </is>
      </c>
      <c r="K47" s="32" t="n"/>
      <c r="L47" s="35">
        <f>IF(A47="","","#"&amp;A47)</f>
        <v/>
      </c>
    </row>
    <row r="48">
      <c r="A48" s="28" t="inlineStr">
        <is>
          <t>01-03-90-0002</t>
        </is>
      </c>
      <c r="B48" s="29" t="inlineStr">
        <is>
          <t>RESINA 28 MM X 305 MM 0-60 SECOND SET</t>
        </is>
      </c>
      <c r="C48" s="30" t="inlineStr">
        <is>
          <t>PZA</t>
        </is>
      </c>
      <c r="D48" s="36" t="n">
        <v>12</v>
      </c>
      <c r="E48" s="37" t="inlineStr">
        <is>
          <t>Por definir</t>
        </is>
      </c>
      <c r="F48" s="38" t="n">
        <v>2</v>
      </c>
      <c r="G48" s="39" t="n">
        <v>500</v>
      </c>
      <c r="H48" s="39" t="n">
        <v>300</v>
      </c>
      <c r="I48" s="29" t="inlineStr">
        <is>
          <t>Accesorios y Herram. de Mina</t>
        </is>
      </c>
      <c r="J48" s="30" t="inlineStr">
        <is>
          <t>1500003208</t>
        </is>
      </c>
      <c r="K48" s="37" t="inlineStr">
        <is>
          <t>SUPUESTO — confirmar con Logistica</t>
        </is>
      </c>
      <c r="L48" s="35">
        <f>IF(A48="","","#"&amp;A48)</f>
        <v/>
      </c>
    </row>
    <row r="49">
      <c r="A49" s="28" t="inlineStr">
        <is>
          <t>29-01-90-0001</t>
        </is>
      </c>
      <c r="B49" s="29" t="inlineStr">
        <is>
          <t>SACO METALERO POLIPROPILENO 20" X 30"</t>
        </is>
      </c>
      <c r="C49" s="30" t="inlineStr">
        <is>
          <t>PZA</t>
        </is>
      </c>
      <c r="D49" s="31" t="n"/>
      <c r="E49" s="32" t="n"/>
      <c r="F49" s="33" t="n"/>
      <c r="G49" s="34" t="n"/>
      <c r="H49" s="34" t="n"/>
      <c r="I49" s="29" t="inlineStr">
        <is>
          <t>Misceláneos</t>
        </is>
      </c>
      <c r="J49" s="30" t="inlineStr">
        <is>
          <t>1500002859</t>
        </is>
      </c>
      <c r="K49" s="32" t="n"/>
      <c r="L49" s="35">
        <f>IF(A49="","","#"&amp;A49)</f>
        <v/>
      </c>
    </row>
    <row r="50">
      <c r="A50" s="28" t="inlineStr">
        <is>
          <t>11-01-05-0005</t>
        </is>
      </c>
      <c r="B50" s="29" t="inlineStr">
        <is>
          <t>SPLIT SET CON PLATINA 5´ X 39MM</t>
        </is>
      </c>
      <c r="C50" s="30" t="inlineStr">
        <is>
          <t>PZA</t>
        </is>
      </c>
      <c r="D50" s="31" t="n"/>
      <c r="E50" s="32" t="n"/>
      <c r="F50" s="33" t="n"/>
      <c r="G50" s="34" t="n"/>
      <c r="H50" s="34" t="n"/>
      <c r="I50" s="29" t="inlineStr">
        <is>
          <t>Pernería</t>
        </is>
      </c>
      <c r="J50" s="30" t="inlineStr">
        <is>
          <t>1500001431</t>
        </is>
      </c>
      <c r="K50" s="32" t="n"/>
      <c r="L50" s="35">
        <f>IF(A50="","","#"&amp;A50)</f>
        <v/>
      </c>
    </row>
    <row r="51">
      <c r="A51" s="28" t="inlineStr">
        <is>
          <t>07-01-90-0002</t>
        </is>
      </c>
      <c r="B51" s="29" t="inlineStr">
        <is>
          <t>TABLA ASERRADA  2" X 8" X 10´</t>
        </is>
      </c>
      <c r="C51" s="30" t="inlineStr">
        <is>
          <t>PZA</t>
        </is>
      </c>
      <c r="D51" s="31" t="n"/>
      <c r="E51" s="32" t="n"/>
      <c r="F51" s="33" t="n"/>
      <c r="G51" s="34" t="n"/>
      <c r="H51" s="34" t="n"/>
      <c r="I51" s="29" t="inlineStr">
        <is>
          <t>Madera</t>
        </is>
      </c>
      <c r="J51" s="30" t="inlineStr">
        <is>
          <t>1600000009</t>
        </is>
      </c>
      <c r="K51" s="32" t="n"/>
      <c r="L51" s="35">
        <f>IF(A51="","","#"&amp;A51)</f>
        <v/>
      </c>
    </row>
    <row r="52">
      <c r="A52" s="28" t="inlineStr">
        <is>
          <t>16-03-05-0001</t>
        </is>
      </c>
      <c r="B52" s="29" t="inlineStr">
        <is>
          <t>TEE DE POLIPROP. C/ROSCA 110MM</t>
        </is>
      </c>
      <c r="C52" s="30" t="inlineStr">
        <is>
          <t>PZA</t>
        </is>
      </c>
      <c r="D52" s="31" t="n"/>
      <c r="E52" s="32" t="n"/>
      <c r="F52" s="33" t="n"/>
      <c r="G52" s="34" t="n"/>
      <c r="H52" s="34" t="n"/>
      <c r="I52" s="29" t="inlineStr">
        <is>
          <t>Tuberías y Accesorios</t>
        </is>
      </c>
      <c r="J52" s="30" t="inlineStr">
        <is>
          <t>1900000254</t>
        </is>
      </c>
      <c r="K52" s="32" t="n"/>
      <c r="L52" s="35">
        <f>IF(A52="","","#"&amp;A52)</f>
        <v/>
      </c>
    </row>
    <row r="53">
      <c r="A53" s="28" t="inlineStr">
        <is>
          <t>16-03-05-0002</t>
        </is>
      </c>
      <c r="B53" s="29" t="inlineStr">
        <is>
          <t>TEE DE POLIPROP. C/ROSCA 63MM</t>
        </is>
      </c>
      <c r="C53" s="30" t="inlineStr">
        <is>
          <t>PZA</t>
        </is>
      </c>
      <c r="D53" s="31" t="n"/>
      <c r="E53" s="32" t="n"/>
      <c r="F53" s="33" t="n"/>
      <c r="G53" s="34" t="n"/>
      <c r="H53" s="34" t="n"/>
      <c r="I53" s="29" t="inlineStr">
        <is>
          <t>Tuberías y Accesorios</t>
        </is>
      </c>
      <c r="J53" s="30" t="inlineStr">
        <is>
          <t>1900000253</t>
        </is>
      </c>
      <c r="K53" s="32" t="n"/>
      <c r="L53" s="35">
        <f>IF(A53="","","#"&amp;A53)</f>
        <v/>
      </c>
    </row>
    <row r="54">
      <c r="A54" s="28" t="inlineStr">
        <is>
          <t>16-01-04-0001</t>
        </is>
      </c>
      <c r="B54" s="29" t="inlineStr">
        <is>
          <t>TUBO POLIETILENO AZUL 1" PE 80 PN-10</t>
        </is>
      </c>
      <c r="C54" s="30" t="inlineStr">
        <is>
          <t>M</t>
        </is>
      </c>
      <c r="D54" s="31" t="n"/>
      <c r="E54" s="32" t="n"/>
      <c r="F54" s="33" t="n"/>
      <c r="G54" s="34" t="n"/>
      <c r="H54" s="34" t="n"/>
      <c r="I54" s="29" t="inlineStr">
        <is>
          <t>Tuberías y Accesorios</t>
        </is>
      </c>
      <c r="J54" s="30" t="inlineStr">
        <is>
          <t>1900000205</t>
        </is>
      </c>
      <c r="K54" s="32" t="n"/>
      <c r="L54" s="35">
        <f>IF(A54="","","#"&amp;A54)</f>
        <v/>
      </c>
    </row>
    <row r="55">
      <c r="A55" s="28" t="inlineStr">
        <is>
          <t>16-01-04-0002</t>
        </is>
      </c>
      <c r="B55" s="29" t="inlineStr">
        <is>
          <t>TUBO POLIETILENO AZUL 2" PE 80 PN-10</t>
        </is>
      </c>
      <c r="C55" s="30" t="inlineStr">
        <is>
          <t>M</t>
        </is>
      </c>
      <c r="D55" s="31" t="n"/>
      <c r="E55" s="32" t="n"/>
      <c r="F55" s="33" t="n"/>
      <c r="G55" s="34" t="n"/>
      <c r="H55" s="34" t="n"/>
      <c r="I55" s="29" t="inlineStr">
        <is>
          <t>Tuberías y Accesorios</t>
        </is>
      </c>
      <c r="J55" s="30" t="inlineStr">
        <is>
          <t>1900000203</t>
        </is>
      </c>
      <c r="K55" s="32" t="n"/>
      <c r="L55" s="35">
        <f>IF(A55="","","#"&amp;A55)</f>
        <v/>
      </c>
    </row>
    <row r="56">
      <c r="A56" s="28" t="inlineStr">
        <is>
          <t>16-01-04-0003</t>
        </is>
      </c>
      <c r="B56" s="29" t="inlineStr">
        <is>
          <t>TUBO POLIETILENO AZUL 4" PE 80 PN-10</t>
        </is>
      </c>
      <c r="C56" s="30" t="inlineStr">
        <is>
          <t>M</t>
        </is>
      </c>
      <c r="D56" s="31" t="n"/>
      <c r="E56" s="32" t="n"/>
      <c r="F56" s="33" t="n"/>
      <c r="G56" s="34" t="n"/>
      <c r="H56" s="34" t="n"/>
      <c r="I56" s="29" t="inlineStr">
        <is>
          <t>Tuberías y Accesorios</t>
        </is>
      </c>
      <c r="J56" s="30" t="inlineStr">
        <is>
          <t>1900000201</t>
        </is>
      </c>
      <c r="K56" s="32" t="n"/>
      <c r="L56" s="35">
        <f>IF(A56="","","#"&amp;A56)</f>
        <v/>
      </c>
    </row>
    <row r="57">
      <c r="A57" s="28" t="inlineStr">
        <is>
          <t>16-01-04-0004</t>
        </is>
      </c>
      <c r="B57" s="29" t="inlineStr">
        <is>
          <t>TUBO POLIETILENO NEGRO 1" PE 80 PN-10</t>
        </is>
      </c>
      <c r="C57" s="30" t="inlineStr">
        <is>
          <t>M</t>
        </is>
      </c>
      <c r="D57" s="31" t="n"/>
      <c r="E57" s="32" t="n"/>
      <c r="F57" s="33" t="n"/>
      <c r="G57" s="34" t="n"/>
      <c r="H57" s="34" t="n"/>
      <c r="I57" s="29" t="inlineStr">
        <is>
          <t>Tuberías y Accesorios</t>
        </is>
      </c>
      <c r="J57" s="30" t="inlineStr">
        <is>
          <t>1900000184</t>
        </is>
      </c>
      <c r="K57" s="32" t="n"/>
      <c r="L57" s="35">
        <f>IF(A57="","","#"&amp;A57)</f>
        <v/>
      </c>
    </row>
    <row r="58">
      <c r="A58" s="28" t="inlineStr">
        <is>
          <t>16-01-04-0005</t>
        </is>
      </c>
      <c r="B58" s="29" t="inlineStr">
        <is>
          <t>TUBO POLIETILENO VERDE 2" PE 80 PN-10</t>
        </is>
      </c>
      <c r="C58" s="30" t="inlineStr">
        <is>
          <t>M</t>
        </is>
      </c>
      <c r="D58" s="31" t="n"/>
      <c r="E58" s="32" t="n"/>
      <c r="F58" s="33" t="n"/>
      <c r="G58" s="34" t="n"/>
      <c r="H58" s="34" t="n"/>
      <c r="I58" s="29" t="inlineStr">
        <is>
          <t>Tuberías y Accesorios</t>
        </is>
      </c>
      <c r="J58" s="30" t="inlineStr">
        <is>
          <t>1900000200</t>
        </is>
      </c>
      <c r="K58" s="32" t="n"/>
      <c r="L58" s="35">
        <f>IF(A58="","","#"&amp;A58)</f>
        <v/>
      </c>
    </row>
    <row r="59">
      <c r="A59" s="28" t="inlineStr">
        <is>
          <t>16-03-05-0003</t>
        </is>
      </c>
      <c r="B59" s="29" t="inlineStr">
        <is>
          <t>UNION DE POLIPROPI. C/ROSCA 63 MM</t>
        </is>
      </c>
      <c r="C59" s="30" t="inlineStr">
        <is>
          <t>PZA</t>
        </is>
      </c>
      <c r="D59" s="31" t="n"/>
      <c r="E59" s="32" t="n"/>
      <c r="F59" s="33" t="n"/>
      <c r="G59" s="34" t="n"/>
      <c r="H59" s="34" t="n"/>
      <c r="I59" s="29" t="inlineStr">
        <is>
          <t>Tuberías y Accesorios</t>
        </is>
      </c>
      <c r="J59" s="30" t="inlineStr">
        <is>
          <t>1900000069</t>
        </is>
      </c>
      <c r="K59" s="32" t="n"/>
      <c r="L59" s="35">
        <f>IF(A59="","","#"&amp;A59)</f>
        <v/>
      </c>
    </row>
    <row r="60">
      <c r="A60" s="28" t="inlineStr">
        <is>
          <t>16-03-05-0004</t>
        </is>
      </c>
      <c r="B60" s="29" t="inlineStr">
        <is>
          <t>UNION DE POLIPROPILENO C/ROSCA 32 MM</t>
        </is>
      </c>
      <c r="C60" s="30" t="inlineStr">
        <is>
          <t>PZA</t>
        </is>
      </c>
      <c r="D60" s="31" t="n"/>
      <c r="E60" s="32" t="n"/>
      <c r="F60" s="33" t="n"/>
      <c r="G60" s="34" t="n"/>
      <c r="H60" s="34" t="n"/>
      <c r="I60" s="29" t="inlineStr">
        <is>
          <t>Tuberías y Accesorios</t>
        </is>
      </c>
      <c r="J60" s="30" t="inlineStr">
        <is>
          <t>1900000088</t>
        </is>
      </c>
      <c r="K60" s="32" t="n"/>
      <c r="L60" s="35">
        <f>IF(A60="","","#"&amp;A60)</f>
        <v/>
      </c>
    </row>
    <row r="61">
      <c r="A61" s="28" t="inlineStr">
        <is>
          <t>16-06-01-0001</t>
        </is>
      </c>
      <c r="B61" s="29" t="inlineStr">
        <is>
          <t>VALVULA BOLA PVC DOBLE ACOP PP 110MM</t>
        </is>
      </c>
      <c r="C61" s="30" t="inlineStr">
        <is>
          <t>PZA</t>
        </is>
      </c>
      <c r="D61" s="31" t="n"/>
      <c r="E61" s="32" t="n"/>
      <c r="F61" s="33" t="n"/>
      <c r="G61" s="34" t="n"/>
      <c r="H61" s="34" t="n"/>
      <c r="I61" s="29" t="inlineStr">
        <is>
          <t>Tuberías y Accesorios</t>
        </is>
      </c>
      <c r="J61" s="30" t="inlineStr">
        <is>
          <t>1900000108</t>
        </is>
      </c>
      <c r="K61" s="32" t="n"/>
      <c r="L61" s="35">
        <f>IF(A61="","","#"&amp;A61)</f>
        <v/>
      </c>
    </row>
    <row r="62">
      <c r="A62" s="28" t="inlineStr">
        <is>
          <t>16-06-01-0002</t>
        </is>
      </c>
      <c r="B62" s="29" t="inlineStr">
        <is>
          <t>VALVULA BOLA PVC DOBLE ACOP PP 32MM</t>
        </is>
      </c>
      <c r="C62" s="30" t="inlineStr">
        <is>
          <t>PZA</t>
        </is>
      </c>
      <c r="D62" s="31" t="n"/>
      <c r="E62" s="32" t="n"/>
      <c r="F62" s="33" t="n"/>
      <c r="G62" s="34" t="n"/>
      <c r="H62" s="34" t="n"/>
      <c r="I62" s="29" t="inlineStr">
        <is>
          <t>Tuberías y Accesorios</t>
        </is>
      </c>
      <c r="J62" s="30" t="inlineStr">
        <is>
          <t>1900000106</t>
        </is>
      </c>
      <c r="K62" s="32" t="n"/>
      <c r="L62" s="35">
        <f>IF(A62="","","#"&amp;A62)</f>
        <v/>
      </c>
    </row>
    <row r="63">
      <c r="A63" s="28" t="inlineStr">
        <is>
          <t>16-06-01-0003</t>
        </is>
      </c>
      <c r="B63" s="29" t="inlineStr">
        <is>
          <t>VALVULA BOLA PVC DOBLE ACOP PP 63MM</t>
        </is>
      </c>
      <c r="C63" s="30" t="inlineStr">
        <is>
          <t>PZA</t>
        </is>
      </c>
      <c r="D63" s="31" t="n"/>
      <c r="E63" s="32" t="n"/>
      <c r="F63" s="33" t="n"/>
      <c r="G63" s="34" t="n"/>
      <c r="H63" s="34" t="n"/>
      <c r="I63" s="29" t="inlineStr">
        <is>
          <t>Tuberías y Accesorios</t>
        </is>
      </c>
      <c r="J63" s="30" t="inlineStr">
        <is>
          <t>1900000107</t>
        </is>
      </c>
      <c r="K63" s="32" t="n"/>
      <c r="L63" s="35">
        <f>IF(A63="","","#"&amp;A63)</f>
        <v/>
      </c>
    </row>
    <row r="64">
      <c r="A64" s="28" t="inlineStr">
        <is>
          <t>16-01-04-0006</t>
        </is>
      </c>
      <c r="B64" s="29" t="inlineStr">
        <is>
          <t>TUBO POLIETILENO NEGRO 4" PE 80 PN-10</t>
        </is>
      </c>
      <c r="C64" s="30" t="inlineStr">
        <is>
          <t>M</t>
        </is>
      </c>
      <c r="D64" s="31" t="n"/>
      <c r="E64" s="32" t="n"/>
      <c r="F64" s="33" t="n"/>
      <c r="G64" s="34" t="n"/>
      <c r="H64" s="34" t="n"/>
      <c r="I64" s="29" t="inlineStr">
        <is>
          <t>Tuberías y Accesorios</t>
        </is>
      </c>
      <c r="J64" s="30" t="inlineStr">
        <is>
          <t>1900000187</t>
        </is>
      </c>
      <c r="K64" s="32" t="n"/>
      <c r="L64" s="35">
        <f>IF(A64="","","#"&amp;A64)</f>
        <v/>
      </c>
    </row>
    <row r="65">
      <c r="A65" s="28" t="inlineStr">
        <is>
          <t>08-02-01-0006</t>
        </is>
      </c>
      <c r="B65" s="29" t="inlineStr">
        <is>
          <t>GRAPA (HEBILLA) SERIE 201SS 1/2" C-254</t>
        </is>
      </c>
      <c r="C65" s="30" t="inlineStr">
        <is>
          <t>CJA</t>
        </is>
      </c>
      <c r="D65" s="31" t="n"/>
      <c r="E65" s="32" t="n"/>
      <c r="F65" s="33" t="n"/>
      <c r="G65" s="34" t="n"/>
      <c r="H65" s="34" t="n"/>
      <c r="I65" s="29" t="inlineStr">
        <is>
          <t>Ferretería General</t>
        </is>
      </c>
      <c r="J65" s="30" t="inlineStr">
        <is>
          <t>1500002431</t>
        </is>
      </c>
      <c r="K65" s="32" t="n"/>
      <c r="L65" s="35">
        <f>IF(A65="","","#"&amp;A65)</f>
        <v/>
      </c>
    </row>
    <row r="66">
      <c r="A66" s="28" t="inlineStr">
        <is>
          <t>08-02-01-0007</t>
        </is>
      </c>
      <c r="B66" s="29" t="inlineStr">
        <is>
          <t>GRAPA (HEBILLA) SERIE 201SS 3/4" C-256</t>
        </is>
      </c>
      <c r="C66" s="30" t="inlineStr">
        <is>
          <t>CJA</t>
        </is>
      </c>
      <c r="D66" s="31" t="n"/>
      <c r="E66" s="32" t="n"/>
      <c r="F66" s="33" t="n"/>
      <c r="G66" s="34" t="n"/>
      <c r="H66" s="34" t="n"/>
      <c r="I66" s="29" t="inlineStr">
        <is>
          <t>Ferretería General</t>
        </is>
      </c>
      <c r="J66" s="30" t="inlineStr">
        <is>
          <t>1500002432</t>
        </is>
      </c>
      <c r="K66" s="32" t="n"/>
      <c r="L66" s="35">
        <f>IF(A66="","","#"&amp;A66)</f>
        <v/>
      </c>
    </row>
  </sheetData>
  <autoFilter ref="A3:K66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M2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7" t="inlineStr">
        <is>
          <t>Metros de avance de cada frente en cada semana. Un disparo = 1.5 m.</t>
        </is>
      </c>
    </row>
    <row r="3">
      <c r="A3" s="40" t="inlineStr">
        <is>
          <t>Fecha de inicio de la Semana 1  →</t>
        </is>
      </c>
      <c r="C3" s="103" t="n">
        <v>46265</v>
      </c>
      <c r="D3" s="42" t="inlineStr">
        <is>
          <t>Semanas 1 a 4 = el mes. Semanas 5 a 8 = continuidad, necesaria porque el lead time es de 2 a 3 semanas.</t>
        </is>
      </c>
      <c r="E3" s="104">
        <f>$C$3</f>
        <v/>
      </c>
      <c r="F3" s="104">
        <f>E3+7</f>
        <v/>
      </c>
      <c r="G3" s="104">
        <f>F3+7</f>
        <v/>
      </c>
      <c r="H3" s="104">
        <f>G3+7</f>
        <v/>
      </c>
      <c r="I3" s="104">
        <f>H3+7</f>
        <v/>
      </c>
      <c r="J3" s="104">
        <f>I3+7</f>
        <v/>
      </c>
      <c r="K3" s="104">
        <f>J3+7</f>
        <v/>
      </c>
      <c r="L3" s="104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44" t="inlineStr">
        <is>
          <t>RA Brenda</t>
        </is>
      </c>
      <c r="B5" s="32" t="inlineStr">
        <is>
          <t>Metros de avance</t>
        </is>
      </c>
      <c r="C5" s="45">
        <f>IF($A5="","",SUM(E5:L5))</f>
        <v/>
      </c>
      <c r="D5" s="32" t="inlineStr">
        <is>
          <t>1 disparo = 1.5 m</t>
        </is>
      </c>
      <c r="E5" s="46" t="n">
        <v>12</v>
      </c>
      <c r="F5" s="46" t="n">
        <v>15</v>
      </c>
      <c r="G5" s="46" t="n">
        <v>15</v>
      </c>
      <c r="H5" s="46" t="n">
        <v>18</v>
      </c>
      <c r="I5" s="46" t="n">
        <v>15</v>
      </c>
      <c r="J5" s="46" t="n">
        <v>15</v>
      </c>
      <c r="K5" s="46" t="n">
        <v>15</v>
      </c>
      <c r="L5" s="46" t="n">
        <v>15</v>
      </c>
      <c r="M5" s="35">
        <f>IF(A5="","","#"&amp;A5)</f>
        <v/>
      </c>
    </row>
    <row r="6">
      <c r="A6" s="44" t="inlineStr">
        <is>
          <t>CRNE (Cortada Noreste)</t>
        </is>
      </c>
      <c r="B6" s="32" t="inlineStr">
        <is>
          <t>Metros de avance</t>
        </is>
      </c>
      <c r="C6" s="45">
        <f>IF($A6="","",SUM(E6:L6))</f>
        <v/>
      </c>
      <c r="D6" s="32" t="inlineStr">
        <is>
          <t>1 disparo = 1.5 m</t>
        </is>
      </c>
      <c r="E6" s="46" t="n">
        <v>9</v>
      </c>
      <c r="F6" s="46" t="n">
        <v>12</v>
      </c>
      <c r="G6" s="46" t="n">
        <v>15</v>
      </c>
      <c r="H6" s="46" t="n">
        <v>12</v>
      </c>
      <c r="I6" s="46" t="n">
        <v>12</v>
      </c>
      <c r="J6" s="46" t="n">
        <v>12</v>
      </c>
      <c r="K6" s="46" t="n">
        <v>12</v>
      </c>
      <c r="L6" s="46" t="n">
        <v>12</v>
      </c>
      <c r="M6" s="35">
        <f>IF(A6="","","#"&amp;A6)</f>
        <v/>
      </c>
    </row>
    <row r="7">
      <c r="A7" s="44" t="inlineStr">
        <is>
          <t>GLSE-2</t>
        </is>
      </c>
      <c r="B7" s="32" t="inlineStr">
        <is>
          <t>Metros de avance</t>
        </is>
      </c>
      <c r="C7" s="45">
        <f>IF($A7="","",SUM(E7:L7))</f>
        <v/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44" t="inlineStr">
        <is>
          <t>ESCM 4430</t>
        </is>
      </c>
      <c r="B8" s="32" t="inlineStr">
        <is>
          <t>Metros de avance</t>
        </is>
      </c>
      <c r="C8" s="45">
        <f>IF($A8="","",SUM(E8:L8))</f>
        <v/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44" t="inlineStr">
        <is>
          <t>ESCM 4410</t>
        </is>
      </c>
      <c r="B9" s="32" t="inlineStr">
        <is>
          <t>Metros de avance</t>
        </is>
      </c>
      <c r="C9" s="45">
        <f>IF($A9="","",SUM(E9:L9))</f>
        <v/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44" t="inlineStr">
        <is>
          <t>SN 5100 NW</t>
        </is>
      </c>
      <c r="B10" s="32" t="inlineStr">
        <is>
          <t>Metros de avance</t>
        </is>
      </c>
      <c r="C10" s="45">
        <f>IF($A10="","",SUM(E10:L10))</f>
        <v/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47" t="n"/>
      <c r="B11" s="32" t="n"/>
      <c r="C11" s="45">
        <f>IF($A11="","",SUM(E11:L11))</f>
        <v/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47" t="n"/>
      <c r="B12" s="32" t="n"/>
      <c r="C12" s="45">
        <f>IF($A12="","",SUM(E12:L12))</f>
        <v/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47" t="n"/>
      <c r="B13" s="32" t="n"/>
      <c r="C13" s="45">
        <f>IF($A13="","",SUM(E13:L13))</f>
        <v/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47" t="n"/>
      <c r="B14" s="32" t="n"/>
      <c r="C14" s="45">
        <f>IF($A14="","",SUM(E14:L14))</f>
        <v/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47" t="n"/>
      <c r="B15" s="32" t="n"/>
      <c r="C15" s="45">
        <f>IF($A15="","",SUM(E15:L15))</f>
        <v/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47" t="n"/>
      <c r="B16" s="32" t="n"/>
      <c r="C16" s="45">
        <f>IF($A16="","",SUM(E16:L16))</f>
        <v/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47" t="n"/>
      <c r="B17" s="32" t="n"/>
      <c r="C17" s="45">
        <f>IF($A17="","",SUM(E17:L17))</f>
        <v/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47" t="n"/>
      <c r="B18" s="32" t="n"/>
      <c r="C18" s="45">
        <f>IF($A18="","",SUM(E18:L18))</f>
        <v/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47" t="n"/>
      <c r="B19" s="32" t="n"/>
      <c r="C19" s="45">
        <f>IF($A19="","",SUM(E19:L19))</f>
        <v/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47" t="n"/>
      <c r="B20" s="32" t="n"/>
      <c r="C20" s="45">
        <f>IF($A20="","",SUM(E20:L20))</f>
        <v/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47" t="n"/>
      <c r="B21" s="32" t="n"/>
      <c r="C21" s="45">
        <f>IF($A21="","",SUM(E21:L21))</f>
        <v/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47" t="n"/>
      <c r="B22" s="32" t="n"/>
      <c r="C22" s="45">
        <f>IF($A22="","",SUM(E22:L22))</f>
        <v/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47" t="n"/>
      <c r="B23" s="32" t="n"/>
      <c r="C23" s="45">
        <f>IF($A23="","",SUM(E23:L23))</f>
        <v/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47" t="n"/>
      <c r="B24" s="32" t="n"/>
      <c r="C24" s="45">
        <f>IF($A24="","",SUM(E24:L24))</f>
        <v/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</sheetData>
  <mergeCells count="3">
    <mergeCell ref="A2:L2"/>
    <mergeCell ref="A3:B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P14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9" customWidth="1" min="4" max="4"/>
    <col width="14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5" max="15"/>
    <col hidden="1" width="13" customWidth="1" min="16" max="16"/>
  </cols>
  <sheetData>
    <row r="1" ht="26" customHeight="1">
      <c r="A1" s="1" t="inlineStr">
        <is>
          <t>PASO 3 — Estandar de consumo por metro de avance (BOM)</t>
        </is>
      </c>
    </row>
    <row r="2" ht="18" customHeight="1">
      <c r="A2" s="27" t="inlineStr">
        <is>
          <t>Una linea por combinacion FRENTE + MATERIAL. Columna E: cuanto material por CADA metro. Las columnas grises se calculan solas.</t>
        </is>
      </c>
    </row>
    <row r="3" ht="32" customHeight="1">
      <c r="A3" s="6" t="inlineStr">
        <is>
          <t>Frente / Actividad</t>
        </is>
      </c>
      <c r="B3" s="6" t="inlineStr">
        <is>
          <t>Codigo material</t>
        </is>
      </c>
      <c r="C3" s="6" t="inlineStr">
        <is>
          <t>Material (auto)</t>
        </is>
      </c>
      <c r="D3" s="6" t="inlineStr">
        <is>
          <t>Unidad (auto)</t>
        </is>
      </c>
      <c r="E3" s="6" t="inlineStr">
        <is>
          <t>Consumo por metro</t>
        </is>
      </c>
      <c r="F3" s="6" t="inlineStr">
        <is>
          <t>Notas / de donde sale el estandar</t>
        </is>
      </c>
      <c r="G3" s="6" t="inlineStr">
        <is>
          <t>Demanda Sem 1</t>
        </is>
      </c>
      <c r="H3" s="6" t="inlineStr">
        <is>
          <t>Demanda Sem 2</t>
        </is>
      </c>
      <c r="I3" s="6" t="inlineStr">
        <is>
          <t>Demanda Sem 3</t>
        </is>
      </c>
      <c r="J3" s="6" t="inlineStr">
        <is>
          <t>Demanda Sem 4</t>
        </is>
      </c>
      <c r="K3" s="6" t="inlineStr">
        <is>
          <t>Demanda Sem 5</t>
        </is>
      </c>
      <c r="L3" s="6" t="inlineStr">
        <is>
          <t>Demanda Sem 6</t>
        </is>
      </c>
      <c r="M3" s="6" t="inlineStr">
        <is>
          <t>Demanda Sem 7</t>
        </is>
      </c>
      <c r="N3" s="6" t="inlineStr">
        <is>
          <t>Demanda Sem 8</t>
        </is>
      </c>
      <c r="O3" s="6" t="inlineStr">
        <is>
          <t>clave mat</t>
        </is>
      </c>
      <c r="P3" s="6" t="inlineStr">
        <is>
          <t>clave frente</t>
        </is>
      </c>
    </row>
    <row r="4" ht="30" customHeight="1">
      <c r="A4" s="44" t="inlineStr">
        <is>
          <t>RA Brenda</t>
        </is>
      </c>
      <c r="B4" s="28" t="inlineStr">
        <is>
          <t>10-02-09-0001</t>
        </is>
      </c>
      <c r="C4" s="48">
        <f>IFERROR(INDEX(Materiales!$B$4:$B$66,MATCH("#"&amp;$B4,Materiales!$L$4:$L$66,0)),"")</f>
        <v/>
      </c>
      <c r="D4" s="49">
        <f>IFERROR(INDEX(Materiales!$C$4:$C$66,MATCH("#"&amp;$B4,Materiales!$L$4:$L$66,0)),"")</f>
        <v/>
      </c>
      <c r="E4" s="105">
        <f>1/1.5</f>
        <v/>
      </c>
      <c r="F4" s="29" t="inlineStr">
        <is>
          <t>DATO REAL: sostenimiento pesado, 1 juego de cimbra por disparo de 1.5 m  -&gt;  1 / 1.5</t>
        </is>
      </c>
      <c r="G4" s="45">
        <f>IF($B4="",0,$E4*SUMIF(Plan!$M$5:$M$24,"#"&amp;$A4,Plan!E$5:E$24))</f>
        <v/>
      </c>
      <c r="H4" s="45">
        <f>IF($B4="",0,$E4*SUMIF(Plan!$M$5:$M$24,"#"&amp;$A4,Plan!F$5:F$24))</f>
        <v/>
      </c>
      <c r="I4" s="45">
        <f>IF($B4="",0,$E4*SUMIF(Plan!$M$5:$M$24,"#"&amp;$A4,Plan!G$5:G$24))</f>
        <v/>
      </c>
      <c r="J4" s="45">
        <f>IF($B4="",0,$E4*SUMIF(Plan!$M$5:$M$24,"#"&amp;$A4,Plan!H$5:H$24))</f>
        <v/>
      </c>
      <c r="K4" s="45">
        <f>IF($B4="",0,$E4*SUMIF(Plan!$M$5:$M$24,"#"&amp;$A4,Plan!I$5:I$24))</f>
        <v/>
      </c>
      <c r="L4" s="45">
        <f>IF($B4="",0,$E4*SUMIF(Plan!$M$5:$M$24,"#"&amp;$A4,Plan!J$5:J$24))</f>
        <v/>
      </c>
      <c r="M4" s="45">
        <f>IF($B4="",0,$E4*SUMIF(Plan!$M$5:$M$24,"#"&amp;$A4,Plan!K$5:K$24))</f>
        <v/>
      </c>
      <c r="N4" s="45">
        <f>IF($B4="",0,$E4*SUMIF(Plan!$M$5:$M$24,"#"&amp;$A4,Plan!L$5:L$24))</f>
        <v/>
      </c>
      <c r="O4" s="35">
        <f>IF(B4="","","#"&amp;B4)</f>
        <v/>
      </c>
      <c r="P4" s="35">
        <f>IF(A4="","","#"&amp;A4)</f>
        <v/>
      </c>
    </row>
    <row r="5" ht="30" customHeight="1">
      <c r="A5" s="44" t="inlineStr">
        <is>
          <t>CRNE (Cortada Noreste)</t>
        </is>
      </c>
      <c r="B5" s="28" t="inlineStr">
        <is>
          <t>11-01-05-0004</t>
        </is>
      </c>
      <c r="C5" s="48">
        <f>IFERROR(INDEX(Materiales!$B$4:$B$66,MATCH("#"&amp;$B5,Materiales!$L$4:$L$66,0)),"")</f>
        <v/>
      </c>
      <c r="D5" s="49">
        <f>IFERROR(INDEX(Materiales!$C$4:$C$66,MATCH("#"&amp;$B5,Materiales!$L$4:$L$66,0)),"")</f>
        <v/>
      </c>
      <c r="E5" s="105">
        <f>11/1.5</f>
        <v/>
      </c>
      <c r="F5" s="29" t="inlineStr">
        <is>
          <t>DATO REAL: 11 pernos por disparo de 1.5 m, seccion 3.5 x 3.5 m  -&gt;  11 / 1.5</t>
        </is>
      </c>
      <c r="G5" s="45">
        <f>IF($B5="",0,$E5*SUMIF(Plan!$M$5:$M$24,"#"&amp;$A5,Plan!E$5:E$24))</f>
        <v/>
      </c>
      <c r="H5" s="45">
        <f>IF($B5="",0,$E5*SUMIF(Plan!$M$5:$M$24,"#"&amp;$A5,Plan!F$5:F$24))</f>
        <v/>
      </c>
      <c r="I5" s="45">
        <f>IF($B5="",0,$E5*SUMIF(Plan!$M$5:$M$24,"#"&amp;$A5,Plan!G$5:G$24))</f>
        <v/>
      </c>
      <c r="J5" s="45">
        <f>IF($B5="",0,$E5*SUMIF(Plan!$M$5:$M$24,"#"&amp;$A5,Plan!H$5:H$24))</f>
        <v/>
      </c>
      <c r="K5" s="45">
        <f>IF($B5="",0,$E5*SUMIF(Plan!$M$5:$M$24,"#"&amp;$A5,Plan!I$5:I$24))</f>
        <v/>
      </c>
      <c r="L5" s="45">
        <f>IF($B5="",0,$E5*SUMIF(Plan!$M$5:$M$24,"#"&amp;$A5,Plan!J$5:J$24))</f>
        <v/>
      </c>
      <c r="M5" s="45">
        <f>IF($B5="",0,$E5*SUMIF(Plan!$M$5:$M$24,"#"&amp;$A5,Plan!K$5:K$24))</f>
        <v/>
      </c>
      <c r="N5" s="45">
        <f>IF($B5="",0,$E5*SUMIF(Plan!$M$5:$M$24,"#"&amp;$A5,Plan!L$5:L$24))</f>
        <v/>
      </c>
      <c r="O5" s="35">
        <f>IF(B5="","","#"&amp;B5)</f>
        <v/>
      </c>
      <c r="P5" s="35">
        <f>IF(A5="","","#"&amp;A5)</f>
        <v/>
      </c>
    </row>
    <row r="6" ht="30" customHeight="1">
      <c r="A6" s="44" t="inlineStr">
        <is>
          <t>CRNE (Cortada Noreste)</t>
        </is>
      </c>
      <c r="B6" s="28" t="inlineStr">
        <is>
          <t>10-02-90-0006</t>
        </is>
      </c>
      <c r="C6" s="48">
        <f>IFERROR(INDEX(Materiales!$B$4:$B$66,MATCH("#"&amp;$B6,Materiales!$L$4:$L$66,0)),"")</f>
        <v/>
      </c>
      <c r="D6" s="49">
        <f>IFERROR(INDEX(Materiales!$C$4:$C$66,MATCH("#"&amp;$B6,Materiales!$L$4:$L$66,0)),"")</f>
        <v/>
      </c>
      <c r="E6" s="105">
        <f>1/2</f>
        <v/>
      </c>
      <c r="F6" s="29" t="inlineStr">
        <is>
          <t>DATO REAL: 1 malla cada 2 m de avance (las mallas traslapan 21 cm entre si)  -&gt;  1 / 2. PENDIENTE: confirmar si 1 malla = 1 JGO del maestro (rollo de 2.42 x 25 m) o un paño cortado del rollo. Ojo: 2.42 - 0.21 de traslape = 2.21 m, no 2.00 m.</t>
        </is>
      </c>
      <c r="G6" s="45">
        <f>IF($B6="",0,$E6*SUMIF(Plan!$M$5:$M$24,"#"&amp;$A6,Plan!E$5:E$24))</f>
        <v/>
      </c>
      <c r="H6" s="45">
        <f>IF($B6="",0,$E6*SUMIF(Plan!$M$5:$M$24,"#"&amp;$A6,Plan!F$5:F$24))</f>
        <v/>
      </c>
      <c r="I6" s="45">
        <f>IF($B6="",0,$E6*SUMIF(Plan!$M$5:$M$24,"#"&amp;$A6,Plan!G$5:G$24))</f>
        <v/>
      </c>
      <c r="J6" s="45">
        <f>IF($B6="",0,$E6*SUMIF(Plan!$M$5:$M$24,"#"&amp;$A6,Plan!H$5:H$24))</f>
        <v/>
      </c>
      <c r="K6" s="45">
        <f>IF($B6="",0,$E6*SUMIF(Plan!$M$5:$M$24,"#"&amp;$A6,Plan!I$5:I$24))</f>
        <v/>
      </c>
      <c r="L6" s="45">
        <f>IF($B6="",0,$E6*SUMIF(Plan!$M$5:$M$24,"#"&amp;$A6,Plan!J$5:J$24))</f>
        <v/>
      </c>
      <c r="M6" s="45">
        <f>IF($B6="",0,$E6*SUMIF(Plan!$M$5:$M$24,"#"&amp;$A6,Plan!K$5:K$24))</f>
        <v/>
      </c>
      <c r="N6" s="45">
        <f>IF($B6="",0,$E6*SUMIF(Plan!$M$5:$M$24,"#"&amp;$A6,Plan!L$5:L$24))</f>
        <v/>
      </c>
      <c r="O6" s="35">
        <f>IF(B6="","","#"&amp;B6)</f>
        <v/>
      </c>
      <c r="P6" s="35">
        <f>IF(A6="","","#"&amp;A6)</f>
        <v/>
      </c>
    </row>
    <row r="7" ht="30" customHeight="1">
      <c r="A7" s="51" t="inlineStr">
        <is>
          <t>CRNE (Cortada Noreste)</t>
        </is>
      </c>
      <c r="B7" s="52" t="inlineStr">
        <is>
          <t>01-03-90-0002</t>
        </is>
      </c>
      <c r="C7" s="48">
        <f>IFERROR(INDEX(Materiales!$B$4:$B$66,MATCH("#"&amp;$B7,Materiales!$L$4:$L$66,0)),"")</f>
        <v/>
      </c>
      <c r="D7" s="49">
        <f>IFERROR(INDEX(Materiales!$C$4:$C$66,MATCH("#"&amp;$B7,Materiales!$L$4:$L$66,0)),"")</f>
        <v/>
      </c>
      <c r="E7" s="106">
        <f>22/1.5</f>
        <v/>
      </c>
      <c r="F7" s="37" t="inlineStr">
        <is>
          <t>SUPUESTO — 2 cartuchos de resina por perno helicoidal (11 pernos x 2 = 22 por disparo). CONFIRMAR cuantos cartuchos usa realmente cada perno.</t>
        </is>
      </c>
      <c r="G7" s="45">
        <f>IF($B7="",0,$E7*SUMIF(Plan!$M$5:$M$24,"#"&amp;$A7,Plan!E$5:E$24))</f>
        <v/>
      </c>
      <c r="H7" s="45">
        <f>IF($B7="",0,$E7*SUMIF(Plan!$M$5:$M$24,"#"&amp;$A7,Plan!F$5:F$24))</f>
        <v/>
      </c>
      <c r="I7" s="45">
        <f>IF($B7="",0,$E7*SUMIF(Plan!$M$5:$M$24,"#"&amp;$A7,Plan!G$5:G$24))</f>
        <v/>
      </c>
      <c r="J7" s="45">
        <f>IF($B7="",0,$E7*SUMIF(Plan!$M$5:$M$24,"#"&amp;$A7,Plan!H$5:H$24))</f>
        <v/>
      </c>
      <c r="K7" s="45">
        <f>IF($B7="",0,$E7*SUMIF(Plan!$M$5:$M$24,"#"&amp;$A7,Plan!I$5:I$24))</f>
        <v/>
      </c>
      <c r="L7" s="45">
        <f>IF($B7="",0,$E7*SUMIF(Plan!$M$5:$M$24,"#"&amp;$A7,Plan!J$5:J$24))</f>
        <v/>
      </c>
      <c r="M7" s="45">
        <f>IF($B7="",0,$E7*SUMIF(Plan!$M$5:$M$24,"#"&amp;$A7,Plan!K$5:K$24))</f>
        <v/>
      </c>
      <c r="N7" s="45">
        <f>IF($B7="",0,$E7*SUMIF(Plan!$M$5:$M$24,"#"&amp;$A7,Plan!L$5:L$24))</f>
        <v/>
      </c>
      <c r="O7" s="35">
        <f>IF(B7="","","#"&amp;B7)</f>
        <v/>
      </c>
      <c r="P7" s="35">
        <f>IF(A7="","","#"&amp;A7)</f>
        <v/>
      </c>
    </row>
    <row r="8">
      <c r="A8" s="32" t="n"/>
      <c r="B8" s="54" t="n"/>
      <c r="C8" s="48">
        <f>IFERROR(INDEX(Materiales!$B$4:$B$66,MATCH("#"&amp;$B8,Materiales!$L$4:$L$66,0)),"")</f>
        <v/>
      </c>
      <c r="D8" s="49">
        <f>IFERROR(INDEX(Materiales!$C$4:$C$66,MATCH("#"&amp;$B8,Materiales!$L$4:$L$66,0)),"")</f>
        <v/>
      </c>
      <c r="E8" s="107" t="n"/>
      <c r="F8" s="32" t="n"/>
      <c r="G8" s="45">
        <f>IF($B8="",0,$E8*SUMIF(Plan!$M$5:$M$24,"#"&amp;$A8,Plan!E$5:E$24))</f>
        <v/>
      </c>
      <c r="H8" s="45">
        <f>IF($B8="",0,$E8*SUMIF(Plan!$M$5:$M$24,"#"&amp;$A8,Plan!F$5:F$24))</f>
        <v/>
      </c>
      <c r="I8" s="45">
        <f>IF($B8="",0,$E8*SUMIF(Plan!$M$5:$M$24,"#"&amp;$A8,Plan!G$5:G$24))</f>
        <v/>
      </c>
      <c r="J8" s="45">
        <f>IF($B8="",0,$E8*SUMIF(Plan!$M$5:$M$24,"#"&amp;$A8,Plan!H$5:H$24))</f>
        <v/>
      </c>
      <c r="K8" s="45">
        <f>IF($B8="",0,$E8*SUMIF(Plan!$M$5:$M$24,"#"&amp;$A8,Plan!I$5:I$24))</f>
        <v/>
      </c>
      <c r="L8" s="45">
        <f>IF($B8="",0,$E8*SUMIF(Plan!$M$5:$M$24,"#"&amp;$A8,Plan!J$5:J$24))</f>
        <v/>
      </c>
      <c r="M8" s="45">
        <f>IF($B8="",0,$E8*SUMIF(Plan!$M$5:$M$24,"#"&amp;$A8,Plan!K$5:K$24))</f>
        <v/>
      </c>
      <c r="N8" s="45">
        <f>IF($B8="",0,$E8*SUMIF(Plan!$M$5:$M$24,"#"&amp;$A8,Plan!L$5:L$24))</f>
        <v/>
      </c>
      <c r="O8" s="35">
        <f>IF(B8="","","#"&amp;B8)</f>
        <v/>
      </c>
      <c r="P8" s="35">
        <f>IF(A8="","","#"&amp;A8)</f>
        <v/>
      </c>
    </row>
    <row r="9">
      <c r="A9" s="32" t="n"/>
      <c r="B9" s="54" t="n"/>
      <c r="C9" s="48">
        <f>IFERROR(INDEX(Materiales!$B$4:$B$66,MATCH("#"&amp;$B9,Materiales!$L$4:$L$66,0)),"")</f>
        <v/>
      </c>
      <c r="D9" s="49">
        <f>IFERROR(INDEX(Materiales!$C$4:$C$66,MATCH("#"&amp;$B9,Materiales!$L$4:$L$66,0)),"")</f>
        <v/>
      </c>
      <c r="E9" s="107" t="n"/>
      <c r="F9" s="32" t="n"/>
      <c r="G9" s="45">
        <f>IF($B9="",0,$E9*SUMIF(Plan!$M$5:$M$24,"#"&amp;$A9,Plan!E$5:E$24))</f>
        <v/>
      </c>
      <c r="H9" s="45">
        <f>IF($B9="",0,$E9*SUMIF(Plan!$M$5:$M$24,"#"&amp;$A9,Plan!F$5:F$24))</f>
        <v/>
      </c>
      <c r="I9" s="45">
        <f>IF($B9="",0,$E9*SUMIF(Plan!$M$5:$M$24,"#"&amp;$A9,Plan!G$5:G$24))</f>
        <v/>
      </c>
      <c r="J9" s="45">
        <f>IF($B9="",0,$E9*SUMIF(Plan!$M$5:$M$24,"#"&amp;$A9,Plan!H$5:H$24))</f>
        <v/>
      </c>
      <c r="K9" s="45">
        <f>IF($B9="",0,$E9*SUMIF(Plan!$M$5:$M$24,"#"&amp;$A9,Plan!I$5:I$24))</f>
        <v/>
      </c>
      <c r="L9" s="45">
        <f>IF($B9="",0,$E9*SUMIF(Plan!$M$5:$M$24,"#"&amp;$A9,Plan!J$5:J$24))</f>
        <v/>
      </c>
      <c r="M9" s="45">
        <f>IF($B9="",0,$E9*SUMIF(Plan!$M$5:$M$24,"#"&amp;$A9,Plan!K$5:K$24))</f>
        <v/>
      </c>
      <c r="N9" s="45">
        <f>IF($B9="",0,$E9*SUMIF(Plan!$M$5:$M$24,"#"&amp;$A9,Plan!L$5:L$24))</f>
        <v/>
      </c>
      <c r="O9" s="35">
        <f>IF(B9="","","#"&amp;B9)</f>
        <v/>
      </c>
      <c r="P9" s="35">
        <f>IF(A9="","","#"&amp;A9)</f>
        <v/>
      </c>
    </row>
    <row r="10">
      <c r="A10" s="32" t="n"/>
      <c r="B10" s="54" t="n"/>
      <c r="C10" s="48">
        <f>IFERROR(INDEX(Materiales!$B$4:$B$66,MATCH("#"&amp;$B10,Materiales!$L$4:$L$66,0)),"")</f>
        <v/>
      </c>
      <c r="D10" s="49">
        <f>IFERROR(INDEX(Materiales!$C$4:$C$66,MATCH("#"&amp;$B10,Materiales!$L$4:$L$66,0)),"")</f>
        <v/>
      </c>
      <c r="E10" s="107" t="n"/>
      <c r="F10" s="32" t="n"/>
      <c r="G10" s="45">
        <f>IF($B10="",0,$E10*SUMIF(Plan!$M$5:$M$24,"#"&amp;$A10,Plan!E$5:E$24))</f>
        <v/>
      </c>
      <c r="H10" s="45">
        <f>IF($B10="",0,$E10*SUMIF(Plan!$M$5:$M$24,"#"&amp;$A10,Plan!F$5:F$24))</f>
        <v/>
      </c>
      <c r="I10" s="45">
        <f>IF($B10="",0,$E10*SUMIF(Plan!$M$5:$M$24,"#"&amp;$A10,Plan!G$5:G$24))</f>
        <v/>
      </c>
      <c r="J10" s="45">
        <f>IF($B10="",0,$E10*SUMIF(Plan!$M$5:$M$24,"#"&amp;$A10,Plan!H$5:H$24))</f>
        <v/>
      </c>
      <c r="K10" s="45">
        <f>IF($B10="",0,$E10*SUMIF(Plan!$M$5:$M$24,"#"&amp;$A10,Plan!I$5:I$24))</f>
        <v/>
      </c>
      <c r="L10" s="45">
        <f>IF($B10="",0,$E10*SUMIF(Plan!$M$5:$M$24,"#"&amp;$A10,Plan!J$5:J$24))</f>
        <v/>
      </c>
      <c r="M10" s="45">
        <f>IF($B10="",0,$E10*SUMIF(Plan!$M$5:$M$24,"#"&amp;$A10,Plan!K$5:K$24))</f>
        <v/>
      </c>
      <c r="N10" s="45">
        <f>IF($B10="",0,$E10*SUMIF(Plan!$M$5:$M$24,"#"&amp;$A10,Plan!L$5:L$24))</f>
        <v/>
      </c>
      <c r="O10" s="35">
        <f>IF(B10="","","#"&amp;B10)</f>
        <v/>
      </c>
      <c r="P10" s="35">
        <f>IF(A10="","","#"&amp;A10)</f>
        <v/>
      </c>
    </row>
    <row r="11">
      <c r="A11" s="32" t="n"/>
      <c r="B11" s="54" t="n"/>
      <c r="C11" s="48">
        <f>IFERROR(INDEX(Materiales!$B$4:$B$66,MATCH("#"&amp;$B11,Materiales!$L$4:$L$66,0)),"")</f>
        <v/>
      </c>
      <c r="D11" s="49">
        <f>IFERROR(INDEX(Materiales!$C$4:$C$66,MATCH("#"&amp;$B11,Materiales!$L$4:$L$66,0)),"")</f>
        <v/>
      </c>
      <c r="E11" s="107" t="n"/>
      <c r="F11" s="32" t="n"/>
      <c r="G11" s="45">
        <f>IF($B11="",0,$E11*SUMIF(Plan!$M$5:$M$24,"#"&amp;$A11,Plan!E$5:E$24))</f>
        <v/>
      </c>
      <c r="H11" s="45">
        <f>IF($B11="",0,$E11*SUMIF(Plan!$M$5:$M$24,"#"&amp;$A11,Plan!F$5:F$24))</f>
        <v/>
      </c>
      <c r="I11" s="45">
        <f>IF($B11="",0,$E11*SUMIF(Plan!$M$5:$M$24,"#"&amp;$A11,Plan!G$5:G$24))</f>
        <v/>
      </c>
      <c r="J11" s="45">
        <f>IF($B11="",0,$E11*SUMIF(Plan!$M$5:$M$24,"#"&amp;$A11,Plan!H$5:H$24))</f>
        <v/>
      </c>
      <c r="K11" s="45">
        <f>IF($B11="",0,$E11*SUMIF(Plan!$M$5:$M$24,"#"&amp;$A11,Plan!I$5:I$24))</f>
        <v/>
      </c>
      <c r="L11" s="45">
        <f>IF($B11="",0,$E11*SUMIF(Plan!$M$5:$M$24,"#"&amp;$A11,Plan!J$5:J$24))</f>
        <v/>
      </c>
      <c r="M11" s="45">
        <f>IF($B11="",0,$E11*SUMIF(Plan!$M$5:$M$24,"#"&amp;$A11,Plan!K$5:K$24))</f>
        <v/>
      </c>
      <c r="N11" s="45">
        <f>IF($B11="",0,$E11*SUMIF(Plan!$M$5:$M$24,"#"&amp;$A11,Plan!L$5:L$24))</f>
        <v/>
      </c>
      <c r="O11" s="35">
        <f>IF(B11="","","#"&amp;B11)</f>
        <v/>
      </c>
      <c r="P11" s="35">
        <f>IF(A11="","","#"&amp;A11)</f>
        <v/>
      </c>
    </row>
    <row r="12">
      <c r="A12" s="32" t="n"/>
      <c r="B12" s="54" t="n"/>
      <c r="C12" s="48">
        <f>IFERROR(INDEX(Materiales!$B$4:$B$66,MATCH("#"&amp;$B12,Materiales!$L$4:$L$66,0)),"")</f>
        <v/>
      </c>
      <c r="D12" s="49">
        <f>IFERROR(INDEX(Materiales!$C$4:$C$66,MATCH("#"&amp;$B12,Materiales!$L$4:$L$66,0)),"")</f>
        <v/>
      </c>
      <c r="E12" s="107" t="n"/>
      <c r="F12" s="32" t="n"/>
      <c r="G12" s="45">
        <f>IF($B12="",0,$E12*SUMIF(Plan!$M$5:$M$24,"#"&amp;$A12,Plan!E$5:E$24))</f>
        <v/>
      </c>
      <c r="H12" s="45">
        <f>IF($B12="",0,$E12*SUMIF(Plan!$M$5:$M$24,"#"&amp;$A12,Plan!F$5:F$24))</f>
        <v/>
      </c>
      <c r="I12" s="45">
        <f>IF($B12="",0,$E12*SUMIF(Plan!$M$5:$M$24,"#"&amp;$A12,Plan!G$5:G$24))</f>
        <v/>
      </c>
      <c r="J12" s="45">
        <f>IF($B12="",0,$E12*SUMIF(Plan!$M$5:$M$24,"#"&amp;$A12,Plan!H$5:H$24))</f>
        <v/>
      </c>
      <c r="K12" s="45">
        <f>IF($B12="",0,$E12*SUMIF(Plan!$M$5:$M$24,"#"&amp;$A12,Plan!I$5:I$24))</f>
        <v/>
      </c>
      <c r="L12" s="45">
        <f>IF($B12="",0,$E12*SUMIF(Plan!$M$5:$M$24,"#"&amp;$A12,Plan!J$5:J$24))</f>
        <v/>
      </c>
      <c r="M12" s="45">
        <f>IF($B12="",0,$E12*SUMIF(Plan!$M$5:$M$24,"#"&amp;$A12,Plan!K$5:K$24))</f>
        <v/>
      </c>
      <c r="N12" s="45">
        <f>IF($B12="",0,$E12*SUMIF(Plan!$M$5:$M$24,"#"&amp;$A12,Plan!L$5:L$24))</f>
        <v/>
      </c>
      <c r="O12" s="35">
        <f>IF(B12="","","#"&amp;B12)</f>
        <v/>
      </c>
      <c r="P12" s="35">
        <f>IF(A12="","","#"&amp;A12)</f>
        <v/>
      </c>
    </row>
    <row r="13">
      <c r="A13" s="32" t="n"/>
      <c r="B13" s="54" t="n"/>
      <c r="C13" s="48">
        <f>IFERROR(INDEX(Materiales!$B$4:$B$66,MATCH("#"&amp;$B13,Materiales!$L$4:$L$66,0)),"")</f>
        <v/>
      </c>
      <c r="D13" s="49">
        <f>IFERROR(INDEX(Materiales!$C$4:$C$66,MATCH("#"&amp;$B13,Materiales!$L$4:$L$66,0)),"")</f>
        <v/>
      </c>
      <c r="E13" s="107" t="n"/>
      <c r="F13" s="32" t="n"/>
      <c r="G13" s="45">
        <f>IF($B13="",0,$E13*SUMIF(Plan!$M$5:$M$24,"#"&amp;$A13,Plan!E$5:E$24))</f>
        <v/>
      </c>
      <c r="H13" s="45">
        <f>IF($B13="",0,$E13*SUMIF(Plan!$M$5:$M$24,"#"&amp;$A13,Plan!F$5:F$24))</f>
        <v/>
      </c>
      <c r="I13" s="45">
        <f>IF($B13="",0,$E13*SUMIF(Plan!$M$5:$M$24,"#"&amp;$A13,Plan!G$5:G$24))</f>
        <v/>
      </c>
      <c r="J13" s="45">
        <f>IF($B13="",0,$E13*SUMIF(Plan!$M$5:$M$24,"#"&amp;$A13,Plan!H$5:H$24))</f>
        <v/>
      </c>
      <c r="K13" s="45">
        <f>IF($B13="",0,$E13*SUMIF(Plan!$M$5:$M$24,"#"&amp;$A13,Plan!I$5:I$24))</f>
        <v/>
      </c>
      <c r="L13" s="45">
        <f>IF($B13="",0,$E13*SUMIF(Plan!$M$5:$M$24,"#"&amp;$A13,Plan!J$5:J$24))</f>
        <v/>
      </c>
      <c r="M13" s="45">
        <f>IF($B13="",0,$E13*SUMIF(Plan!$M$5:$M$24,"#"&amp;$A13,Plan!K$5:K$24))</f>
        <v/>
      </c>
      <c r="N13" s="45">
        <f>IF($B13="",0,$E13*SUMIF(Plan!$M$5:$M$24,"#"&amp;$A13,Plan!L$5:L$24))</f>
        <v/>
      </c>
      <c r="O13" s="35">
        <f>IF(B13="","","#"&amp;B13)</f>
        <v/>
      </c>
      <c r="P13" s="35">
        <f>IF(A13="","","#"&amp;A13)</f>
        <v/>
      </c>
    </row>
    <row r="14">
      <c r="A14" s="32" t="n"/>
      <c r="B14" s="54" t="n"/>
      <c r="C14" s="48">
        <f>IFERROR(INDEX(Materiales!$B$4:$B$66,MATCH("#"&amp;$B14,Materiales!$L$4:$L$66,0)),"")</f>
        <v/>
      </c>
      <c r="D14" s="49">
        <f>IFERROR(INDEX(Materiales!$C$4:$C$66,MATCH("#"&amp;$B14,Materiales!$L$4:$L$66,0)),"")</f>
        <v/>
      </c>
      <c r="E14" s="107" t="n"/>
      <c r="F14" s="32" t="n"/>
      <c r="G14" s="45">
        <f>IF($B14="",0,$E14*SUMIF(Plan!$M$5:$M$24,"#"&amp;$A14,Plan!E$5:E$24))</f>
        <v/>
      </c>
      <c r="H14" s="45">
        <f>IF($B14="",0,$E14*SUMIF(Plan!$M$5:$M$24,"#"&amp;$A14,Plan!F$5:F$24))</f>
        <v/>
      </c>
      <c r="I14" s="45">
        <f>IF($B14="",0,$E14*SUMIF(Plan!$M$5:$M$24,"#"&amp;$A14,Plan!G$5:G$24))</f>
        <v/>
      </c>
      <c r="J14" s="45">
        <f>IF($B14="",0,$E14*SUMIF(Plan!$M$5:$M$24,"#"&amp;$A14,Plan!H$5:H$24))</f>
        <v/>
      </c>
      <c r="K14" s="45">
        <f>IF($B14="",0,$E14*SUMIF(Plan!$M$5:$M$24,"#"&amp;$A14,Plan!I$5:I$24))</f>
        <v/>
      </c>
      <c r="L14" s="45">
        <f>IF($B14="",0,$E14*SUMIF(Plan!$M$5:$M$24,"#"&amp;$A14,Plan!J$5:J$24))</f>
        <v/>
      </c>
      <c r="M14" s="45">
        <f>IF($B14="",0,$E14*SUMIF(Plan!$M$5:$M$24,"#"&amp;$A14,Plan!K$5:K$24))</f>
        <v/>
      </c>
      <c r="N14" s="45">
        <f>IF($B14="",0,$E14*SUMIF(Plan!$M$5:$M$24,"#"&amp;$A14,Plan!L$5:L$24))</f>
        <v/>
      </c>
      <c r="O14" s="35">
        <f>IF(B14="","","#"&amp;B14)</f>
        <v/>
      </c>
      <c r="P14" s="35">
        <f>IF(A14="","","#"&amp;A14)</f>
        <v/>
      </c>
    </row>
    <row r="15">
      <c r="A15" s="32" t="n"/>
      <c r="B15" s="54" t="n"/>
      <c r="C15" s="48">
        <f>IFERROR(INDEX(Materiales!$B$4:$B$66,MATCH("#"&amp;$B15,Materiales!$L$4:$L$66,0)),"")</f>
        <v/>
      </c>
      <c r="D15" s="49">
        <f>IFERROR(INDEX(Materiales!$C$4:$C$66,MATCH("#"&amp;$B15,Materiales!$L$4:$L$66,0)),"")</f>
        <v/>
      </c>
      <c r="E15" s="107" t="n"/>
      <c r="F15" s="32" t="n"/>
      <c r="G15" s="45">
        <f>IF($B15="",0,$E15*SUMIF(Plan!$M$5:$M$24,"#"&amp;$A15,Plan!E$5:E$24))</f>
        <v/>
      </c>
      <c r="H15" s="45">
        <f>IF($B15="",0,$E15*SUMIF(Plan!$M$5:$M$24,"#"&amp;$A15,Plan!F$5:F$24))</f>
        <v/>
      </c>
      <c r="I15" s="45">
        <f>IF($B15="",0,$E15*SUMIF(Plan!$M$5:$M$24,"#"&amp;$A15,Plan!G$5:G$24))</f>
        <v/>
      </c>
      <c r="J15" s="45">
        <f>IF($B15="",0,$E15*SUMIF(Plan!$M$5:$M$24,"#"&amp;$A15,Plan!H$5:H$24))</f>
        <v/>
      </c>
      <c r="K15" s="45">
        <f>IF($B15="",0,$E15*SUMIF(Plan!$M$5:$M$24,"#"&amp;$A15,Plan!I$5:I$24))</f>
        <v/>
      </c>
      <c r="L15" s="45">
        <f>IF($B15="",0,$E15*SUMIF(Plan!$M$5:$M$24,"#"&amp;$A15,Plan!J$5:J$24))</f>
        <v/>
      </c>
      <c r="M15" s="45">
        <f>IF($B15="",0,$E15*SUMIF(Plan!$M$5:$M$24,"#"&amp;$A15,Plan!K$5:K$24))</f>
        <v/>
      </c>
      <c r="N15" s="45">
        <f>IF($B15="",0,$E15*SUMIF(Plan!$M$5:$M$24,"#"&amp;$A15,Plan!L$5:L$24))</f>
        <v/>
      </c>
      <c r="O15" s="35">
        <f>IF(B15="","","#"&amp;B15)</f>
        <v/>
      </c>
      <c r="P15" s="35">
        <f>IF(A15="","","#"&amp;A15)</f>
        <v/>
      </c>
    </row>
    <row r="16">
      <c r="A16" s="32" t="n"/>
      <c r="B16" s="54" t="n"/>
      <c r="C16" s="48">
        <f>IFERROR(INDEX(Materiales!$B$4:$B$66,MATCH("#"&amp;$B16,Materiales!$L$4:$L$66,0)),"")</f>
        <v/>
      </c>
      <c r="D16" s="49">
        <f>IFERROR(INDEX(Materiales!$C$4:$C$66,MATCH("#"&amp;$B16,Materiales!$L$4:$L$66,0)),"")</f>
        <v/>
      </c>
      <c r="E16" s="107" t="n"/>
      <c r="F16" s="32" t="n"/>
      <c r="G16" s="45">
        <f>IF($B16="",0,$E16*SUMIF(Plan!$M$5:$M$24,"#"&amp;$A16,Plan!E$5:E$24))</f>
        <v/>
      </c>
      <c r="H16" s="45">
        <f>IF($B16="",0,$E16*SUMIF(Plan!$M$5:$M$24,"#"&amp;$A16,Plan!F$5:F$24))</f>
        <v/>
      </c>
      <c r="I16" s="45">
        <f>IF($B16="",0,$E16*SUMIF(Plan!$M$5:$M$24,"#"&amp;$A16,Plan!G$5:G$24))</f>
        <v/>
      </c>
      <c r="J16" s="45">
        <f>IF($B16="",0,$E16*SUMIF(Plan!$M$5:$M$24,"#"&amp;$A16,Plan!H$5:H$24))</f>
        <v/>
      </c>
      <c r="K16" s="45">
        <f>IF($B16="",0,$E16*SUMIF(Plan!$M$5:$M$24,"#"&amp;$A16,Plan!I$5:I$24))</f>
        <v/>
      </c>
      <c r="L16" s="45">
        <f>IF($B16="",0,$E16*SUMIF(Plan!$M$5:$M$24,"#"&amp;$A16,Plan!J$5:J$24))</f>
        <v/>
      </c>
      <c r="M16" s="45">
        <f>IF($B16="",0,$E16*SUMIF(Plan!$M$5:$M$24,"#"&amp;$A16,Plan!K$5:K$24))</f>
        <v/>
      </c>
      <c r="N16" s="45">
        <f>IF($B16="",0,$E16*SUMIF(Plan!$M$5:$M$24,"#"&amp;$A16,Plan!L$5:L$24))</f>
        <v/>
      </c>
      <c r="O16" s="35">
        <f>IF(B16="","","#"&amp;B16)</f>
        <v/>
      </c>
      <c r="P16" s="35">
        <f>IF(A16="","","#"&amp;A16)</f>
        <v/>
      </c>
    </row>
    <row r="17">
      <c r="A17" s="32" t="n"/>
      <c r="B17" s="54" t="n"/>
      <c r="C17" s="48">
        <f>IFERROR(INDEX(Materiales!$B$4:$B$66,MATCH("#"&amp;$B17,Materiales!$L$4:$L$66,0)),"")</f>
        <v/>
      </c>
      <c r="D17" s="49">
        <f>IFERROR(INDEX(Materiales!$C$4:$C$66,MATCH("#"&amp;$B17,Materiales!$L$4:$L$66,0)),"")</f>
        <v/>
      </c>
      <c r="E17" s="107" t="n"/>
      <c r="F17" s="32" t="n"/>
      <c r="G17" s="45">
        <f>IF($B17="",0,$E17*SUMIF(Plan!$M$5:$M$24,"#"&amp;$A17,Plan!E$5:E$24))</f>
        <v/>
      </c>
      <c r="H17" s="45">
        <f>IF($B17="",0,$E17*SUMIF(Plan!$M$5:$M$24,"#"&amp;$A17,Plan!F$5:F$24))</f>
        <v/>
      </c>
      <c r="I17" s="45">
        <f>IF($B17="",0,$E17*SUMIF(Plan!$M$5:$M$24,"#"&amp;$A17,Plan!G$5:G$24))</f>
        <v/>
      </c>
      <c r="J17" s="45">
        <f>IF($B17="",0,$E17*SUMIF(Plan!$M$5:$M$24,"#"&amp;$A17,Plan!H$5:H$24))</f>
        <v/>
      </c>
      <c r="K17" s="45">
        <f>IF($B17="",0,$E17*SUMIF(Plan!$M$5:$M$24,"#"&amp;$A17,Plan!I$5:I$24))</f>
        <v/>
      </c>
      <c r="L17" s="45">
        <f>IF($B17="",0,$E17*SUMIF(Plan!$M$5:$M$24,"#"&amp;$A17,Plan!J$5:J$24))</f>
        <v/>
      </c>
      <c r="M17" s="45">
        <f>IF($B17="",0,$E17*SUMIF(Plan!$M$5:$M$24,"#"&amp;$A17,Plan!K$5:K$24))</f>
        <v/>
      </c>
      <c r="N17" s="45">
        <f>IF($B17="",0,$E17*SUMIF(Plan!$M$5:$M$24,"#"&amp;$A17,Plan!L$5:L$24))</f>
        <v/>
      </c>
      <c r="O17" s="35">
        <f>IF(B17="","","#"&amp;B17)</f>
        <v/>
      </c>
      <c r="P17" s="35">
        <f>IF(A17="","","#"&amp;A17)</f>
        <v/>
      </c>
    </row>
    <row r="18">
      <c r="A18" s="32" t="n"/>
      <c r="B18" s="54" t="n"/>
      <c r="C18" s="48">
        <f>IFERROR(INDEX(Materiales!$B$4:$B$66,MATCH("#"&amp;$B18,Materiales!$L$4:$L$66,0)),"")</f>
        <v/>
      </c>
      <c r="D18" s="49">
        <f>IFERROR(INDEX(Materiales!$C$4:$C$66,MATCH("#"&amp;$B18,Materiales!$L$4:$L$66,0)),"")</f>
        <v/>
      </c>
      <c r="E18" s="107" t="n"/>
      <c r="F18" s="32" t="n"/>
      <c r="G18" s="45">
        <f>IF($B18="",0,$E18*SUMIF(Plan!$M$5:$M$24,"#"&amp;$A18,Plan!E$5:E$24))</f>
        <v/>
      </c>
      <c r="H18" s="45">
        <f>IF($B18="",0,$E18*SUMIF(Plan!$M$5:$M$24,"#"&amp;$A18,Plan!F$5:F$24))</f>
        <v/>
      </c>
      <c r="I18" s="45">
        <f>IF($B18="",0,$E18*SUMIF(Plan!$M$5:$M$24,"#"&amp;$A18,Plan!G$5:G$24))</f>
        <v/>
      </c>
      <c r="J18" s="45">
        <f>IF($B18="",0,$E18*SUMIF(Plan!$M$5:$M$24,"#"&amp;$A18,Plan!H$5:H$24))</f>
        <v/>
      </c>
      <c r="K18" s="45">
        <f>IF($B18="",0,$E18*SUMIF(Plan!$M$5:$M$24,"#"&amp;$A18,Plan!I$5:I$24))</f>
        <v/>
      </c>
      <c r="L18" s="45">
        <f>IF($B18="",0,$E18*SUMIF(Plan!$M$5:$M$24,"#"&amp;$A18,Plan!J$5:J$24))</f>
        <v/>
      </c>
      <c r="M18" s="45">
        <f>IF($B18="",0,$E18*SUMIF(Plan!$M$5:$M$24,"#"&amp;$A18,Plan!K$5:K$24))</f>
        <v/>
      </c>
      <c r="N18" s="45">
        <f>IF($B18="",0,$E18*SUMIF(Plan!$M$5:$M$24,"#"&amp;$A18,Plan!L$5:L$24))</f>
        <v/>
      </c>
      <c r="O18" s="35">
        <f>IF(B18="","","#"&amp;B18)</f>
        <v/>
      </c>
      <c r="P18" s="35">
        <f>IF(A18="","","#"&amp;A18)</f>
        <v/>
      </c>
    </row>
    <row r="19">
      <c r="A19" s="32" t="n"/>
      <c r="B19" s="54" t="n"/>
      <c r="C19" s="48">
        <f>IFERROR(INDEX(Materiales!$B$4:$B$66,MATCH("#"&amp;$B19,Materiales!$L$4:$L$66,0)),"")</f>
        <v/>
      </c>
      <c r="D19" s="49">
        <f>IFERROR(INDEX(Materiales!$C$4:$C$66,MATCH("#"&amp;$B19,Materiales!$L$4:$L$66,0)),"")</f>
        <v/>
      </c>
      <c r="E19" s="107" t="n"/>
      <c r="F19" s="32" t="n"/>
      <c r="G19" s="45">
        <f>IF($B19="",0,$E19*SUMIF(Plan!$M$5:$M$24,"#"&amp;$A19,Plan!E$5:E$24))</f>
        <v/>
      </c>
      <c r="H19" s="45">
        <f>IF($B19="",0,$E19*SUMIF(Plan!$M$5:$M$24,"#"&amp;$A19,Plan!F$5:F$24))</f>
        <v/>
      </c>
      <c r="I19" s="45">
        <f>IF($B19="",0,$E19*SUMIF(Plan!$M$5:$M$24,"#"&amp;$A19,Plan!G$5:G$24))</f>
        <v/>
      </c>
      <c r="J19" s="45">
        <f>IF($B19="",0,$E19*SUMIF(Plan!$M$5:$M$24,"#"&amp;$A19,Plan!H$5:H$24))</f>
        <v/>
      </c>
      <c r="K19" s="45">
        <f>IF($B19="",0,$E19*SUMIF(Plan!$M$5:$M$24,"#"&amp;$A19,Plan!I$5:I$24))</f>
        <v/>
      </c>
      <c r="L19" s="45">
        <f>IF($B19="",0,$E19*SUMIF(Plan!$M$5:$M$24,"#"&amp;$A19,Plan!J$5:J$24))</f>
        <v/>
      </c>
      <c r="M19" s="45">
        <f>IF($B19="",0,$E19*SUMIF(Plan!$M$5:$M$24,"#"&amp;$A19,Plan!K$5:K$24))</f>
        <v/>
      </c>
      <c r="N19" s="45">
        <f>IF($B19="",0,$E19*SUMIF(Plan!$M$5:$M$24,"#"&amp;$A19,Plan!L$5:L$24))</f>
        <v/>
      </c>
      <c r="O19" s="35">
        <f>IF(B19="","","#"&amp;B19)</f>
        <v/>
      </c>
      <c r="P19" s="35">
        <f>IF(A19="","","#"&amp;A19)</f>
        <v/>
      </c>
    </row>
    <row r="20">
      <c r="A20" s="32" t="n"/>
      <c r="B20" s="54" t="n"/>
      <c r="C20" s="48">
        <f>IFERROR(INDEX(Materiales!$B$4:$B$66,MATCH("#"&amp;$B20,Materiales!$L$4:$L$66,0)),"")</f>
        <v/>
      </c>
      <c r="D20" s="49">
        <f>IFERROR(INDEX(Materiales!$C$4:$C$66,MATCH("#"&amp;$B20,Materiales!$L$4:$L$66,0)),"")</f>
        <v/>
      </c>
      <c r="E20" s="107" t="n"/>
      <c r="F20" s="32" t="n"/>
      <c r="G20" s="45">
        <f>IF($B20="",0,$E20*SUMIF(Plan!$M$5:$M$24,"#"&amp;$A20,Plan!E$5:E$24))</f>
        <v/>
      </c>
      <c r="H20" s="45">
        <f>IF($B20="",0,$E20*SUMIF(Plan!$M$5:$M$24,"#"&amp;$A20,Plan!F$5:F$24))</f>
        <v/>
      </c>
      <c r="I20" s="45">
        <f>IF($B20="",0,$E20*SUMIF(Plan!$M$5:$M$24,"#"&amp;$A20,Plan!G$5:G$24))</f>
        <v/>
      </c>
      <c r="J20" s="45">
        <f>IF($B20="",0,$E20*SUMIF(Plan!$M$5:$M$24,"#"&amp;$A20,Plan!H$5:H$24))</f>
        <v/>
      </c>
      <c r="K20" s="45">
        <f>IF($B20="",0,$E20*SUMIF(Plan!$M$5:$M$24,"#"&amp;$A20,Plan!I$5:I$24))</f>
        <v/>
      </c>
      <c r="L20" s="45">
        <f>IF($B20="",0,$E20*SUMIF(Plan!$M$5:$M$24,"#"&amp;$A20,Plan!J$5:J$24))</f>
        <v/>
      </c>
      <c r="M20" s="45">
        <f>IF($B20="",0,$E20*SUMIF(Plan!$M$5:$M$24,"#"&amp;$A20,Plan!K$5:K$24))</f>
        <v/>
      </c>
      <c r="N20" s="45">
        <f>IF($B20="",0,$E20*SUMIF(Plan!$M$5:$M$24,"#"&amp;$A20,Plan!L$5:L$24))</f>
        <v/>
      </c>
      <c r="O20" s="35">
        <f>IF(B20="","","#"&amp;B20)</f>
        <v/>
      </c>
      <c r="P20" s="35">
        <f>IF(A20="","","#"&amp;A20)</f>
        <v/>
      </c>
    </row>
    <row r="21">
      <c r="A21" s="32" t="n"/>
      <c r="B21" s="54" t="n"/>
      <c r="C21" s="48">
        <f>IFERROR(INDEX(Materiales!$B$4:$B$66,MATCH("#"&amp;$B21,Materiales!$L$4:$L$66,0)),"")</f>
        <v/>
      </c>
      <c r="D21" s="49">
        <f>IFERROR(INDEX(Materiales!$C$4:$C$66,MATCH("#"&amp;$B21,Materiales!$L$4:$L$66,0)),"")</f>
        <v/>
      </c>
      <c r="E21" s="107" t="n"/>
      <c r="F21" s="32" t="n"/>
      <c r="G21" s="45">
        <f>IF($B21="",0,$E21*SUMIF(Plan!$M$5:$M$24,"#"&amp;$A21,Plan!E$5:E$24))</f>
        <v/>
      </c>
      <c r="H21" s="45">
        <f>IF($B21="",0,$E21*SUMIF(Plan!$M$5:$M$24,"#"&amp;$A21,Plan!F$5:F$24))</f>
        <v/>
      </c>
      <c r="I21" s="45">
        <f>IF($B21="",0,$E21*SUMIF(Plan!$M$5:$M$24,"#"&amp;$A21,Plan!G$5:G$24))</f>
        <v/>
      </c>
      <c r="J21" s="45">
        <f>IF($B21="",0,$E21*SUMIF(Plan!$M$5:$M$24,"#"&amp;$A21,Plan!H$5:H$24))</f>
        <v/>
      </c>
      <c r="K21" s="45">
        <f>IF($B21="",0,$E21*SUMIF(Plan!$M$5:$M$24,"#"&amp;$A21,Plan!I$5:I$24))</f>
        <v/>
      </c>
      <c r="L21" s="45">
        <f>IF($B21="",0,$E21*SUMIF(Plan!$M$5:$M$24,"#"&amp;$A21,Plan!J$5:J$24))</f>
        <v/>
      </c>
      <c r="M21" s="45">
        <f>IF($B21="",0,$E21*SUMIF(Plan!$M$5:$M$24,"#"&amp;$A21,Plan!K$5:K$24))</f>
        <v/>
      </c>
      <c r="N21" s="45">
        <f>IF($B21="",0,$E21*SUMIF(Plan!$M$5:$M$24,"#"&amp;$A21,Plan!L$5:L$24))</f>
        <v/>
      </c>
      <c r="O21" s="35">
        <f>IF(B21="","","#"&amp;B21)</f>
        <v/>
      </c>
      <c r="P21" s="35">
        <f>IF(A21="","","#"&amp;A21)</f>
        <v/>
      </c>
    </row>
    <row r="22">
      <c r="A22" s="32" t="n"/>
      <c r="B22" s="54" t="n"/>
      <c r="C22" s="48">
        <f>IFERROR(INDEX(Materiales!$B$4:$B$66,MATCH("#"&amp;$B22,Materiales!$L$4:$L$66,0)),"")</f>
        <v/>
      </c>
      <c r="D22" s="49">
        <f>IFERROR(INDEX(Materiales!$C$4:$C$66,MATCH("#"&amp;$B22,Materiales!$L$4:$L$66,0)),"")</f>
        <v/>
      </c>
      <c r="E22" s="107" t="n"/>
      <c r="F22" s="32" t="n"/>
      <c r="G22" s="45">
        <f>IF($B22="",0,$E22*SUMIF(Plan!$M$5:$M$24,"#"&amp;$A22,Plan!E$5:E$24))</f>
        <v/>
      </c>
      <c r="H22" s="45">
        <f>IF($B22="",0,$E22*SUMIF(Plan!$M$5:$M$24,"#"&amp;$A22,Plan!F$5:F$24))</f>
        <v/>
      </c>
      <c r="I22" s="45">
        <f>IF($B22="",0,$E22*SUMIF(Plan!$M$5:$M$24,"#"&amp;$A22,Plan!G$5:G$24))</f>
        <v/>
      </c>
      <c r="J22" s="45">
        <f>IF($B22="",0,$E22*SUMIF(Plan!$M$5:$M$24,"#"&amp;$A22,Plan!H$5:H$24))</f>
        <v/>
      </c>
      <c r="K22" s="45">
        <f>IF($B22="",0,$E22*SUMIF(Plan!$M$5:$M$24,"#"&amp;$A22,Plan!I$5:I$24))</f>
        <v/>
      </c>
      <c r="L22" s="45">
        <f>IF($B22="",0,$E22*SUMIF(Plan!$M$5:$M$24,"#"&amp;$A22,Plan!J$5:J$24))</f>
        <v/>
      </c>
      <c r="M22" s="45">
        <f>IF($B22="",0,$E22*SUMIF(Plan!$M$5:$M$24,"#"&amp;$A22,Plan!K$5:K$24))</f>
        <v/>
      </c>
      <c r="N22" s="45">
        <f>IF($B22="",0,$E22*SUMIF(Plan!$M$5:$M$24,"#"&amp;$A22,Plan!L$5:L$24))</f>
        <v/>
      </c>
      <c r="O22" s="35">
        <f>IF(B22="","","#"&amp;B22)</f>
        <v/>
      </c>
      <c r="P22" s="35">
        <f>IF(A22="","","#"&amp;A22)</f>
        <v/>
      </c>
    </row>
    <row r="23">
      <c r="A23" s="32" t="n"/>
      <c r="B23" s="54" t="n"/>
      <c r="C23" s="48">
        <f>IFERROR(INDEX(Materiales!$B$4:$B$66,MATCH("#"&amp;$B23,Materiales!$L$4:$L$66,0)),"")</f>
        <v/>
      </c>
      <c r="D23" s="49">
        <f>IFERROR(INDEX(Materiales!$C$4:$C$66,MATCH("#"&amp;$B23,Materiales!$L$4:$L$66,0)),"")</f>
        <v/>
      </c>
      <c r="E23" s="107" t="n"/>
      <c r="F23" s="32" t="n"/>
      <c r="G23" s="45">
        <f>IF($B23="",0,$E23*SUMIF(Plan!$M$5:$M$24,"#"&amp;$A23,Plan!E$5:E$24))</f>
        <v/>
      </c>
      <c r="H23" s="45">
        <f>IF($B23="",0,$E23*SUMIF(Plan!$M$5:$M$24,"#"&amp;$A23,Plan!F$5:F$24))</f>
        <v/>
      </c>
      <c r="I23" s="45">
        <f>IF($B23="",0,$E23*SUMIF(Plan!$M$5:$M$24,"#"&amp;$A23,Plan!G$5:G$24))</f>
        <v/>
      </c>
      <c r="J23" s="45">
        <f>IF($B23="",0,$E23*SUMIF(Plan!$M$5:$M$24,"#"&amp;$A23,Plan!H$5:H$24))</f>
        <v/>
      </c>
      <c r="K23" s="45">
        <f>IF($B23="",0,$E23*SUMIF(Plan!$M$5:$M$24,"#"&amp;$A23,Plan!I$5:I$24))</f>
        <v/>
      </c>
      <c r="L23" s="45">
        <f>IF($B23="",0,$E23*SUMIF(Plan!$M$5:$M$24,"#"&amp;$A23,Plan!J$5:J$24))</f>
        <v/>
      </c>
      <c r="M23" s="45">
        <f>IF($B23="",0,$E23*SUMIF(Plan!$M$5:$M$24,"#"&amp;$A23,Plan!K$5:K$24))</f>
        <v/>
      </c>
      <c r="N23" s="45">
        <f>IF($B23="",0,$E23*SUMIF(Plan!$M$5:$M$24,"#"&amp;$A23,Plan!L$5:L$24))</f>
        <v/>
      </c>
      <c r="O23" s="35">
        <f>IF(B23="","","#"&amp;B23)</f>
        <v/>
      </c>
      <c r="P23" s="35">
        <f>IF(A23="","","#"&amp;A23)</f>
        <v/>
      </c>
    </row>
    <row r="24">
      <c r="A24" s="32" t="n"/>
      <c r="B24" s="54" t="n"/>
      <c r="C24" s="48">
        <f>IFERROR(INDEX(Materiales!$B$4:$B$66,MATCH("#"&amp;$B24,Materiales!$L$4:$L$66,0)),"")</f>
        <v/>
      </c>
      <c r="D24" s="49">
        <f>IFERROR(INDEX(Materiales!$C$4:$C$66,MATCH("#"&amp;$B24,Materiales!$L$4:$L$66,0)),"")</f>
        <v/>
      </c>
      <c r="E24" s="107" t="n"/>
      <c r="F24" s="32" t="n"/>
      <c r="G24" s="45">
        <f>IF($B24="",0,$E24*SUMIF(Plan!$M$5:$M$24,"#"&amp;$A24,Plan!E$5:E$24))</f>
        <v/>
      </c>
      <c r="H24" s="45">
        <f>IF($B24="",0,$E24*SUMIF(Plan!$M$5:$M$24,"#"&amp;$A24,Plan!F$5:F$24))</f>
        <v/>
      </c>
      <c r="I24" s="45">
        <f>IF($B24="",0,$E24*SUMIF(Plan!$M$5:$M$24,"#"&amp;$A24,Plan!G$5:G$24))</f>
        <v/>
      </c>
      <c r="J24" s="45">
        <f>IF($B24="",0,$E24*SUMIF(Plan!$M$5:$M$24,"#"&amp;$A24,Plan!H$5:H$24))</f>
        <v/>
      </c>
      <c r="K24" s="45">
        <f>IF($B24="",0,$E24*SUMIF(Plan!$M$5:$M$24,"#"&amp;$A24,Plan!I$5:I$24))</f>
        <v/>
      </c>
      <c r="L24" s="45">
        <f>IF($B24="",0,$E24*SUMIF(Plan!$M$5:$M$24,"#"&amp;$A24,Plan!J$5:J$24))</f>
        <v/>
      </c>
      <c r="M24" s="45">
        <f>IF($B24="",0,$E24*SUMIF(Plan!$M$5:$M$24,"#"&amp;$A24,Plan!K$5:K$24))</f>
        <v/>
      </c>
      <c r="N24" s="45">
        <f>IF($B24="",0,$E24*SUMIF(Plan!$M$5:$M$24,"#"&amp;$A24,Plan!L$5:L$24))</f>
        <v/>
      </c>
      <c r="O24" s="35">
        <f>IF(B24="","","#"&amp;B24)</f>
        <v/>
      </c>
      <c r="P24" s="35">
        <f>IF(A24="","","#"&amp;A24)</f>
        <v/>
      </c>
    </row>
    <row r="25">
      <c r="A25" s="32" t="n"/>
      <c r="B25" s="54" t="n"/>
      <c r="C25" s="48">
        <f>IFERROR(INDEX(Materiales!$B$4:$B$66,MATCH("#"&amp;$B25,Materiales!$L$4:$L$66,0)),"")</f>
        <v/>
      </c>
      <c r="D25" s="49">
        <f>IFERROR(INDEX(Materiales!$C$4:$C$66,MATCH("#"&amp;$B25,Materiales!$L$4:$L$66,0)),"")</f>
        <v/>
      </c>
      <c r="E25" s="107" t="n"/>
      <c r="F25" s="32" t="n"/>
      <c r="G25" s="45">
        <f>IF($B25="",0,$E25*SUMIF(Plan!$M$5:$M$24,"#"&amp;$A25,Plan!E$5:E$24))</f>
        <v/>
      </c>
      <c r="H25" s="45">
        <f>IF($B25="",0,$E25*SUMIF(Plan!$M$5:$M$24,"#"&amp;$A25,Plan!F$5:F$24))</f>
        <v/>
      </c>
      <c r="I25" s="45">
        <f>IF($B25="",0,$E25*SUMIF(Plan!$M$5:$M$24,"#"&amp;$A25,Plan!G$5:G$24))</f>
        <v/>
      </c>
      <c r="J25" s="45">
        <f>IF($B25="",0,$E25*SUMIF(Plan!$M$5:$M$24,"#"&amp;$A25,Plan!H$5:H$24))</f>
        <v/>
      </c>
      <c r="K25" s="45">
        <f>IF($B25="",0,$E25*SUMIF(Plan!$M$5:$M$24,"#"&amp;$A25,Plan!I$5:I$24))</f>
        <v/>
      </c>
      <c r="L25" s="45">
        <f>IF($B25="",0,$E25*SUMIF(Plan!$M$5:$M$24,"#"&amp;$A25,Plan!J$5:J$24))</f>
        <v/>
      </c>
      <c r="M25" s="45">
        <f>IF($B25="",0,$E25*SUMIF(Plan!$M$5:$M$24,"#"&amp;$A25,Plan!K$5:K$24))</f>
        <v/>
      </c>
      <c r="N25" s="45">
        <f>IF($B25="",0,$E25*SUMIF(Plan!$M$5:$M$24,"#"&amp;$A25,Plan!L$5:L$24))</f>
        <v/>
      </c>
      <c r="O25" s="35">
        <f>IF(B25="","","#"&amp;B25)</f>
        <v/>
      </c>
      <c r="P25" s="35">
        <f>IF(A25="","","#"&amp;A25)</f>
        <v/>
      </c>
    </row>
    <row r="26">
      <c r="A26" s="32" t="n"/>
      <c r="B26" s="54" t="n"/>
      <c r="C26" s="48">
        <f>IFERROR(INDEX(Materiales!$B$4:$B$66,MATCH("#"&amp;$B26,Materiales!$L$4:$L$66,0)),"")</f>
        <v/>
      </c>
      <c r="D26" s="49">
        <f>IFERROR(INDEX(Materiales!$C$4:$C$66,MATCH("#"&amp;$B26,Materiales!$L$4:$L$66,0)),"")</f>
        <v/>
      </c>
      <c r="E26" s="107" t="n"/>
      <c r="F26" s="32" t="n"/>
      <c r="G26" s="45">
        <f>IF($B26="",0,$E26*SUMIF(Plan!$M$5:$M$24,"#"&amp;$A26,Plan!E$5:E$24))</f>
        <v/>
      </c>
      <c r="H26" s="45">
        <f>IF($B26="",0,$E26*SUMIF(Plan!$M$5:$M$24,"#"&amp;$A26,Plan!F$5:F$24))</f>
        <v/>
      </c>
      <c r="I26" s="45">
        <f>IF($B26="",0,$E26*SUMIF(Plan!$M$5:$M$24,"#"&amp;$A26,Plan!G$5:G$24))</f>
        <v/>
      </c>
      <c r="J26" s="45">
        <f>IF($B26="",0,$E26*SUMIF(Plan!$M$5:$M$24,"#"&amp;$A26,Plan!H$5:H$24))</f>
        <v/>
      </c>
      <c r="K26" s="45">
        <f>IF($B26="",0,$E26*SUMIF(Plan!$M$5:$M$24,"#"&amp;$A26,Plan!I$5:I$24))</f>
        <v/>
      </c>
      <c r="L26" s="45">
        <f>IF($B26="",0,$E26*SUMIF(Plan!$M$5:$M$24,"#"&amp;$A26,Plan!J$5:J$24))</f>
        <v/>
      </c>
      <c r="M26" s="45">
        <f>IF($B26="",0,$E26*SUMIF(Plan!$M$5:$M$24,"#"&amp;$A26,Plan!K$5:K$24))</f>
        <v/>
      </c>
      <c r="N26" s="45">
        <f>IF($B26="",0,$E26*SUMIF(Plan!$M$5:$M$24,"#"&amp;$A26,Plan!L$5:L$24))</f>
        <v/>
      </c>
      <c r="O26" s="35">
        <f>IF(B26="","","#"&amp;B26)</f>
        <v/>
      </c>
      <c r="P26" s="35">
        <f>IF(A26="","","#"&amp;A26)</f>
        <v/>
      </c>
    </row>
    <row r="27">
      <c r="A27" s="32" t="n"/>
      <c r="B27" s="54" t="n"/>
      <c r="C27" s="48">
        <f>IFERROR(INDEX(Materiales!$B$4:$B$66,MATCH("#"&amp;$B27,Materiales!$L$4:$L$66,0)),"")</f>
        <v/>
      </c>
      <c r="D27" s="49">
        <f>IFERROR(INDEX(Materiales!$C$4:$C$66,MATCH("#"&amp;$B27,Materiales!$L$4:$L$66,0)),"")</f>
        <v/>
      </c>
      <c r="E27" s="107" t="n"/>
      <c r="F27" s="32" t="n"/>
      <c r="G27" s="45">
        <f>IF($B27="",0,$E27*SUMIF(Plan!$M$5:$M$24,"#"&amp;$A27,Plan!E$5:E$24))</f>
        <v/>
      </c>
      <c r="H27" s="45">
        <f>IF($B27="",0,$E27*SUMIF(Plan!$M$5:$M$24,"#"&amp;$A27,Plan!F$5:F$24))</f>
        <v/>
      </c>
      <c r="I27" s="45">
        <f>IF($B27="",0,$E27*SUMIF(Plan!$M$5:$M$24,"#"&amp;$A27,Plan!G$5:G$24))</f>
        <v/>
      </c>
      <c r="J27" s="45">
        <f>IF($B27="",0,$E27*SUMIF(Plan!$M$5:$M$24,"#"&amp;$A27,Plan!H$5:H$24))</f>
        <v/>
      </c>
      <c r="K27" s="45">
        <f>IF($B27="",0,$E27*SUMIF(Plan!$M$5:$M$24,"#"&amp;$A27,Plan!I$5:I$24))</f>
        <v/>
      </c>
      <c r="L27" s="45">
        <f>IF($B27="",0,$E27*SUMIF(Plan!$M$5:$M$24,"#"&amp;$A27,Plan!J$5:J$24))</f>
        <v/>
      </c>
      <c r="M27" s="45">
        <f>IF($B27="",0,$E27*SUMIF(Plan!$M$5:$M$24,"#"&amp;$A27,Plan!K$5:K$24))</f>
        <v/>
      </c>
      <c r="N27" s="45">
        <f>IF($B27="",0,$E27*SUMIF(Plan!$M$5:$M$24,"#"&amp;$A27,Plan!L$5:L$24))</f>
        <v/>
      </c>
      <c r="O27" s="35">
        <f>IF(B27="","","#"&amp;B27)</f>
        <v/>
      </c>
      <c r="P27" s="35">
        <f>IF(A27="","","#"&amp;A27)</f>
        <v/>
      </c>
    </row>
    <row r="28">
      <c r="A28" s="32" t="n"/>
      <c r="B28" s="54" t="n"/>
      <c r="C28" s="48">
        <f>IFERROR(INDEX(Materiales!$B$4:$B$66,MATCH("#"&amp;$B28,Materiales!$L$4:$L$66,0)),"")</f>
        <v/>
      </c>
      <c r="D28" s="49">
        <f>IFERROR(INDEX(Materiales!$C$4:$C$66,MATCH("#"&amp;$B28,Materiales!$L$4:$L$66,0)),"")</f>
        <v/>
      </c>
      <c r="E28" s="107" t="n"/>
      <c r="F28" s="32" t="n"/>
      <c r="G28" s="45">
        <f>IF($B28="",0,$E28*SUMIF(Plan!$M$5:$M$24,"#"&amp;$A28,Plan!E$5:E$24))</f>
        <v/>
      </c>
      <c r="H28" s="45">
        <f>IF($B28="",0,$E28*SUMIF(Plan!$M$5:$M$24,"#"&amp;$A28,Plan!F$5:F$24))</f>
        <v/>
      </c>
      <c r="I28" s="45">
        <f>IF($B28="",0,$E28*SUMIF(Plan!$M$5:$M$24,"#"&amp;$A28,Plan!G$5:G$24))</f>
        <v/>
      </c>
      <c r="J28" s="45">
        <f>IF($B28="",0,$E28*SUMIF(Plan!$M$5:$M$24,"#"&amp;$A28,Plan!H$5:H$24))</f>
        <v/>
      </c>
      <c r="K28" s="45">
        <f>IF($B28="",0,$E28*SUMIF(Plan!$M$5:$M$24,"#"&amp;$A28,Plan!I$5:I$24))</f>
        <v/>
      </c>
      <c r="L28" s="45">
        <f>IF($B28="",0,$E28*SUMIF(Plan!$M$5:$M$24,"#"&amp;$A28,Plan!J$5:J$24))</f>
        <v/>
      </c>
      <c r="M28" s="45">
        <f>IF($B28="",0,$E28*SUMIF(Plan!$M$5:$M$24,"#"&amp;$A28,Plan!K$5:K$24))</f>
        <v/>
      </c>
      <c r="N28" s="45">
        <f>IF($B28="",0,$E28*SUMIF(Plan!$M$5:$M$24,"#"&amp;$A28,Plan!L$5:L$24))</f>
        <v/>
      </c>
      <c r="O28" s="35">
        <f>IF(B28="","","#"&amp;B28)</f>
        <v/>
      </c>
      <c r="P28" s="35">
        <f>IF(A28="","","#"&amp;A28)</f>
        <v/>
      </c>
    </row>
    <row r="29">
      <c r="A29" s="32" t="n"/>
      <c r="B29" s="54" t="n"/>
      <c r="C29" s="48">
        <f>IFERROR(INDEX(Materiales!$B$4:$B$66,MATCH("#"&amp;$B29,Materiales!$L$4:$L$66,0)),"")</f>
        <v/>
      </c>
      <c r="D29" s="49">
        <f>IFERROR(INDEX(Materiales!$C$4:$C$66,MATCH("#"&amp;$B29,Materiales!$L$4:$L$66,0)),"")</f>
        <v/>
      </c>
      <c r="E29" s="107" t="n"/>
      <c r="F29" s="32" t="n"/>
      <c r="G29" s="45">
        <f>IF($B29="",0,$E29*SUMIF(Plan!$M$5:$M$24,"#"&amp;$A29,Plan!E$5:E$24))</f>
        <v/>
      </c>
      <c r="H29" s="45">
        <f>IF($B29="",0,$E29*SUMIF(Plan!$M$5:$M$24,"#"&amp;$A29,Plan!F$5:F$24))</f>
        <v/>
      </c>
      <c r="I29" s="45">
        <f>IF($B29="",0,$E29*SUMIF(Plan!$M$5:$M$24,"#"&amp;$A29,Plan!G$5:G$24))</f>
        <v/>
      </c>
      <c r="J29" s="45">
        <f>IF($B29="",0,$E29*SUMIF(Plan!$M$5:$M$24,"#"&amp;$A29,Plan!H$5:H$24))</f>
        <v/>
      </c>
      <c r="K29" s="45">
        <f>IF($B29="",0,$E29*SUMIF(Plan!$M$5:$M$24,"#"&amp;$A29,Plan!I$5:I$24))</f>
        <v/>
      </c>
      <c r="L29" s="45">
        <f>IF($B29="",0,$E29*SUMIF(Plan!$M$5:$M$24,"#"&amp;$A29,Plan!J$5:J$24))</f>
        <v/>
      </c>
      <c r="M29" s="45">
        <f>IF($B29="",0,$E29*SUMIF(Plan!$M$5:$M$24,"#"&amp;$A29,Plan!K$5:K$24))</f>
        <v/>
      </c>
      <c r="N29" s="45">
        <f>IF($B29="",0,$E29*SUMIF(Plan!$M$5:$M$24,"#"&amp;$A29,Plan!L$5:L$24))</f>
        <v/>
      </c>
      <c r="O29" s="35">
        <f>IF(B29="","","#"&amp;B29)</f>
        <v/>
      </c>
      <c r="P29" s="35">
        <f>IF(A29="","","#"&amp;A29)</f>
        <v/>
      </c>
    </row>
    <row r="30">
      <c r="A30" s="32" t="n"/>
      <c r="B30" s="54" t="n"/>
      <c r="C30" s="48">
        <f>IFERROR(INDEX(Materiales!$B$4:$B$66,MATCH("#"&amp;$B30,Materiales!$L$4:$L$66,0)),"")</f>
        <v/>
      </c>
      <c r="D30" s="49">
        <f>IFERROR(INDEX(Materiales!$C$4:$C$66,MATCH("#"&amp;$B30,Materiales!$L$4:$L$66,0)),"")</f>
        <v/>
      </c>
      <c r="E30" s="107" t="n"/>
      <c r="F30" s="32" t="n"/>
      <c r="G30" s="45">
        <f>IF($B30="",0,$E30*SUMIF(Plan!$M$5:$M$24,"#"&amp;$A30,Plan!E$5:E$24))</f>
        <v/>
      </c>
      <c r="H30" s="45">
        <f>IF($B30="",0,$E30*SUMIF(Plan!$M$5:$M$24,"#"&amp;$A30,Plan!F$5:F$24))</f>
        <v/>
      </c>
      <c r="I30" s="45">
        <f>IF($B30="",0,$E30*SUMIF(Plan!$M$5:$M$24,"#"&amp;$A30,Plan!G$5:G$24))</f>
        <v/>
      </c>
      <c r="J30" s="45">
        <f>IF($B30="",0,$E30*SUMIF(Plan!$M$5:$M$24,"#"&amp;$A30,Plan!H$5:H$24))</f>
        <v/>
      </c>
      <c r="K30" s="45">
        <f>IF($B30="",0,$E30*SUMIF(Plan!$M$5:$M$24,"#"&amp;$A30,Plan!I$5:I$24))</f>
        <v/>
      </c>
      <c r="L30" s="45">
        <f>IF($B30="",0,$E30*SUMIF(Plan!$M$5:$M$24,"#"&amp;$A30,Plan!J$5:J$24))</f>
        <v/>
      </c>
      <c r="M30" s="45">
        <f>IF($B30="",0,$E30*SUMIF(Plan!$M$5:$M$24,"#"&amp;$A30,Plan!K$5:K$24))</f>
        <v/>
      </c>
      <c r="N30" s="45">
        <f>IF($B30="",0,$E30*SUMIF(Plan!$M$5:$M$24,"#"&amp;$A30,Plan!L$5:L$24))</f>
        <v/>
      </c>
      <c r="O30" s="35">
        <f>IF(B30="","","#"&amp;B30)</f>
        <v/>
      </c>
      <c r="P30" s="35">
        <f>IF(A30="","","#"&amp;A30)</f>
        <v/>
      </c>
    </row>
    <row r="31">
      <c r="A31" s="32" t="n"/>
      <c r="B31" s="54" t="n"/>
      <c r="C31" s="48">
        <f>IFERROR(INDEX(Materiales!$B$4:$B$66,MATCH("#"&amp;$B31,Materiales!$L$4:$L$66,0)),"")</f>
        <v/>
      </c>
      <c r="D31" s="49">
        <f>IFERROR(INDEX(Materiales!$C$4:$C$66,MATCH("#"&amp;$B31,Materiales!$L$4:$L$66,0)),"")</f>
        <v/>
      </c>
      <c r="E31" s="107" t="n"/>
      <c r="F31" s="32" t="n"/>
      <c r="G31" s="45">
        <f>IF($B31="",0,$E31*SUMIF(Plan!$M$5:$M$24,"#"&amp;$A31,Plan!E$5:E$24))</f>
        <v/>
      </c>
      <c r="H31" s="45">
        <f>IF($B31="",0,$E31*SUMIF(Plan!$M$5:$M$24,"#"&amp;$A31,Plan!F$5:F$24))</f>
        <v/>
      </c>
      <c r="I31" s="45">
        <f>IF($B31="",0,$E31*SUMIF(Plan!$M$5:$M$24,"#"&amp;$A31,Plan!G$5:G$24))</f>
        <v/>
      </c>
      <c r="J31" s="45">
        <f>IF($B31="",0,$E31*SUMIF(Plan!$M$5:$M$24,"#"&amp;$A31,Plan!H$5:H$24))</f>
        <v/>
      </c>
      <c r="K31" s="45">
        <f>IF($B31="",0,$E31*SUMIF(Plan!$M$5:$M$24,"#"&amp;$A31,Plan!I$5:I$24))</f>
        <v/>
      </c>
      <c r="L31" s="45">
        <f>IF($B31="",0,$E31*SUMIF(Plan!$M$5:$M$24,"#"&amp;$A31,Plan!J$5:J$24))</f>
        <v/>
      </c>
      <c r="M31" s="45">
        <f>IF($B31="",0,$E31*SUMIF(Plan!$M$5:$M$24,"#"&amp;$A31,Plan!K$5:K$24))</f>
        <v/>
      </c>
      <c r="N31" s="45">
        <f>IF($B31="",0,$E31*SUMIF(Plan!$M$5:$M$24,"#"&amp;$A31,Plan!L$5:L$24))</f>
        <v/>
      </c>
      <c r="O31" s="35">
        <f>IF(B31="","","#"&amp;B31)</f>
        <v/>
      </c>
      <c r="P31" s="35">
        <f>IF(A31="","","#"&amp;A31)</f>
        <v/>
      </c>
    </row>
    <row r="32">
      <c r="A32" s="32" t="n"/>
      <c r="B32" s="54" t="n"/>
      <c r="C32" s="48">
        <f>IFERROR(INDEX(Materiales!$B$4:$B$66,MATCH("#"&amp;$B32,Materiales!$L$4:$L$66,0)),"")</f>
        <v/>
      </c>
      <c r="D32" s="49">
        <f>IFERROR(INDEX(Materiales!$C$4:$C$66,MATCH("#"&amp;$B32,Materiales!$L$4:$L$66,0)),"")</f>
        <v/>
      </c>
      <c r="E32" s="107" t="n"/>
      <c r="F32" s="32" t="n"/>
      <c r="G32" s="45">
        <f>IF($B32="",0,$E32*SUMIF(Plan!$M$5:$M$24,"#"&amp;$A32,Plan!E$5:E$24))</f>
        <v/>
      </c>
      <c r="H32" s="45">
        <f>IF($B32="",0,$E32*SUMIF(Plan!$M$5:$M$24,"#"&amp;$A32,Plan!F$5:F$24))</f>
        <v/>
      </c>
      <c r="I32" s="45">
        <f>IF($B32="",0,$E32*SUMIF(Plan!$M$5:$M$24,"#"&amp;$A32,Plan!G$5:G$24))</f>
        <v/>
      </c>
      <c r="J32" s="45">
        <f>IF($B32="",0,$E32*SUMIF(Plan!$M$5:$M$24,"#"&amp;$A32,Plan!H$5:H$24))</f>
        <v/>
      </c>
      <c r="K32" s="45">
        <f>IF($B32="",0,$E32*SUMIF(Plan!$M$5:$M$24,"#"&amp;$A32,Plan!I$5:I$24))</f>
        <v/>
      </c>
      <c r="L32" s="45">
        <f>IF($B32="",0,$E32*SUMIF(Plan!$M$5:$M$24,"#"&amp;$A32,Plan!J$5:J$24))</f>
        <v/>
      </c>
      <c r="M32" s="45">
        <f>IF($B32="",0,$E32*SUMIF(Plan!$M$5:$M$24,"#"&amp;$A32,Plan!K$5:K$24))</f>
        <v/>
      </c>
      <c r="N32" s="45">
        <f>IF($B32="",0,$E32*SUMIF(Plan!$M$5:$M$24,"#"&amp;$A32,Plan!L$5:L$24))</f>
        <v/>
      </c>
      <c r="O32" s="35">
        <f>IF(B32="","","#"&amp;B32)</f>
        <v/>
      </c>
      <c r="P32" s="35">
        <f>IF(A32="","","#"&amp;A32)</f>
        <v/>
      </c>
    </row>
    <row r="33">
      <c r="A33" s="32" t="n"/>
      <c r="B33" s="54" t="n"/>
      <c r="C33" s="48">
        <f>IFERROR(INDEX(Materiales!$B$4:$B$66,MATCH("#"&amp;$B33,Materiales!$L$4:$L$66,0)),"")</f>
        <v/>
      </c>
      <c r="D33" s="49">
        <f>IFERROR(INDEX(Materiales!$C$4:$C$66,MATCH("#"&amp;$B33,Materiales!$L$4:$L$66,0)),"")</f>
        <v/>
      </c>
      <c r="E33" s="107" t="n"/>
      <c r="F33" s="32" t="n"/>
      <c r="G33" s="45">
        <f>IF($B33="",0,$E33*SUMIF(Plan!$M$5:$M$24,"#"&amp;$A33,Plan!E$5:E$24))</f>
        <v/>
      </c>
      <c r="H33" s="45">
        <f>IF($B33="",0,$E33*SUMIF(Plan!$M$5:$M$24,"#"&amp;$A33,Plan!F$5:F$24))</f>
        <v/>
      </c>
      <c r="I33" s="45">
        <f>IF($B33="",0,$E33*SUMIF(Plan!$M$5:$M$24,"#"&amp;$A33,Plan!G$5:G$24))</f>
        <v/>
      </c>
      <c r="J33" s="45">
        <f>IF($B33="",0,$E33*SUMIF(Plan!$M$5:$M$24,"#"&amp;$A33,Plan!H$5:H$24))</f>
        <v/>
      </c>
      <c r="K33" s="45">
        <f>IF($B33="",0,$E33*SUMIF(Plan!$M$5:$M$24,"#"&amp;$A33,Plan!I$5:I$24))</f>
        <v/>
      </c>
      <c r="L33" s="45">
        <f>IF($B33="",0,$E33*SUMIF(Plan!$M$5:$M$24,"#"&amp;$A33,Plan!J$5:J$24))</f>
        <v/>
      </c>
      <c r="M33" s="45">
        <f>IF($B33="",0,$E33*SUMIF(Plan!$M$5:$M$24,"#"&amp;$A33,Plan!K$5:K$24))</f>
        <v/>
      </c>
      <c r="N33" s="45">
        <f>IF($B33="",0,$E33*SUMIF(Plan!$M$5:$M$24,"#"&amp;$A33,Plan!L$5:L$24))</f>
        <v/>
      </c>
      <c r="O33" s="35">
        <f>IF(B33="","","#"&amp;B33)</f>
        <v/>
      </c>
      <c r="P33" s="35">
        <f>IF(A33="","","#"&amp;A33)</f>
        <v/>
      </c>
    </row>
    <row r="34">
      <c r="A34" s="32" t="n"/>
      <c r="B34" s="54" t="n"/>
      <c r="C34" s="48">
        <f>IFERROR(INDEX(Materiales!$B$4:$B$66,MATCH("#"&amp;$B34,Materiales!$L$4:$L$66,0)),"")</f>
        <v/>
      </c>
      <c r="D34" s="49">
        <f>IFERROR(INDEX(Materiales!$C$4:$C$66,MATCH("#"&amp;$B34,Materiales!$L$4:$L$66,0)),"")</f>
        <v/>
      </c>
      <c r="E34" s="107" t="n"/>
      <c r="F34" s="32" t="n"/>
      <c r="G34" s="45">
        <f>IF($B34="",0,$E34*SUMIF(Plan!$M$5:$M$24,"#"&amp;$A34,Plan!E$5:E$24))</f>
        <v/>
      </c>
      <c r="H34" s="45">
        <f>IF($B34="",0,$E34*SUMIF(Plan!$M$5:$M$24,"#"&amp;$A34,Plan!F$5:F$24))</f>
        <v/>
      </c>
      <c r="I34" s="45">
        <f>IF($B34="",0,$E34*SUMIF(Plan!$M$5:$M$24,"#"&amp;$A34,Plan!G$5:G$24))</f>
        <v/>
      </c>
      <c r="J34" s="45">
        <f>IF($B34="",0,$E34*SUMIF(Plan!$M$5:$M$24,"#"&amp;$A34,Plan!H$5:H$24))</f>
        <v/>
      </c>
      <c r="K34" s="45">
        <f>IF($B34="",0,$E34*SUMIF(Plan!$M$5:$M$24,"#"&amp;$A34,Plan!I$5:I$24))</f>
        <v/>
      </c>
      <c r="L34" s="45">
        <f>IF($B34="",0,$E34*SUMIF(Plan!$M$5:$M$24,"#"&amp;$A34,Plan!J$5:J$24))</f>
        <v/>
      </c>
      <c r="M34" s="45">
        <f>IF($B34="",0,$E34*SUMIF(Plan!$M$5:$M$24,"#"&amp;$A34,Plan!K$5:K$24))</f>
        <v/>
      </c>
      <c r="N34" s="45">
        <f>IF($B34="",0,$E34*SUMIF(Plan!$M$5:$M$24,"#"&amp;$A34,Plan!L$5:L$24))</f>
        <v/>
      </c>
      <c r="O34" s="35">
        <f>IF(B34="","","#"&amp;B34)</f>
        <v/>
      </c>
      <c r="P34" s="35">
        <f>IF(A34="","","#"&amp;A34)</f>
        <v/>
      </c>
    </row>
    <row r="35">
      <c r="A35" s="32" t="n"/>
      <c r="B35" s="54" t="n"/>
      <c r="C35" s="48">
        <f>IFERROR(INDEX(Materiales!$B$4:$B$66,MATCH("#"&amp;$B35,Materiales!$L$4:$L$66,0)),"")</f>
        <v/>
      </c>
      <c r="D35" s="49">
        <f>IFERROR(INDEX(Materiales!$C$4:$C$66,MATCH("#"&amp;$B35,Materiales!$L$4:$L$66,0)),"")</f>
        <v/>
      </c>
      <c r="E35" s="107" t="n"/>
      <c r="F35" s="32" t="n"/>
      <c r="G35" s="45">
        <f>IF($B35="",0,$E35*SUMIF(Plan!$M$5:$M$24,"#"&amp;$A35,Plan!E$5:E$24))</f>
        <v/>
      </c>
      <c r="H35" s="45">
        <f>IF($B35="",0,$E35*SUMIF(Plan!$M$5:$M$24,"#"&amp;$A35,Plan!F$5:F$24))</f>
        <v/>
      </c>
      <c r="I35" s="45">
        <f>IF($B35="",0,$E35*SUMIF(Plan!$M$5:$M$24,"#"&amp;$A35,Plan!G$5:G$24))</f>
        <v/>
      </c>
      <c r="J35" s="45">
        <f>IF($B35="",0,$E35*SUMIF(Plan!$M$5:$M$24,"#"&amp;$A35,Plan!H$5:H$24))</f>
        <v/>
      </c>
      <c r="K35" s="45">
        <f>IF($B35="",0,$E35*SUMIF(Plan!$M$5:$M$24,"#"&amp;$A35,Plan!I$5:I$24))</f>
        <v/>
      </c>
      <c r="L35" s="45">
        <f>IF($B35="",0,$E35*SUMIF(Plan!$M$5:$M$24,"#"&amp;$A35,Plan!J$5:J$24))</f>
        <v/>
      </c>
      <c r="M35" s="45">
        <f>IF($B35="",0,$E35*SUMIF(Plan!$M$5:$M$24,"#"&amp;$A35,Plan!K$5:K$24))</f>
        <v/>
      </c>
      <c r="N35" s="45">
        <f>IF($B35="",0,$E35*SUMIF(Plan!$M$5:$M$24,"#"&amp;$A35,Plan!L$5:L$24))</f>
        <v/>
      </c>
      <c r="O35" s="35">
        <f>IF(B35="","","#"&amp;B35)</f>
        <v/>
      </c>
      <c r="P35" s="35">
        <f>IF(A35="","","#"&amp;A35)</f>
        <v/>
      </c>
    </row>
    <row r="36">
      <c r="A36" s="32" t="n"/>
      <c r="B36" s="54" t="n"/>
      <c r="C36" s="48">
        <f>IFERROR(INDEX(Materiales!$B$4:$B$66,MATCH("#"&amp;$B36,Materiales!$L$4:$L$66,0)),"")</f>
        <v/>
      </c>
      <c r="D36" s="49">
        <f>IFERROR(INDEX(Materiales!$C$4:$C$66,MATCH("#"&amp;$B36,Materiales!$L$4:$L$66,0)),"")</f>
        <v/>
      </c>
      <c r="E36" s="107" t="n"/>
      <c r="F36" s="32" t="n"/>
      <c r="G36" s="45">
        <f>IF($B36="",0,$E36*SUMIF(Plan!$M$5:$M$24,"#"&amp;$A36,Plan!E$5:E$24))</f>
        <v/>
      </c>
      <c r="H36" s="45">
        <f>IF($B36="",0,$E36*SUMIF(Plan!$M$5:$M$24,"#"&amp;$A36,Plan!F$5:F$24))</f>
        <v/>
      </c>
      <c r="I36" s="45">
        <f>IF($B36="",0,$E36*SUMIF(Plan!$M$5:$M$24,"#"&amp;$A36,Plan!G$5:G$24))</f>
        <v/>
      </c>
      <c r="J36" s="45">
        <f>IF($B36="",0,$E36*SUMIF(Plan!$M$5:$M$24,"#"&amp;$A36,Plan!H$5:H$24))</f>
        <v/>
      </c>
      <c r="K36" s="45">
        <f>IF($B36="",0,$E36*SUMIF(Plan!$M$5:$M$24,"#"&amp;$A36,Plan!I$5:I$24))</f>
        <v/>
      </c>
      <c r="L36" s="45">
        <f>IF($B36="",0,$E36*SUMIF(Plan!$M$5:$M$24,"#"&amp;$A36,Plan!J$5:J$24))</f>
        <v/>
      </c>
      <c r="M36" s="45">
        <f>IF($B36="",0,$E36*SUMIF(Plan!$M$5:$M$24,"#"&amp;$A36,Plan!K$5:K$24))</f>
        <v/>
      </c>
      <c r="N36" s="45">
        <f>IF($B36="",0,$E36*SUMIF(Plan!$M$5:$M$24,"#"&amp;$A36,Plan!L$5:L$24))</f>
        <v/>
      </c>
      <c r="O36" s="35">
        <f>IF(B36="","","#"&amp;B36)</f>
        <v/>
      </c>
      <c r="P36" s="35">
        <f>IF(A36="","","#"&amp;A36)</f>
        <v/>
      </c>
    </row>
    <row r="37">
      <c r="A37" s="32" t="n"/>
      <c r="B37" s="54" t="n"/>
      <c r="C37" s="48">
        <f>IFERROR(INDEX(Materiales!$B$4:$B$66,MATCH("#"&amp;$B37,Materiales!$L$4:$L$66,0)),"")</f>
        <v/>
      </c>
      <c r="D37" s="49">
        <f>IFERROR(INDEX(Materiales!$C$4:$C$66,MATCH("#"&amp;$B37,Materiales!$L$4:$L$66,0)),"")</f>
        <v/>
      </c>
      <c r="E37" s="107" t="n"/>
      <c r="F37" s="32" t="n"/>
      <c r="G37" s="45">
        <f>IF($B37="",0,$E37*SUMIF(Plan!$M$5:$M$24,"#"&amp;$A37,Plan!E$5:E$24))</f>
        <v/>
      </c>
      <c r="H37" s="45">
        <f>IF($B37="",0,$E37*SUMIF(Plan!$M$5:$M$24,"#"&amp;$A37,Plan!F$5:F$24))</f>
        <v/>
      </c>
      <c r="I37" s="45">
        <f>IF($B37="",0,$E37*SUMIF(Plan!$M$5:$M$24,"#"&amp;$A37,Plan!G$5:G$24))</f>
        <v/>
      </c>
      <c r="J37" s="45">
        <f>IF($B37="",0,$E37*SUMIF(Plan!$M$5:$M$24,"#"&amp;$A37,Plan!H$5:H$24))</f>
        <v/>
      </c>
      <c r="K37" s="45">
        <f>IF($B37="",0,$E37*SUMIF(Plan!$M$5:$M$24,"#"&amp;$A37,Plan!I$5:I$24))</f>
        <v/>
      </c>
      <c r="L37" s="45">
        <f>IF($B37="",0,$E37*SUMIF(Plan!$M$5:$M$24,"#"&amp;$A37,Plan!J$5:J$24))</f>
        <v/>
      </c>
      <c r="M37" s="45">
        <f>IF($B37="",0,$E37*SUMIF(Plan!$M$5:$M$24,"#"&amp;$A37,Plan!K$5:K$24))</f>
        <v/>
      </c>
      <c r="N37" s="45">
        <f>IF($B37="",0,$E37*SUMIF(Plan!$M$5:$M$24,"#"&amp;$A37,Plan!L$5:L$24))</f>
        <v/>
      </c>
      <c r="O37" s="35">
        <f>IF(B37="","","#"&amp;B37)</f>
        <v/>
      </c>
      <c r="P37" s="35">
        <f>IF(A37="","","#"&amp;A37)</f>
        <v/>
      </c>
    </row>
    <row r="38">
      <c r="A38" s="32" t="n"/>
      <c r="B38" s="54" t="n"/>
      <c r="C38" s="48">
        <f>IFERROR(INDEX(Materiales!$B$4:$B$66,MATCH("#"&amp;$B38,Materiales!$L$4:$L$66,0)),"")</f>
        <v/>
      </c>
      <c r="D38" s="49">
        <f>IFERROR(INDEX(Materiales!$C$4:$C$66,MATCH("#"&amp;$B38,Materiales!$L$4:$L$66,0)),"")</f>
        <v/>
      </c>
      <c r="E38" s="107" t="n"/>
      <c r="F38" s="32" t="n"/>
      <c r="G38" s="45">
        <f>IF($B38="",0,$E38*SUMIF(Plan!$M$5:$M$24,"#"&amp;$A38,Plan!E$5:E$24))</f>
        <v/>
      </c>
      <c r="H38" s="45">
        <f>IF($B38="",0,$E38*SUMIF(Plan!$M$5:$M$24,"#"&amp;$A38,Plan!F$5:F$24))</f>
        <v/>
      </c>
      <c r="I38" s="45">
        <f>IF($B38="",0,$E38*SUMIF(Plan!$M$5:$M$24,"#"&amp;$A38,Plan!G$5:G$24))</f>
        <v/>
      </c>
      <c r="J38" s="45">
        <f>IF($B38="",0,$E38*SUMIF(Plan!$M$5:$M$24,"#"&amp;$A38,Plan!H$5:H$24))</f>
        <v/>
      </c>
      <c r="K38" s="45">
        <f>IF($B38="",0,$E38*SUMIF(Plan!$M$5:$M$24,"#"&amp;$A38,Plan!I$5:I$24))</f>
        <v/>
      </c>
      <c r="L38" s="45">
        <f>IF($B38="",0,$E38*SUMIF(Plan!$M$5:$M$24,"#"&amp;$A38,Plan!J$5:J$24))</f>
        <v/>
      </c>
      <c r="M38" s="45">
        <f>IF($B38="",0,$E38*SUMIF(Plan!$M$5:$M$24,"#"&amp;$A38,Plan!K$5:K$24))</f>
        <v/>
      </c>
      <c r="N38" s="45">
        <f>IF($B38="",0,$E38*SUMIF(Plan!$M$5:$M$24,"#"&amp;$A38,Plan!L$5:L$24))</f>
        <v/>
      </c>
      <c r="O38" s="35">
        <f>IF(B38="","","#"&amp;B38)</f>
        <v/>
      </c>
      <c r="P38" s="35">
        <f>IF(A38="","","#"&amp;A38)</f>
        <v/>
      </c>
    </row>
    <row r="39">
      <c r="A39" s="32" t="n"/>
      <c r="B39" s="54" t="n"/>
      <c r="C39" s="48">
        <f>IFERROR(INDEX(Materiales!$B$4:$B$66,MATCH("#"&amp;$B39,Materiales!$L$4:$L$66,0)),"")</f>
        <v/>
      </c>
      <c r="D39" s="49">
        <f>IFERROR(INDEX(Materiales!$C$4:$C$66,MATCH("#"&amp;$B39,Materiales!$L$4:$L$66,0)),"")</f>
        <v/>
      </c>
      <c r="E39" s="107" t="n"/>
      <c r="F39" s="32" t="n"/>
      <c r="G39" s="45">
        <f>IF($B39="",0,$E39*SUMIF(Plan!$M$5:$M$24,"#"&amp;$A39,Plan!E$5:E$24))</f>
        <v/>
      </c>
      <c r="H39" s="45">
        <f>IF($B39="",0,$E39*SUMIF(Plan!$M$5:$M$24,"#"&amp;$A39,Plan!F$5:F$24))</f>
        <v/>
      </c>
      <c r="I39" s="45">
        <f>IF($B39="",0,$E39*SUMIF(Plan!$M$5:$M$24,"#"&amp;$A39,Plan!G$5:G$24))</f>
        <v/>
      </c>
      <c r="J39" s="45">
        <f>IF($B39="",0,$E39*SUMIF(Plan!$M$5:$M$24,"#"&amp;$A39,Plan!H$5:H$24))</f>
        <v/>
      </c>
      <c r="K39" s="45">
        <f>IF($B39="",0,$E39*SUMIF(Plan!$M$5:$M$24,"#"&amp;$A39,Plan!I$5:I$24))</f>
        <v/>
      </c>
      <c r="L39" s="45">
        <f>IF($B39="",0,$E39*SUMIF(Plan!$M$5:$M$24,"#"&amp;$A39,Plan!J$5:J$24))</f>
        <v/>
      </c>
      <c r="M39" s="45">
        <f>IF($B39="",0,$E39*SUMIF(Plan!$M$5:$M$24,"#"&amp;$A39,Plan!K$5:K$24))</f>
        <v/>
      </c>
      <c r="N39" s="45">
        <f>IF($B39="",0,$E39*SUMIF(Plan!$M$5:$M$24,"#"&amp;$A39,Plan!L$5:L$24))</f>
        <v/>
      </c>
      <c r="O39" s="35">
        <f>IF(B39="","","#"&amp;B39)</f>
        <v/>
      </c>
      <c r="P39" s="35">
        <f>IF(A39="","","#"&amp;A39)</f>
        <v/>
      </c>
    </row>
    <row r="40">
      <c r="A40" s="32" t="n"/>
      <c r="B40" s="54" t="n"/>
      <c r="C40" s="48">
        <f>IFERROR(INDEX(Materiales!$B$4:$B$66,MATCH("#"&amp;$B40,Materiales!$L$4:$L$66,0)),"")</f>
        <v/>
      </c>
      <c r="D40" s="49">
        <f>IFERROR(INDEX(Materiales!$C$4:$C$66,MATCH("#"&amp;$B40,Materiales!$L$4:$L$66,0)),"")</f>
        <v/>
      </c>
      <c r="E40" s="107" t="n"/>
      <c r="F40" s="32" t="n"/>
      <c r="G40" s="45">
        <f>IF($B40="",0,$E40*SUMIF(Plan!$M$5:$M$24,"#"&amp;$A40,Plan!E$5:E$24))</f>
        <v/>
      </c>
      <c r="H40" s="45">
        <f>IF($B40="",0,$E40*SUMIF(Plan!$M$5:$M$24,"#"&amp;$A40,Plan!F$5:F$24))</f>
        <v/>
      </c>
      <c r="I40" s="45">
        <f>IF($B40="",0,$E40*SUMIF(Plan!$M$5:$M$24,"#"&amp;$A40,Plan!G$5:G$24))</f>
        <v/>
      </c>
      <c r="J40" s="45">
        <f>IF($B40="",0,$E40*SUMIF(Plan!$M$5:$M$24,"#"&amp;$A40,Plan!H$5:H$24))</f>
        <v/>
      </c>
      <c r="K40" s="45">
        <f>IF($B40="",0,$E40*SUMIF(Plan!$M$5:$M$24,"#"&amp;$A40,Plan!I$5:I$24))</f>
        <v/>
      </c>
      <c r="L40" s="45">
        <f>IF($B40="",0,$E40*SUMIF(Plan!$M$5:$M$24,"#"&amp;$A40,Plan!J$5:J$24))</f>
        <v/>
      </c>
      <c r="M40" s="45">
        <f>IF($B40="",0,$E40*SUMIF(Plan!$M$5:$M$24,"#"&amp;$A40,Plan!K$5:K$24))</f>
        <v/>
      </c>
      <c r="N40" s="45">
        <f>IF($B40="",0,$E40*SUMIF(Plan!$M$5:$M$24,"#"&amp;$A40,Plan!L$5:L$24))</f>
        <v/>
      </c>
      <c r="O40" s="35">
        <f>IF(B40="","","#"&amp;B40)</f>
        <v/>
      </c>
      <c r="P40" s="35">
        <f>IF(A40="","","#"&amp;A40)</f>
        <v/>
      </c>
    </row>
    <row r="41">
      <c r="A41" s="32" t="n"/>
      <c r="B41" s="54" t="n"/>
      <c r="C41" s="48">
        <f>IFERROR(INDEX(Materiales!$B$4:$B$66,MATCH("#"&amp;$B41,Materiales!$L$4:$L$66,0)),"")</f>
        <v/>
      </c>
      <c r="D41" s="49">
        <f>IFERROR(INDEX(Materiales!$C$4:$C$66,MATCH("#"&amp;$B41,Materiales!$L$4:$L$66,0)),"")</f>
        <v/>
      </c>
      <c r="E41" s="107" t="n"/>
      <c r="F41" s="32" t="n"/>
      <c r="G41" s="45">
        <f>IF($B41="",0,$E41*SUMIF(Plan!$M$5:$M$24,"#"&amp;$A41,Plan!E$5:E$24))</f>
        <v/>
      </c>
      <c r="H41" s="45">
        <f>IF($B41="",0,$E41*SUMIF(Plan!$M$5:$M$24,"#"&amp;$A41,Plan!F$5:F$24))</f>
        <v/>
      </c>
      <c r="I41" s="45">
        <f>IF($B41="",0,$E41*SUMIF(Plan!$M$5:$M$24,"#"&amp;$A41,Plan!G$5:G$24))</f>
        <v/>
      </c>
      <c r="J41" s="45">
        <f>IF($B41="",0,$E41*SUMIF(Plan!$M$5:$M$24,"#"&amp;$A41,Plan!H$5:H$24))</f>
        <v/>
      </c>
      <c r="K41" s="45">
        <f>IF($B41="",0,$E41*SUMIF(Plan!$M$5:$M$24,"#"&amp;$A41,Plan!I$5:I$24))</f>
        <v/>
      </c>
      <c r="L41" s="45">
        <f>IF($B41="",0,$E41*SUMIF(Plan!$M$5:$M$24,"#"&amp;$A41,Plan!J$5:J$24))</f>
        <v/>
      </c>
      <c r="M41" s="45">
        <f>IF($B41="",0,$E41*SUMIF(Plan!$M$5:$M$24,"#"&amp;$A41,Plan!K$5:K$24))</f>
        <v/>
      </c>
      <c r="N41" s="45">
        <f>IF($B41="",0,$E41*SUMIF(Plan!$M$5:$M$24,"#"&amp;$A41,Plan!L$5:L$24))</f>
        <v/>
      </c>
      <c r="O41" s="35">
        <f>IF(B41="","","#"&amp;B41)</f>
        <v/>
      </c>
      <c r="P41" s="35">
        <f>IF(A41="","","#"&amp;A41)</f>
        <v/>
      </c>
    </row>
    <row r="42">
      <c r="A42" s="32" t="n"/>
      <c r="B42" s="54" t="n"/>
      <c r="C42" s="48">
        <f>IFERROR(INDEX(Materiales!$B$4:$B$66,MATCH("#"&amp;$B42,Materiales!$L$4:$L$66,0)),"")</f>
        <v/>
      </c>
      <c r="D42" s="49">
        <f>IFERROR(INDEX(Materiales!$C$4:$C$66,MATCH("#"&amp;$B42,Materiales!$L$4:$L$66,0)),"")</f>
        <v/>
      </c>
      <c r="E42" s="107" t="n"/>
      <c r="F42" s="32" t="n"/>
      <c r="G42" s="45">
        <f>IF($B42="",0,$E42*SUMIF(Plan!$M$5:$M$24,"#"&amp;$A42,Plan!E$5:E$24))</f>
        <v/>
      </c>
      <c r="H42" s="45">
        <f>IF($B42="",0,$E42*SUMIF(Plan!$M$5:$M$24,"#"&amp;$A42,Plan!F$5:F$24))</f>
        <v/>
      </c>
      <c r="I42" s="45">
        <f>IF($B42="",0,$E42*SUMIF(Plan!$M$5:$M$24,"#"&amp;$A42,Plan!G$5:G$24))</f>
        <v/>
      </c>
      <c r="J42" s="45">
        <f>IF($B42="",0,$E42*SUMIF(Plan!$M$5:$M$24,"#"&amp;$A42,Plan!H$5:H$24))</f>
        <v/>
      </c>
      <c r="K42" s="45">
        <f>IF($B42="",0,$E42*SUMIF(Plan!$M$5:$M$24,"#"&amp;$A42,Plan!I$5:I$24))</f>
        <v/>
      </c>
      <c r="L42" s="45">
        <f>IF($B42="",0,$E42*SUMIF(Plan!$M$5:$M$24,"#"&amp;$A42,Plan!J$5:J$24))</f>
        <v/>
      </c>
      <c r="M42" s="45">
        <f>IF($B42="",0,$E42*SUMIF(Plan!$M$5:$M$24,"#"&amp;$A42,Plan!K$5:K$24))</f>
        <v/>
      </c>
      <c r="N42" s="45">
        <f>IF($B42="",0,$E42*SUMIF(Plan!$M$5:$M$24,"#"&amp;$A42,Plan!L$5:L$24))</f>
        <v/>
      </c>
      <c r="O42" s="35">
        <f>IF(B42="","","#"&amp;B42)</f>
        <v/>
      </c>
      <c r="P42" s="35">
        <f>IF(A42="","","#"&amp;A42)</f>
        <v/>
      </c>
    </row>
    <row r="43">
      <c r="A43" s="32" t="n"/>
      <c r="B43" s="54" t="n"/>
      <c r="C43" s="48">
        <f>IFERROR(INDEX(Materiales!$B$4:$B$66,MATCH("#"&amp;$B43,Materiales!$L$4:$L$66,0)),"")</f>
        <v/>
      </c>
      <c r="D43" s="49">
        <f>IFERROR(INDEX(Materiales!$C$4:$C$66,MATCH("#"&amp;$B43,Materiales!$L$4:$L$66,0)),"")</f>
        <v/>
      </c>
      <c r="E43" s="107" t="n"/>
      <c r="F43" s="32" t="n"/>
      <c r="G43" s="45">
        <f>IF($B43="",0,$E43*SUMIF(Plan!$M$5:$M$24,"#"&amp;$A43,Plan!E$5:E$24))</f>
        <v/>
      </c>
      <c r="H43" s="45">
        <f>IF($B43="",0,$E43*SUMIF(Plan!$M$5:$M$24,"#"&amp;$A43,Plan!F$5:F$24))</f>
        <v/>
      </c>
      <c r="I43" s="45">
        <f>IF($B43="",0,$E43*SUMIF(Plan!$M$5:$M$24,"#"&amp;$A43,Plan!G$5:G$24))</f>
        <v/>
      </c>
      <c r="J43" s="45">
        <f>IF($B43="",0,$E43*SUMIF(Plan!$M$5:$M$24,"#"&amp;$A43,Plan!H$5:H$24))</f>
        <v/>
      </c>
      <c r="K43" s="45">
        <f>IF($B43="",0,$E43*SUMIF(Plan!$M$5:$M$24,"#"&amp;$A43,Plan!I$5:I$24))</f>
        <v/>
      </c>
      <c r="L43" s="45">
        <f>IF($B43="",0,$E43*SUMIF(Plan!$M$5:$M$24,"#"&amp;$A43,Plan!J$5:J$24))</f>
        <v/>
      </c>
      <c r="M43" s="45">
        <f>IF($B43="",0,$E43*SUMIF(Plan!$M$5:$M$24,"#"&amp;$A43,Plan!K$5:K$24))</f>
        <v/>
      </c>
      <c r="N43" s="45">
        <f>IF($B43="",0,$E43*SUMIF(Plan!$M$5:$M$24,"#"&amp;$A43,Plan!L$5:L$24))</f>
        <v/>
      </c>
      <c r="O43" s="35">
        <f>IF(B43="","","#"&amp;B43)</f>
        <v/>
      </c>
      <c r="P43" s="35">
        <f>IF(A43="","","#"&amp;A43)</f>
        <v/>
      </c>
    </row>
    <row r="44">
      <c r="A44" s="32" t="n"/>
      <c r="B44" s="54" t="n"/>
      <c r="C44" s="48">
        <f>IFERROR(INDEX(Materiales!$B$4:$B$66,MATCH("#"&amp;$B44,Materiales!$L$4:$L$66,0)),"")</f>
        <v/>
      </c>
      <c r="D44" s="49">
        <f>IFERROR(INDEX(Materiales!$C$4:$C$66,MATCH("#"&amp;$B44,Materiales!$L$4:$L$66,0)),"")</f>
        <v/>
      </c>
      <c r="E44" s="107" t="n"/>
      <c r="F44" s="32" t="n"/>
      <c r="G44" s="45">
        <f>IF($B44="",0,$E44*SUMIF(Plan!$M$5:$M$24,"#"&amp;$A44,Plan!E$5:E$24))</f>
        <v/>
      </c>
      <c r="H44" s="45">
        <f>IF($B44="",0,$E44*SUMIF(Plan!$M$5:$M$24,"#"&amp;$A44,Plan!F$5:F$24))</f>
        <v/>
      </c>
      <c r="I44" s="45">
        <f>IF($B44="",0,$E44*SUMIF(Plan!$M$5:$M$24,"#"&amp;$A44,Plan!G$5:G$24))</f>
        <v/>
      </c>
      <c r="J44" s="45">
        <f>IF($B44="",0,$E44*SUMIF(Plan!$M$5:$M$24,"#"&amp;$A44,Plan!H$5:H$24))</f>
        <v/>
      </c>
      <c r="K44" s="45">
        <f>IF($B44="",0,$E44*SUMIF(Plan!$M$5:$M$24,"#"&amp;$A44,Plan!I$5:I$24))</f>
        <v/>
      </c>
      <c r="L44" s="45">
        <f>IF($B44="",0,$E44*SUMIF(Plan!$M$5:$M$24,"#"&amp;$A44,Plan!J$5:J$24))</f>
        <v/>
      </c>
      <c r="M44" s="45">
        <f>IF($B44="",0,$E44*SUMIF(Plan!$M$5:$M$24,"#"&amp;$A44,Plan!K$5:K$24))</f>
        <v/>
      </c>
      <c r="N44" s="45">
        <f>IF($B44="",0,$E44*SUMIF(Plan!$M$5:$M$24,"#"&amp;$A44,Plan!L$5:L$24))</f>
        <v/>
      </c>
      <c r="O44" s="35">
        <f>IF(B44="","","#"&amp;B44)</f>
        <v/>
      </c>
      <c r="P44" s="35">
        <f>IF(A44="","","#"&amp;A44)</f>
        <v/>
      </c>
    </row>
    <row r="45">
      <c r="A45" s="32" t="n"/>
      <c r="B45" s="54" t="n"/>
      <c r="C45" s="48">
        <f>IFERROR(INDEX(Materiales!$B$4:$B$66,MATCH("#"&amp;$B45,Materiales!$L$4:$L$66,0)),"")</f>
        <v/>
      </c>
      <c r="D45" s="49">
        <f>IFERROR(INDEX(Materiales!$C$4:$C$66,MATCH("#"&amp;$B45,Materiales!$L$4:$L$66,0)),"")</f>
        <v/>
      </c>
      <c r="E45" s="107" t="n"/>
      <c r="F45" s="32" t="n"/>
      <c r="G45" s="45">
        <f>IF($B45="",0,$E45*SUMIF(Plan!$M$5:$M$24,"#"&amp;$A45,Plan!E$5:E$24))</f>
        <v/>
      </c>
      <c r="H45" s="45">
        <f>IF($B45="",0,$E45*SUMIF(Plan!$M$5:$M$24,"#"&amp;$A45,Plan!F$5:F$24))</f>
        <v/>
      </c>
      <c r="I45" s="45">
        <f>IF($B45="",0,$E45*SUMIF(Plan!$M$5:$M$24,"#"&amp;$A45,Plan!G$5:G$24))</f>
        <v/>
      </c>
      <c r="J45" s="45">
        <f>IF($B45="",0,$E45*SUMIF(Plan!$M$5:$M$24,"#"&amp;$A45,Plan!H$5:H$24))</f>
        <v/>
      </c>
      <c r="K45" s="45">
        <f>IF($B45="",0,$E45*SUMIF(Plan!$M$5:$M$24,"#"&amp;$A45,Plan!I$5:I$24))</f>
        <v/>
      </c>
      <c r="L45" s="45">
        <f>IF($B45="",0,$E45*SUMIF(Plan!$M$5:$M$24,"#"&amp;$A45,Plan!J$5:J$24))</f>
        <v/>
      </c>
      <c r="M45" s="45">
        <f>IF($B45="",0,$E45*SUMIF(Plan!$M$5:$M$24,"#"&amp;$A45,Plan!K$5:K$24))</f>
        <v/>
      </c>
      <c r="N45" s="45">
        <f>IF($B45="",0,$E45*SUMIF(Plan!$M$5:$M$24,"#"&amp;$A45,Plan!L$5:L$24))</f>
        <v/>
      </c>
      <c r="O45" s="35">
        <f>IF(B45="","","#"&amp;B45)</f>
        <v/>
      </c>
      <c r="P45" s="35">
        <f>IF(A45="","","#"&amp;A45)</f>
        <v/>
      </c>
    </row>
    <row r="46">
      <c r="A46" s="32" t="n"/>
      <c r="B46" s="54" t="n"/>
      <c r="C46" s="48">
        <f>IFERROR(INDEX(Materiales!$B$4:$B$66,MATCH("#"&amp;$B46,Materiales!$L$4:$L$66,0)),"")</f>
        <v/>
      </c>
      <c r="D46" s="49">
        <f>IFERROR(INDEX(Materiales!$C$4:$C$66,MATCH("#"&amp;$B46,Materiales!$L$4:$L$66,0)),"")</f>
        <v/>
      </c>
      <c r="E46" s="107" t="n"/>
      <c r="F46" s="32" t="n"/>
      <c r="G46" s="45">
        <f>IF($B46="",0,$E46*SUMIF(Plan!$M$5:$M$24,"#"&amp;$A46,Plan!E$5:E$24))</f>
        <v/>
      </c>
      <c r="H46" s="45">
        <f>IF($B46="",0,$E46*SUMIF(Plan!$M$5:$M$24,"#"&amp;$A46,Plan!F$5:F$24))</f>
        <v/>
      </c>
      <c r="I46" s="45">
        <f>IF($B46="",0,$E46*SUMIF(Plan!$M$5:$M$24,"#"&amp;$A46,Plan!G$5:G$24))</f>
        <v/>
      </c>
      <c r="J46" s="45">
        <f>IF($B46="",0,$E46*SUMIF(Plan!$M$5:$M$24,"#"&amp;$A46,Plan!H$5:H$24))</f>
        <v/>
      </c>
      <c r="K46" s="45">
        <f>IF($B46="",0,$E46*SUMIF(Plan!$M$5:$M$24,"#"&amp;$A46,Plan!I$5:I$24))</f>
        <v/>
      </c>
      <c r="L46" s="45">
        <f>IF($B46="",0,$E46*SUMIF(Plan!$M$5:$M$24,"#"&amp;$A46,Plan!J$5:J$24))</f>
        <v/>
      </c>
      <c r="M46" s="45">
        <f>IF($B46="",0,$E46*SUMIF(Plan!$M$5:$M$24,"#"&amp;$A46,Plan!K$5:K$24))</f>
        <v/>
      </c>
      <c r="N46" s="45">
        <f>IF($B46="",0,$E46*SUMIF(Plan!$M$5:$M$24,"#"&amp;$A46,Plan!L$5:L$24))</f>
        <v/>
      </c>
      <c r="O46" s="35">
        <f>IF(B46="","","#"&amp;B46)</f>
        <v/>
      </c>
      <c r="P46" s="35">
        <f>IF(A46="","","#"&amp;A46)</f>
        <v/>
      </c>
    </row>
    <row r="47">
      <c r="A47" s="32" t="n"/>
      <c r="B47" s="54" t="n"/>
      <c r="C47" s="48">
        <f>IFERROR(INDEX(Materiales!$B$4:$B$66,MATCH("#"&amp;$B47,Materiales!$L$4:$L$66,0)),"")</f>
        <v/>
      </c>
      <c r="D47" s="49">
        <f>IFERROR(INDEX(Materiales!$C$4:$C$66,MATCH("#"&amp;$B47,Materiales!$L$4:$L$66,0)),"")</f>
        <v/>
      </c>
      <c r="E47" s="107" t="n"/>
      <c r="F47" s="32" t="n"/>
      <c r="G47" s="45">
        <f>IF($B47="",0,$E47*SUMIF(Plan!$M$5:$M$24,"#"&amp;$A47,Plan!E$5:E$24))</f>
        <v/>
      </c>
      <c r="H47" s="45">
        <f>IF($B47="",0,$E47*SUMIF(Plan!$M$5:$M$24,"#"&amp;$A47,Plan!F$5:F$24))</f>
        <v/>
      </c>
      <c r="I47" s="45">
        <f>IF($B47="",0,$E47*SUMIF(Plan!$M$5:$M$24,"#"&amp;$A47,Plan!G$5:G$24))</f>
        <v/>
      </c>
      <c r="J47" s="45">
        <f>IF($B47="",0,$E47*SUMIF(Plan!$M$5:$M$24,"#"&amp;$A47,Plan!H$5:H$24))</f>
        <v/>
      </c>
      <c r="K47" s="45">
        <f>IF($B47="",0,$E47*SUMIF(Plan!$M$5:$M$24,"#"&amp;$A47,Plan!I$5:I$24))</f>
        <v/>
      </c>
      <c r="L47" s="45">
        <f>IF($B47="",0,$E47*SUMIF(Plan!$M$5:$M$24,"#"&amp;$A47,Plan!J$5:J$24))</f>
        <v/>
      </c>
      <c r="M47" s="45">
        <f>IF($B47="",0,$E47*SUMIF(Plan!$M$5:$M$24,"#"&amp;$A47,Plan!K$5:K$24))</f>
        <v/>
      </c>
      <c r="N47" s="45">
        <f>IF($B47="",0,$E47*SUMIF(Plan!$M$5:$M$24,"#"&amp;$A47,Plan!L$5:L$24))</f>
        <v/>
      </c>
      <c r="O47" s="35">
        <f>IF(B47="","","#"&amp;B47)</f>
        <v/>
      </c>
      <c r="P47" s="35">
        <f>IF(A47="","","#"&amp;A47)</f>
        <v/>
      </c>
    </row>
    <row r="48">
      <c r="A48" s="32" t="n"/>
      <c r="B48" s="54" t="n"/>
      <c r="C48" s="48">
        <f>IFERROR(INDEX(Materiales!$B$4:$B$66,MATCH("#"&amp;$B48,Materiales!$L$4:$L$66,0)),"")</f>
        <v/>
      </c>
      <c r="D48" s="49">
        <f>IFERROR(INDEX(Materiales!$C$4:$C$66,MATCH("#"&amp;$B48,Materiales!$L$4:$L$66,0)),"")</f>
        <v/>
      </c>
      <c r="E48" s="107" t="n"/>
      <c r="F48" s="32" t="n"/>
      <c r="G48" s="45">
        <f>IF($B48="",0,$E48*SUMIF(Plan!$M$5:$M$24,"#"&amp;$A48,Plan!E$5:E$24))</f>
        <v/>
      </c>
      <c r="H48" s="45">
        <f>IF($B48="",0,$E48*SUMIF(Plan!$M$5:$M$24,"#"&amp;$A48,Plan!F$5:F$24))</f>
        <v/>
      </c>
      <c r="I48" s="45">
        <f>IF($B48="",0,$E48*SUMIF(Plan!$M$5:$M$24,"#"&amp;$A48,Plan!G$5:G$24))</f>
        <v/>
      </c>
      <c r="J48" s="45">
        <f>IF($B48="",0,$E48*SUMIF(Plan!$M$5:$M$24,"#"&amp;$A48,Plan!H$5:H$24))</f>
        <v/>
      </c>
      <c r="K48" s="45">
        <f>IF($B48="",0,$E48*SUMIF(Plan!$M$5:$M$24,"#"&amp;$A48,Plan!I$5:I$24))</f>
        <v/>
      </c>
      <c r="L48" s="45">
        <f>IF($B48="",0,$E48*SUMIF(Plan!$M$5:$M$24,"#"&amp;$A48,Plan!J$5:J$24))</f>
        <v/>
      </c>
      <c r="M48" s="45">
        <f>IF($B48="",0,$E48*SUMIF(Plan!$M$5:$M$24,"#"&amp;$A48,Plan!K$5:K$24))</f>
        <v/>
      </c>
      <c r="N48" s="45">
        <f>IF($B48="",0,$E48*SUMIF(Plan!$M$5:$M$24,"#"&amp;$A48,Plan!L$5:L$24))</f>
        <v/>
      </c>
      <c r="O48" s="35">
        <f>IF(B48="","","#"&amp;B48)</f>
        <v/>
      </c>
      <c r="P48" s="35">
        <f>IF(A48="","","#"&amp;A48)</f>
        <v/>
      </c>
    </row>
    <row r="49">
      <c r="A49" s="32" t="n"/>
      <c r="B49" s="54" t="n"/>
      <c r="C49" s="48">
        <f>IFERROR(INDEX(Materiales!$B$4:$B$66,MATCH("#"&amp;$B49,Materiales!$L$4:$L$66,0)),"")</f>
        <v/>
      </c>
      <c r="D49" s="49">
        <f>IFERROR(INDEX(Materiales!$C$4:$C$66,MATCH("#"&amp;$B49,Materiales!$L$4:$L$66,0)),"")</f>
        <v/>
      </c>
      <c r="E49" s="107" t="n"/>
      <c r="F49" s="32" t="n"/>
      <c r="G49" s="45">
        <f>IF($B49="",0,$E49*SUMIF(Plan!$M$5:$M$24,"#"&amp;$A49,Plan!E$5:E$24))</f>
        <v/>
      </c>
      <c r="H49" s="45">
        <f>IF($B49="",0,$E49*SUMIF(Plan!$M$5:$M$24,"#"&amp;$A49,Plan!F$5:F$24))</f>
        <v/>
      </c>
      <c r="I49" s="45">
        <f>IF($B49="",0,$E49*SUMIF(Plan!$M$5:$M$24,"#"&amp;$A49,Plan!G$5:G$24))</f>
        <v/>
      </c>
      <c r="J49" s="45">
        <f>IF($B49="",0,$E49*SUMIF(Plan!$M$5:$M$24,"#"&amp;$A49,Plan!H$5:H$24))</f>
        <v/>
      </c>
      <c r="K49" s="45">
        <f>IF($B49="",0,$E49*SUMIF(Plan!$M$5:$M$24,"#"&amp;$A49,Plan!I$5:I$24))</f>
        <v/>
      </c>
      <c r="L49" s="45">
        <f>IF($B49="",0,$E49*SUMIF(Plan!$M$5:$M$24,"#"&amp;$A49,Plan!J$5:J$24))</f>
        <v/>
      </c>
      <c r="M49" s="45">
        <f>IF($B49="",0,$E49*SUMIF(Plan!$M$5:$M$24,"#"&amp;$A49,Plan!K$5:K$24))</f>
        <v/>
      </c>
      <c r="N49" s="45">
        <f>IF($B49="",0,$E49*SUMIF(Plan!$M$5:$M$24,"#"&amp;$A49,Plan!L$5:L$24))</f>
        <v/>
      </c>
      <c r="O49" s="35">
        <f>IF(B49="","","#"&amp;B49)</f>
        <v/>
      </c>
      <c r="P49" s="35">
        <f>IF(A49="","","#"&amp;A49)</f>
        <v/>
      </c>
    </row>
    <row r="50">
      <c r="A50" s="32" t="n"/>
      <c r="B50" s="54" t="n"/>
      <c r="C50" s="48">
        <f>IFERROR(INDEX(Materiales!$B$4:$B$66,MATCH("#"&amp;$B50,Materiales!$L$4:$L$66,0)),"")</f>
        <v/>
      </c>
      <c r="D50" s="49">
        <f>IFERROR(INDEX(Materiales!$C$4:$C$66,MATCH("#"&amp;$B50,Materiales!$L$4:$L$66,0)),"")</f>
        <v/>
      </c>
      <c r="E50" s="107" t="n"/>
      <c r="F50" s="32" t="n"/>
      <c r="G50" s="45">
        <f>IF($B50="",0,$E50*SUMIF(Plan!$M$5:$M$24,"#"&amp;$A50,Plan!E$5:E$24))</f>
        <v/>
      </c>
      <c r="H50" s="45">
        <f>IF($B50="",0,$E50*SUMIF(Plan!$M$5:$M$24,"#"&amp;$A50,Plan!F$5:F$24))</f>
        <v/>
      </c>
      <c r="I50" s="45">
        <f>IF($B50="",0,$E50*SUMIF(Plan!$M$5:$M$24,"#"&amp;$A50,Plan!G$5:G$24))</f>
        <v/>
      </c>
      <c r="J50" s="45">
        <f>IF($B50="",0,$E50*SUMIF(Plan!$M$5:$M$24,"#"&amp;$A50,Plan!H$5:H$24))</f>
        <v/>
      </c>
      <c r="K50" s="45">
        <f>IF($B50="",0,$E50*SUMIF(Plan!$M$5:$M$24,"#"&amp;$A50,Plan!I$5:I$24))</f>
        <v/>
      </c>
      <c r="L50" s="45">
        <f>IF($B50="",0,$E50*SUMIF(Plan!$M$5:$M$24,"#"&amp;$A50,Plan!J$5:J$24))</f>
        <v/>
      </c>
      <c r="M50" s="45">
        <f>IF($B50="",0,$E50*SUMIF(Plan!$M$5:$M$24,"#"&amp;$A50,Plan!K$5:K$24))</f>
        <v/>
      </c>
      <c r="N50" s="45">
        <f>IF($B50="",0,$E50*SUMIF(Plan!$M$5:$M$24,"#"&amp;$A50,Plan!L$5:L$24))</f>
        <v/>
      </c>
      <c r="O50" s="35">
        <f>IF(B50="","","#"&amp;B50)</f>
        <v/>
      </c>
      <c r="P50" s="35">
        <f>IF(A50="","","#"&amp;A50)</f>
        <v/>
      </c>
    </row>
    <row r="51">
      <c r="A51" s="32" t="n"/>
      <c r="B51" s="54" t="n"/>
      <c r="C51" s="48">
        <f>IFERROR(INDEX(Materiales!$B$4:$B$66,MATCH("#"&amp;$B51,Materiales!$L$4:$L$66,0)),"")</f>
        <v/>
      </c>
      <c r="D51" s="49">
        <f>IFERROR(INDEX(Materiales!$C$4:$C$66,MATCH("#"&amp;$B51,Materiales!$L$4:$L$66,0)),"")</f>
        <v/>
      </c>
      <c r="E51" s="107" t="n"/>
      <c r="F51" s="32" t="n"/>
      <c r="G51" s="45">
        <f>IF($B51="",0,$E51*SUMIF(Plan!$M$5:$M$24,"#"&amp;$A51,Plan!E$5:E$24))</f>
        <v/>
      </c>
      <c r="H51" s="45">
        <f>IF($B51="",0,$E51*SUMIF(Plan!$M$5:$M$24,"#"&amp;$A51,Plan!F$5:F$24))</f>
        <v/>
      </c>
      <c r="I51" s="45">
        <f>IF($B51="",0,$E51*SUMIF(Plan!$M$5:$M$24,"#"&amp;$A51,Plan!G$5:G$24))</f>
        <v/>
      </c>
      <c r="J51" s="45">
        <f>IF($B51="",0,$E51*SUMIF(Plan!$M$5:$M$24,"#"&amp;$A51,Plan!H$5:H$24))</f>
        <v/>
      </c>
      <c r="K51" s="45">
        <f>IF($B51="",0,$E51*SUMIF(Plan!$M$5:$M$24,"#"&amp;$A51,Plan!I$5:I$24))</f>
        <v/>
      </c>
      <c r="L51" s="45">
        <f>IF($B51="",0,$E51*SUMIF(Plan!$M$5:$M$24,"#"&amp;$A51,Plan!J$5:J$24))</f>
        <v/>
      </c>
      <c r="M51" s="45">
        <f>IF($B51="",0,$E51*SUMIF(Plan!$M$5:$M$24,"#"&amp;$A51,Plan!K$5:K$24))</f>
        <v/>
      </c>
      <c r="N51" s="45">
        <f>IF($B51="",0,$E51*SUMIF(Plan!$M$5:$M$24,"#"&amp;$A51,Plan!L$5:L$24))</f>
        <v/>
      </c>
      <c r="O51" s="35">
        <f>IF(B51="","","#"&amp;B51)</f>
        <v/>
      </c>
      <c r="P51" s="35">
        <f>IF(A51="","","#"&amp;A51)</f>
        <v/>
      </c>
    </row>
    <row r="52">
      <c r="A52" s="32" t="n"/>
      <c r="B52" s="54" t="n"/>
      <c r="C52" s="48">
        <f>IFERROR(INDEX(Materiales!$B$4:$B$66,MATCH("#"&amp;$B52,Materiales!$L$4:$L$66,0)),"")</f>
        <v/>
      </c>
      <c r="D52" s="49">
        <f>IFERROR(INDEX(Materiales!$C$4:$C$66,MATCH("#"&amp;$B52,Materiales!$L$4:$L$66,0)),"")</f>
        <v/>
      </c>
      <c r="E52" s="107" t="n"/>
      <c r="F52" s="32" t="n"/>
      <c r="G52" s="45">
        <f>IF($B52="",0,$E52*SUMIF(Plan!$M$5:$M$24,"#"&amp;$A52,Plan!E$5:E$24))</f>
        <v/>
      </c>
      <c r="H52" s="45">
        <f>IF($B52="",0,$E52*SUMIF(Plan!$M$5:$M$24,"#"&amp;$A52,Plan!F$5:F$24))</f>
        <v/>
      </c>
      <c r="I52" s="45">
        <f>IF($B52="",0,$E52*SUMIF(Plan!$M$5:$M$24,"#"&amp;$A52,Plan!G$5:G$24))</f>
        <v/>
      </c>
      <c r="J52" s="45">
        <f>IF($B52="",0,$E52*SUMIF(Plan!$M$5:$M$24,"#"&amp;$A52,Plan!H$5:H$24))</f>
        <v/>
      </c>
      <c r="K52" s="45">
        <f>IF($B52="",0,$E52*SUMIF(Plan!$M$5:$M$24,"#"&amp;$A52,Plan!I$5:I$24))</f>
        <v/>
      </c>
      <c r="L52" s="45">
        <f>IF($B52="",0,$E52*SUMIF(Plan!$M$5:$M$24,"#"&amp;$A52,Plan!J$5:J$24))</f>
        <v/>
      </c>
      <c r="M52" s="45">
        <f>IF($B52="",0,$E52*SUMIF(Plan!$M$5:$M$24,"#"&amp;$A52,Plan!K$5:K$24))</f>
        <v/>
      </c>
      <c r="N52" s="45">
        <f>IF($B52="",0,$E52*SUMIF(Plan!$M$5:$M$24,"#"&amp;$A52,Plan!L$5:L$24))</f>
        <v/>
      </c>
      <c r="O52" s="35">
        <f>IF(B52="","","#"&amp;B52)</f>
        <v/>
      </c>
      <c r="P52" s="35">
        <f>IF(A52="","","#"&amp;A52)</f>
        <v/>
      </c>
    </row>
    <row r="53">
      <c r="A53" s="32" t="n"/>
      <c r="B53" s="54" t="n"/>
      <c r="C53" s="48">
        <f>IFERROR(INDEX(Materiales!$B$4:$B$66,MATCH("#"&amp;$B53,Materiales!$L$4:$L$66,0)),"")</f>
        <v/>
      </c>
      <c r="D53" s="49">
        <f>IFERROR(INDEX(Materiales!$C$4:$C$66,MATCH("#"&amp;$B53,Materiales!$L$4:$L$66,0)),"")</f>
        <v/>
      </c>
      <c r="E53" s="107" t="n"/>
      <c r="F53" s="32" t="n"/>
      <c r="G53" s="45">
        <f>IF($B53="",0,$E53*SUMIF(Plan!$M$5:$M$24,"#"&amp;$A53,Plan!E$5:E$24))</f>
        <v/>
      </c>
      <c r="H53" s="45">
        <f>IF($B53="",0,$E53*SUMIF(Plan!$M$5:$M$24,"#"&amp;$A53,Plan!F$5:F$24))</f>
        <v/>
      </c>
      <c r="I53" s="45">
        <f>IF($B53="",0,$E53*SUMIF(Plan!$M$5:$M$24,"#"&amp;$A53,Plan!G$5:G$24))</f>
        <v/>
      </c>
      <c r="J53" s="45">
        <f>IF($B53="",0,$E53*SUMIF(Plan!$M$5:$M$24,"#"&amp;$A53,Plan!H$5:H$24))</f>
        <v/>
      </c>
      <c r="K53" s="45">
        <f>IF($B53="",0,$E53*SUMIF(Plan!$M$5:$M$24,"#"&amp;$A53,Plan!I$5:I$24))</f>
        <v/>
      </c>
      <c r="L53" s="45">
        <f>IF($B53="",0,$E53*SUMIF(Plan!$M$5:$M$24,"#"&amp;$A53,Plan!J$5:J$24))</f>
        <v/>
      </c>
      <c r="M53" s="45">
        <f>IF($B53="",0,$E53*SUMIF(Plan!$M$5:$M$24,"#"&amp;$A53,Plan!K$5:K$24))</f>
        <v/>
      </c>
      <c r="N53" s="45">
        <f>IF($B53="",0,$E53*SUMIF(Plan!$M$5:$M$24,"#"&amp;$A53,Plan!L$5:L$24))</f>
        <v/>
      </c>
      <c r="O53" s="35">
        <f>IF(B53="","","#"&amp;B53)</f>
        <v/>
      </c>
      <c r="P53" s="35">
        <f>IF(A53="","","#"&amp;A53)</f>
        <v/>
      </c>
    </row>
    <row r="54">
      <c r="A54" s="32" t="n"/>
      <c r="B54" s="54" t="n"/>
      <c r="C54" s="48">
        <f>IFERROR(INDEX(Materiales!$B$4:$B$66,MATCH("#"&amp;$B54,Materiales!$L$4:$L$66,0)),"")</f>
        <v/>
      </c>
      <c r="D54" s="49">
        <f>IFERROR(INDEX(Materiales!$C$4:$C$66,MATCH("#"&amp;$B54,Materiales!$L$4:$L$66,0)),"")</f>
        <v/>
      </c>
      <c r="E54" s="107" t="n"/>
      <c r="F54" s="32" t="n"/>
      <c r="G54" s="45">
        <f>IF($B54="",0,$E54*SUMIF(Plan!$M$5:$M$24,"#"&amp;$A54,Plan!E$5:E$24))</f>
        <v/>
      </c>
      <c r="H54" s="45">
        <f>IF($B54="",0,$E54*SUMIF(Plan!$M$5:$M$24,"#"&amp;$A54,Plan!F$5:F$24))</f>
        <v/>
      </c>
      <c r="I54" s="45">
        <f>IF($B54="",0,$E54*SUMIF(Plan!$M$5:$M$24,"#"&amp;$A54,Plan!G$5:G$24))</f>
        <v/>
      </c>
      <c r="J54" s="45">
        <f>IF($B54="",0,$E54*SUMIF(Plan!$M$5:$M$24,"#"&amp;$A54,Plan!H$5:H$24))</f>
        <v/>
      </c>
      <c r="K54" s="45">
        <f>IF($B54="",0,$E54*SUMIF(Plan!$M$5:$M$24,"#"&amp;$A54,Plan!I$5:I$24))</f>
        <v/>
      </c>
      <c r="L54" s="45">
        <f>IF($B54="",0,$E54*SUMIF(Plan!$M$5:$M$24,"#"&amp;$A54,Plan!J$5:J$24))</f>
        <v/>
      </c>
      <c r="M54" s="45">
        <f>IF($B54="",0,$E54*SUMIF(Plan!$M$5:$M$24,"#"&amp;$A54,Plan!K$5:K$24))</f>
        <v/>
      </c>
      <c r="N54" s="45">
        <f>IF($B54="",0,$E54*SUMIF(Plan!$M$5:$M$24,"#"&amp;$A54,Plan!L$5:L$24))</f>
        <v/>
      </c>
      <c r="O54" s="35">
        <f>IF(B54="","","#"&amp;B54)</f>
        <v/>
      </c>
      <c r="P54" s="35">
        <f>IF(A54="","","#"&amp;A54)</f>
        <v/>
      </c>
    </row>
    <row r="55">
      <c r="A55" s="32" t="n"/>
      <c r="B55" s="54" t="n"/>
      <c r="C55" s="48">
        <f>IFERROR(INDEX(Materiales!$B$4:$B$66,MATCH("#"&amp;$B55,Materiales!$L$4:$L$66,0)),"")</f>
        <v/>
      </c>
      <c r="D55" s="49">
        <f>IFERROR(INDEX(Materiales!$C$4:$C$66,MATCH("#"&amp;$B55,Materiales!$L$4:$L$66,0)),"")</f>
        <v/>
      </c>
      <c r="E55" s="107" t="n"/>
      <c r="F55" s="32" t="n"/>
      <c r="G55" s="45">
        <f>IF($B55="",0,$E55*SUMIF(Plan!$M$5:$M$24,"#"&amp;$A55,Plan!E$5:E$24))</f>
        <v/>
      </c>
      <c r="H55" s="45">
        <f>IF($B55="",0,$E55*SUMIF(Plan!$M$5:$M$24,"#"&amp;$A55,Plan!F$5:F$24))</f>
        <v/>
      </c>
      <c r="I55" s="45">
        <f>IF($B55="",0,$E55*SUMIF(Plan!$M$5:$M$24,"#"&amp;$A55,Plan!G$5:G$24))</f>
        <v/>
      </c>
      <c r="J55" s="45">
        <f>IF($B55="",0,$E55*SUMIF(Plan!$M$5:$M$24,"#"&amp;$A55,Plan!H$5:H$24))</f>
        <v/>
      </c>
      <c r="K55" s="45">
        <f>IF($B55="",0,$E55*SUMIF(Plan!$M$5:$M$24,"#"&amp;$A55,Plan!I$5:I$24))</f>
        <v/>
      </c>
      <c r="L55" s="45">
        <f>IF($B55="",0,$E55*SUMIF(Plan!$M$5:$M$24,"#"&amp;$A55,Plan!J$5:J$24))</f>
        <v/>
      </c>
      <c r="M55" s="45">
        <f>IF($B55="",0,$E55*SUMIF(Plan!$M$5:$M$24,"#"&amp;$A55,Plan!K$5:K$24))</f>
        <v/>
      </c>
      <c r="N55" s="45">
        <f>IF($B55="",0,$E55*SUMIF(Plan!$M$5:$M$24,"#"&amp;$A55,Plan!L$5:L$24))</f>
        <v/>
      </c>
      <c r="O55" s="35">
        <f>IF(B55="","","#"&amp;B55)</f>
        <v/>
      </c>
      <c r="P55" s="35">
        <f>IF(A55="","","#"&amp;A55)</f>
        <v/>
      </c>
    </row>
    <row r="56">
      <c r="A56" s="32" t="n"/>
      <c r="B56" s="54" t="n"/>
      <c r="C56" s="48">
        <f>IFERROR(INDEX(Materiales!$B$4:$B$66,MATCH("#"&amp;$B56,Materiales!$L$4:$L$66,0)),"")</f>
        <v/>
      </c>
      <c r="D56" s="49">
        <f>IFERROR(INDEX(Materiales!$C$4:$C$66,MATCH("#"&amp;$B56,Materiales!$L$4:$L$66,0)),"")</f>
        <v/>
      </c>
      <c r="E56" s="107" t="n"/>
      <c r="F56" s="32" t="n"/>
      <c r="G56" s="45">
        <f>IF($B56="",0,$E56*SUMIF(Plan!$M$5:$M$24,"#"&amp;$A56,Plan!E$5:E$24))</f>
        <v/>
      </c>
      <c r="H56" s="45">
        <f>IF($B56="",0,$E56*SUMIF(Plan!$M$5:$M$24,"#"&amp;$A56,Plan!F$5:F$24))</f>
        <v/>
      </c>
      <c r="I56" s="45">
        <f>IF($B56="",0,$E56*SUMIF(Plan!$M$5:$M$24,"#"&amp;$A56,Plan!G$5:G$24))</f>
        <v/>
      </c>
      <c r="J56" s="45">
        <f>IF($B56="",0,$E56*SUMIF(Plan!$M$5:$M$24,"#"&amp;$A56,Plan!H$5:H$24))</f>
        <v/>
      </c>
      <c r="K56" s="45">
        <f>IF($B56="",0,$E56*SUMIF(Plan!$M$5:$M$24,"#"&amp;$A56,Plan!I$5:I$24))</f>
        <v/>
      </c>
      <c r="L56" s="45">
        <f>IF($B56="",0,$E56*SUMIF(Plan!$M$5:$M$24,"#"&amp;$A56,Plan!J$5:J$24))</f>
        <v/>
      </c>
      <c r="M56" s="45">
        <f>IF($B56="",0,$E56*SUMIF(Plan!$M$5:$M$24,"#"&amp;$A56,Plan!K$5:K$24))</f>
        <v/>
      </c>
      <c r="N56" s="45">
        <f>IF($B56="",0,$E56*SUMIF(Plan!$M$5:$M$24,"#"&amp;$A56,Plan!L$5:L$24))</f>
        <v/>
      </c>
      <c r="O56" s="35">
        <f>IF(B56="","","#"&amp;B56)</f>
        <v/>
      </c>
      <c r="P56" s="35">
        <f>IF(A56="","","#"&amp;A56)</f>
        <v/>
      </c>
    </row>
    <row r="57">
      <c r="A57" s="32" t="n"/>
      <c r="B57" s="54" t="n"/>
      <c r="C57" s="48">
        <f>IFERROR(INDEX(Materiales!$B$4:$B$66,MATCH("#"&amp;$B57,Materiales!$L$4:$L$66,0)),"")</f>
        <v/>
      </c>
      <c r="D57" s="49">
        <f>IFERROR(INDEX(Materiales!$C$4:$C$66,MATCH("#"&amp;$B57,Materiales!$L$4:$L$66,0)),"")</f>
        <v/>
      </c>
      <c r="E57" s="107" t="n"/>
      <c r="F57" s="32" t="n"/>
      <c r="G57" s="45">
        <f>IF($B57="",0,$E57*SUMIF(Plan!$M$5:$M$24,"#"&amp;$A57,Plan!E$5:E$24))</f>
        <v/>
      </c>
      <c r="H57" s="45">
        <f>IF($B57="",0,$E57*SUMIF(Plan!$M$5:$M$24,"#"&amp;$A57,Plan!F$5:F$24))</f>
        <v/>
      </c>
      <c r="I57" s="45">
        <f>IF($B57="",0,$E57*SUMIF(Plan!$M$5:$M$24,"#"&amp;$A57,Plan!G$5:G$24))</f>
        <v/>
      </c>
      <c r="J57" s="45">
        <f>IF($B57="",0,$E57*SUMIF(Plan!$M$5:$M$24,"#"&amp;$A57,Plan!H$5:H$24))</f>
        <v/>
      </c>
      <c r="K57" s="45">
        <f>IF($B57="",0,$E57*SUMIF(Plan!$M$5:$M$24,"#"&amp;$A57,Plan!I$5:I$24))</f>
        <v/>
      </c>
      <c r="L57" s="45">
        <f>IF($B57="",0,$E57*SUMIF(Plan!$M$5:$M$24,"#"&amp;$A57,Plan!J$5:J$24))</f>
        <v/>
      </c>
      <c r="M57" s="45">
        <f>IF($B57="",0,$E57*SUMIF(Plan!$M$5:$M$24,"#"&amp;$A57,Plan!K$5:K$24))</f>
        <v/>
      </c>
      <c r="N57" s="45">
        <f>IF($B57="",0,$E57*SUMIF(Plan!$M$5:$M$24,"#"&amp;$A57,Plan!L$5:L$24))</f>
        <v/>
      </c>
      <c r="O57" s="35">
        <f>IF(B57="","","#"&amp;B57)</f>
        <v/>
      </c>
      <c r="P57" s="35">
        <f>IF(A57="","","#"&amp;A57)</f>
        <v/>
      </c>
    </row>
    <row r="58">
      <c r="A58" s="32" t="n"/>
      <c r="B58" s="54" t="n"/>
      <c r="C58" s="48">
        <f>IFERROR(INDEX(Materiales!$B$4:$B$66,MATCH("#"&amp;$B58,Materiales!$L$4:$L$66,0)),"")</f>
        <v/>
      </c>
      <c r="D58" s="49">
        <f>IFERROR(INDEX(Materiales!$C$4:$C$66,MATCH("#"&amp;$B58,Materiales!$L$4:$L$66,0)),"")</f>
        <v/>
      </c>
      <c r="E58" s="107" t="n"/>
      <c r="F58" s="32" t="n"/>
      <c r="G58" s="45">
        <f>IF($B58="",0,$E58*SUMIF(Plan!$M$5:$M$24,"#"&amp;$A58,Plan!E$5:E$24))</f>
        <v/>
      </c>
      <c r="H58" s="45">
        <f>IF($B58="",0,$E58*SUMIF(Plan!$M$5:$M$24,"#"&amp;$A58,Plan!F$5:F$24))</f>
        <v/>
      </c>
      <c r="I58" s="45">
        <f>IF($B58="",0,$E58*SUMIF(Plan!$M$5:$M$24,"#"&amp;$A58,Plan!G$5:G$24))</f>
        <v/>
      </c>
      <c r="J58" s="45">
        <f>IF($B58="",0,$E58*SUMIF(Plan!$M$5:$M$24,"#"&amp;$A58,Plan!H$5:H$24))</f>
        <v/>
      </c>
      <c r="K58" s="45">
        <f>IF($B58="",0,$E58*SUMIF(Plan!$M$5:$M$24,"#"&amp;$A58,Plan!I$5:I$24))</f>
        <v/>
      </c>
      <c r="L58" s="45">
        <f>IF($B58="",0,$E58*SUMIF(Plan!$M$5:$M$24,"#"&amp;$A58,Plan!J$5:J$24))</f>
        <v/>
      </c>
      <c r="M58" s="45">
        <f>IF($B58="",0,$E58*SUMIF(Plan!$M$5:$M$24,"#"&amp;$A58,Plan!K$5:K$24))</f>
        <v/>
      </c>
      <c r="N58" s="45">
        <f>IF($B58="",0,$E58*SUMIF(Plan!$M$5:$M$24,"#"&amp;$A58,Plan!L$5:L$24))</f>
        <v/>
      </c>
      <c r="O58" s="35">
        <f>IF(B58="","","#"&amp;B58)</f>
        <v/>
      </c>
      <c r="P58" s="35">
        <f>IF(A58="","","#"&amp;A58)</f>
        <v/>
      </c>
    </row>
    <row r="59">
      <c r="A59" s="32" t="n"/>
      <c r="B59" s="54" t="n"/>
      <c r="C59" s="48">
        <f>IFERROR(INDEX(Materiales!$B$4:$B$66,MATCH("#"&amp;$B59,Materiales!$L$4:$L$66,0)),"")</f>
        <v/>
      </c>
      <c r="D59" s="49">
        <f>IFERROR(INDEX(Materiales!$C$4:$C$66,MATCH("#"&amp;$B59,Materiales!$L$4:$L$66,0)),"")</f>
        <v/>
      </c>
      <c r="E59" s="107" t="n"/>
      <c r="F59" s="32" t="n"/>
      <c r="G59" s="45">
        <f>IF($B59="",0,$E59*SUMIF(Plan!$M$5:$M$24,"#"&amp;$A59,Plan!E$5:E$24))</f>
        <v/>
      </c>
      <c r="H59" s="45">
        <f>IF($B59="",0,$E59*SUMIF(Plan!$M$5:$M$24,"#"&amp;$A59,Plan!F$5:F$24))</f>
        <v/>
      </c>
      <c r="I59" s="45">
        <f>IF($B59="",0,$E59*SUMIF(Plan!$M$5:$M$24,"#"&amp;$A59,Plan!G$5:G$24))</f>
        <v/>
      </c>
      <c r="J59" s="45">
        <f>IF($B59="",0,$E59*SUMIF(Plan!$M$5:$M$24,"#"&amp;$A59,Plan!H$5:H$24))</f>
        <v/>
      </c>
      <c r="K59" s="45">
        <f>IF($B59="",0,$E59*SUMIF(Plan!$M$5:$M$24,"#"&amp;$A59,Plan!I$5:I$24))</f>
        <v/>
      </c>
      <c r="L59" s="45">
        <f>IF($B59="",0,$E59*SUMIF(Plan!$M$5:$M$24,"#"&amp;$A59,Plan!J$5:J$24))</f>
        <v/>
      </c>
      <c r="M59" s="45">
        <f>IF($B59="",0,$E59*SUMIF(Plan!$M$5:$M$24,"#"&amp;$A59,Plan!K$5:K$24))</f>
        <v/>
      </c>
      <c r="N59" s="45">
        <f>IF($B59="",0,$E59*SUMIF(Plan!$M$5:$M$24,"#"&amp;$A59,Plan!L$5:L$24))</f>
        <v/>
      </c>
      <c r="O59" s="35">
        <f>IF(B59="","","#"&amp;B59)</f>
        <v/>
      </c>
      <c r="P59" s="35">
        <f>IF(A59="","","#"&amp;A59)</f>
        <v/>
      </c>
    </row>
    <row r="60">
      <c r="A60" s="32" t="n"/>
      <c r="B60" s="54" t="n"/>
      <c r="C60" s="48">
        <f>IFERROR(INDEX(Materiales!$B$4:$B$66,MATCH("#"&amp;$B60,Materiales!$L$4:$L$66,0)),"")</f>
        <v/>
      </c>
      <c r="D60" s="49">
        <f>IFERROR(INDEX(Materiales!$C$4:$C$66,MATCH("#"&amp;$B60,Materiales!$L$4:$L$66,0)),"")</f>
        <v/>
      </c>
      <c r="E60" s="107" t="n"/>
      <c r="F60" s="32" t="n"/>
      <c r="G60" s="45">
        <f>IF($B60="",0,$E60*SUMIF(Plan!$M$5:$M$24,"#"&amp;$A60,Plan!E$5:E$24))</f>
        <v/>
      </c>
      <c r="H60" s="45">
        <f>IF($B60="",0,$E60*SUMIF(Plan!$M$5:$M$24,"#"&amp;$A60,Plan!F$5:F$24))</f>
        <v/>
      </c>
      <c r="I60" s="45">
        <f>IF($B60="",0,$E60*SUMIF(Plan!$M$5:$M$24,"#"&amp;$A60,Plan!G$5:G$24))</f>
        <v/>
      </c>
      <c r="J60" s="45">
        <f>IF($B60="",0,$E60*SUMIF(Plan!$M$5:$M$24,"#"&amp;$A60,Plan!H$5:H$24))</f>
        <v/>
      </c>
      <c r="K60" s="45">
        <f>IF($B60="",0,$E60*SUMIF(Plan!$M$5:$M$24,"#"&amp;$A60,Plan!I$5:I$24))</f>
        <v/>
      </c>
      <c r="L60" s="45">
        <f>IF($B60="",0,$E60*SUMIF(Plan!$M$5:$M$24,"#"&amp;$A60,Plan!J$5:J$24))</f>
        <v/>
      </c>
      <c r="M60" s="45">
        <f>IF($B60="",0,$E60*SUMIF(Plan!$M$5:$M$24,"#"&amp;$A60,Plan!K$5:K$24))</f>
        <v/>
      </c>
      <c r="N60" s="45">
        <f>IF($B60="",0,$E60*SUMIF(Plan!$M$5:$M$24,"#"&amp;$A60,Plan!L$5:L$24))</f>
        <v/>
      </c>
      <c r="O60" s="35">
        <f>IF(B60="","","#"&amp;B60)</f>
        <v/>
      </c>
      <c r="P60" s="35">
        <f>IF(A60="","","#"&amp;A60)</f>
        <v/>
      </c>
    </row>
    <row r="61">
      <c r="A61" s="32" t="n"/>
      <c r="B61" s="54" t="n"/>
      <c r="C61" s="48">
        <f>IFERROR(INDEX(Materiales!$B$4:$B$66,MATCH("#"&amp;$B61,Materiales!$L$4:$L$66,0)),"")</f>
        <v/>
      </c>
      <c r="D61" s="49">
        <f>IFERROR(INDEX(Materiales!$C$4:$C$66,MATCH("#"&amp;$B61,Materiales!$L$4:$L$66,0)),"")</f>
        <v/>
      </c>
      <c r="E61" s="107" t="n"/>
      <c r="F61" s="32" t="n"/>
      <c r="G61" s="45">
        <f>IF($B61="",0,$E61*SUMIF(Plan!$M$5:$M$24,"#"&amp;$A61,Plan!E$5:E$24))</f>
        <v/>
      </c>
      <c r="H61" s="45">
        <f>IF($B61="",0,$E61*SUMIF(Plan!$M$5:$M$24,"#"&amp;$A61,Plan!F$5:F$24))</f>
        <v/>
      </c>
      <c r="I61" s="45">
        <f>IF($B61="",0,$E61*SUMIF(Plan!$M$5:$M$24,"#"&amp;$A61,Plan!G$5:G$24))</f>
        <v/>
      </c>
      <c r="J61" s="45">
        <f>IF($B61="",0,$E61*SUMIF(Plan!$M$5:$M$24,"#"&amp;$A61,Plan!H$5:H$24))</f>
        <v/>
      </c>
      <c r="K61" s="45">
        <f>IF($B61="",0,$E61*SUMIF(Plan!$M$5:$M$24,"#"&amp;$A61,Plan!I$5:I$24))</f>
        <v/>
      </c>
      <c r="L61" s="45">
        <f>IF($B61="",0,$E61*SUMIF(Plan!$M$5:$M$24,"#"&amp;$A61,Plan!J$5:J$24))</f>
        <v/>
      </c>
      <c r="M61" s="45">
        <f>IF($B61="",0,$E61*SUMIF(Plan!$M$5:$M$24,"#"&amp;$A61,Plan!K$5:K$24))</f>
        <v/>
      </c>
      <c r="N61" s="45">
        <f>IF($B61="",0,$E61*SUMIF(Plan!$M$5:$M$24,"#"&amp;$A61,Plan!L$5:L$24))</f>
        <v/>
      </c>
      <c r="O61" s="35">
        <f>IF(B61="","","#"&amp;B61)</f>
        <v/>
      </c>
      <c r="P61" s="35">
        <f>IF(A61="","","#"&amp;A61)</f>
        <v/>
      </c>
    </row>
    <row r="62">
      <c r="A62" s="32" t="n"/>
      <c r="B62" s="54" t="n"/>
      <c r="C62" s="48">
        <f>IFERROR(INDEX(Materiales!$B$4:$B$66,MATCH("#"&amp;$B62,Materiales!$L$4:$L$66,0)),"")</f>
        <v/>
      </c>
      <c r="D62" s="49">
        <f>IFERROR(INDEX(Materiales!$C$4:$C$66,MATCH("#"&amp;$B62,Materiales!$L$4:$L$66,0)),"")</f>
        <v/>
      </c>
      <c r="E62" s="107" t="n"/>
      <c r="F62" s="32" t="n"/>
      <c r="G62" s="45">
        <f>IF($B62="",0,$E62*SUMIF(Plan!$M$5:$M$24,"#"&amp;$A62,Plan!E$5:E$24))</f>
        <v/>
      </c>
      <c r="H62" s="45">
        <f>IF($B62="",0,$E62*SUMIF(Plan!$M$5:$M$24,"#"&amp;$A62,Plan!F$5:F$24))</f>
        <v/>
      </c>
      <c r="I62" s="45">
        <f>IF($B62="",0,$E62*SUMIF(Plan!$M$5:$M$24,"#"&amp;$A62,Plan!G$5:G$24))</f>
        <v/>
      </c>
      <c r="J62" s="45">
        <f>IF($B62="",0,$E62*SUMIF(Plan!$M$5:$M$24,"#"&amp;$A62,Plan!H$5:H$24))</f>
        <v/>
      </c>
      <c r="K62" s="45">
        <f>IF($B62="",0,$E62*SUMIF(Plan!$M$5:$M$24,"#"&amp;$A62,Plan!I$5:I$24))</f>
        <v/>
      </c>
      <c r="L62" s="45">
        <f>IF($B62="",0,$E62*SUMIF(Plan!$M$5:$M$24,"#"&amp;$A62,Plan!J$5:J$24))</f>
        <v/>
      </c>
      <c r="M62" s="45">
        <f>IF($B62="",0,$E62*SUMIF(Plan!$M$5:$M$24,"#"&amp;$A62,Plan!K$5:K$24))</f>
        <v/>
      </c>
      <c r="N62" s="45">
        <f>IF($B62="",0,$E62*SUMIF(Plan!$M$5:$M$24,"#"&amp;$A62,Plan!L$5:L$24))</f>
        <v/>
      </c>
      <c r="O62" s="35">
        <f>IF(B62="","","#"&amp;B62)</f>
        <v/>
      </c>
      <c r="P62" s="35">
        <f>IF(A62="","","#"&amp;A62)</f>
        <v/>
      </c>
    </row>
    <row r="63">
      <c r="A63" s="32" t="n"/>
      <c r="B63" s="54" t="n"/>
      <c r="C63" s="48">
        <f>IFERROR(INDEX(Materiales!$B$4:$B$66,MATCH("#"&amp;$B63,Materiales!$L$4:$L$66,0)),"")</f>
        <v/>
      </c>
      <c r="D63" s="49">
        <f>IFERROR(INDEX(Materiales!$C$4:$C$66,MATCH("#"&amp;$B63,Materiales!$L$4:$L$66,0)),"")</f>
        <v/>
      </c>
      <c r="E63" s="107" t="n"/>
      <c r="F63" s="32" t="n"/>
      <c r="G63" s="45">
        <f>IF($B63="",0,$E63*SUMIF(Plan!$M$5:$M$24,"#"&amp;$A63,Plan!E$5:E$24))</f>
        <v/>
      </c>
      <c r="H63" s="45">
        <f>IF($B63="",0,$E63*SUMIF(Plan!$M$5:$M$24,"#"&amp;$A63,Plan!F$5:F$24))</f>
        <v/>
      </c>
      <c r="I63" s="45">
        <f>IF($B63="",0,$E63*SUMIF(Plan!$M$5:$M$24,"#"&amp;$A63,Plan!G$5:G$24))</f>
        <v/>
      </c>
      <c r="J63" s="45">
        <f>IF($B63="",0,$E63*SUMIF(Plan!$M$5:$M$24,"#"&amp;$A63,Plan!H$5:H$24))</f>
        <v/>
      </c>
      <c r="K63" s="45">
        <f>IF($B63="",0,$E63*SUMIF(Plan!$M$5:$M$24,"#"&amp;$A63,Plan!I$5:I$24))</f>
        <v/>
      </c>
      <c r="L63" s="45">
        <f>IF($B63="",0,$E63*SUMIF(Plan!$M$5:$M$24,"#"&amp;$A63,Plan!J$5:J$24))</f>
        <v/>
      </c>
      <c r="M63" s="45">
        <f>IF($B63="",0,$E63*SUMIF(Plan!$M$5:$M$24,"#"&amp;$A63,Plan!K$5:K$24))</f>
        <v/>
      </c>
      <c r="N63" s="45">
        <f>IF($B63="",0,$E63*SUMIF(Plan!$M$5:$M$24,"#"&amp;$A63,Plan!L$5:L$24))</f>
        <v/>
      </c>
      <c r="O63" s="35">
        <f>IF(B63="","","#"&amp;B63)</f>
        <v/>
      </c>
      <c r="P63" s="35">
        <f>IF(A63="","","#"&amp;A63)</f>
        <v/>
      </c>
    </row>
    <row r="64">
      <c r="A64" s="32" t="n"/>
      <c r="B64" s="54" t="n"/>
      <c r="C64" s="48">
        <f>IFERROR(INDEX(Materiales!$B$4:$B$66,MATCH("#"&amp;$B64,Materiales!$L$4:$L$66,0)),"")</f>
        <v/>
      </c>
      <c r="D64" s="49">
        <f>IFERROR(INDEX(Materiales!$C$4:$C$66,MATCH("#"&amp;$B64,Materiales!$L$4:$L$66,0)),"")</f>
        <v/>
      </c>
      <c r="E64" s="107" t="n"/>
      <c r="F64" s="32" t="n"/>
      <c r="G64" s="45">
        <f>IF($B64="",0,$E64*SUMIF(Plan!$M$5:$M$24,"#"&amp;$A64,Plan!E$5:E$24))</f>
        <v/>
      </c>
      <c r="H64" s="45">
        <f>IF($B64="",0,$E64*SUMIF(Plan!$M$5:$M$24,"#"&amp;$A64,Plan!F$5:F$24))</f>
        <v/>
      </c>
      <c r="I64" s="45">
        <f>IF($B64="",0,$E64*SUMIF(Plan!$M$5:$M$24,"#"&amp;$A64,Plan!G$5:G$24))</f>
        <v/>
      </c>
      <c r="J64" s="45">
        <f>IF($B64="",0,$E64*SUMIF(Plan!$M$5:$M$24,"#"&amp;$A64,Plan!H$5:H$24))</f>
        <v/>
      </c>
      <c r="K64" s="45">
        <f>IF($B64="",0,$E64*SUMIF(Plan!$M$5:$M$24,"#"&amp;$A64,Plan!I$5:I$24))</f>
        <v/>
      </c>
      <c r="L64" s="45">
        <f>IF($B64="",0,$E64*SUMIF(Plan!$M$5:$M$24,"#"&amp;$A64,Plan!J$5:J$24))</f>
        <v/>
      </c>
      <c r="M64" s="45">
        <f>IF($B64="",0,$E64*SUMIF(Plan!$M$5:$M$24,"#"&amp;$A64,Plan!K$5:K$24))</f>
        <v/>
      </c>
      <c r="N64" s="45">
        <f>IF($B64="",0,$E64*SUMIF(Plan!$M$5:$M$24,"#"&amp;$A64,Plan!L$5:L$24))</f>
        <v/>
      </c>
      <c r="O64" s="35">
        <f>IF(B64="","","#"&amp;B64)</f>
        <v/>
      </c>
      <c r="P64" s="35">
        <f>IF(A64="","","#"&amp;A64)</f>
        <v/>
      </c>
    </row>
    <row r="65">
      <c r="A65" s="32" t="n"/>
      <c r="B65" s="54" t="n"/>
      <c r="C65" s="48">
        <f>IFERROR(INDEX(Materiales!$B$4:$B$66,MATCH("#"&amp;$B65,Materiales!$L$4:$L$66,0)),"")</f>
        <v/>
      </c>
      <c r="D65" s="49">
        <f>IFERROR(INDEX(Materiales!$C$4:$C$66,MATCH("#"&amp;$B65,Materiales!$L$4:$L$66,0)),"")</f>
        <v/>
      </c>
      <c r="E65" s="107" t="n"/>
      <c r="F65" s="32" t="n"/>
      <c r="G65" s="45">
        <f>IF($B65="",0,$E65*SUMIF(Plan!$M$5:$M$24,"#"&amp;$A65,Plan!E$5:E$24))</f>
        <v/>
      </c>
      <c r="H65" s="45">
        <f>IF($B65="",0,$E65*SUMIF(Plan!$M$5:$M$24,"#"&amp;$A65,Plan!F$5:F$24))</f>
        <v/>
      </c>
      <c r="I65" s="45">
        <f>IF($B65="",0,$E65*SUMIF(Plan!$M$5:$M$24,"#"&amp;$A65,Plan!G$5:G$24))</f>
        <v/>
      </c>
      <c r="J65" s="45">
        <f>IF($B65="",0,$E65*SUMIF(Plan!$M$5:$M$24,"#"&amp;$A65,Plan!H$5:H$24))</f>
        <v/>
      </c>
      <c r="K65" s="45">
        <f>IF($B65="",0,$E65*SUMIF(Plan!$M$5:$M$24,"#"&amp;$A65,Plan!I$5:I$24))</f>
        <v/>
      </c>
      <c r="L65" s="45">
        <f>IF($B65="",0,$E65*SUMIF(Plan!$M$5:$M$24,"#"&amp;$A65,Plan!J$5:J$24))</f>
        <v/>
      </c>
      <c r="M65" s="45">
        <f>IF($B65="",0,$E65*SUMIF(Plan!$M$5:$M$24,"#"&amp;$A65,Plan!K$5:K$24))</f>
        <v/>
      </c>
      <c r="N65" s="45">
        <f>IF($B65="",0,$E65*SUMIF(Plan!$M$5:$M$24,"#"&amp;$A65,Plan!L$5:L$24))</f>
        <v/>
      </c>
      <c r="O65" s="35">
        <f>IF(B65="","","#"&amp;B65)</f>
        <v/>
      </c>
      <c r="P65" s="35">
        <f>IF(A65="","","#"&amp;A65)</f>
        <v/>
      </c>
    </row>
    <row r="66">
      <c r="A66" s="32" t="n"/>
      <c r="B66" s="54" t="n"/>
      <c r="C66" s="48">
        <f>IFERROR(INDEX(Materiales!$B$4:$B$66,MATCH("#"&amp;$B66,Materiales!$L$4:$L$66,0)),"")</f>
        <v/>
      </c>
      <c r="D66" s="49">
        <f>IFERROR(INDEX(Materiales!$C$4:$C$66,MATCH("#"&amp;$B66,Materiales!$L$4:$L$66,0)),"")</f>
        <v/>
      </c>
      <c r="E66" s="107" t="n"/>
      <c r="F66" s="32" t="n"/>
      <c r="G66" s="45">
        <f>IF($B66="",0,$E66*SUMIF(Plan!$M$5:$M$24,"#"&amp;$A66,Plan!E$5:E$24))</f>
        <v/>
      </c>
      <c r="H66" s="45">
        <f>IF($B66="",0,$E66*SUMIF(Plan!$M$5:$M$24,"#"&amp;$A66,Plan!F$5:F$24))</f>
        <v/>
      </c>
      <c r="I66" s="45">
        <f>IF($B66="",0,$E66*SUMIF(Plan!$M$5:$M$24,"#"&amp;$A66,Plan!G$5:G$24))</f>
        <v/>
      </c>
      <c r="J66" s="45">
        <f>IF($B66="",0,$E66*SUMIF(Plan!$M$5:$M$24,"#"&amp;$A66,Plan!H$5:H$24))</f>
        <v/>
      </c>
      <c r="K66" s="45">
        <f>IF($B66="",0,$E66*SUMIF(Plan!$M$5:$M$24,"#"&amp;$A66,Plan!I$5:I$24))</f>
        <v/>
      </c>
      <c r="L66" s="45">
        <f>IF($B66="",0,$E66*SUMIF(Plan!$M$5:$M$24,"#"&amp;$A66,Plan!J$5:J$24))</f>
        <v/>
      </c>
      <c r="M66" s="45">
        <f>IF($B66="",0,$E66*SUMIF(Plan!$M$5:$M$24,"#"&amp;$A66,Plan!K$5:K$24))</f>
        <v/>
      </c>
      <c r="N66" s="45">
        <f>IF($B66="",0,$E66*SUMIF(Plan!$M$5:$M$24,"#"&amp;$A66,Plan!L$5:L$24))</f>
        <v/>
      </c>
      <c r="O66" s="35">
        <f>IF(B66="","","#"&amp;B66)</f>
        <v/>
      </c>
      <c r="P66" s="35">
        <f>IF(A66="","","#"&amp;A66)</f>
        <v/>
      </c>
    </row>
    <row r="67">
      <c r="A67" s="32" t="n"/>
      <c r="B67" s="54" t="n"/>
      <c r="C67" s="48">
        <f>IFERROR(INDEX(Materiales!$B$4:$B$66,MATCH("#"&amp;$B67,Materiales!$L$4:$L$66,0)),"")</f>
        <v/>
      </c>
      <c r="D67" s="49">
        <f>IFERROR(INDEX(Materiales!$C$4:$C$66,MATCH("#"&amp;$B67,Materiales!$L$4:$L$66,0)),"")</f>
        <v/>
      </c>
      <c r="E67" s="107" t="n"/>
      <c r="F67" s="32" t="n"/>
      <c r="G67" s="45">
        <f>IF($B67="",0,$E67*SUMIF(Plan!$M$5:$M$24,"#"&amp;$A67,Plan!E$5:E$24))</f>
        <v/>
      </c>
      <c r="H67" s="45">
        <f>IF($B67="",0,$E67*SUMIF(Plan!$M$5:$M$24,"#"&amp;$A67,Plan!F$5:F$24))</f>
        <v/>
      </c>
      <c r="I67" s="45">
        <f>IF($B67="",0,$E67*SUMIF(Plan!$M$5:$M$24,"#"&amp;$A67,Plan!G$5:G$24))</f>
        <v/>
      </c>
      <c r="J67" s="45">
        <f>IF($B67="",0,$E67*SUMIF(Plan!$M$5:$M$24,"#"&amp;$A67,Plan!H$5:H$24))</f>
        <v/>
      </c>
      <c r="K67" s="45">
        <f>IF($B67="",0,$E67*SUMIF(Plan!$M$5:$M$24,"#"&amp;$A67,Plan!I$5:I$24))</f>
        <v/>
      </c>
      <c r="L67" s="45">
        <f>IF($B67="",0,$E67*SUMIF(Plan!$M$5:$M$24,"#"&amp;$A67,Plan!J$5:J$24))</f>
        <v/>
      </c>
      <c r="M67" s="45">
        <f>IF($B67="",0,$E67*SUMIF(Plan!$M$5:$M$24,"#"&amp;$A67,Plan!K$5:K$24))</f>
        <v/>
      </c>
      <c r="N67" s="45">
        <f>IF($B67="",0,$E67*SUMIF(Plan!$M$5:$M$24,"#"&amp;$A67,Plan!L$5:L$24))</f>
        <v/>
      </c>
      <c r="O67" s="35">
        <f>IF(B67="","","#"&amp;B67)</f>
        <v/>
      </c>
      <c r="P67" s="35">
        <f>IF(A67="","","#"&amp;A67)</f>
        <v/>
      </c>
    </row>
    <row r="68">
      <c r="A68" s="32" t="n"/>
      <c r="B68" s="54" t="n"/>
      <c r="C68" s="48">
        <f>IFERROR(INDEX(Materiales!$B$4:$B$66,MATCH("#"&amp;$B68,Materiales!$L$4:$L$66,0)),"")</f>
        <v/>
      </c>
      <c r="D68" s="49">
        <f>IFERROR(INDEX(Materiales!$C$4:$C$66,MATCH("#"&amp;$B68,Materiales!$L$4:$L$66,0)),"")</f>
        <v/>
      </c>
      <c r="E68" s="107" t="n"/>
      <c r="F68" s="32" t="n"/>
      <c r="G68" s="45">
        <f>IF($B68="",0,$E68*SUMIF(Plan!$M$5:$M$24,"#"&amp;$A68,Plan!E$5:E$24))</f>
        <v/>
      </c>
      <c r="H68" s="45">
        <f>IF($B68="",0,$E68*SUMIF(Plan!$M$5:$M$24,"#"&amp;$A68,Plan!F$5:F$24))</f>
        <v/>
      </c>
      <c r="I68" s="45">
        <f>IF($B68="",0,$E68*SUMIF(Plan!$M$5:$M$24,"#"&amp;$A68,Plan!G$5:G$24))</f>
        <v/>
      </c>
      <c r="J68" s="45">
        <f>IF($B68="",0,$E68*SUMIF(Plan!$M$5:$M$24,"#"&amp;$A68,Plan!H$5:H$24))</f>
        <v/>
      </c>
      <c r="K68" s="45">
        <f>IF($B68="",0,$E68*SUMIF(Plan!$M$5:$M$24,"#"&amp;$A68,Plan!I$5:I$24))</f>
        <v/>
      </c>
      <c r="L68" s="45">
        <f>IF($B68="",0,$E68*SUMIF(Plan!$M$5:$M$24,"#"&amp;$A68,Plan!J$5:J$24))</f>
        <v/>
      </c>
      <c r="M68" s="45">
        <f>IF($B68="",0,$E68*SUMIF(Plan!$M$5:$M$24,"#"&amp;$A68,Plan!K$5:K$24))</f>
        <v/>
      </c>
      <c r="N68" s="45">
        <f>IF($B68="",0,$E68*SUMIF(Plan!$M$5:$M$24,"#"&amp;$A68,Plan!L$5:L$24))</f>
        <v/>
      </c>
      <c r="O68" s="35">
        <f>IF(B68="","","#"&amp;B68)</f>
        <v/>
      </c>
      <c r="P68" s="35">
        <f>IF(A68="","","#"&amp;A68)</f>
        <v/>
      </c>
    </row>
    <row r="69">
      <c r="A69" s="32" t="n"/>
      <c r="B69" s="54" t="n"/>
      <c r="C69" s="48">
        <f>IFERROR(INDEX(Materiales!$B$4:$B$66,MATCH("#"&amp;$B69,Materiales!$L$4:$L$66,0)),"")</f>
        <v/>
      </c>
      <c r="D69" s="49">
        <f>IFERROR(INDEX(Materiales!$C$4:$C$66,MATCH("#"&amp;$B69,Materiales!$L$4:$L$66,0)),"")</f>
        <v/>
      </c>
      <c r="E69" s="107" t="n"/>
      <c r="F69" s="32" t="n"/>
      <c r="G69" s="45">
        <f>IF($B69="",0,$E69*SUMIF(Plan!$M$5:$M$24,"#"&amp;$A69,Plan!E$5:E$24))</f>
        <v/>
      </c>
      <c r="H69" s="45">
        <f>IF($B69="",0,$E69*SUMIF(Plan!$M$5:$M$24,"#"&amp;$A69,Plan!F$5:F$24))</f>
        <v/>
      </c>
      <c r="I69" s="45">
        <f>IF($B69="",0,$E69*SUMIF(Plan!$M$5:$M$24,"#"&amp;$A69,Plan!G$5:G$24))</f>
        <v/>
      </c>
      <c r="J69" s="45">
        <f>IF($B69="",0,$E69*SUMIF(Plan!$M$5:$M$24,"#"&amp;$A69,Plan!H$5:H$24))</f>
        <v/>
      </c>
      <c r="K69" s="45">
        <f>IF($B69="",0,$E69*SUMIF(Plan!$M$5:$M$24,"#"&amp;$A69,Plan!I$5:I$24))</f>
        <v/>
      </c>
      <c r="L69" s="45">
        <f>IF($B69="",0,$E69*SUMIF(Plan!$M$5:$M$24,"#"&amp;$A69,Plan!J$5:J$24))</f>
        <v/>
      </c>
      <c r="M69" s="45">
        <f>IF($B69="",0,$E69*SUMIF(Plan!$M$5:$M$24,"#"&amp;$A69,Plan!K$5:K$24))</f>
        <v/>
      </c>
      <c r="N69" s="45">
        <f>IF($B69="",0,$E69*SUMIF(Plan!$M$5:$M$24,"#"&amp;$A69,Plan!L$5:L$24))</f>
        <v/>
      </c>
      <c r="O69" s="35">
        <f>IF(B69="","","#"&amp;B69)</f>
        <v/>
      </c>
      <c r="P69" s="35">
        <f>IF(A69="","","#"&amp;A69)</f>
        <v/>
      </c>
    </row>
    <row r="70">
      <c r="A70" s="32" t="n"/>
      <c r="B70" s="54" t="n"/>
      <c r="C70" s="48">
        <f>IFERROR(INDEX(Materiales!$B$4:$B$66,MATCH("#"&amp;$B70,Materiales!$L$4:$L$66,0)),"")</f>
        <v/>
      </c>
      <c r="D70" s="49">
        <f>IFERROR(INDEX(Materiales!$C$4:$C$66,MATCH("#"&amp;$B70,Materiales!$L$4:$L$66,0)),"")</f>
        <v/>
      </c>
      <c r="E70" s="107" t="n"/>
      <c r="F70" s="32" t="n"/>
      <c r="G70" s="45">
        <f>IF($B70="",0,$E70*SUMIF(Plan!$M$5:$M$24,"#"&amp;$A70,Plan!E$5:E$24))</f>
        <v/>
      </c>
      <c r="H70" s="45">
        <f>IF($B70="",0,$E70*SUMIF(Plan!$M$5:$M$24,"#"&amp;$A70,Plan!F$5:F$24))</f>
        <v/>
      </c>
      <c r="I70" s="45">
        <f>IF($B70="",0,$E70*SUMIF(Plan!$M$5:$M$24,"#"&amp;$A70,Plan!G$5:G$24))</f>
        <v/>
      </c>
      <c r="J70" s="45">
        <f>IF($B70="",0,$E70*SUMIF(Plan!$M$5:$M$24,"#"&amp;$A70,Plan!H$5:H$24))</f>
        <v/>
      </c>
      <c r="K70" s="45">
        <f>IF($B70="",0,$E70*SUMIF(Plan!$M$5:$M$24,"#"&amp;$A70,Plan!I$5:I$24))</f>
        <v/>
      </c>
      <c r="L70" s="45">
        <f>IF($B70="",0,$E70*SUMIF(Plan!$M$5:$M$24,"#"&amp;$A70,Plan!J$5:J$24))</f>
        <v/>
      </c>
      <c r="M70" s="45">
        <f>IF($B70="",0,$E70*SUMIF(Plan!$M$5:$M$24,"#"&amp;$A70,Plan!K$5:K$24))</f>
        <v/>
      </c>
      <c r="N70" s="45">
        <f>IF($B70="",0,$E70*SUMIF(Plan!$M$5:$M$24,"#"&amp;$A70,Plan!L$5:L$24))</f>
        <v/>
      </c>
      <c r="O70" s="35">
        <f>IF(B70="","","#"&amp;B70)</f>
        <v/>
      </c>
      <c r="P70" s="35">
        <f>IF(A70="","","#"&amp;A70)</f>
        <v/>
      </c>
    </row>
    <row r="71">
      <c r="A71" s="32" t="n"/>
      <c r="B71" s="54" t="n"/>
      <c r="C71" s="48">
        <f>IFERROR(INDEX(Materiales!$B$4:$B$66,MATCH("#"&amp;$B71,Materiales!$L$4:$L$66,0)),"")</f>
        <v/>
      </c>
      <c r="D71" s="49">
        <f>IFERROR(INDEX(Materiales!$C$4:$C$66,MATCH("#"&amp;$B71,Materiales!$L$4:$L$66,0)),"")</f>
        <v/>
      </c>
      <c r="E71" s="107" t="n"/>
      <c r="F71" s="32" t="n"/>
      <c r="G71" s="45">
        <f>IF($B71="",0,$E71*SUMIF(Plan!$M$5:$M$24,"#"&amp;$A71,Plan!E$5:E$24))</f>
        <v/>
      </c>
      <c r="H71" s="45">
        <f>IF($B71="",0,$E71*SUMIF(Plan!$M$5:$M$24,"#"&amp;$A71,Plan!F$5:F$24))</f>
        <v/>
      </c>
      <c r="I71" s="45">
        <f>IF($B71="",0,$E71*SUMIF(Plan!$M$5:$M$24,"#"&amp;$A71,Plan!G$5:G$24))</f>
        <v/>
      </c>
      <c r="J71" s="45">
        <f>IF($B71="",0,$E71*SUMIF(Plan!$M$5:$M$24,"#"&amp;$A71,Plan!H$5:H$24))</f>
        <v/>
      </c>
      <c r="K71" s="45">
        <f>IF($B71="",0,$E71*SUMIF(Plan!$M$5:$M$24,"#"&amp;$A71,Plan!I$5:I$24))</f>
        <v/>
      </c>
      <c r="L71" s="45">
        <f>IF($B71="",0,$E71*SUMIF(Plan!$M$5:$M$24,"#"&amp;$A71,Plan!J$5:J$24))</f>
        <v/>
      </c>
      <c r="M71" s="45">
        <f>IF($B71="",0,$E71*SUMIF(Plan!$M$5:$M$24,"#"&amp;$A71,Plan!K$5:K$24))</f>
        <v/>
      </c>
      <c r="N71" s="45">
        <f>IF($B71="",0,$E71*SUMIF(Plan!$M$5:$M$24,"#"&amp;$A71,Plan!L$5:L$24))</f>
        <v/>
      </c>
      <c r="O71" s="35">
        <f>IF(B71="","","#"&amp;B71)</f>
        <v/>
      </c>
      <c r="P71" s="35">
        <f>IF(A71="","","#"&amp;A71)</f>
        <v/>
      </c>
    </row>
    <row r="72">
      <c r="A72" s="32" t="n"/>
      <c r="B72" s="54" t="n"/>
      <c r="C72" s="48">
        <f>IFERROR(INDEX(Materiales!$B$4:$B$66,MATCH("#"&amp;$B72,Materiales!$L$4:$L$66,0)),"")</f>
        <v/>
      </c>
      <c r="D72" s="49">
        <f>IFERROR(INDEX(Materiales!$C$4:$C$66,MATCH("#"&amp;$B72,Materiales!$L$4:$L$66,0)),"")</f>
        <v/>
      </c>
      <c r="E72" s="107" t="n"/>
      <c r="F72" s="32" t="n"/>
      <c r="G72" s="45">
        <f>IF($B72="",0,$E72*SUMIF(Plan!$M$5:$M$24,"#"&amp;$A72,Plan!E$5:E$24))</f>
        <v/>
      </c>
      <c r="H72" s="45">
        <f>IF($B72="",0,$E72*SUMIF(Plan!$M$5:$M$24,"#"&amp;$A72,Plan!F$5:F$24))</f>
        <v/>
      </c>
      <c r="I72" s="45">
        <f>IF($B72="",0,$E72*SUMIF(Plan!$M$5:$M$24,"#"&amp;$A72,Plan!G$5:G$24))</f>
        <v/>
      </c>
      <c r="J72" s="45">
        <f>IF($B72="",0,$E72*SUMIF(Plan!$M$5:$M$24,"#"&amp;$A72,Plan!H$5:H$24))</f>
        <v/>
      </c>
      <c r="K72" s="45">
        <f>IF($B72="",0,$E72*SUMIF(Plan!$M$5:$M$24,"#"&amp;$A72,Plan!I$5:I$24))</f>
        <v/>
      </c>
      <c r="L72" s="45">
        <f>IF($B72="",0,$E72*SUMIF(Plan!$M$5:$M$24,"#"&amp;$A72,Plan!J$5:J$24))</f>
        <v/>
      </c>
      <c r="M72" s="45">
        <f>IF($B72="",0,$E72*SUMIF(Plan!$M$5:$M$24,"#"&amp;$A72,Plan!K$5:K$24))</f>
        <v/>
      </c>
      <c r="N72" s="45">
        <f>IF($B72="",0,$E72*SUMIF(Plan!$M$5:$M$24,"#"&amp;$A72,Plan!L$5:L$24))</f>
        <v/>
      </c>
      <c r="O72" s="35">
        <f>IF(B72="","","#"&amp;B72)</f>
        <v/>
      </c>
      <c r="P72" s="35">
        <f>IF(A72="","","#"&amp;A72)</f>
        <v/>
      </c>
    </row>
    <row r="73">
      <c r="A73" s="32" t="n"/>
      <c r="B73" s="54" t="n"/>
      <c r="C73" s="48">
        <f>IFERROR(INDEX(Materiales!$B$4:$B$66,MATCH("#"&amp;$B73,Materiales!$L$4:$L$66,0)),"")</f>
        <v/>
      </c>
      <c r="D73" s="49">
        <f>IFERROR(INDEX(Materiales!$C$4:$C$66,MATCH("#"&amp;$B73,Materiales!$L$4:$L$66,0)),"")</f>
        <v/>
      </c>
      <c r="E73" s="107" t="n"/>
      <c r="F73" s="32" t="n"/>
      <c r="G73" s="45">
        <f>IF($B73="",0,$E73*SUMIF(Plan!$M$5:$M$24,"#"&amp;$A73,Plan!E$5:E$24))</f>
        <v/>
      </c>
      <c r="H73" s="45">
        <f>IF($B73="",0,$E73*SUMIF(Plan!$M$5:$M$24,"#"&amp;$A73,Plan!F$5:F$24))</f>
        <v/>
      </c>
      <c r="I73" s="45">
        <f>IF($B73="",0,$E73*SUMIF(Plan!$M$5:$M$24,"#"&amp;$A73,Plan!G$5:G$24))</f>
        <v/>
      </c>
      <c r="J73" s="45">
        <f>IF($B73="",0,$E73*SUMIF(Plan!$M$5:$M$24,"#"&amp;$A73,Plan!H$5:H$24))</f>
        <v/>
      </c>
      <c r="K73" s="45">
        <f>IF($B73="",0,$E73*SUMIF(Plan!$M$5:$M$24,"#"&amp;$A73,Plan!I$5:I$24))</f>
        <v/>
      </c>
      <c r="L73" s="45">
        <f>IF($B73="",0,$E73*SUMIF(Plan!$M$5:$M$24,"#"&amp;$A73,Plan!J$5:J$24))</f>
        <v/>
      </c>
      <c r="M73" s="45">
        <f>IF($B73="",0,$E73*SUMIF(Plan!$M$5:$M$24,"#"&amp;$A73,Plan!K$5:K$24))</f>
        <v/>
      </c>
      <c r="N73" s="45">
        <f>IF($B73="",0,$E73*SUMIF(Plan!$M$5:$M$24,"#"&amp;$A73,Plan!L$5:L$24))</f>
        <v/>
      </c>
      <c r="O73" s="35">
        <f>IF(B73="","","#"&amp;B73)</f>
        <v/>
      </c>
      <c r="P73" s="35">
        <f>IF(A73="","","#"&amp;A73)</f>
        <v/>
      </c>
    </row>
    <row r="74">
      <c r="A74" s="32" t="n"/>
      <c r="B74" s="54" t="n"/>
      <c r="C74" s="48">
        <f>IFERROR(INDEX(Materiales!$B$4:$B$66,MATCH("#"&amp;$B74,Materiales!$L$4:$L$66,0)),"")</f>
        <v/>
      </c>
      <c r="D74" s="49">
        <f>IFERROR(INDEX(Materiales!$C$4:$C$66,MATCH("#"&amp;$B74,Materiales!$L$4:$L$66,0)),"")</f>
        <v/>
      </c>
      <c r="E74" s="107" t="n"/>
      <c r="F74" s="32" t="n"/>
      <c r="G74" s="45">
        <f>IF($B74="",0,$E74*SUMIF(Plan!$M$5:$M$24,"#"&amp;$A74,Plan!E$5:E$24))</f>
        <v/>
      </c>
      <c r="H74" s="45">
        <f>IF($B74="",0,$E74*SUMIF(Plan!$M$5:$M$24,"#"&amp;$A74,Plan!F$5:F$24))</f>
        <v/>
      </c>
      <c r="I74" s="45">
        <f>IF($B74="",0,$E74*SUMIF(Plan!$M$5:$M$24,"#"&amp;$A74,Plan!G$5:G$24))</f>
        <v/>
      </c>
      <c r="J74" s="45">
        <f>IF($B74="",0,$E74*SUMIF(Plan!$M$5:$M$24,"#"&amp;$A74,Plan!H$5:H$24))</f>
        <v/>
      </c>
      <c r="K74" s="45">
        <f>IF($B74="",0,$E74*SUMIF(Plan!$M$5:$M$24,"#"&amp;$A74,Plan!I$5:I$24))</f>
        <v/>
      </c>
      <c r="L74" s="45">
        <f>IF($B74="",0,$E74*SUMIF(Plan!$M$5:$M$24,"#"&amp;$A74,Plan!J$5:J$24))</f>
        <v/>
      </c>
      <c r="M74" s="45">
        <f>IF($B74="",0,$E74*SUMIF(Plan!$M$5:$M$24,"#"&amp;$A74,Plan!K$5:K$24))</f>
        <v/>
      </c>
      <c r="N74" s="45">
        <f>IF($B74="",0,$E74*SUMIF(Plan!$M$5:$M$24,"#"&amp;$A74,Plan!L$5:L$24))</f>
        <v/>
      </c>
      <c r="O74" s="35">
        <f>IF(B74="","","#"&amp;B74)</f>
        <v/>
      </c>
      <c r="P74" s="35">
        <f>IF(A74="","","#"&amp;A74)</f>
        <v/>
      </c>
    </row>
    <row r="75">
      <c r="A75" s="32" t="n"/>
      <c r="B75" s="54" t="n"/>
      <c r="C75" s="48">
        <f>IFERROR(INDEX(Materiales!$B$4:$B$66,MATCH("#"&amp;$B75,Materiales!$L$4:$L$66,0)),"")</f>
        <v/>
      </c>
      <c r="D75" s="49">
        <f>IFERROR(INDEX(Materiales!$C$4:$C$66,MATCH("#"&amp;$B75,Materiales!$L$4:$L$66,0)),"")</f>
        <v/>
      </c>
      <c r="E75" s="107" t="n"/>
      <c r="F75" s="32" t="n"/>
      <c r="G75" s="45">
        <f>IF($B75="",0,$E75*SUMIF(Plan!$M$5:$M$24,"#"&amp;$A75,Plan!E$5:E$24))</f>
        <v/>
      </c>
      <c r="H75" s="45">
        <f>IF($B75="",0,$E75*SUMIF(Plan!$M$5:$M$24,"#"&amp;$A75,Plan!F$5:F$24))</f>
        <v/>
      </c>
      <c r="I75" s="45">
        <f>IF($B75="",0,$E75*SUMIF(Plan!$M$5:$M$24,"#"&amp;$A75,Plan!G$5:G$24))</f>
        <v/>
      </c>
      <c r="J75" s="45">
        <f>IF($B75="",0,$E75*SUMIF(Plan!$M$5:$M$24,"#"&amp;$A75,Plan!H$5:H$24))</f>
        <v/>
      </c>
      <c r="K75" s="45">
        <f>IF($B75="",0,$E75*SUMIF(Plan!$M$5:$M$24,"#"&amp;$A75,Plan!I$5:I$24))</f>
        <v/>
      </c>
      <c r="L75" s="45">
        <f>IF($B75="",0,$E75*SUMIF(Plan!$M$5:$M$24,"#"&amp;$A75,Plan!J$5:J$24))</f>
        <v/>
      </c>
      <c r="M75" s="45">
        <f>IF($B75="",0,$E75*SUMIF(Plan!$M$5:$M$24,"#"&amp;$A75,Plan!K$5:K$24))</f>
        <v/>
      </c>
      <c r="N75" s="45">
        <f>IF($B75="",0,$E75*SUMIF(Plan!$M$5:$M$24,"#"&amp;$A75,Plan!L$5:L$24))</f>
        <v/>
      </c>
      <c r="O75" s="35">
        <f>IF(B75="","","#"&amp;B75)</f>
        <v/>
      </c>
      <c r="P75" s="35">
        <f>IF(A75="","","#"&amp;A75)</f>
        <v/>
      </c>
    </row>
    <row r="76">
      <c r="A76" s="32" t="n"/>
      <c r="B76" s="54" t="n"/>
      <c r="C76" s="48">
        <f>IFERROR(INDEX(Materiales!$B$4:$B$66,MATCH("#"&amp;$B76,Materiales!$L$4:$L$66,0)),"")</f>
        <v/>
      </c>
      <c r="D76" s="49">
        <f>IFERROR(INDEX(Materiales!$C$4:$C$66,MATCH("#"&amp;$B76,Materiales!$L$4:$L$66,0)),"")</f>
        <v/>
      </c>
      <c r="E76" s="107" t="n"/>
      <c r="F76" s="32" t="n"/>
      <c r="G76" s="45">
        <f>IF($B76="",0,$E76*SUMIF(Plan!$M$5:$M$24,"#"&amp;$A76,Plan!E$5:E$24))</f>
        <v/>
      </c>
      <c r="H76" s="45">
        <f>IF($B76="",0,$E76*SUMIF(Plan!$M$5:$M$24,"#"&amp;$A76,Plan!F$5:F$24))</f>
        <v/>
      </c>
      <c r="I76" s="45">
        <f>IF($B76="",0,$E76*SUMIF(Plan!$M$5:$M$24,"#"&amp;$A76,Plan!G$5:G$24))</f>
        <v/>
      </c>
      <c r="J76" s="45">
        <f>IF($B76="",0,$E76*SUMIF(Plan!$M$5:$M$24,"#"&amp;$A76,Plan!H$5:H$24))</f>
        <v/>
      </c>
      <c r="K76" s="45">
        <f>IF($B76="",0,$E76*SUMIF(Plan!$M$5:$M$24,"#"&amp;$A76,Plan!I$5:I$24))</f>
        <v/>
      </c>
      <c r="L76" s="45">
        <f>IF($B76="",0,$E76*SUMIF(Plan!$M$5:$M$24,"#"&amp;$A76,Plan!J$5:J$24))</f>
        <v/>
      </c>
      <c r="M76" s="45">
        <f>IF($B76="",0,$E76*SUMIF(Plan!$M$5:$M$24,"#"&amp;$A76,Plan!K$5:K$24))</f>
        <v/>
      </c>
      <c r="N76" s="45">
        <f>IF($B76="",0,$E76*SUMIF(Plan!$M$5:$M$24,"#"&amp;$A76,Plan!L$5:L$24))</f>
        <v/>
      </c>
      <c r="O76" s="35">
        <f>IF(B76="","","#"&amp;B76)</f>
        <v/>
      </c>
      <c r="P76" s="35">
        <f>IF(A76="","","#"&amp;A76)</f>
        <v/>
      </c>
    </row>
    <row r="77">
      <c r="A77" s="32" t="n"/>
      <c r="B77" s="54" t="n"/>
      <c r="C77" s="48">
        <f>IFERROR(INDEX(Materiales!$B$4:$B$66,MATCH("#"&amp;$B77,Materiales!$L$4:$L$66,0)),"")</f>
        <v/>
      </c>
      <c r="D77" s="49">
        <f>IFERROR(INDEX(Materiales!$C$4:$C$66,MATCH("#"&amp;$B77,Materiales!$L$4:$L$66,0)),"")</f>
        <v/>
      </c>
      <c r="E77" s="107" t="n"/>
      <c r="F77" s="32" t="n"/>
      <c r="G77" s="45">
        <f>IF($B77="",0,$E77*SUMIF(Plan!$M$5:$M$24,"#"&amp;$A77,Plan!E$5:E$24))</f>
        <v/>
      </c>
      <c r="H77" s="45">
        <f>IF($B77="",0,$E77*SUMIF(Plan!$M$5:$M$24,"#"&amp;$A77,Plan!F$5:F$24))</f>
        <v/>
      </c>
      <c r="I77" s="45">
        <f>IF($B77="",0,$E77*SUMIF(Plan!$M$5:$M$24,"#"&amp;$A77,Plan!G$5:G$24))</f>
        <v/>
      </c>
      <c r="J77" s="45">
        <f>IF($B77="",0,$E77*SUMIF(Plan!$M$5:$M$24,"#"&amp;$A77,Plan!H$5:H$24))</f>
        <v/>
      </c>
      <c r="K77" s="45">
        <f>IF($B77="",0,$E77*SUMIF(Plan!$M$5:$M$24,"#"&amp;$A77,Plan!I$5:I$24))</f>
        <v/>
      </c>
      <c r="L77" s="45">
        <f>IF($B77="",0,$E77*SUMIF(Plan!$M$5:$M$24,"#"&amp;$A77,Plan!J$5:J$24))</f>
        <v/>
      </c>
      <c r="M77" s="45">
        <f>IF($B77="",0,$E77*SUMIF(Plan!$M$5:$M$24,"#"&amp;$A77,Plan!K$5:K$24))</f>
        <v/>
      </c>
      <c r="N77" s="45">
        <f>IF($B77="",0,$E77*SUMIF(Plan!$M$5:$M$24,"#"&amp;$A77,Plan!L$5:L$24))</f>
        <v/>
      </c>
      <c r="O77" s="35">
        <f>IF(B77="","","#"&amp;B77)</f>
        <v/>
      </c>
      <c r="P77" s="35">
        <f>IF(A77="","","#"&amp;A77)</f>
        <v/>
      </c>
    </row>
    <row r="78">
      <c r="A78" s="32" t="n"/>
      <c r="B78" s="54" t="n"/>
      <c r="C78" s="48">
        <f>IFERROR(INDEX(Materiales!$B$4:$B$66,MATCH("#"&amp;$B78,Materiales!$L$4:$L$66,0)),"")</f>
        <v/>
      </c>
      <c r="D78" s="49">
        <f>IFERROR(INDEX(Materiales!$C$4:$C$66,MATCH("#"&amp;$B78,Materiales!$L$4:$L$66,0)),"")</f>
        <v/>
      </c>
      <c r="E78" s="107" t="n"/>
      <c r="F78" s="32" t="n"/>
      <c r="G78" s="45">
        <f>IF($B78="",0,$E78*SUMIF(Plan!$M$5:$M$24,"#"&amp;$A78,Plan!E$5:E$24))</f>
        <v/>
      </c>
      <c r="H78" s="45">
        <f>IF($B78="",0,$E78*SUMIF(Plan!$M$5:$M$24,"#"&amp;$A78,Plan!F$5:F$24))</f>
        <v/>
      </c>
      <c r="I78" s="45">
        <f>IF($B78="",0,$E78*SUMIF(Plan!$M$5:$M$24,"#"&amp;$A78,Plan!G$5:G$24))</f>
        <v/>
      </c>
      <c r="J78" s="45">
        <f>IF($B78="",0,$E78*SUMIF(Plan!$M$5:$M$24,"#"&amp;$A78,Plan!H$5:H$24))</f>
        <v/>
      </c>
      <c r="K78" s="45">
        <f>IF($B78="",0,$E78*SUMIF(Plan!$M$5:$M$24,"#"&amp;$A78,Plan!I$5:I$24))</f>
        <v/>
      </c>
      <c r="L78" s="45">
        <f>IF($B78="",0,$E78*SUMIF(Plan!$M$5:$M$24,"#"&amp;$A78,Plan!J$5:J$24))</f>
        <v/>
      </c>
      <c r="M78" s="45">
        <f>IF($B78="",0,$E78*SUMIF(Plan!$M$5:$M$24,"#"&amp;$A78,Plan!K$5:K$24))</f>
        <v/>
      </c>
      <c r="N78" s="45">
        <f>IF($B78="",0,$E78*SUMIF(Plan!$M$5:$M$24,"#"&amp;$A78,Plan!L$5:L$24))</f>
        <v/>
      </c>
      <c r="O78" s="35">
        <f>IF(B78="","","#"&amp;B78)</f>
        <v/>
      </c>
      <c r="P78" s="35">
        <f>IF(A78="","","#"&amp;A78)</f>
        <v/>
      </c>
    </row>
    <row r="79">
      <c r="A79" s="32" t="n"/>
      <c r="B79" s="54" t="n"/>
      <c r="C79" s="48">
        <f>IFERROR(INDEX(Materiales!$B$4:$B$66,MATCH("#"&amp;$B79,Materiales!$L$4:$L$66,0)),"")</f>
        <v/>
      </c>
      <c r="D79" s="49">
        <f>IFERROR(INDEX(Materiales!$C$4:$C$66,MATCH("#"&amp;$B79,Materiales!$L$4:$L$66,0)),"")</f>
        <v/>
      </c>
      <c r="E79" s="107" t="n"/>
      <c r="F79" s="32" t="n"/>
      <c r="G79" s="45">
        <f>IF($B79="",0,$E79*SUMIF(Plan!$M$5:$M$24,"#"&amp;$A79,Plan!E$5:E$24))</f>
        <v/>
      </c>
      <c r="H79" s="45">
        <f>IF($B79="",0,$E79*SUMIF(Plan!$M$5:$M$24,"#"&amp;$A79,Plan!F$5:F$24))</f>
        <v/>
      </c>
      <c r="I79" s="45">
        <f>IF($B79="",0,$E79*SUMIF(Plan!$M$5:$M$24,"#"&amp;$A79,Plan!G$5:G$24))</f>
        <v/>
      </c>
      <c r="J79" s="45">
        <f>IF($B79="",0,$E79*SUMIF(Plan!$M$5:$M$24,"#"&amp;$A79,Plan!H$5:H$24))</f>
        <v/>
      </c>
      <c r="K79" s="45">
        <f>IF($B79="",0,$E79*SUMIF(Plan!$M$5:$M$24,"#"&amp;$A79,Plan!I$5:I$24))</f>
        <v/>
      </c>
      <c r="L79" s="45">
        <f>IF($B79="",0,$E79*SUMIF(Plan!$M$5:$M$24,"#"&amp;$A79,Plan!J$5:J$24))</f>
        <v/>
      </c>
      <c r="M79" s="45">
        <f>IF($B79="",0,$E79*SUMIF(Plan!$M$5:$M$24,"#"&amp;$A79,Plan!K$5:K$24))</f>
        <v/>
      </c>
      <c r="N79" s="45">
        <f>IF($B79="",0,$E79*SUMIF(Plan!$M$5:$M$24,"#"&amp;$A79,Plan!L$5:L$24))</f>
        <v/>
      </c>
      <c r="O79" s="35">
        <f>IF(B79="","","#"&amp;B79)</f>
        <v/>
      </c>
      <c r="P79" s="35">
        <f>IF(A79="","","#"&amp;A79)</f>
        <v/>
      </c>
    </row>
    <row r="80">
      <c r="A80" s="32" t="n"/>
      <c r="B80" s="54" t="n"/>
      <c r="C80" s="48">
        <f>IFERROR(INDEX(Materiales!$B$4:$B$66,MATCH("#"&amp;$B80,Materiales!$L$4:$L$66,0)),"")</f>
        <v/>
      </c>
      <c r="D80" s="49">
        <f>IFERROR(INDEX(Materiales!$C$4:$C$66,MATCH("#"&amp;$B80,Materiales!$L$4:$L$66,0)),"")</f>
        <v/>
      </c>
      <c r="E80" s="107" t="n"/>
      <c r="F80" s="32" t="n"/>
      <c r="G80" s="45">
        <f>IF($B80="",0,$E80*SUMIF(Plan!$M$5:$M$24,"#"&amp;$A80,Plan!E$5:E$24))</f>
        <v/>
      </c>
      <c r="H80" s="45">
        <f>IF($B80="",0,$E80*SUMIF(Plan!$M$5:$M$24,"#"&amp;$A80,Plan!F$5:F$24))</f>
        <v/>
      </c>
      <c r="I80" s="45">
        <f>IF($B80="",0,$E80*SUMIF(Plan!$M$5:$M$24,"#"&amp;$A80,Plan!G$5:G$24))</f>
        <v/>
      </c>
      <c r="J80" s="45">
        <f>IF($B80="",0,$E80*SUMIF(Plan!$M$5:$M$24,"#"&amp;$A80,Plan!H$5:H$24))</f>
        <v/>
      </c>
      <c r="K80" s="45">
        <f>IF($B80="",0,$E80*SUMIF(Plan!$M$5:$M$24,"#"&amp;$A80,Plan!I$5:I$24))</f>
        <v/>
      </c>
      <c r="L80" s="45">
        <f>IF($B80="",0,$E80*SUMIF(Plan!$M$5:$M$24,"#"&amp;$A80,Plan!J$5:J$24))</f>
        <v/>
      </c>
      <c r="M80" s="45">
        <f>IF($B80="",0,$E80*SUMIF(Plan!$M$5:$M$24,"#"&amp;$A80,Plan!K$5:K$24))</f>
        <v/>
      </c>
      <c r="N80" s="45">
        <f>IF($B80="",0,$E80*SUMIF(Plan!$M$5:$M$24,"#"&amp;$A80,Plan!L$5:L$24))</f>
        <v/>
      </c>
      <c r="O80" s="35">
        <f>IF(B80="","","#"&amp;B80)</f>
        <v/>
      </c>
      <c r="P80" s="35">
        <f>IF(A80="","","#"&amp;A80)</f>
        <v/>
      </c>
    </row>
    <row r="81">
      <c r="A81" s="32" t="n"/>
      <c r="B81" s="54" t="n"/>
      <c r="C81" s="48">
        <f>IFERROR(INDEX(Materiales!$B$4:$B$66,MATCH("#"&amp;$B81,Materiales!$L$4:$L$66,0)),"")</f>
        <v/>
      </c>
      <c r="D81" s="49">
        <f>IFERROR(INDEX(Materiales!$C$4:$C$66,MATCH("#"&amp;$B81,Materiales!$L$4:$L$66,0)),"")</f>
        <v/>
      </c>
      <c r="E81" s="107" t="n"/>
      <c r="F81" s="32" t="n"/>
      <c r="G81" s="45">
        <f>IF($B81="",0,$E81*SUMIF(Plan!$M$5:$M$24,"#"&amp;$A81,Plan!E$5:E$24))</f>
        <v/>
      </c>
      <c r="H81" s="45">
        <f>IF($B81="",0,$E81*SUMIF(Plan!$M$5:$M$24,"#"&amp;$A81,Plan!F$5:F$24))</f>
        <v/>
      </c>
      <c r="I81" s="45">
        <f>IF($B81="",0,$E81*SUMIF(Plan!$M$5:$M$24,"#"&amp;$A81,Plan!G$5:G$24))</f>
        <v/>
      </c>
      <c r="J81" s="45">
        <f>IF($B81="",0,$E81*SUMIF(Plan!$M$5:$M$24,"#"&amp;$A81,Plan!H$5:H$24))</f>
        <v/>
      </c>
      <c r="K81" s="45">
        <f>IF($B81="",0,$E81*SUMIF(Plan!$M$5:$M$24,"#"&amp;$A81,Plan!I$5:I$24))</f>
        <v/>
      </c>
      <c r="L81" s="45">
        <f>IF($B81="",0,$E81*SUMIF(Plan!$M$5:$M$24,"#"&amp;$A81,Plan!J$5:J$24))</f>
        <v/>
      </c>
      <c r="M81" s="45">
        <f>IF($B81="",0,$E81*SUMIF(Plan!$M$5:$M$24,"#"&amp;$A81,Plan!K$5:K$24))</f>
        <v/>
      </c>
      <c r="N81" s="45">
        <f>IF($B81="",0,$E81*SUMIF(Plan!$M$5:$M$24,"#"&amp;$A81,Plan!L$5:L$24))</f>
        <v/>
      </c>
      <c r="O81" s="35">
        <f>IF(B81="","","#"&amp;B81)</f>
        <v/>
      </c>
      <c r="P81" s="35">
        <f>IF(A81="","","#"&amp;A81)</f>
        <v/>
      </c>
    </row>
    <row r="82">
      <c r="A82" s="32" t="n"/>
      <c r="B82" s="54" t="n"/>
      <c r="C82" s="48">
        <f>IFERROR(INDEX(Materiales!$B$4:$B$66,MATCH("#"&amp;$B82,Materiales!$L$4:$L$66,0)),"")</f>
        <v/>
      </c>
      <c r="D82" s="49">
        <f>IFERROR(INDEX(Materiales!$C$4:$C$66,MATCH("#"&amp;$B82,Materiales!$L$4:$L$66,0)),"")</f>
        <v/>
      </c>
      <c r="E82" s="107" t="n"/>
      <c r="F82" s="32" t="n"/>
      <c r="G82" s="45">
        <f>IF($B82="",0,$E82*SUMIF(Plan!$M$5:$M$24,"#"&amp;$A82,Plan!E$5:E$24))</f>
        <v/>
      </c>
      <c r="H82" s="45">
        <f>IF($B82="",0,$E82*SUMIF(Plan!$M$5:$M$24,"#"&amp;$A82,Plan!F$5:F$24))</f>
        <v/>
      </c>
      <c r="I82" s="45">
        <f>IF($B82="",0,$E82*SUMIF(Plan!$M$5:$M$24,"#"&amp;$A82,Plan!G$5:G$24))</f>
        <v/>
      </c>
      <c r="J82" s="45">
        <f>IF($B82="",0,$E82*SUMIF(Plan!$M$5:$M$24,"#"&amp;$A82,Plan!H$5:H$24))</f>
        <v/>
      </c>
      <c r="K82" s="45">
        <f>IF($B82="",0,$E82*SUMIF(Plan!$M$5:$M$24,"#"&amp;$A82,Plan!I$5:I$24))</f>
        <v/>
      </c>
      <c r="L82" s="45">
        <f>IF($B82="",0,$E82*SUMIF(Plan!$M$5:$M$24,"#"&amp;$A82,Plan!J$5:J$24))</f>
        <v/>
      </c>
      <c r="M82" s="45">
        <f>IF($B82="",0,$E82*SUMIF(Plan!$M$5:$M$24,"#"&amp;$A82,Plan!K$5:K$24))</f>
        <v/>
      </c>
      <c r="N82" s="45">
        <f>IF($B82="",0,$E82*SUMIF(Plan!$M$5:$M$24,"#"&amp;$A82,Plan!L$5:L$24))</f>
        <v/>
      </c>
      <c r="O82" s="35">
        <f>IF(B82="","","#"&amp;B82)</f>
        <v/>
      </c>
      <c r="P82" s="35">
        <f>IF(A82="","","#"&amp;A82)</f>
        <v/>
      </c>
    </row>
    <row r="83">
      <c r="A83" s="32" t="n"/>
      <c r="B83" s="54" t="n"/>
      <c r="C83" s="48">
        <f>IFERROR(INDEX(Materiales!$B$4:$B$66,MATCH("#"&amp;$B83,Materiales!$L$4:$L$66,0)),"")</f>
        <v/>
      </c>
      <c r="D83" s="49">
        <f>IFERROR(INDEX(Materiales!$C$4:$C$66,MATCH("#"&amp;$B83,Materiales!$L$4:$L$66,0)),"")</f>
        <v/>
      </c>
      <c r="E83" s="107" t="n"/>
      <c r="F83" s="32" t="n"/>
      <c r="G83" s="45">
        <f>IF($B83="",0,$E83*SUMIF(Plan!$M$5:$M$24,"#"&amp;$A83,Plan!E$5:E$24))</f>
        <v/>
      </c>
      <c r="H83" s="45">
        <f>IF($B83="",0,$E83*SUMIF(Plan!$M$5:$M$24,"#"&amp;$A83,Plan!F$5:F$24))</f>
        <v/>
      </c>
      <c r="I83" s="45">
        <f>IF($B83="",0,$E83*SUMIF(Plan!$M$5:$M$24,"#"&amp;$A83,Plan!G$5:G$24))</f>
        <v/>
      </c>
      <c r="J83" s="45">
        <f>IF($B83="",0,$E83*SUMIF(Plan!$M$5:$M$24,"#"&amp;$A83,Plan!H$5:H$24))</f>
        <v/>
      </c>
      <c r="K83" s="45">
        <f>IF($B83="",0,$E83*SUMIF(Plan!$M$5:$M$24,"#"&amp;$A83,Plan!I$5:I$24))</f>
        <v/>
      </c>
      <c r="L83" s="45">
        <f>IF($B83="",0,$E83*SUMIF(Plan!$M$5:$M$24,"#"&amp;$A83,Plan!J$5:J$24))</f>
        <v/>
      </c>
      <c r="M83" s="45">
        <f>IF($B83="",0,$E83*SUMIF(Plan!$M$5:$M$24,"#"&amp;$A83,Plan!K$5:K$24))</f>
        <v/>
      </c>
      <c r="N83" s="45">
        <f>IF($B83="",0,$E83*SUMIF(Plan!$M$5:$M$24,"#"&amp;$A83,Plan!L$5:L$24))</f>
        <v/>
      </c>
      <c r="O83" s="35">
        <f>IF(B83="","","#"&amp;B83)</f>
        <v/>
      </c>
      <c r="P83" s="35">
        <f>IF(A83="","","#"&amp;A83)</f>
        <v/>
      </c>
    </row>
    <row r="84">
      <c r="A84" s="32" t="n"/>
      <c r="B84" s="54" t="n"/>
      <c r="C84" s="48">
        <f>IFERROR(INDEX(Materiales!$B$4:$B$66,MATCH("#"&amp;$B84,Materiales!$L$4:$L$66,0)),"")</f>
        <v/>
      </c>
      <c r="D84" s="49">
        <f>IFERROR(INDEX(Materiales!$C$4:$C$66,MATCH("#"&amp;$B84,Materiales!$L$4:$L$66,0)),"")</f>
        <v/>
      </c>
      <c r="E84" s="107" t="n"/>
      <c r="F84" s="32" t="n"/>
      <c r="G84" s="45">
        <f>IF($B84="",0,$E84*SUMIF(Plan!$M$5:$M$24,"#"&amp;$A84,Plan!E$5:E$24))</f>
        <v/>
      </c>
      <c r="H84" s="45">
        <f>IF($B84="",0,$E84*SUMIF(Plan!$M$5:$M$24,"#"&amp;$A84,Plan!F$5:F$24))</f>
        <v/>
      </c>
      <c r="I84" s="45">
        <f>IF($B84="",0,$E84*SUMIF(Plan!$M$5:$M$24,"#"&amp;$A84,Plan!G$5:G$24))</f>
        <v/>
      </c>
      <c r="J84" s="45">
        <f>IF($B84="",0,$E84*SUMIF(Plan!$M$5:$M$24,"#"&amp;$A84,Plan!H$5:H$24))</f>
        <v/>
      </c>
      <c r="K84" s="45">
        <f>IF($B84="",0,$E84*SUMIF(Plan!$M$5:$M$24,"#"&amp;$A84,Plan!I$5:I$24))</f>
        <v/>
      </c>
      <c r="L84" s="45">
        <f>IF($B84="",0,$E84*SUMIF(Plan!$M$5:$M$24,"#"&amp;$A84,Plan!J$5:J$24))</f>
        <v/>
      </c>
      <c r="M84" s="45">
        <f>IF($B84="",0,$E84*SUMIF(Plan!$M$5:$M$24,"#"&amp;$A84,Plan!K$5:K$24))</f>
        <v/>
      </c>
      <c r="N84" s="45">
        <f>IF($B84="",0,$E84*SUMIF(Plan!$M$5:$M$24,"#"&amp;$A84,Plan!L$5:L$24))</f>
        <v/>
      </c>
      <c r="O84" s="35">
        <f>IF(B84="","","#"&amp;B84)</f>
        <v/>
      </c>
      <c r="P84" s="35">
        <f>IF(A84="","","#"&amp;A84)</f>
        <v/>
      </c>
    </row>
    <row r="85">
      <c r="A85" s="32" t="n"/>
      <c r="B85" s="54" t="n"/>
      <c r="C85" s="48">
        <f>IFERROR(INDEX(Materiales!$B$4:$B$66,MATCH("#"&amp;$B85,Materiales!$L$4:$L$66,0)),"")</f>
        <v/>
      </c>
      <c r="D85" s="49">
        <f>IFERROR(INDEX(Materiales!$C$4:$C$66,MATCH("#"&amp;$B85,Materiales!$L$4:$L$66,0)),"")</f>
        <v/>
      </c>
      <c r="E85" s="107" t="n"/>
      <c r="F85" s="32" t="n"/>
      <c r="G85" s="45">
        <f>IF($B85="",0,$E85*SUMIF(Plan!$M$5:$M$24,"#"&amp;$A85,Plan!E$5:E$24))</f>
        <v/>
      </c>
      <c r="H85" s="45">
        <f>IF($B85="",0,$E85*SUMIF(Plan!$M$5:$M$24,"#"&amp;$A85,Plan!F$5:F$24))</f>
        <v/>
      </c>
      <c r="I85" s="45">
        <f>IF($B85="",0,$E85*SUMIF(Plan!$M$5:$M$24,"#"&amp;$A85,Plan!G$5:G$24))</f>
        <v/>
      </c>
      <c r="J85" s="45">
        <f>IF($B85="",0,$E85*SUMIF(Plan!$M$5:$M$24,"#"&amp;$A85,Plan!H$5:H$24))</f>
        <v/>
      </c>
      <c r="K85" s="45">
        <f>IF($B85="",0,$E85*SUMIF(Plan!$M$5:$M$24,"#"&amp;$A85,Plan!I$5:I$24))</f>
        <v/>
      </c>
      <c r="L85" s="45">
        <f>IF($B85="",0,$E85*SUMIF(Plan!$M$5:$M$24,"#"&amp;$A85,Plan!J$5:J$24))</f>
        <v/>
      </c>
      <c r="M85" s="45">
        <f>IF($B85="",0,$E85*SUMIF(Plan!$M$5:$M$24,"#"&amp;$A85,Plan!K$5:K$24))</f>
        <v/>
      </c>
      <c r="N85" s="45">
        <f>IF($B85="",0,$E85*SUMIF(Plan!$M$5:$M$24,"#"&amp;$A85,Plan!L$5:L$24))</f>
        <v/>
      </c>
      <c r="O85" s="35">
        <f>IF(B85="","","#"&amp;B85)</f>
        <v/>
      </c>
      <c r="P85" s="35">
        <f>IF(A85="","","#"&amp;A85)</f>
        <v/>
      </c>
    </row>
    <row r="86">
      <c r="A86" s="32" t="n"/>
      <c r="B86" s="54" t="n"/>
      <c r="C86" s="48">
        <f>IFERROR(INDEX(Materiales!$B$4:$B$66,MATCH("#"&amp;$B86,Materiales!$L$4:$L$66,0)),"")</f>
        <v/>
      </c>
      <c r="D86" s="49">
        <f>IFERROR(INDEX(Materiales!$C$4:$C$66,MATCH("#"&amp;$B86,Materiales!$L$4:$L$66,0)),"")</f>
        <v/>
      </c>
      <c r="E86" s="107" t="n"/>
      <c r="F86" s="32" t="n"/>
      <c r="G86" s="45">
        <f>IF($B86="",0,$E86*SUMIF(Plan!$M$5:$M$24,"#"&amp;$A86,Plan!E$5:E$24))</f>
        <v/>
      </c>
      <c r="H86" s="45">
        <f>IF($B86="",0,$E86*SUMIF(Plan!$M$5:$M$24,"#"&amp;$A86,Plan!F$5:F$24))</f>
        <v/>
      </c>
      <c r="I86" s="45">
        <f>IF($B86="",0,$E86*SUMIF(Plan!$M$5:$M$24,"#"&amp;$A86,Plan!G$5:G$24))</f>
        <v/>
      </c>
      <c r="J86" s="45">
        <f>IF($B86="",0,$E86*SUMIF(Plan!$M$5:$M$24,"#"&amp;$A86,Plan!H$5:H$24))</f>
        <v/>
      </c>
      <c r="K86" s="45">
        <f>IF($B86="",0,$E86*SUMIF(Plan!$M$5:$M$24,"#"&amp;$A86,Plan!I$5:I$24))</f>
        <v/>
      </c>
      <c r="L86" s="45">
        <f>IF($B86="",0,$E86*SUMIF(Plan!$M$5:$M$24,"#"&amp;$A86,Plan!J$5:J$24))</f>
        <v/>
      </c>
      <c r="M86" s="45">
        <f>IF($B86="",0,$E86*SUMIF(Plan!$M$5:$M$24,"#"&amp;$A86,Plan!K$5:K$24))</f>
        <v/>
      </c>
      <c r="N86" s="45">
        <f>IF($B86="",0,$E86*SUMIF(Plan!$M$5:$M$24,"#"&amp;$A86,Plan!L$5:L$24))</f>
        <v/>
      </c>
      <c r="O86" s="35">
        <f>IF(B86="","","#"&amp;B86)</f>
        <v/>
      </c>
      <c r="P86" s="35">
        <f>IF(A86="","","#"&amp;A86)</f>
        <v/>
      </c>
    </row>
    <row r="87">
      <c r="A87" s="32" t="n"/>
      <c r="B87" s="54" t="n"/>
      <c r="C87" s="48">
        <f>IFERROR(INDEX(Materiales!$B$4:$B$66,MATCH("#"&amp;$B87,Materiales!$L$4:$L$66,0)),"")</f>
        <v/>
      </c>
      <c r="D87" s="49">
        <f>IFERROR(INDEX(Materiales!$C$4:$C$66,MATCH("#"&amp;$B87,Materiales!$L$4:$L$66,0)),"")</f>
        <v/>
      </c>
      <c r="E87" s="107" t="n"/>
      <c r="F87" s="32" t="n"/>
      <c r="G87" s="45">
        <f>IF($B87="",0,$E87*SUMIF(Plan!$M$5:$M$24,"#"&amp;$A87,Plan!E$5:E$24))</f>
        <v/>
      </c>
      <c r="H87" s="45">
        <f>IF($B87="",0,$E87*SUMIF(Plan!$M$5:$M$24,"#"&amp;$A87,Plan!F$5:F$24))</f>
        <v/>
      </c>
      <c r="I87" s="45">
        <f>IF($B87="",0,$E87*SUMIF(Plan!$M$5:$M$24,"#"&amp;$A87,Plan!G$5:G$24))</f>
        <v/>
      </c>
      <c r="J87" s="45">
        <f>IF($B87="",0,$E87*SUMIF(Plan!$M$5:$M$24,"#"&amp;$A87,Plan!H$5:H$24))</f>
        <v/>
      </c>
      <c r="K87" s="45">
        <f>IF($B87="",0,$E87*SUMIF(Plan!$M$5:$M$24,"#"&amp;$A87,Plan!I$5:I$24))</f>
        <v/>
      </c>
      <c r="L87" s="45">
        <f>IF($B87="",0,$E87*SUMIF(Plan!$M$5:$M$24,"#"&amp;$A87,Plan!J$5:J$24))</f>
        <v/>
      </c>
      <c r="M87" s="45">
        <f>IF($B87="",0,$E87*SUMIF(Plan!$M$5:$M$24,"#"&amp;$A87,Plan!K$5:K$24))</f>
        <v/>
      </c>
      <c r="N87" s="45">
        <f>IF($B87="",0,$E87*SUMIF(Plan!$M$5:$M$24,"#"&amp;$A87,Plan!L$5:L$24))</f>
        <v/>
      </c>
      <c r="O87" s="35">
        <f>IF(B87="","","#"&amp;B87)</f>
        <v/>
      </c>
      <c r="P87" s="35">
        <f>IF(A87="","","#"&amp;A87)</f>
        <v/>
      </c>
    </row>
    <row r="88">
      <c r="A88" s="32" t="n"/>
      <c r="B88" s="54" t="n"/>
      <c r="C88" s="48">
        <f>IFERROR(INDEX(Materiales!$B$4:$B$66,MATCH("#"&amp;$B88,Materiales!$L$4:$L$66,0)),"")</f>
        <v/>
      </c>
      <c r="D88" s="49">
        <f>IFERROR(INDEX(Materiales!$C$4:$C$66,MATCH("#"&amp;$B88,Materiales!$L$4:$L$66,0)),"")</f>
        <v/>
      </c>
      <c r="E88" s="107" t="n"/>
      <c r="F88" s="32" t="n"/>
      <c r="G88" s="45">
        <f>IF($B88="",0,$E88*SUMIF(Plan!$M$5:$M$24,"#"&amp;$A88,Plan!E$5:E$24))</f>
        <v/>
      </c>
      <c r="H88" s="45">
        <f>IF($B88="",0,$E88*SUMIF(Plan!$M$5:$M$24,"#"&amp;$A88,Plan!F$5:F$24))</f>
        <v/>
      </c>
      <c r="I88" s="45">
        <f>IF($B88="",0,$E88*SUMIF(Plan!$M$5:$M$24,"#"&amp;$A88,Plan!G$5:G$24))</f>
        <v/>
      </c>
      <c r="J88" s="45">
        <f>IF($B88="",0,$E88*SUMIF(Plan!$M$5:$M$24,"#"&amp;$A88,Plan!H$5:H$24))</f>
        <v/>
      </c>
      <c r="K88" s="45">
        <f>IF($B88="",0,$E88*SUMIF(Plan!$M$5:$M$24,"#"&amp;$A88,Plan!I$5:I$24))</f>
        <v/>
      </c>
      <c r="L88" s="45">
        <f>IF($B88="",0,$E88*SUMIF(Plan!$M$5:$M$24,"#"&amp;$A88,Plan!J$5:J$24))</f>
        <v/>
      </c>
      <c r="M88" s="45">
        <f>IF($B88="",0,$E88*SUMIF(Plan!$M$5:$M$24,"#"&amp;$A88,Plan!K$5:K$24))</f>
        <v/>
      </c>
      <c r="N88" s="45">
        <f>IF($B88="",0,$E88*SUMIF(Plan!$M$5:$M$24,"#"&amp;$A88,Plan!L$5:L$24))</f>
        <v/>
      </c>
      <c r="O88" s="35">
        <f>IF(B88="","","#"&amp;B88)</f>
        <v/>
      </c>
      <c r="P88" s="35">
        <f>IF(A88="","","#"&amp;A88)</f>
        <v/>
      </c>
    </row>
    <row r="89">
      <c r="A89" s="32" t="n"/>
      <c r="B89" s="54" t="n"/>
      <c r="C89" s="48">
        <f>IFERROR(INDEX(Materiales!$B$4:$B$66,MATCH("#"&amp;$B89,Materiales!$L$4:$L$66,0)),"")</f>
        <v/>
      </c>
      <c r="D89" s="49">
        <f>IFERROR(INDEX(Materiales!$C$4:$C$66,MATCH("#"&amp;$B89,Materiales!$L$4:$L$66,0)),"")</f>
        <v/>
      </c>
      <c r="E89" s="107" t="n"/>
      <c r="F89" s="32" t="n"/>
      <c r="G89" s="45">
        <f>IF($B89="",0,$E89*SUMIF(Plan!$M$5:$M$24,"#"&amp;$A89,Plan!E$5:E$24))</f>
        <v/>
      </c>
      <c r="H89" s="45">
        <f>IF($B89="",0,$E89*SUMIF(Plan!$M$5:$M$24,"#"&amp;$A89,Plan!F$5:F$24))</f>
        <v/>
      </c>
      <c r="I89" s="45">
        <f>IF($B89="",0,$E89*SUMIF(Plan!$M$5:$M$24,"#"&amp;$A89,Plan!G$5:G$24))</f>
        <v/>
      </c>
      <c r="J89" s="45">
        <f>IF($B89="",0,$E89*SUMIF(Plan!$M$5:$M$24,"#"&amp;$A89,Plan!H$5:H$24))</f>
        <v/>
      </c>
      <c r="K89" s="45">
        <f>IF($B89="",0,$E89*SUMIF(Plan!$M$5:$M$24,"#"&amp;$A89,Plan!I$5:I$24))</f>
        <v/>
      </c>
      <c r="L89" s="45">
        <f>IF($B89="",0,$E89*SUMIF(Plan!$M$5:$M$24,"#"&amp;$A89,Plan!J$5:J$24))</f>
        <v/>
      </c>
      <c r="M89" s="45">
        <f>IF($B89="",0,$E89*SUMIF(Plan!$M$5:$M$24,"#"&amp;$A89,Plan!K$5:K$24))</f>
        <v/>
      </c>
      <c r="N89" s="45">
        <f>IF($B89="",0,$E89*SUMIF(Plan!$M$5:$M$24,"#"&amp;$A89,Plan!L$5:L$24))</f>
        <v/>
      </c>
      <c r="O89" s="35">
        <f>IF(B89="","","#"&amp;B89)</f>
        <v/>
      </c>
      <c r="P89" s="35">
        <f>IF(A89="","","#"&amp;A89)</f>
        <v/>
      </c>
    </row>
    <row r="90">
      <c r="A90" s="32" t="n"/>
      <c r="B90" s="54" t="n"/>
      <c r="C90" s="48">
        <f>IFERROR(INDEX(Materiales!$B$4:$B$66,MATCH("#"&amp;$B90,Materiales!$L$4:$L$66,0)),"")</f>
        <v/>
      </c>
      <c r="D90" s="49">
        <f>IFERROR(INDEX(Materiales!$C$4:$C$66,MATCH("#"&amp;$B90,Materiales!$L$4:$L$66,0)),"")</f>
        <v/>
      </c>
      <c r="E90" s="107" t="n"/>
      <c r="F90" s="32" t="n"/>
      <c r="G90" s="45">
        <f>IF($B90="",0,$E90*SUMIF(Plan!$M$5:$M$24,"#"&amp;$A90,Plan!E$5:E$24))</f>
        <v/>
      </c>
      <c r="H90" s="45">
        <f>IF($B90="",0,$E90*SUMIF(Plan!$M$5:$M$24,"#"&amp;$A90,Plan!F$5:F$24))</f>
        <v/>
      </c>
      <c r="I90" s="45">
        <f>IF($B90="",0,$E90*SUMIF(Plan!$M$5:$M$24,"#"&amp;$A90,Plan!G$5:G$24))</f>
        <v/>
      </c>
      <c r="J90" s="45">
        <f>IF($B90="",0,$E90*SUMIF(Plan!$M$5:$M$24,"#"&amp;$A90,Plan!H$5:H$24))</f>
        <v/>
      </c>
      <c r="K90" s="45">
        <f>IF($B90="",0,$E90*SUMIF(Plan!$M$5:$M$24,"#"&amp;$A90,Plan!I$5:I$24))</f>
        <v/>
      </c>
      <c r="L90" s="45">
        <f>IF($B90="",0,$E90*SUMIF(Plan!$M$5:$M$24,"#"&amp;$A90,Plan!J$5:J$24))</f>
        <v/>
      </c>
      <c r="M90" s="45">
        <f>IF($B90="",0,$E90*SUMIF(Plan!$M$5:$M$24,"#"&amp;$A90,Plan!K$5:K$24))</f>
        <v/>
      </c>
      <c r="N90" s="45">
        <f>IF($B90="",0,$E90*SUMIF(Plan!$M$5:$M$24,"#"&amp;$A90,Plan!L$5:L$24))</f>
        <v/>
      </c>
      <c r="O90" s="35">
        <f>IF(B90="","","#"&amp;B90)</f>
        <v/>
      </c>
      <c r="P90" s="35">
        <f>IF(A90="","","#"&amp;A90)</f>
        <v/>
      </c>
    </row>
    <row r="91">
      <c r="A91" s="32" t="n"/>
      <c r="B91" s="54" t="n"/>
      <c r="C91" s="48">
        <f>IFERROR(INDEX(Materiales!$B$4:$B$66,MATCH("#"&amp;$B91,Materiales!$L$4:$L$66,0)),"")</f>
        <v/>
      </c>
      <c r="D91" s="49">
        <f>IFERROR(INDEX(Materiales!$C$4:$C$66,MATCH("#"&amp;$B91,Materiales!$L$4:$L$66,0)),"")</f>
        <v/>
      </c>
      <c r="E91" s="107" t="n"/>
      <c r="F91" s="32" t="n"/>
      <c r="G91" s="45">
        <f>IF($B91="",0,$E91*SUMIF(Plan!$M$5:$M$24,"#"&amp;$A91,Plan!E$5:E$24))</f>
        <v/>
      </c>
      <c r="H91" s="45">
        <f>IF($B91="",0,$E91*SUMIF(Plan!$M$5:$M$24,"#"&amp;$A91,Plan!F$5:F$24))</f>
        <v/>
      </c>
      <c r="I91" s="45">
        <f>IF($B91="",0,$E91*SUMIF(Plan!$M$5:$M$24,"#"&amp;$A91,Plan!G$5:G$24))</f>
        <v/>
      </c>
      <c r="J91" s="45">
        <f>IF($B91="",0,$E91*SUMIF(Plan!$M$5:$M$24,"#"&amp;$A91,Plan!H$5:H$24))</f>
        <v/>
      </c>
      <c r="K91" s="45">
        <f>IF($B91="",0,$E91*SUMIF(Plan!$M$5:$M$24,"#"&amp;$A91,Plan!I$5:I$24))</f>
        <v/>
      </c>
      <c r="L91" s="45">
        <f>IF($B91="",0,$E91*SUMIF(Plan!$M$5:$M$24,"#"&amp;$A91,Plan!J$5:J$24))</f>
        <v/>
      </c>
      <c r="M91" s="45">
        <f>IF($B91="",0,$E91*SUMIF(Plan!$M$5:$M$24,"#"&amp;$A91,Plan!K$5:K$24))</f>
        <v/>
      </c>
      <c r="N91" s="45">
        <f>IF($B91="",0,$E91*SUMIF(Plan!$M$5:$M$24,"#"&amp;$A91,Plan!L$5:L$24))</f>
        <v/>
      </c>
      <c r="O91" s="35">
        <f>IF(B91="","","#"&amp;B91)</f>
        <v/>
      </c>
      <c r="P91" s="35">
        <f>IF(A91="","","#"&amp;A91)</f>
        <v/>
      </c>
    </row>
    <row r="92">
      <c r="A92" s="32" t="n"/>
      <c r="B92" s="54" t="n"/>
      <c r="C92" s="48">
        <f>IFERROR(INDEX(Materiales!$B$4:$B$66,MATCH("#"&amp;$B92,Materiales!$L$4:$L$66,0)),"")</f>
        <v/>
      </c>
      <c r="D92" s="49">
        <f>IFERROR(INDEX(Materiales!$C$4:$C$66,MATCH("#"&amp;$B92,Materiales!$L$4:$L$66,0)),"")</f>
        <v/>
      </c>
      <c r="E92" s="107" t="n"/>
      <c r="F92" s="32" t="n"/>
      <c r="G92" s="45">
        <f>IF($B92="",0,$E92*SUMIF(Plan!$M$5:$M$24,"#"&amp;$A92,Plan!E$5:E$24))</f>
        <v/>
      </c>
      <c r="H92" s="45">
        <f>IF($B92="",0,$E92*SUMIF(Plan!$M$5:$M$24,"#"&amp;$A92,Plan!F$5:F$24))</f>
        <v/>
      </c>
      <c r="I92" s="45">
        <f>IF($B92="",0,$E92*SUMIF(Plan!$M$5:$M$24,"#"&amp;$A92,Plan!G$5:G$24))</f>
        <v/>
      </c>
      <c r="J92" s="45">
        <f>IF($B92="",0,$E92*SUMIF(Plan!$M$5:$M$24,"#"&amp;$A92,Plan!H$5:H$24))</f>
        <v/>
      </c>
      <c r="K92" s="45">
        <f>IF($B92="",0,$E92*SUMIF(Plan!$M$5:$M$24,"#"&amp;$A92,Plan!I$5:I$24))</f>
        <v/>
      </c>
      <c r="L92" s="45">
        <f>IF($B92="",0,$E92*SUMIF(Plan!$M$5:$M$24,"#"&amp;$A92,Plan!J$5:J$24))</f>
        <v/>
      </c>
      <c r="M92" s="45">
        <f>IF($B92="",0,$E92*SUMIF(Plan!$M$5:$M$24,"#"&amp;$A92,Plan!K$5:K$24))</f>
        <v/>
      </c>
      <c r="N92" s="45">
        <f>IF($B92="",0,$E92*SUMIF(Plan!$M$5:$M$24,"#"&amp;$A92,Plan!L$5:L$24))</f>
        <v/>
      </c>
      <c r="O92" s="35">
        <f>IF(B92="","","#"&amp;B92)</f>
        <v/>
      </c>
      <c r="P92" s="35">
        <f>IF(A92="","","#"&amp;A92)</f>
        <v/>
      </c>
    </row>
    <row r="93">
      <c r="A93" s="32" t="n"/>
      <c r="B93" s="54" t="n"/>
      <c r="C93" s="48">
        <f>IFERROR(INDEX(Materiales!$B$4:$B$66,MATCH("#"&amp;$B93,Materiales!$L$4:$L$66,0)),"")</f>
        <v/>
      </c>
      <c r="D93" s="49">
        <f>IFERROR(INDEX(Materiales!$C$4:$C$66,MATCH("#"&amp;$B93,Materiales!$L$4:$L$66,0)),"")</f>
        <v/>
      </c>
      <c r="E93" s="107" t="n"/>
      <c r="F93" s="32" t="n"/>
      <c r="G93" s="45">
        <f>IF($B93="",0,$E93*SUMIF(Plan!$M$5:$M$24,"#"&amp;$A93,Plan!E$5:E$24))</f>
        <v/>
      </c>
      <c r="H93" s="45">
        <f>IF($B93="",0,$E93*SUMIF(Plan!$M$5:$M$24,"#"&amp;$A93,Plan!F$5:F$24))</f>
        <v/>
      </c>
      <c r="I93" s="45">
        <f>IF($B93="",0,$E93*SUMIF(Plan!$M$5:$M$24,"#"&amp;$A93,Plan!G$5:G$24))</f>
        <v/>
      </c>
      <c r="J93" s="45">
        <f>IF($B93="",0,$E93*SUMIF(Plan!$M$5:$M$24,"#"&amp;$A93,Plan!H$5:H$24))</f>
        <v/>
      </c>
      <c r="K93" s="45">
        <f>IF($B93="",0,$E93*SUMIF(Plan!$M$5:$M$24,"#"&amp;$A93,Plan!I$5:I$24))</f>
        <v/>
      </c>
      <c r="L93" s="45">
        <f>IF($B93="",0,$E93*SUMIF(Plan!$M$5:$M$24,"#"&amp;$A93,Plan!J$5:J$24))</f>
        <v/>
      </c>
      <c r="M93" s="45">
        <f>IF($B93="",0,$E93*SUMIF(Plan!$M$5:$M$24,"#"&amp;$A93,Plan!K$5:K$24))</f>
        <v/>
      </c>
      <c r="N93" s="45">
        <f>IF($B93="",0,$E93*SUMIF(Plan!$M$5:$M$24,"#"&amp;$A93,Plan!L$5:L$24))</f>
        <v/>
      </c>
      <c r="O93" s="35">
        <f>IF(B93="","","#"&amp;B93)</f>
        <v/>
      </c>
      <c r="P93" s="35">
        <f>IF(A93="","","#"&amp;A93)</f>
        <v/>
      </c>
    </row>
    <row r="94">
      <c r="A94" s="32" t="n"/>
      <c r="B94" s="54" t="n"/>
      <c r="C94" s="48">
        <f>IFERROR(INDEX(Materiales!$B$4:$B$66,MATCH("#"&amp;$B94,Materiales!$L$4:$L$66,0)),"")</f>
        <v/>
      </c>
      <c r="D94" s="49">
        <f>IFERROR(INDEX(Materiales!$C$4:$C$66,MATCH("#"&amp;$B94,Materiales!$L$4:$L$66,0)),"")</f>
        <v/>
      </c>
      <c r="E94" s="107" t="n"/>
      <c r="F94" s="32" t="n"/>
      <c r="G94" s="45">
        <f>IF($B94="",0,$E94*SUMIF(Plan!$M$5:$M$24,"#"&amp;$A94,Plan!E$5:E$24))</f>
        <v/>
      </c>
      <c r="H94" s="45">
        <f>IF($B94="",0,$E94*SUMIF(Plan!$M$5:$M$24,"#"&amp;$A94,Plan!F$5:F$24))</f>
        <v/>
      </c>
      <c r="I94" s="45">
        <f>IF($B94="",0,$E94*SUMIF(Plan!$M$5:$M$24,"#"&amp;$A94,Plan!G$5:G$24))</f>
        <v/>
      </c>
      <c r="J94" s="45">
        <f>IF($B94="",0,$E94*SUMIF(Plan!$M$5:$M$24,"#"&amp;$A94,Plan!H$5:H$24))</f>
        <v/>
      </c>
      <c r="K94" s="45">
        <f>IF($B94="",0,$E94*SUMIF(Plan!$M$5:$M$24,"#"&amp;$A94,Plan!I$5:I$24))</f>
        <v/>
      </c>
      <c r="L94" s="45">
        <f>IF($B94="",0,$E94*SUMIF(Plan!$M$5:$M$24,"#"&amp;$A94,Plan!J$5:J$24))</f>
        <v/>
      </c>
      <c r="M94" s="45">
        <f>IF($B94="",0,$E94*SUMIF(Plan!$M$5:$M$24,"#"&amp;$A94,Plan!K$5:K$24))</f>
        <v/>
      </c>
      <c r="N94" s="45">
        <f>IF($B94="",0,$E94*SUMIF(Plan!$M$5:$M$24,"#"&amp;$A94,Plan!L$5:L$24))</f>
        <v/>
      </c>
      <c r="O94" s="35">
        <f>IF(B94="","","#"&amp;B94)</f>
        <v/>
      </c>
      <c r="P94" s="35">
        <f>IF(A94="","","#"&amp;A94)</f>
        <v/>
      </c>
    </row>
    <row r="95">
      <c r="A95" s="32" t="n"/>
      <c r="B95" s="54" t="n"/>
      <c r="C95" s="48">
        <f>IFERROR(INDEX(Materiales!$B$4:$B$66,MATCH("#"&amp;$B95,Materiales!$L$4:$L$66,0)),"")</f>
        <v/>
      </c>
      <c r="D95" s="49">
        <f>IFERROR(INDEX(Materiales!$C$4:$C$66,MATCH("#"&amp;$B95,Materiales!$L$4:$L$66,0)),"")</f>
        <v/>
      </c>
      <c r="E95" s="107" t="n"/>
      <c r="F95" s="32" t="n"/>
      <c r="G95" s="45">
        <f>IF($B95="",0,$E95*SUMIF(Plan!$M$5:$M$24,"#"&amp;$A95,Plan!E$5:E$24))</f>
        <v/>
      </c>
      <c r="H95" s="45">
        <f>IF($B95="",0,$E95*SUMIF(Plan!$M$5:$M$24,"#"&amp;$A95,Plan!F$5:F$24))</f>
        <v/>
      </c>
      <c r="I95" s="45">
        <f>IF($B95="",0,$E95*SUMIF(Plan!$M$5:$M$24,"#"&amp;$A95,Plan!G$5:G$24))</f>
        <v/>
      </c>
      <c r="J95" s="45">
        <f>IF($B95="",0,$E95*SUMIF(Plan!$M$5:$M$24,"#"&amp;$A95,Plan!H$5:H$24))</f>
        <v/>
      </c>
      <c r="K95" s="45">
        <f>IF($B95="",0,$E95*SUMIF(Plan!$M$5:$M$24,"#"&amp;$A95,Plan!I$5:I$24))</f>
        <v/>
      </c>
      <c r="L95" s="45">
        <f>IF($B95="",0,$E95*SUMIF(Plan!$M$5:$M$24,"#"&amp;$A95,Plan!J$5:J$24))</f>
        <v/>
      </c>
      <c r="M95" s="45">
        <f>IF($B95="",0,$E95*SUMIF(Plan!$M$5:$M$24,"#"&amp;$A95,Plan!K$5:K$24))</f>
        <v/>
      </c>
      <c r="N95" s="45">
        <f>IF($B95="",0,$E95*SUMIF(Plan!$M$5:$M$24,"#"&amp;$A95,Plan!L$5:L$24))</f>
        <v/>
      </c>
      <c r="O95" s="35">
        <f>IF(B95="","","#"&amp;B95)</f>
        <v/>
      </c>
      <c r="P95" s="35">
        <f>IF(A95="","","#"&amp;A95)</f>
        <v/>
      </c>
    </row>
    <row r="96">
      <c r="A96" s="32" t="n"/>
      <c r="B96" s="54" t="n"/>
      <c r="C96" s="48">
        <f>IFERROR(INDEX(Materiales!$B$4:$B$66,MATCH("#"&amp;$B96,Materiales!$L$4:$L$66,0)),"")</f>
        <v/>
      </c>
      <c r="D96" s="49">
        <f>IFERROR(INDEX(Materiales!$C$4:$C$66,MATCH("#"&amp;$B96,Materiales!$L$4:$L$66,0)),"")</f>
        <v/>
      </c>
      <c r="E96" s="107" t="n"/>
      <c r="F96" s="32" t="n"/>
      <c r="G96" s="45">
        <f>IF($B96="",0,$E96*SUMIF(Plan!$M$5:$M$24,"#"&amp;$A96,Plan!E$5:E$24))</f>
        <v/>
      </c>
      <c r="H96" s="45">
        <f>IF($B96="",0,$E96*SUMIF(Plan!$M$5:$M$24,"#"&amp;$A96,Plan!F$5:F$24))</f>
        <v/>
      </c>
      <c r="I96" s="45">
        <f>IF($B96="",0,$E96*SUMIF(Plan!$M$5:$M$24,"#"&amp;$A96,Plan!G$5:G$24))</f>
        <v/>
      </c>
      <c r="J96" s="45">
        <f>IF($B96="",0,$E96*SUMIF(Plan!$M$5:$M$24,"#"&amp;$A96,Plan!H$5:H$24))</f>
        <v/>
      </c>
      <c r="K96" s="45">
        <f>IF($B96="",0,$E96*SUMIF(Plan!$M$5:$M$24,"#"&amp;$A96,Plan!I$5:I$24))</f>
        <v/>
      </c>
      <c r="L96" s="45">
        <f>IF($B96="",0,$E96*SUMIF(Plan!$M$5:$M$24,"#"&amp;$A96,Plan!J$5:J$24))</f>
        <v/>
      </c>
      <c r="M96" s="45">
        <f>IF($B96="",0,$E96*SUMIF(Plan!$M$5:$M$24,"#"&amp;$A96,Plan!K$5:K$24))</f>
        <v/>
      </c>
      <c r="N96" s="45">
        <f>IF($B96="",0,$E96*SUMIF(Plan!$M$5:$M$24,"#"&amp;$A96,Plan!L$5:L$24))</f>
        <v/>
      </c>
      <c r="O96" s="35">
        <f>IF(B96="","","#"&amp;B96)</f>
        <v/>
      </c>
      <c r="P96" s="35">
        <f>IF(A96="","","#"&amp;A96)</f>
        <v/>
      </c>
    </row>
    <row r="97">
      <c r="A97" s="32" t="n"/>
      <c r="B97" s="54" t="n"/>
      <c r="C97" s="48">
        <f>IFERROR(INDEX(Materiales!$B$4:$B$66,MATCH("#"&amp;$B97,Materiales!$L$4:$L$66,0)),"")</f>
        <v/>
      </c>
      <c r="D97" s="49">
        <f>IFERROR(INDEX(Materiales!$C$4:$C$66,MATCH("#"&amp;$B97,Materiales!$L$4:$L$66,0)),"")</f>
        <v/>
      </c>
      <c r="E97" s="107" t="n"/>
      <c r="F97" s="32" t="n"/>
      <c r="G97" s="45">
        <f>IF($B97="",0,$E97*SUMIF(Plan!$M$5:$M$24,"#"&amp;$A97,Plan!E$5:E$24))</f>
        <v/>
      </c>
      <c r="H97" s="45">
        <f>IF($B97="",0,$E97*SUMIF(Plan!$M$5:$M$24,"#"&amp;$A97,Plan!F$5:F$24))</f>
        <v/>
      </c>
      <c r="I97" s="45">
        <f>IF($B97="",0,$E97*SUMIF(Plan!$M$5:$M$24,"#"&amp;$A97,Plan!G$5:G$24))</f>
        <v/>
      </c>
      <c r="J97" s="45">
        <f>IF($B97="",0,$E97*SUMIF(Plan!$M$5:$M$24,"#"&amp;$A97,Plan!H$5:H$24))</f>
        <v/>
      </c>
      <c r="K97" s="45">
        <f>IF($B97="",0,$E97*SUMIF(Plan!$M$5:$M$24,"#"&amp;$A97,Plan!I$5:I$24))</f>
        <v/>
      </c>
      <c r="L97" s="45">
        <f>IF($B97="",0,$E97*SUMIF(Plan!$M$5:$M$24,"#"&amp;$A97,Plan!J$5:J$24))</f>
        <v/>
      </c>
      <c r="M97" s="45">
        <f>IF($B97="",0,$E97*SUMIF(Plan!$M$5:$M$24,"#"&amp;$A97,Plan!K$5:K$24))</f>
        <v/>
      </c>
      <c r="N97" s="45">
        <f>IF($B97="",0,$E97*SUMIF(Plan!$M$5:$M$24,"#"&amp;$A97,Plan!L$5:L$24))</f>
        <v/>
      </c>
      <c r="O97" s="35">
        <f>IF(B97="","","#"&amp;B97)</f>
        <v/>
      </c>
      <c r="P97" s="35">
        <f>IF(A97="","","#"&amp;A97)</f>
        <v/>
      </c>
    </row>
    <row r="98">
      <c r="A98" s="32" t="n"/>
      <c r="B98" s="54" t="n"/>
      <c r="C98" s="48">
        <f>IFERROR(INDEX(Materiales!$B$4:$B$66,MATCH("#"&amp;$B98,Materiales!$L$4:$L$66,0)),"")</f>
        <v/>
      </c>
      <c r="D98" s="49">
        <f>IFERROR(INDEX(Materiales!$C$4:$C$66,MATCH("#"&amp;$B98,Materiales!$L$4:$L$66,0)),"")</f>
        <v/>
      </c>
      <c r="E98" s="107" t="n"/>
      <c r="F98" s="32" t="n"/>
      <c r="G98" s="45">
        <f>IF($B98="",0,$E98*SUMIF(Plan!$M$5:$M$24,"#"&amp;$A98,Plan!E$5:E$24))</f>
        <v/>
      </c>
      <c r="H98" s="45">
        <f>IF($B98="",0,$E98*SUMIF(Plan!$M$5:$M$24,"#"&amp;$A98,Plan!F$5:F$24))</f>
        <v/>
      </c>
      <c r="I98" s="45">
        <f>IF($B98="",0,$E98*SUMIF(Plan!$M$5:$M$24,"#"&amp;$A98,Plan!G$5:G$24))</f>
        <v/>
      </c>
      <c r="J98" s="45">
        <f>IF($B98="",0,$E98*SUMIF(Plan!$M$5:$M$24,"#"&amp;$A98,Plan!H$5:H$24))</f>
        <v/>
      </c>
      <c r="K98" s="45">
        <f>IF($B98="",0,$E98*SUMIF(Plan!$M$5:$M$24,"#"&amp;$A98,Plan!I$5:I$24))</f>
        <v/>
      </c>
      <c r="L98" s="45">
        <f>IF($B98="",0,$E98*SUMIF(Plan!$M$5:$M$24,"#"&amp;$A98,Plan!J$5:J$24))</f>
        <v/>
      </c>
      <c r="M98" s="45">
        <f>IF($B98="",0,$E98*SUMIF(Plan!$M$5:$M$24,"#"&amp;$A98,Plan!K$5:K$24))</f>
        <v/>
      </c>
      <c r="N98" s="45">
        <f>IF($B98="",0,$E98*SUMIF(Plan!$M$5:$M$24,"#"&amp;$A98,Plan!L$5:L$24))</f>
        <v/>
      </c>
      <c r="O98" s="35">
        <f>IF(B98="","","#"&amp;B98)</f>
        <v/>
      </c>
      <c r="P98" s="35">
        <f>IF(A98="","","#"&amp;A98)</f>
        <v/>
      </c>
    </row>
    <row r="99">
      <c r="A99" s="32" t="n"/>
      <c r="B99" s="54" t="n"/>
      <c r="C99" s="48">
        <f>IFERROR(INDEX(Materiales!$B$4:$B$66,MATCH("#"&amp;$B99,Materiales!$L$4:$L$66,0)),"")</f>
        <v/>
      </c>
      <c r="D99" s="49">
        <f>IFERROR(INDEX(Materiales!$C$4:$C$66,MATCH("#"&amp;$B99,Materiales!$L$4:$L$66,0)),"")</f>
        <v/>
      </c>
      <c r="E99" s="107" t="n"/>
      <c r="F99" s="32" t="n"/>
      <c r="G99" s="45">
        <f>IF($B99="",0,$E99*SUMIF(Plan!$M$5:$M$24,"#"&amp;$A99,Plan!E$5:E$24))</f>
        <v/>
      </c>
      <c r="H99" s="45">
        <f>IF($B99="",0,$E99*SUMIF(Plan!$M$5:$M$24,"#"&amp;$A99,Plan!F$5:F$24))</f>
        <v/>
      </c>
      <c r="I99" s="45">
        <f>IF($B99="",0,$E99*SUMIF(Plan!$M$5:$M$24,"#"&amp;$A99,Plan!G$5:G$24))</f>
        <v/>
      </c>
      <c r="J99" s="45">
        <f>IF($B99="",0,$E99*SUMIF(Plan!$M$5:$M$24,"#"&amp;$A99,Plan!H$5:H$24))</f>
        <v/>
      </c>
      <c r="K99" s="45">
        <f>IF($B99="",0,$E99*SUMIF(Plan!$M$5:$M$24,"#"&amp;$A99,Plan!I$5:I$24))</f>
        <v/>
      </c>
      <c r="L99" s="45">
        <f>IF($B99="",0,$E99*SUMIF(Plan!$M$5:$M$24,"#"&amp;$A99,Plan!J$5:J$24))</f>
        <v/>
      </c>
      <c r="M99" s="45">
        <f>IF($B99="",0,$E99*SUMIF(Plan!$M$5:$M$24,"#"&amp;$A99,Plan!K$5:K$24))</f>
        <v/>
      </c>
      <c r="N99" s="45">
        <f>IF($B99="",0,$E99*SUMIF(Plan!$M$5:$M$24,"#"&amp;$A99,Plan!L$5:L$24))</f>
        <v/>
      </c>
      <c r="O99" s="35">
        <f>IF(B99="","","#"&amp;B99)</f>
        <v/>
      </c>
      <c r="P99" s="35">
        <f>IF(A99="","","#"&amp;A99)</f>
        <v/>
      </c>
    </row>
    <row r="100">
      <c r="A100" s="32" t="n"/>
      <c r="B100" s="54" t="n"/>
      <c r="C100" s="48">
        <f>IFERROR(INDEX(Materiales!$B$4:$B$66,MATCH("#"&amp;$B100,Materiales!$L$4:$L$66,0)),"")</f>
        <v/>
      </c>
      <c r="D100" s="49">
        <f>IFERROR(INDEX(Materiales!$C$4:$C$66,MATCH("#"&amp;$B100,Materiales!$L$4:$L$66,0)),"")</f>
        <v/>
      </c>
      <c r="E100" s="107" t="n"/>
      <c r="F100" s="32" t="n"/>
      <c r="G100" s="45">
        <f>IF($B100="",0,$E100*SUMIF(Plan!$M$5:$M$24,"#"&amp;$A100,Plan!E$5:E$24))</f>
        <v/>
      </c>
      <c r="H100" s="45">
        <f>IF($B100="",0,$E100*SUMIF(Plan!$M$5:$M$24,"#"&amp;$A100,Plan!F$5:F$24))</f>
        <v/>
      </c>
      <c r="I100" s="45">
        <f>IF($B100="",0,$E100*SUMIF(Plan!$M$5:$M$24,"#"&amp;$A100,Plan!G$5:G$24))</f>
        <v/>
      </c>
      <c r="J100" s="45">
        <f>IF($B100="",0,$E100*SUMIF(Plan!$M$5:$M$24,"#"&amp;$A100,Plan!H$5:H$24))</f>
        <v/>
      </c>
      <c r="K100" s="45">
        <f>IF($B100="",0,$E100*SUMIF(Plan!$M$5:$M$24,"#"&amp;$A100,Plan!I$5:I$24))</f>
        <v/>
      </c>
      <c r="L100" s="45">
        <f>IF($B100="",0,$E100*SUMIF(Plan!$M$5:$M$24,"#"&amp;$A100,Plan!J$5:J$24))</f>
        <v/>
      </c>
      <c r="M100" s="45">
        <f>IF($B100="",0,$E100*SUMIF(Plan!$M$5:$M$24,"#"&amp;$A100,Plan!K$5:K$24))</f>
        <v/>
      </c>
      <c r="N100" s="45">
        <f>IF($B100="",0,$E100*SUMIF(Plan!$M$5:$M$24,"#"&amp;$A100,Plan!L$5:L$24))</f>
        <v/>
      </c>
      <c r="O100" s="35">
        <f>IF(B100="","","#"&amp;B100)</f>
        <v/>
      </c>
      <c r="P100" s="35">
        <f>IF(A100="","","#"&amp;A100)</f>
        <v/>
      </c>
    </row>
    <row r="101">
      <c r="A101" s="32" t="n"/>
      <c r="B101" s="54" t="n"/>
      <c r="C101" s="48">
        <f>IFERROR(INDEX(Materiales!$B$4:$B$66,MATCH("#"&amp;$B101,Materiales!$L$4:$L$66,0)),"")</f>
        <v/>
      </c>
      <c r="D101" s="49">
        <f>IFERROR(INDEX(Materiales!$C$4:$C$66,MATCH("#"&amp;$B101,Materiales!$L$4:$L$66,0)),"")</f>
        <v/>
      </c>
      <c r="E101" s="107" t="n"/>
      <c r="F101" s="32" t="n"/>
      <c r="G101" s="45">
        <f>IF($B101="",0,$E101*SUMIF(Plan!$M$5:$M$24,"#"&amp;$A101,Plan!E$5:E$24))</f>
        <v/>
      </c>
      <c r="H101" s="45">
        <f>IF($B101="",0,$E101*SUMIF(Plan!$M$5:$M$24,"#"&amp;$A101,Plan!F$5:F$24))</f>
        <v/>
      </c>
      <c r="I101" s="45">
        <f>IF($B101="",0,$E101*SUMIF(Plan!$M$5:$M$24,"#"&amp;$A101,Plan!G$5:G$24))</f>
        <v/>
      </c>
      <c r="J101" s="45">
        <f>IF($B101="",0,$E101*SUMIF(Plan!$M$5:$M$24,"#"&amp;$A101,Plan!H$5:H$24))</f>
        <v/>
      </c>
      <c r="K101" s="45">
        <f>IF($B101="",0,$E101*SUMIF(Plan!$M$5:$M$24,"#"&amp;$A101,Plan!I$5:I$24))</f>
        <v/>
      </c>
      <c r="L101" s="45">
        <f>IF($B101="",0,$E101*SUMIF(Plan!$M$5:$M$24,"#"&amp;$A101,Plan!J$5:J$24))</f>
        <v/>
      </c>
      <c r="M101" s="45">
        <f>IF($B101="",0,$E101*SUMIF(Plan!$M$5:$M$24,"#"&amp;$A101,Plan!K$5:K$24))</f>
        <v/>
      </c>
      <c r="N101" s="45">
        <f>IF($B101="",0,$E101*SUMIF(Plan!$M$5:$M$24,"#"&amp;$A101,Plan!L$5:L$24))</f>
        <v/>
      </c>
      <c r="O101" s="35">
        <f>IF(B101="","","#"&amp;B101)</f>
        <v/>
      </c>
      <c r="P101" s="35">
        <f>IF(A101="","","#"&amp;A101)</f>
        <v/>
      </c>
    </row>
    <row r="102">
      <c r="A102" s="32" t="n"/>
      <c r="B102" s="54" t="n"/>
      <c r="C102" s="48">
        <f>IFERROR(INDEX(Materiales!$B$4:$B$66,MATCH("#"&amp;$B102,Materiales!$L$4:$L$66,0)),"")</f>
        <v/>
      </c>
      <c r="D102" s="49">
        <f>IFERROR(INDEX(Materiales!$C$4:$C$66,MATCH("#"&amp;$B102,Materiales!$L$4:$L$66,0)),"")</f>
        <v/>
      </c>
      <c r="E102" s="107" t="n"/>
      <c r="F102" s="32" t="n"/>
      <c r="G102" s="45">
        <f>IF($B102="",0,$E102*SUMIF(Plan!$M$5:$M$24,"#"&amp;$A102,Plan!E$5:E$24))</f>
        <v/>
      </c>
      <c r="H102" s="45">
        <f>IF($B102="",0,$E102*SUMIF(Plan!$M$5:$M$24,"#"&amp;$A102,Plan!F$5:F$24))</f>
        <v/>
      </c>
      <c r="I102" s="45">
        <f>IF($B102="",0,$E102*SUMIF(Plan!$M$5:$M$24,"#"&amp;$A102,Plan!G$5:G$24))</f>
        <v/>
      </c>
      <c r="J102" s="45">
        <f>IF($B102="",0,$E102*SUMIF(Plan!$M$5:$M$24,"#"&amp;$A102,Plan!H$5:H$24))</f>
        <v/>
      </c>
      <c r="K102" s="45">
        <f>IF($B102="",0,$E102*SUMIF(Plan!$M$5:$M$24,"#"&amp;$A102,Plan!I$5:I$24))</f>
        <v/>
      </c>
      <c r="L102" s="45">
        <f>IF($B102="",0,$E102*SUMIF(Plan!$M$5:$M$24,"#"&amp;$A102,Plan!J$5:J$24))</f>
        <v/>
      </c>
      <c r="M102" s="45">
        <f>IF($B102="",0,$E102*SUMIF(Plan!$M$5:$M$24,"#"&amp;$A102,Plan!K$5:K$24))</f>
        <v/>
      </c>
      <c r="N102" s="45">
        <f>IF($B102="",0,$E102*SUMIF(Plan!$M$5:$M$24,"#"&amp;$A102,Plan!L$5:L$24))</f>
        <v/>
      </c>
      <c r="O102" s="35">
        <f>IF(B102="","","#"&amp;B102)</f>
        <v/>
      </c>
      <c r="P102" s="35">
        <f>IF(A102="","","#"&amp;A102)</f>
        <v/>
      </c>
    </row>
    <row r="103">
      <c r="A103" s="32" t="n"/>
      <c r="B103" s="54" t="n"/>
      <c r="C103" s="48">
        <f>IFERROR(INDEX(Materiales!$B$4:$B$66,MATCH("#"&amp;$B103,Materiales!$L$4:$L$66,0)),"")</f>
        <v/>
      </c>
      <c r="D103" s="49">
        <f>IFERROR(INDEX(Materiales!$C$4:$C$66,MATCH("#"&amp;$B103,Materiales!$L$4:$L$66,0)),"")</f>
        <v/>
      </c>
      <c r="E103" s="107" t="n"/>
      <c r="F103" s="32" t="n"/>
      <c r="G103" s="45">
        <f>IF($B103="",0,$E103*SUMIF(Plan!$M$5:$M$24,"#"&amp;$A103,Plan!E$5:E$24))</f>
        <v/>
      </c>
      <c r="H103" s="45">
        <f>IF($B103="",0,$E103*SUMIF(Plan!$M$5:$M$24,"#"&amp;$A103,Plan!F$5:F$24))</f>
        <v/>
      </c>
      <c r="I103" s="45">
        <f>IF($B103="",0,$E103*SUMIF(Plan!$M$5:$M$24,"#"&amp;$A103,Plan!G$5:G$24))</f>
        <v/>
      </c>
      <c r="J103" s="45">
        <f>IF($B103="",0,$E103*SUMIF(Plan!$M$5:$M$24,"#"&amp;$A103,Plan!H$5:H$24))</f>
        <v/>
      </c>
      <c r="K103" s="45">
        <f>IF($B103="",0,$E103*SUMIF(Plan!$M$5:$M$24,"#"&amp;$A103,Plan!I$5:I$24))</f>
        <v/>
      </c>
      <c r="L103" s="45">
        <f>IF($B103="",0,$E103*SUMIF(Plan!$M$5:$M$24,"#"&amp;$A103,Plan!J$5:J$24))</f>
        <v/>
      </c>
      <c r="M103" s="45">
        <f>IF($B103="",0,$E103*SUMIF(Plan!$M$5:$M$24,"#"&amp;$A103,Plan!K$5:K$24))</f>
        <v/>
      </c>
      <c r="N103" s="45">
        <f>IF($B103="",0,$E103*SUMIF(Plan!$M$5:$M$24,"#"&amp;$A103,Plan!L$5:L$24))</f>
        <v/>
      </c>
      <c r="O103" s="35">
        <f>IF(B103="","","#"&amp;B103)</f>
        <v/>
      </c>
      <c r="P103" s="35">
        <f>IF(A103="","","#"&amp;A103)</f>
        <v/>
      </c>
    </row>
    <row r="104">
      <c r="A104" s="32" t="n"/>
      <c r="B104" s="54" t="n"/>
      <c r="C104" s="48">
        <f>IFERROR(INDEX(Materiales!$B$4:$B$66,MATCH("#"&amp;$B104,Materiales!$L$4:$L$66,0)),"")</f>
        <v/>
      </c>
      <c r="D104" s="49">
        <f>IFERROR(INDEX(Materiales!$C$4:$C$66,MATCH("#"&amp;$B104,Materiales!$L$4:$L$66,0)),"")</f>
        <v/>
      </c>
      <c r="E104" s="107" t="n"/>
      <c r="F104" s="32" t="n"/>
      <c r="G104" s="45">
        <f>IF($B104="",0,$E104*SUMIF(Plan!$M$5:$M$24,"#"&amp;$A104,Plan!E$5:E$24))</f>
        <v/>
      </c>
      <c r="H104" s="45">
        <f>IF($B104="",0,$E104*SUMIF(Plan!$M$5:$M$24,"#"&amp;$A104,Plan!F$5:F$24))</f>
        <v/>
      </c>
      <c r="I104" s="45">
        <f>IF($B104="",0,$E104*SUMIF(Plan!$M$5:$M$24,"#"&amp;$A104,Plan!G$5:G$24))</f>
        <v/>
      </c>
      <c r="J104" s="45">
        <f>IF($B104="",0,$E104*SUMIF(Plan!$M$5:$M$24,"#"&amp;$A104,Plan!H$5:H$24))</f>
        <v/>
      </c>
      <c r="K104" s="45">
        <f>IF($B104="",0,$E104*SUMIF(Plan!$M$5:$M$24,"#"&amp;$A104,Plan!I$5:I$24))</f>
        <v/>
      </c>
      <c r="L104" s="45">
        <f>IF($B104="",0,$E104*SUMIF(Plan!$M$5:$M$24,"#"&amp;$A104,Plan!J$5:J$24))</f>
        <v/>
      </c>
      <c r="M104" s="45">
        <f>IF($B104="",0,$E104*SUMIF(Plan!$M$5:$M$24,"#"&amp;$A104,Plan!K$5:K$24))</f>
        <v/>
      </c>
      <c r="N104" s="45">
        <f>IF($B104="",0,$E104*SUMIF(Plan!$M$5:$M$24,"#"&amp;$A104,Plan!L$5:L$24))</f>
        <v/>
      </c>
      <c r="O104" s="35">
        <f>IF(B104="","","#"&amp;B104)</f>
        <v/>
      </c>
      <c r="P104" s="35">
        <f>IF(A104="","","#"&amp;A104)</f>
        <v/>
      </c>
    </row>
    <row r="105">
      <c r="A105" s="32" t="n"/>
      <c r="B105" s="54" t="n"/>
      <c r="C105" s="48">
        <f>IFERROR(INDEX(Materiales!$B$4:$B$66,MATCH("#"&amp;$B105,Materiales!$L$4:$L$66,0)),"")</f>
        <v/>
      </c>
      <c r="D105" s="49">
        <f>IFERROR(INDEX(Materiales!$C$4:$C$66,MATCH("#"&amp;$B105,Materiales!$L$4:$L$66,0)),"")</f>
        <v/>
      </c>
      <c r="E105" s="107" t="n"/>
      <c r="F105" s="32" t="n"/>
      <c r="G105" s="45">
        <f>IF($B105="",0,$E105*SUMIF(Plan!$M$5:$M$24,"#"&amp;$A105,Plan!E$5:E$24))</f>
        <v/>
      </c>
      <c r="H105" s="45">
        <f>IF($B105="",0,$E105*SUMIF(Plan!$M$5:$M$24,"#"&amp;$A105,Plan!F$5:F$24))</f>
        <v/>
      </c>
      <c r="I105" s="45">
        <f>IF($B105="",0,$E105*SUMIF(Plan!$M$5:$M$24,"#"&amp;$A105,Plan!G$5:G$24))</f>
        <v/>
      </c>
      <c r="J105" s="45">
        <f>IF($B105="",0,$E105*SUMIF(Plan!$M$5:$M$24,"#"&amp;$A105,Plan!H$5:H$24))</f>
        <v/>
      </c>
      <c r="K105" s="45">
        <f>IF($B105="",0,$E105*SUMIF(Plan!$M$5:$M$24,"#"&amp;$A105,Plan!I$5:I$24))</f>
        <v/>
      </c>
      <c r="L105" s="45">
        <f>IF($B105="",0,$E105*SUMIF(Plan!$M$5:$M$24,"#"&amp;$A105,Plan!J$5:J$24))</f>
        <v/>
      </c>
      <c r="M105" s="45">
        <f>IF($B105="",0,$E105*SUMIF(Plan!$M$5:$M$24,"#"&amp;$A105,Plan!K$5:K$24))</f>
        <v/>
      </c>
      <c r="N105" s="45">
        <f>IF($B105="",0,$E105*SUMIF(Plan!$M$5:$M$24,"#"&amp;$A105,Plan!L$5:L$24))</f>
        <v/>
      </c>
      <c r="O105" s="35">
        <f>IF(B105="","","#"&amp;B105)</f>
        <v/>
      </c>
      <c r="P105" s="35">
        <f>IF(A105="","","#"&amp;A105)</f>
        <v/>
      </c>
    </row>
    <row r="106">
      <c r="A106" s="32" t="n"/>
      <c r="B106" s="54" t="n"/>
      <c r="C106" s="48">
        <f>IFERROR(INDEX(Materiales!$B$4:$B$66,MATCH("#"&amp;$B106,Materiales!$L$4:$L$66,0)),"")</f>
        <v/>
      </c>
      <c r="D106" s="49">
        <f>IFERROR(INDEX(Materiales!$C$4:$C$66,MATCH("#"&amp;$B106,Materiales!$L$4:$L$66,0)),"")</f>
        <v/>
      </c>
      <c r="E106" s="107" t="n"/>
      <c r="F106" s="32" t="n"/>
      <c r="G106" s="45">
        <f>IF($B106="",0,$E106*SUMIF(Plan!$M$5:$M$24,"#"&amp;$A106,Plan!E$5:E$24))</f>
        <v/>
      </c>
      <c r="H106" s="45">
        <f>IF($B106="",0,$E106*SUMIF(Plan!$M$5:$M$24,"#"&amp;$A106,Plan!F$5:F$24))</f>
        <v/>
      </c>
      <c r="I106" s="45">
        <f>IF($B106="",0,$E106*SUMIF(Plan!$M$5:$M$24,"#"&amp;$A106,Plan!G$5:G$24))</f>
        <v/>
      </c>
      <c r="J106" s="45">
        <f>IF($B106="",0,$E106*SUMIF(Plan!$M$5:$M$24,"#"&amp;$A106,Plan!H$5:H$24))</f>
        <v/>
      </c>
      <c r="K106" s="45">
        <f>IF($B106="",0,$E106*SUMIF(Plan!$M$5:$M$24,"#"&amp;$A106,Plan!I$5:I$24))</f>
        <v/>
      </c>
      <c r="L106" s="45">
        <f>IF($B106="",0,$E106*SUMIF(Plan!$M$5:$M$24,"#"&amp;$A106,Plan!J$5:J$24))</f>
        <v/>
      </c>
      <c r="M106" s="45">
        <f>IF($B106="",0,$E106*SUMIF(Plan!$M$5:$M$24,"#"&amp;$A106,Plan!K$5:K$24))</f>
        <v/>
      </c>
      <c r="N106" s="45">
        <f>IF($B106="",0,$E106*SUMIF(Plan!$M$5:$M$24,"#"&amp;$A106,Plan!L$5:L$24))</f>
        <v/>
      </c>
      <c r="O106" s="35">
        <f>IF(B106="","","#"&amp;B106)</f>
        <v/>
      </c>
      <c r="P106" s="35">
        <f>IF(A106="","","#"&amp;A106)</f>
        <v/>
      </c>
    </row>
    <row r="107">
      <c r="A107" s="32" t="n"/>
      <c r="B107" s="54" t="n"/>
      <c r="C107" s="48">
        <f>IFERROR(INDEX(Materiales!$B$4:$B$66,MATCH("#"&amp;$B107,Materiales!$L$4:$L$66,0)),"")</f>
        <v/>
      </c>
      <c r="D107" s="49">
        <f>IFERROR(INDEX(Materiales!$C$4:$C$66,MATCH("#"&amp;$B107,Materiales!$L$4:$L$66,0)),"")</f>
        <v/>
      </c>
      <c r="E107" s="107" t="n"/>
      <c r="F107" s="32" t="n"/>
      <c r="G107" s="45">
        <f>IF($B107="",0,$E107*SUMIF(Plan!$M$5:$M$24,"#"&amp;$A107,Plan!E$5:E$24))</f>
        <v/>
      </c>
      <c r="H107" s="45">
        <f>IF($B107="",0,$E107*SUMIF(Plan!$M$5:$M$24,"#"&amp;$A107,Plan!F$5:F$24))</f>
        <v/>
      </c>
      <c r="I107" s="45">
        <f>IF($B107="",0,$E107*SUMIF(Plan!$M$5:$M$24,"#"&amp;$A107,Plan!G$5:G$24))</f>
        <v/>
      </c>
      <c r="J107" s="45">
        <f>IF($B107="",0,$E107*SUMIF(Plan!$M$5:$M$24,"#"&amp;$A107,Plan!H$5:H$24))</f>
        <v/>
      </c>
      <c r="K107" s="45">
        <f>IF($B107="",0,$E107*SUMIF(Plan!$M$5:$M$24,"#"&amp;$A107,Plan!I$5:I$24))</f>
        <v/>
      </c>
      <c r="L107" s="45">
        <f>IF($B107="",0,$E107*SUMIF(Plan!$M$5:$M$24,"#"&amp;$A107,Plan!J$5:J$24))</f>
        <v/>
      </c>
      <c r="M107" s="45">
        <f>IF($B107="",0,$E107*SUMIF(Plan!$M$5:$M$24,"#"&amp;$A107,Plan!K$5:K$24))</f>
        <v/>
      </c>
      <c r="N107" s="45">
        <f>IF($B107="",0,$E107*SUMIF(Plan!$M$5:$M$24,"#"&amp;$A107,Plan!L$5:L$24))</f>
        <v/>
      </c>
      <c r="O107" s="35">
        <f>IF(B107="","","#"&amp;B107)</f>
        <v/>
      </c>
      <c r="P107" s="35">
        <f>IF(A107="","","#"&amp;A107)</f>
        <v/>
      </c>
    </row>
    <row r="108">
      <c r="A108" s="32" t="n"/>
      <c r="B108" s="54" t="n"/>
      <c r="C108" s="48">
        <f>IFERROR(INDEX(Materiales!$B$4:$B$66,MATCH("#"&amp;$B108,Materiales!$L$4:$L$66,0)),"")</f>
        <v/>
      </c>
      <c r="D108" s="49">
        <f>IFERROR(INDEX(Materiales!$C$4:$C$66,MATCH("#"&amp;$B108,Materiales!$L$4:$L$66,0)),"")</f>
        <v/>
      </c>
      <c r="E108" s="107" t="n"/>
      <c r="F108" s="32" t="n"/>
      <c r="G108" s="45">
        <f>IF($B108="",0,$E108*SUMIF(Plan!$M$5:$M$24,"#"&amp;$A108,Plan!E$5:E$24))</f>
        <v/>
      </c>
      <c r="H108" s="45">
        <f>IF($B108="",0,$E108*SUMIF(Plan!$M$5:$M$24,"#"&amp;$A108,Plan!F$5:F$24))</f>
        <v/>
      </c>
      <c r="I108" s="45">
        <f>IF($B108="",0,$E108*SUMIF(Plan!$M$5:$M$24,"#"&amp;$A108,Plan!G$5:G$24))</f>
        <v/>
      </c>
      <c r="J108" s="45">
        <f>IF($B108="",0,$E108*SUMIF(Plan!$M$5:$M$24,"#"&amp;$A108,Plan!H$5:H$24))</f>
        <v/>
      </c>
      <c r="K108" s="45">
        <f>IF($B108="",0,$E108*SUMIF(Plan!$M$5:$M$24,"#"&amp;$A108,Plan!I$5:I$24))</f>
        <v/>
      </c>
      <c r="L108" s="45">
        <f>IF($B108="",0,$E108*SUMIF(Plan!$M$5:$M$24,"#"&amp;$A108,Plan!J$5:J$24))</f>
        <v/>
      </c>
      <c r="M108" s="45">
        <f>IF($B108="",0,$E108*SUMIF(Plan!$M$5:$M$24,"#"&amp;$A108,Plan!K$5:K$24))</f>
        <v/>
      </c>
      <c r="N108" s="45">
        <f>IF($B108="",0,$E108*SUMIF(Plan!$M$5:$M$24,"#"&amp;$A108,Plan!L$5:L$24))</f>
        <v/>
      </c>
      <c r="O108" s="35">
        <f>IF(B108="","","#"&amp;B108)</f>
        <v/>
      </c>
      <c r="P108" s="35">
        <f>IF(A108="","","#"&amp;A108)</f>
        <v/>
      </c>
    </row>
    <row r="109">
      <c r="A109" s="32" t="n"/>
      <c r="B109" s="54" t="n"/>
      <c r="C109" s="48">
        <f>IFERROR(INDEX(Materiales!$B$4:$B$66,MATCH("#"&amp;$B109,Materiales!$L$4:$L$66,0)),"")</f>
        <v/>
      </c>
      <c r="D109" s="49">
        <f>IFERROR(INDEX(Materiales!$C$4:$C$66,MATCH("#"&amp;$B109,Materiales!$L$4:$L$66,0)),"")</f>
        <v/>
      </c>
      <c r="E109" s="107" t="n"/>
      <c r="F109" s="32" t="n"/>
      <c r="G109" s="45">
        <f>IF($B109="",0,$E109*SUMIF(Plan!$M$5:$M$24,"#"&amp;$A109,Plan!E$5:E$24))</f>
        <v/>
      </c>
      <c r="H109" s="45">
        <f>IF($B109="",0,$E109*SUMIF(Plan!$M$5:$M$24,"#"&amp;$A109,Plan!F$5:F$24))</f>
        <v/>
      </c>
      <c r="I109" s="45">
        <f>IF($B109="",0,$E109*SUMIF(Plan!$M$5:$M$24,"#"&amp;$A109,Plan!G$5:G$24))</f>
        <v/>
      </c>
      <c r="J109" s="45">
        <f>IF($B109="",0,$E109*SUMIF(Plan!$M$5:$M$24,"#"&amp;$A109,Plan!H$5:H$24))</f>
        <v/>
      </c>
      <c r="K109" s="45">
        <f>IF($B109="",0,$E109*SUMIF(Plan!$M$5:$M$24,"#"&amp;$A109,Plan!I$5:I$24))</f>
        <v/>
      </c>
      <c r="L109" s="45">
        <f>IF($B109="",0,$E109*SUMIF(Plan!$M$5:$M$24,"#"&amp;$A109,Plan!J$5:J$24))</f>
        <v/>
      </c>
      <c r="M109" s="45">
        <f>IF($B109="",0,$E109*SUMIF(Plan!$M$5:$M$24,"#"&amp;$A109,Plan!K$5:K$24))</f>
        <v/>
      </c>
      <c r="N109" s="45">
        <f>IF($B109="",0,$E109*SUMIF(Plan!$M$5:$M$24,"#"&amp;$A109,Plan!L$5:L$24))</f>
        <v/>
      </c>
      <c r="O109" s="35">
        <f>IF(B109="","","#"&amp;B109)</f>
        <v/>
      </c>
      <c r="P109" s="35">
        <f>IF(A109="","","#"&amp;A109)</f>
        <v/>
      </c>
    </row>
    <row r="110">
      <c r="A110" s="32" t="n"/>
      <c r="B110" s="54" t="n"/>
      <c r="C110" s="48">
        <f>IFERROR(INDEX(Materiales!$B$4:$B$66,MATCH("#"&amp;$B110,Materiales!$L$4:$L$66,0)),"")</f>
        <v/>
      </c>
      <c r="D110" s="49">
        <f>IFERROR(INDEX(Materiales!$C$4:$C$66,MATCH("#"&amp;$B110,Materiales!$L$4:$L$66,0)),"")</f>
        <v/>
      </c>
      <c r="E110" s="107" t="n"/>
      <c r="F110" s="32" t="n"/>
      <c r="G110" s="45">
        <f>IF($B110="",0,$E110*SUMIF(Plan!$M$5:$M$24,"#"&amp;$A110,Plan!E$5:E$24))</f>
        <v/>
      </c>
      <c r="H110" s="45">
        <f>IF($B110="",0,$E110*SUMIF(Plan!$M$5:$M$24,"#"&amp;$A110,Plan!F$5:F$24))</f>
        <v/>
      </c>
      <c r="I110" s="45">
        <f>IF($B110="",0,$E110*SUMIF(Plan!$M$5:$M$24,"#"&amp;$A110,Plan!G$5:G$24))</f>
        <v/>
      </c>
      <c r="J110" s="45">
        <f>IF($B110="",0,$E110*SUMIF(Plan!$M$5:$M$24,"#"&amp;$A110,Plan!H$5:H$24))</f>
        <v/>
      </c>
      <c r="K110" s="45">
        <f>IF($B110="",0,$E110*SUMIF(Plan!$M$5:$M$24,"#"&amp;$A110,Plan!I$5:I$24))</f>
        <v/>
      </c>
      <c r="L110" s="45">
        <f>IF($B110="",0,$E110*SUMIF(Plan!$M$5:$M$24,"#"&amp;$A110,Plan!J$5:J$24))</f>
        <v/>
      </c>
      <c r="M110" s="45">
        <f>IF($B110="",0,$E110*SUMIF(Plan!$M$5:$M$24,"#"&amp;$A110,Plan!K$5:K$24))</f>
        <v/>
      </c>
      <c r="N110" s="45">
        <f>IF($B110="",0,$E110*SUMIF(Plan!$M$5:$M$24,"#"&amp;$A110,Plan!L$5:L$24))</f>
        <v/>
      </c>
      <c r="O110" s="35">
        <f>IF(B110="","","#"&amp;B110)</f>
        <v/>
      </c>
      <c r="P110" s="35">
        <f>IF(A110="","","#"&amp;A110)</f>
        <v/>
      </c>
    </row>
    <row r="111">
      <c r="A111" s="32" t="n"/>
      <c r="B111" s="54" t="n"/>
      <c r="C111" s="48">
        <f>IFERROR(INDEX(Materiales!$B$4:$B$66,MATCH("#"&amp;$B111,Materiales!$L$4:$L$66,0)),"")</f>
        <v/>
      </c>
      <c r="D111" s="49">
        <f>IFERROR(INDEX(Materiales!$C$4:$C$66,MATCH("#"&amp;$B111,Materiales!$L$4:$L$66,0)),"")</f>
        <v/>
      </c>
      <c r="E111" s="107" t="n"/>
      <c r="F111" s="32" t="n"/>
      <c r="G111" s="45">
        <f>IF($B111="",0,$E111*SUMIF(Plan!$M$5:$M$24,"#"&amp;$A111,Plan!E$5:E$24))</f>
        <v/>
      </c>
      <c r="H111" s="45">
        <f>IF($B111="",0,$E111*SUMIF(Plan!$M$5:$M$24,"#"&amp;$A111,Plan!F$5:F$24))</f>
        <v/>
      </c>
      <c r="I111" s="45">
        <f>IF($B111="",0,$E111*SUMIF(Plan!$M$5:$M$24,"#"&amp;$A111,Plan!G$5:G$24))</f>
        <v/>
      </c>
      <c r="J111" s="45">
        <f>IF($B111="",0,$E111*SUMIF(Plan!$M$5:$M$24,"#"&amp;$A111,Plan!H$5:H$24))</f>
        <v/>
      </c>
      <c r="K111" s="45">
        <f>IF($B111="",0,$E111*SUMIF(Plan!$M$5:$M$24,"#"&amp;$A111,Plan!I$5:I$24))</f>
        <v/>
      </c>
      <c r="L111" s="45">
        <f>IF($B111="",0,$E111*SUMIF(Plan!$M$5:$M$24,"#"&amp;$A111,Plan!J$5:J$24))</f>
        <v/>
      </c>
      <c r="M111" s="45">
        <f>IF($B111="",0,$E111*SUMIF(Plan!$M$5:$M$24,"#"&amp;$A111,Plan!K$5:K$24))</f>
        <v/>
      </c>
      <c r="N111" s="45">
        <f>IF($B111="",0,$E111*SUMIF(Plan!$M$5:$M$24,"#"&amp;$A111,Plan!L$5:L$24))</f>
        <v/>
      </c>
      <c r="O111" s="35">
        <f>IF(B111="","","#"&amp;B111)</f>
        <v/>
      </c>
      <c r="P111" s="35">
        <f>IF(A111="","","#"&amp;A111)</f>
        <v/>
      </c>
    </row>
    <row r="112">
      <c r="A112" s="32" t="n"/>
      <c r="B112" s="54" t="n"/>
      <c r="C112" s="48">
        <f>IFERROR(INDEX(Materiales!$B$4:$B$66,MATCH("#"&amp;$B112,Materiales!$L$4:$L$66,0)),"")</f>
        <v/>
      </c>
      <c r="D112" s="49">
        <f>IFERROR(INDEX(Materiales!$C$4:$C$66,MATCH("#"&amp;$B112,Materiales!$L$4:$L$66,0)),"")</f>
        <v/>
      </c>
      <c r="E112" s="107" t="n"/>
      <c r="F112" s="32" t="n"/>
      <c r="G112" s="45">
        <f>IF($B112="",0,$E112*SUMIF(Plan!$M$5:$M$24,"#"&amp;$A112,Plan!E$5:E$24))</f>
        <v/>
      </c>
      <c r="H112" s="45">
        <f>IF($B112="",0,$E112*SUMIF(Plan!$M$5:$M$24,"#"&amp;$A112,Plan!F$5:F$24))</f>
        <v/>
      </c>
      <c r="I112" s="45">
        <f>IF($B112="",0,$E112*SUMIF(Plan!$M$5:$M$24,"#"&amp;$A112,Plan!G$5:G$24))</f>
        <v/>
      </c>
      <c r="J112" s="45">
        <f>IF($B112="",0,$E112*SUMIF(Plan!$M$5:$M$24,"#"&amp;$A112,Plan!H$5:H$24))</f>
        <v/>
      </c>
      <c r="K112" s="45">
        <f>IF($B112="",0,$E112*SUMIF(Plan!$M$5:$M$24,"#"&amp;$A112,Plan!I$5:I$24))</f>
        <v/>
      </c>
      <c r="L112" s="45">
        <f>IF($B112="",0,$E112*SUMIF(Plan!$M$5:$M$24,"#"&amp;$A112,Plan!J$5:J$24))</f>
        <v/>
      </c>
      <c r="M112" s="45">
        <f>IF($B112="",0,$E112*SUMIF(Plan!$M$5:$M$24,"#"&amp;$A112,Plan!K$5:K$24))</f>
        <v/>
      </c>
      <c r="N112" s="45">
        <f>IF($B112="",0,$E112*SUMIF(Plan!$M$5:$M$24,"#"&amp;$A112,Plan!L$5:L$24))</f>
        <v/>
      </c>
      <c r="O112" s="35">
        <f>IF(B112="","","#"&amp;B112)</f>
        <v/>
      </c>
      <c r="P112" s="35">
        <f>IF(A112="","","#"&amp;A112)</f>
        <v/>
      </c>
    </row>
    <row r="113">
      <c r="A113" s="32" t="n"/>
      <c r="B113" s="54" t="n"/>
      <c r="C113" s="48">
        <f>IFERROR(INDEX(Materiales!$B$4:$B$66,MATCH("#"&amp;$B113,Materiales!$L$4:$L$66,0)),"")</f>
        <v/>
      </c>
      <c r="D113" s="49">
        <f>IFERROR(INDEX(Materiales!$C$4:$C$66,MATCH("#"&amp;$B113,Materiales!$L$4:$L$66,0)),"")</f>
        <v/>
      </c>
      <c r="E113" s="107" t="n"/>
      <c r="F113" s="32" t="n"/>
      <c r="G113" s="45">
        <f>IF($B113="",0,$E113*SUMIF(Plan!$M$5:$M$24,"#"&amp;$A113,Plan!E$5:E$24))</f>
        <v/>
      </c>
      <c r="H113" s="45">
        <f>IF($B113="",0,$E113*SUMIF(Plan!$M$5:$M$24,"#"&amp;$A113,Plan!F$5:F$24))</f>
        <v/>
      </c>
      <c r="I113" s="45">
        <f>IF($B113="",0,$E113*SUMIF(Plan!$M$5:$M$24,"#"&amp;$A113,Plan!G$5:G$24))</f>
        <v/>
      </c>
      <c r="J113" s="45">
        <f>IF($B113="",0,$E113*SUMIF(Plan!$M$5:$M$24,"#"&amp;$A113,Plan!H$5:H$24))</f>
        <v/>
      </c>
      <c r="K113" s="45">
        <f>IF($B113="",0,$E113*SUMIF(Plan!$M$5:$M$24,"#"&amp;$A113,Plan!I$5:I$24))</f>
        <v/>
      </c>
      <c r="L113" s="45">
        <f>IF($B113="",0,$E113*SUMIF(Plan!$M$5:$M$24,"#"&amp;$A113,Plan!J$5:J$24))</f>
        <v/>
      </c>
      <c r="M113" s="45">
        <f>IF($B113="",0,$E113*SUMIF(Plan!$M$5:$M$24,"#"&amp;$A113,Plan!K$5:K$24))</f>
        <v/>
      </c>
      <c r="N113" s="45">
        <f>IF($B113="",0,$E113*SUMIF(Plan!$M$5:$M$24,"#"&amp;$A113,Plan!L$5:L$24))</f>
        <v/>
      </c>
      <c r="O113" s="35">
        <f>IF(B113="","","#"&amp;B113)</f>
        <v/>
      </c>
      <c r="P113" s="35">
        <f>IF(A113="","","#"&amp;A113)</f>
        <v/>
      </c>
    </row>
    <row r="114">
      <c r="A114" s="32" t="n"/>
      <c r="B114" s="54" t="n"/>
      <c r="C114" s="48">
        <f>IFERROR(INDEX(Materiales!$B$4:$B$66,MATCH("#"&amp;$B114,Materiales!$L$4:$L$66,0)),"")</f>
        <v/>
      </c>
      <c r="D114" s="49">
        <f>IFERROR(INDEX(Materiales!$C$4:$C$66,MATCH("#"&amp;$B114,Materiales!$L$4:$L$66,0)),"")</f>
        <v/>
      </c>
      <c r="E114" s="107" t="n"/>
      <c r="F114" s="32" t="n"/>
      <c r="G114" s="45">
        <f>IF($B114="",0,$E114*SUMIF(Plan!$M$5:$M$24,"#"&amp;$A114,Plan!E$5:E$24))</f>
        <v/>
      </c>
      <c r="H114" s="45">
        <f>IF($B114="",0,$E114*SUMIF(Plan!$M$5:$M$24,"#"&amp;$A114,Plan!F$5:F$24))</f>
        <v/>
      </c>
      <c r="I114" s="45">
        <f>IF($B114="",0,$E114*SUMIF(Plan!$M$5:$M$24,"#"&amp;$A114,Plan!G$5:G$24))</f>
        <v/>
      </c>
      <c r="J114" s="45">
        <f>IF($B114="",0,$E114*SUMIF(Plan!$M$5:$M$24,"#"&amp;$A114,Plan!H$5:H$24))</f>
        <v/>
      </c>
      <c r="K114" s="45">
        <f>IF($B114="",0,$E114*SUMIF(Plan!$M$5:$M$24,"#"&amp;$A114,Plan!I$5:I$24))</f>
        <v/>
      </c>
      <c r="L114" s="45">
        <f>IF($B114="",0,$E114*SUMIF(Plan!$M$5:$M$24,"#"&amp;$A114,Plan!J$5:J$24))</f>
        <v/>
      </c>
      <c r="M114" s="45">
        <f>IF($B114="",0,$E114*SUMIF(Plan!$M$5:$M$24,"#"&amp;$A114,Plan!K$5:K$24))</f>
        <v/>
      </c>
      <c r="N114" s="45">
        <f>IF($B114="",0,$E114*SUMIF(Plan!$M$5:$M$24,"#"&amp;$A114,Plan!L$5:L$24))</f>
        <v/>
      </c>
      <c r="O114" s="35">
        <f>IF(B114="","","#"&amp;B114)</f>
        <v/>
      </c>
      <c r="P114" s="35">
        <f>IF(A114="","","#"&amp;A114)</f>
        <v/>
      </c>
    </row>
    <row r="115">
      <c r="A115" s="32" t="n"/>
      <c r="B115" s="54" t="n"/>
      <c r="C115" s="48">
        <f>IFERROR(INDEX(Materiales!$B$4:$B$66,MATCH("#"&amp;$B115,Materiales!$L$4:$L$66,0)),"")</f>
        <v/>
      </c>
      <c r="D115" s="49">
        <f>IFERROR(INDEX(Materiales!$C$4:$C$66,MATCH("#"&amp;$B115,Materiales!$L$4:$L$66,0)),"")</f>
        <v/>
      </c>
      <c r="E115" s="107" t="n"/>
      <c r="F115" s="32" t="n"/>
      <c r="G115" s="45">
        <f>IF($B115="",0,$E115*SUMIF(Plan!$M$5:$M$24,"#"&amp;$A115,Plan!E$5:E$24))</f>
        <v/>
      </c>
      <c r="H115" s="45">
        <f>IF($B115="",0,$E115*SUMIF(Plan!$M$5:$M$24,"#"&amp;$A115,Plan!F$5:F$24))</f>
        <v/>
      </c>
      <c r="I115" s="45">
        <f>IF($B115="",0,$E115*SUMIF(Plan!$M$5:$M$24,"#"&amp;$A115,Plan!G$5:G$24))</f>
        <v/>
      </c>
      <c r="J115" s="45">
        <f>IF($B115="",0,$E115*SUMIF(Plan!$M$5:$M$24,"#"&amp;$A115,Plan!H$5:H$24))</f>
        <v/>
      </c>
      <c r="K115" s="45">
        <f>IF($B115="",0,$E115*SUMIF(Plan!$M$5:$M$24,"#"&amp;$A115,Plan!I$5:I$24))</f>
        <v/>
      </c>
      <c r="L115" s="45">
        <f>IF($B115="",0,$E115*SUMIF(Plan!$M$5:$M$24,"#"&amp;$A115,Plan!J$5:J$24))</f>
        <v/>
      </c>
      <c r="M115" s="45">
        <f>IF($B115="",0,$E115*SUMIF(Plan!$M$5:$M$24,"#"&amp;$A115,Plan!K$5:K$24))</f>
        <v/>
      </c>
      <c r="N115" s="45">
        <f>IF($B115="",0,$E115*SUMIF(Plan!$M$5:$M$24,"#"&amp;$A115,Plan!L$5:L$24))</f>
        <v/>
      </c>
      <c r="O115" s="35">
        <f>IF(B115="","","#"&amp;B115)</f>
        <v/>
      </c>
      <c r="P115" s="35">
        <f>IF(A115="","","#"&amp;A115)</f>
        <v/>
      </c>
    </row>
    <row r="116">
      <c r="A116" s="32" t="n"/>
      <c r="B116" s="54" t="n"/>
      <c r="C116" s="48">
        <f>IFERROR(INDEX(Materiales!$B$4:$B$66,MATCH("#"&amp;$B116,Materiales!$L$4:$L$66,0)),"")</f>
        <v/>
      </c>
      <c r="D116" s="49">
        <f>IFERROR(INDEX(Materiales!$C$4:$C$66,MATCH("#"&amp;$B116,Materiales!$L$4:$L$66,0)),"")</f>
        <v/>
      </c>
      <c r="E116" s="107" t="n"/>
      <c r="F116" s="32" t="n"/>
      <c r="G116" s="45">
        <f>IF($B116="",0,$E116*SUMIF(Plan!$M$5:$M$24,"#"&amp;$A116,Plan!E$5:E$24))</f>
        <v/>
      </c>
      <c r="H116" s="45">
        <f>IF($B116="",0,$E116*SUMIF(Plan!$M$5:$M$24,"#"&amp;$A116,Plan!F$5:F$24))</f>
        <v/>
      </c>
      <c r="I116" s="45">
        <f>IF($B116="",0,$E116*SUMIF(Plan!$M$5:$M$24,"#"&amp;$A116,Plan!G$5:G$24))</f>
        <v/>
      </c>
      <c r="J116" s="45">
        <f>IF($B116="",0,$E116*SUMIF(Plan!$M$5:$M$24,"#"&amp;$A116,Plan!H$5:H$24))</f>
        <v/>
      </c>
      <c r="K116" s="45">
        <f>IF($B116="",0,$E116*SUMIF(Plan!$M$5:$M$24,"#"&amp;$A116,Plan!I$5:I$24))</f>
        <v/>
      </c>
      <c r="L116" s="45">
        <f>IF($B116="",0,$E116*SUMIF(Plan!$M$5:$M$24,"#"&amp;$A116,Plan!J$5:J$24))</f>
        <v/>
      </c>
      <c r="M116" s="45">
        <f>IF($B116="",0,$E116*SUMIF(Plan!$M$5:$M$24,"#"&amp;$A116,Plan!K$5:K$24))</f>
        <v/>
      </c>
      <c r="N116" s="45">
        <f>IF($B116="",0,$E116*SUMIF(Plan!$M$5:$M$24,"#"&amp;$A116,Plan!L$5:L$24))</f>
        <v/>
      </c>
      <c r="O116" s="35">
        <f>IF(B116="","","#"&amp;B116)</f>
        <v/>
      </c>
      <c r="P116" s="35">
        <f>IF(A116="","","#"&amp;A116)</f>
        <v/>
      </c>
    </row>
    <row r="117">
      <c r="A117" s="32" t="n"/>
      <c r="B117" s="54" t="n"/>
      <c r="C117" s="48">
        <f>IFERROR(INDEX(Materiales!$B$4:$B$66,MATCH("#"&amp;$B117,Materiales!$L$4:$L$66,0)),"")</f>
        <v/>
      </c>
      <c r="D117" s="49">
        <f>IFERROR(INDEX(Materiales!$C$4:$C$66,MATCH("#"&amp;$B117,Materiales!$L$4:$L$66,0)),"")</f>
        <v/>
      </c>
      <c r="E117" s="107" t="n"/>
      <c r="F117" s="32" t="n"/>
      <c r="G117" s="45">
        <f>IF($B117="",0,$E117*SUMIF(Plan!$M$5:$M$24,"#"&amp;$A117,Plan!E$5:E$24))</f>
        <v/>
      </c>
      <c r="H117" s="45">
        <f>IF($B117="",0,$E117*SUMIF(Plan!$M$5:$M$24,"#"&amp;$A117,Plan!F$5:F$24))</f>
        <v/>
      </c>
      <c r="I117" s="45">
        <f>IF($B117="",0,$E117*SUMIF(Plan!$M$5:$M$24,"#"&amp;$A117,Plan!G$5:G$24))</f>
        <v/>
      </c>
      <c r="J117" s="45">
        <f>IF($B117="",0,$E117*SUMIF(Plan!$M$5:$M$24,"#"&amp;$A117,Plan!H$5:H$24))</f>
        <v/>
      </c>
      <c r="K117" s="45">
        <f>IF($B117="",0,$E117*SUMIF(Plan!$M$5:$M$24,"#"&amp;$A117,Plan!I$5:I$24))</f>
        <v/>
      </c>
      <c r="L117" s="45">
        <f>IF($B117="",0,$E117*SUMIF(Plan!$M$5:$M$24,"#"&amp;$A117,Plan!J$5:J$24))</f>
        <v/>
      </c>
      <c r="M117" s="45">
        <f>IF($B117="",0,$E117*SUMIF(Plan!$M$5:$M$24,"#"&amp;$A117,Plan!K$5:K$24))</f>
        <v/>
      </c>
      <c r="N117" s="45">
        <f>IF($B117="",0,$E117*SUMIF(Plan!$M$5:$M$24,"#"&amp;$A117,Plan!L$5:L$24))</f>
        <v/>
      </c>
      <c r="O117" s="35">
        <f>IF(B117="","","#"&amp;B117)</f>
        <v/>
      </c>
      <c r="P117" s="35">
        <f>IF(A117="","","#"&amp;A117)</f>
        <v/>
      </c>
    </row>
    <row r="118">
      <c r="A118" s="32" t="n"/>
      <c r="B118" s="54" t="n"/>
      <c r="C118" s="48">
        <f>IFERROR(INDEX(Materiales!$B$4:$B$66,MATCH("#"&amp;$B118,Materiales!$L$4:$L$66,0)),"")</f>
        <v/>
      </c>
      <c r="D118" s="49">
        <f>IFERROR(INDEX(Materiales!$C$4:$C$66,MATCH("#"&amp;$B118,Materiales!$L$4:$L$66,0)),"")</f>
        <v/>
      </c>
      <c r="E118" s="107" t="n"/>
      <c r="F118" s="32" t="n"/>
      <c r="G118" s="45">
        <f>IF($B118="",0,$E118*SUMIF(Plan!$M$5:$M$24,"#"&amp;$A118,Plan!E$5:E$24))</f>
        <v/>
      </c>
      <c r="H118" s="45">
        <f>IF($B118="",0,$E118*SUMIF(Plan!$M$5:$M$24,"#"&amp;$A118,Plan!F$5:F$24))</f>
        <v/>
      </c>
      <c r="I118" s="45">
        <f>IF($B118="",0,$E118*SUMIF(Plan!$M$5:$M$24,"#"&amp;$A118,Plan!G$5:G$24))</f>
        <v/>
      </c>
      <c r="J118" s="45">
        <f>IF($B118="",0,$E118*SUMIF(Plan!$M$5:$M$24,"#"&amp;$A118,Plan!H$5:H$24))</f>
        <v/>
      </c>
      <c r="K118" s="45">
        <f>IF($B118="",0,$E118*SUMIF(Plan!$M$5:$M$24,"#"&amp;$A118,Plan!I$5:I$24))</f>
        <v/>
      </c>
      <c r="L118" s="45">
        <f>IF($B118="",0,$E118*SUMIF(Plan!$M$5:$M$24,"#"&amp;$A118,Plan!J$5:J$24))</f>
        <v/>
      </c>
      <c r="M118" s="45">
        <f>IF($B118="",0,$E118*SUMIF(Plan!$M$5:$M$24,"#"&amp;$A118,Plan!K$5:K$24))</f>
        <v/>
      </c>
      <c r="N118" s="45">
        <f>IF($B118="",0,$E118*SUMIF(Plan!$M$5:$M$24,"#"&amp;$A118,Plan!L$5:L$24))</f>
        <v/>
      </c>
      <c r="O118" s="35">
        <f>IF(B118="","","#"&amp;B118)</f>
        <v/>
      </c>
      <c r="P118" s="35">
        <f>IF(A118="","","#"&amp;A118)</f>
        <v/>
      </c>
    </row>
    <row r="119">
      <c r="A119" s="32" t="n"/>
      <c r="B119" s="54" t="n"/>
      <c r="C119" s="48">
        <f>IFERROR(INDEX(Materiales!$B$4:$B$66,MATCH("#"&amp;$B119,Materiales!$L$4:$L$66,0)),"")</f>
        <v/>
      </c>
      <c r="D119" s="49">
        <f>IFERROR(INDEX(Materiales!$C$4:$C$66,MATCH("#"&amp;$B119,Materiales!$L$4:$L$66,0)),"")</f>
        <v/>
      </c>
      <c r="E119" s="107" t="n"/>
      <c r="F119" s="32" t="n"/>
      <c r="G119" s="45">
        <f>IF($B119="",0,$E119*SUMIF(Plan!$M$5:$M$24,"#"&amp;$A119,Plan!E$5:E$24))</f>
        <v/>
      </c>
      <c r="H119" s="45">
        <f>IF($B119="",0,$E119*SUMIF(Plan!$M$5:$M$24,"#"&amp;$A119,Plan!F$5:F$24))</f>
        <v/>
      </c>
      <c r="I119" s="45">
        <f>IF($B119="",0,$E119*SUMIF(Plan!$M$5:$M$24,"#"&amp;$A119,Plan!G$5:G$24))</f>
        <v/>
      </c>
      <c r="J119" s="45">
        <f>IF($B119="",0,$E119*SUMIF(Plan!$M$5:$M$24,"#"&amp;$A119,Plan!H$5:H$24))</f>
        <v/>
      </c>
      <c r="K119" s="45">
        <f>IF($B119="",0,$E119*SUMIF(Plan!$M$5:$M$24,"#"&amp;$A119,Plan!I$5:I$24))</f>
        <v/>
      </c>
      <c r="L119" s="45">
        <f>IF($B119="",0,$E119*SUMIF(Plan!$M$5:$M$24,"#"&amp;$A119,Plan!J$5:J$24))</f>
        <v/>
      </c>
      <c r="M119" s="45">
        <f>IF($B119="",0,$E119*SUMIF(Plan!$M$5:$M$24,"#"&amp;$A119,Plan!K$5:K$24))</f>
        <v/>
      </c>
      <c r="N119" s="45">
        <f>IF($B119="",0,$E119*SUMIF(Plan!$M$5:$M$24,"#"&amp;$A119,Plan!L$5:L$24))</f>
        <v/>
      </c>
      <c r="O119" s="35">
        <f>IF(B119="","","#"&amp;B119)</f>
        <v/>
      </c>
      <c r="P119" s="35">
        <f>IF(A119="","","#"&amp;A119)</f>
        <v/>
      </c>
    </row>
    <row r="120">
      <c r="A120" s="32" t="n"/>
      <c r="B120" s="54" t="n"/>
      <c r="C120" s="48">
        <f>IFERROR(INDEX(Materiales!$B$4:$B$66,MATCH("#"&amp;$B120,Materiales!$L$4:$L$66,0)),"")</f>
        <v/>
      </c>
      <c r="D120" s="49">
        <f>IFERROR(INDEX(Materiales!$C$4:$C$66,MATCH("#"&amp;$B120,Materiales!$L$4:$L$66,0)),"")</f>
        <v/>
      </c>
      <c r="E120" s="107" t="n"/>
      <c r="F120" s="32" t="n"/>
      <c r="G120" s="45">
        <f>IF($B120="",0,$E120*SUMIF(Plan!$M$5:$M$24,"#"&amp;$A120,Plan!E$5:E$24))</f>
        <v/>
      </c>
      <c r="H120" s="45">
        <f>IF($B120="",0,$E120*SUMIF(Plan!$M$5:$M$24,"#"&amp;$A120,Plan!F$5:F$24))</f>
        <v/>
      </c>
      <c r="I120" s="45">
        <f>IF($B120="",0,$E120*SUMIF(Plan!$M$5:$M$24,"#"&amp;$A120,Plan!G$5:G$24))</f>
        <v/>
      </c>
      <c r="J120" s="45">
        <f>IF($B120="",0,$E120*SUMIF(Plan!$M$5:$M$24,"#"&amp;$A120,Plan!H$5:H$24))</f>
        <v/>
      </c>
      <c r="K120" s="45">
        <f>IF($B120="",0,$E120*SUMIF(Plan!$M$5:$M$24,"#"&amp;$A120,Plan!I$5:I$24))</f>
        <v/>
      </c>
      <c r="L120" s="45">
        <f>IF($B120="",0,$E120*SUMIF(Plan!$M$5:$M$24,"#"&amp;$A120,Plan!J$5:J$24))</f>
        <v/>
      </c>
      <c r="M120" s="45">
        <f>IF($B120="",0,$E120*SUMIF(Plan!$M$5:$M$24,"#"&amp;$A120,Plan!K$5:K$24))</f>
        <v/>
      </c>
      <c r="N120" s="45">
        <f>IF($B120="",0,$E120*SUMIF(Plan!$M$5:$M$24,"#"&amp;$A120,Plan!L$5:L$24))</f>
        <v/>
      </c>
      <c r="O120" s="35">
        <f>IF(B120="","","#"&amp;B120)</f>
        <v/>
      </c>
      <c r="P120" s="35">
        <f>IF(A120="","","#"&amp;A120)</f>
        <v/>
      </c>
    </row>
    <row r="121">
      <c r="A121" s="32" t="n"/>
      <c r="B121" s="54" t="n"/>
      <c r="C121" s="48">
        <f>IFERROR(INDEX(Materiales!$B$4:$B$66,MATCH("#"&amp;$B121,Materiales!$L$4:$L$66,0)),"")</f>
        <v/>
      </c>
      <c r="D121" s="49">
        <f>IFERROR(INDEX(Materiales!$C$4:$C$66,MATCH("#"&amp;$B121,Materiales!$L$4:$L$66,0)),"")</f>
        <v/>
      </c>
      <c r="E121" s="107" t="n"/>
      <c r="F121" s="32" t="n"/>
      <c r="G121" s="45">
        <f>IF($B121="",0,$E121*SUMIF(Plan!$M$5:$M$24,"#"&amp;$A121,Plan!E$5:E$24))</f>
        <v/>
      </c>
      <c r="H121" s="45">
        <f>IF($B121="",0,$E121*SUMIF(Plan!$M$5:$M$24,"#"&amp;$A121,Plan!F$5:F$24))</f>
        <v/>
      </c>
      <c r="I121" s="45">
        <f>IF($B121="",0,$E121*SUMIF(Plan!$M$5:$M$24,"#"&amp;$A121,Plan!G$5:G$24))</f>
        <v/>
      </c>
      <c r="J121" s="45">
        <f>IF($B121="",0,$E121*SUMIF(Plan!$M$5:$M$24,"#"&amp;$A121,Plan!H$5:H$24))</f>
        <v/>
      </c>
      <c r="K121" s="45">
        <f>IF($B121="",0,$E121*SUMIF(Plan!$M$5:$M$24,"#"&amp;$A121,Plan!I$5:I$24))</f>
        <v/>
      </c>
      <c r="L121" s="45">
        <f>IF($B121="",0,$E121*SUMIF(Plan!$M$5:$M$24,"#"&amp;$A121,Plan!J$5:J$24))</f>
        <v/>
      </c>
      <c r="M121" s="45">
        <f>IF($B121="",0,$E121*SUMIF(Plan!$M$5:$M$24,"#"&amp;$A121,Plan!K$5:K$24))</f>
        <v/>
      </c>
      <c r="N121" s="45">
        <f>IF($B121="",0,$E121*SUMIF(Plan!$M$5:$M$24,"#"&amp;$A121,Plan!L$5:L$24))</f>
        <v/>
      </c>
      <c r="O121" s="35">
        <f>IF(B121="","","#"&amp;B121)</f>
        <v/>
      </c>
      <c r="P121" s="35">
        <f>IF(A121="","","#"&amp;A121)</f>
        <v/>
      </c>
    </row>
    <row r="122">
      <c r="A122" s="32" t="n"/>
      <c r="B122" s="54" t="n"/>
      <c r="C122" s="48">
        <f>IFERROR(INDEX(Materiales!$B$4:$B$66,MATCH("#"&amp;$B122,Materiales!$L$4:$L$66,0)),"")</f>
        <v/>
      </c>
      <c r="D122" s="49">
        <f>IFERROR(INDEX(Materiales!$C$4:$C$66,MATCH("#"&amp;$B122,Materiales!$L$4:$L$66,0)),"")</f>
        <v/>
      </c>
      <c r="E122" s="107" t="n"/>
      <c r="F122" s="32" t="n"/>
      <c r="G122" s="45">
        <f>IF($B122="",0,$E122*SUMIF(Plan!$M$5:$M$24,"#"&amp;$A122,Plan!E$5:E$24))</f>
        <v/>
      </c>
      <c r="H122" s="45">
        <f>IF($B122="",0,$E122*SUMIF(Plan!$M$5:$M$24,"#"&amp;$A122,Plan!F$5:F$24))</f>
        <v/>
      </c>
      <c r="I122" s="45">
        <f>IF($B122="",0,$E122*SUMIF(Plan!$M$5:$M$24,"#"&amp;$A122,Plan!G$5:G$24))</f>
        <v/>
      </c>
      <c r="J122" s="45">
        <f>IF($B122="",0,$E122*SUMIF(Plan!$M$5:$M$24,"#"&amp;$A122,Plan!H$5:H$24))</f>
        <v/>
      </c>
      <c r="K122" s="45">
        <f>IF($B122="",0,$E122*SUMIF(Plan!$M$5:$M$24,"#"&amp;$A122,Plan!I$5:I$24))</f>
        <v/>
      </c>
      <c r="L122" s="45">
        <f>IF($B122="",0,$E122*SUMIF(Plan!$M$5:$M$24,"#"&amp;$A122,Plan!J$5:J$24))</f>
        <v/>
      </c>
      <c r="M122" s="45">
        <f>IF($B122="",0,$E122*SUMIF(Plan!$M$5:$M$24,"#"&amp;$A122,Plan!K$5:K$24))</f>
        <v/>
      </c>
      <c r="N122" s="45">
        <f>IF($B122="",0,$E122*SUMIF(Plan!$M$5:$M$24,"#"&amp;$A122,Plan!L$5:L$24))</f>
        <v/>
      </c>
      <c r="O122" s="35">
        <f>IF(B122="","","#"&amp;B122)</f>
        <v/>
      </c>
      <c r="P122" s="35">
        <f>IF(A122="","","#"&amp;A122)</f>
        <v/>
      </c>
    </row>
    <row r="123">
      <c r="A123" s="32" t="n"/>
      <c r="B123" s="54" t="n"/>
      <c r="C123" s="48">
        <f>IFERROR(INDEX(Materiales!$B$4:$B$66,MATCH("#"&amp;$B123,Materiales!$L$4:$L$66,0)),"")</f>
        <v/>
      </c>
      <c r="D123" s="49">
        <f>IFERROR(INDEX(Materiales!$C$4:$C$66,MATCH("#"&amp;$B123,Materiales!$L$4:$L$66,0)),"")</f>
        <v/>
      </c>
      <c r="E123" s="107" t="n"/>
      <c r="F123" s="32" t="n"/>
      <c r="G123" s="45">
        <f>IF($B123="",0,$E123*SUMIF(Plan!$M$5:$M$24,"#"&amp;$A123,Plan!E$5:E$24))</f>
        <v/>
      </c>
      <c r="H123" s="45">
        <f>IF($B123="",0,$E123*SUMIF(Plan!$M$5:$M$24,"#"&amp;$A123,Plan!F$5:F$24))</f>
        <v/>
      </c>
      <c r="I123" s="45">
        <f>IF($B123="",0,$E123*SUMIF(Plan!$M$5:$M$24,"#"&amp;$A123,Plan!G$5:G$24))</f>
        <v/>
      </c>
      <c r="J123" s="45">
        <f>IF($B123="",0,$E123*SUMIF(Plan!$M$5:$M$24,"#"&amp;$A123,Plan!H$5:H$24))</f>
        <v/>
      </c>
      <c r="K123" s="45">
        <f>IF($B123="",0,$E123*SUMIF(Plan!$M$5:$M$24,"#"&amp;$A123,Plan!I$5:I$24))</f>
        <v/>
      </c>
      <c r="L123" s="45">
        <f>IF($B123="",0,$E123*SUMIF(Plan!$M$5:$M$24,"#"&amp;$A123,Plan!J$5:J$24))</f>
        <v/>
      </c>
      <c r="M123" s="45">
        <f>IF($B123="",0,$E123*SUMIF(Plan!$M$5:$M$24,"#"&amp;$A123,Plan!K$5:K$24))</f>
        <v/>
      </c>
      <c r="N123" s="45">
        <f>IF($B123="",0,$E123*SUMIF(Plan!$M$5:$M$24,"#"&amp;$A123,Plan!L$5:L$24))</f>
        <v/>
      </c>
      <c r="O123" s="35">
        <f>IF(B123="","","#"&amp;B123)</f>
        <v/>
      </c>
      <c r="P123" s="35">
        <f>IF(A123="","","#"&amp;A123)</f>
        <v/>
      </c>
    </row>
    <row r="124">
      <c r="A124" s="32" t="n"/>
      <c r="B124" s="54" t="n"/>
      <c r="C124" s="48">
        <f>IFERROR(INDEX(Materiales!$B$4:$B$66,MATCH("#"&amp;$B124,Materiales!$L$4:$L$66,0)),"")</f>
        <v/>
      </c>
      <c r="D124" s="49">
        <f>IFERROR(INDEX(Materiales!$C$4:$C$66,MATCH("#"&amp;$B124,Materiales!$L$4:$L$66,0)),"")</f>
        <v/>
      </c>
      <c r="E124" s="107" t="n"/>
      <c r="F124" s="32" t="n"/>
      <c r="G124" s="45">
        <f>IF($B124="",0,$E124*SUMIF(Plan!$M$5:$M$24,"#"&amp;$A124,Plan!E$5:E$24))</f>
        <v/>
      </c>
      <c r="H124" s="45">
        <f>IF($B124="",0,$E124*SUMIF(Plan!$M$5:$M$24,"#"&amp;$A124,Plan!F$5:F$24))</f>
        <v/>
      </c>
      <c r="I124" s="45">
        <f>IF($B124="",0,$E124*SUMIF(Plan!$M$5:$M$24,"#"&amp;$A124,Plan!G$5:G$24))</f>
        <v/>
      </c>
      <c r="J124" s="45">
        <f>IF($B124="",0,$E124*SUMIF(Plan!$M$5:$M$24,"#"&amp;$A124,Plan!H$5:H$24))</f>
        <v/>
      </c>
      <c r="K124" s="45">
        <f>IF($B124="",0,$E124*SUMIF(Plan!$M$5:$M$24,"#"&amp;$A124,Plan!I$5:I$24))</f>
        <v/>
      </c>
      <c r="L124" s="45">
        <f>IF($B124="",0,$E124*SUMIF(Plan!$M$5:$M$24,"#"&amp;$A124,Plan!J$5:J$24))</f>
        <v/>
      </c>
      <c r="M124" s="45">
        <f>IF($B124="",0,$E124*SUMIF(Plan!$M$5:$M$24,"#"&amp;$A124,Plan!K$5:K$24))</f>
        <v/>
      </c>
      <c r="N124" s="45">
        <f>IF($B124="",0,$E124*SUMIF(Plan!$M$5:$M$24,"#"&amp;$A124,Plan!L$5:L$24))</f>
        <v/>
      </c>
      <c r="O124" s="35">
        <f>IF(B124="","","#"&amp;B124)</f>
        <v/>
      </c>
      <c r="P124" s="35">
        <f>IF(A124="","","#"&amp;A124)</f>
        <v/>
      </c>
    </row>
    <row r="125">
      <c r="A125" s="32" t="n"/>
      <c r="B125" s="54" t="n"/>
      <c r="C125" s="48">
        <f>IFERROR(INDEX(Materiales!$B$4:$B$66,MATCH("#"&amp;$B125,Materiales!$L$4:$L$66,0)),"")</f>
        <v/>
      </c>
      <c r="D125" s="49">
        <f>IFERROR(INDEX(Materiales!$C$4:$C$66,MATCH("#"&amp;$B125,Materiales!$L$4:$L$66,0)),"")</f>
        <v/>
      </c>
      <c r="E125" s="107" t="n"/>
      <c r="F125" s="32" t="n"/>
      <c r="G125" s="45">
        <f>IF($B125="",0,$E125*SUMIF(Plan!$M$5:$M$24,"#"&amp;$A125,Plan!E$5:E$24))</f>
        <v/>
      </c>
      <c r="H125" s="45">
        <f>IF($B125="",0,$E125*SUMIF(Plan!$M$5:$M$24,"#"&amp;$A125,Plan!F$5:F$24))</f>
        <v/>
      </c>
      <c r="I125" s="45">
        <f>IF($B125="",0,$E125*SUMIF(Plan!$M$5:$M$24,"#"&amp;$A125,Plan!G$5:G$24))</f>
        <v/>
      </c>
      <c r="J125" s="45">
        <f>IF($B125="",0,$E125*SUMIF(Plan!$M$5:$M$24,"#"&amp;$A125,Plan!H$5:H$24))</f>
        <v/>
      </c>
      <c r="K125" s="45">
        <f>IF($B125="",0,$E125*SUMIF(Plan!$M$5:$M$24,"#"&amp;$A125,Plan!I$5:I$24))</f>
        <v/>
      </c>
      <c r="L125" s="45">
        <f>IF($B125="",0,$E125*SUMIF(Plan!$M$5:$M$24,"#"&amp;$A125,Plan!J$5:J$24))</f>
        <v/>
      </c>
      <c r="M125" s="45">
        <f>IF($B125="",0,$E125*SUMIF(Plan!$M$5:$M$24,"#"&amp;$A125,Plan!K$5:K$24))</f>
        <v/>
      </c>
      <c r="N125" s="45">
        <f>IF($B125="",0,$E125*SUMIF(Plan!$M$5:$M$24,"#"&amp;$A125,Plan!L$5:L$24))</f>
        <v/>
      </c>
      <c r="O125" s="35">
        <f>IF(B125="","","#"&amp;B125)</f>
        <v/>
      </c>
      <c r="P125" s="35">
        <f>IF(A125="","","#"&amp;A125)</f>
        <v/>
      </c>
    </row>
    <row r="126">
      <c r="A126" s="32" t="n"/>
      <c r="B126" s="54" t="n"/>
      <c r="C126" s="48">
        <f>IFERROR(INDEX(Materiales!$B$4:$B$66,MATCH("#"&amp;$B126,Materiales!$L$4:$L$66,0)),"")</f>
        <v/>
      </c>
      <c r="D126" s="49">
        <f>IFERROR(INDEX(Materiales!$C$4:$C$66,MATCH("#"&amp;$B126,Materiales!$L$4:$L$66,0)),"")</f>
        <v/>
      </c>
      <c r="E126" s="107" t="n"/>
      <c r="F126" s="32" t="n"/>
      <c r="G126" s="45">
        <f>IF($B126="",0,$E126*SUMIF(Plan!$M$5:$M$24,"#"&amp;$A126,Plan!E$5:E$24))</f>
        <v/>
      </c>
      <c r="H126" s="45">
        <f>IF($B126="",0,$E126*SUMIF(Plan!$M$5:$M$24,"#"&amp;$A126,Plan!F$5:F$24))</f>
        <v/>
      </c>
      <c r="I126" s="45">
        <f>IF($B126="",0,$E126*SUMIF(Plan!$M$5:$M$24,"#"&amp;$A126,Plan!G$5:G$24))</f>
        <v/>
      </c>
      <c r="J126" s="45">
        <f>IF($B126="",0,$E126*SUMIF(Plan!$M$5:$M$24,"#"&amp;$A126,Plan!H$5:H$24))</f>
        <v/>
      </c>
      <c r="K126" s="45">
        <f>IF($B126="",0,$E126*SUMIF(Plan!$M$5:$M$24,"#"&amp;$A126,Plan!I$5:I$24))</f>
        <v/>
      </c>
      <c r="L126" s="45">
        <f>IF($B126="",0,$E126*SUMIF(Plan!$M$5:$M$24,"#"&amp;$A126,Plan!J$5:J$24))</f>
        <v/>
      </c>
      <c r="M126" s="45">
        <f>IF($B126="",0,$E126*SUMIF(Plan!$M$5:$M$24,"#"&amp;$A126,Plan!K$5:K$24))</f>
        <v/>
      </c>
      <c r="N126" s="45">
        <f>IF($B126="",0,$E126*SUMIF(Plan!$M$5:$M$24,"#"&amp;$A126,Plan!L$5:L$24))</f>
        <v/>
      </c>
      <c r="O126" s="35">
        <f>IF(B126="","","#"&amp;B126)</f>
        <v/>
      </c>
      <c r="P126" s="35">
        <f>IF(A126="","","#"&amp;A126)</f>
        <v/>
      </c>
    </row>
    <row r="127">
      <c r="A127" s="32" t="n"/>
      <c r="B127" s="54" t="n"/>
      <c r="C127" s="48">
        <f>IFERROR(INDEX(Materiales!$B$4:$B$66,MATCH("#"&amp;$B127,Materiales!$L$4:$L$66,0)),"")</f>
        <v/>
      </c>
      <c r="D127" s="49">
        <f>IFERROR(INDEX(Materiales!$C$4:$C$66,MATCH("#"&amp;$B127,Materiales!$L$4:$L$66,0)),"")</f>
        <v/>
      </c>
      <c r="E127" s="107" t="n"/>
      <c r="F127" s="32" t="n"/>
      <c r="G127" s="45">
        <f>IF($B127="",0,$E127*SUMIF(Plan!$M$5:$M$24,"#"&amp;$A127,Plan!E$5:E$24))</f>
        <v/>
      </c>
      <c r="H127" s="45">
        <f>IF($B127="",0,$E127*SUMIF(Plan!$M$5:$M$24,"#"&amp;$A127,Plan!F$5:F$24))</f>
        <v/>
      </c>
      <c r="I127" s="45">
        <f>IF($B127="",0,$E127*SUMIF(Plan!$M$5:$M$24,"#"&amp;$A127,Plan!G$5:G$24))</f>
        <v/>
      </c>
      <c r="J127" s="45">
        <f>IF($B127="",0,$E127*SUMIF(Plan!$M$5:$M$24,"#"&amp;$A127,Plan!H$5:H$24))</f>
        <v/>
      </c>
      <c r="K127" s="45">
        <f>IF($B127="",0,$E127*SUMIF(Plan!$M$5:$M$24,"#"&amp;$A127,Plan!I$5:I$24))</f>
        <v/>
      </c>
      <c r="L127" s="45">
        <f>IF($B127="",0,$E127*SUMIF(Plan!$M$5:$M$24,"#"&amp;$A127,Plan!J$5:J$24))</f>
        <v/>
      </c>
      <c r="M127" s="45">
        <f>IF($B127="",0,$E127*SUMIF(Plan!$M$5:$M$24,"#"&amp;$A127,Plan!K$5:K$24))</f>
        <v/>
      </c>
      <c r="N127" s="45">
        <f>IF($B127="",0,$E127*SUMIF(Plan!$M$5:$M$24,"#"&amp;$A127,Plan!L$5:L$24))</f>
        <v/>
      </c>
      <c r="O127" s="35">
        <f>IF(B127="","","#"&amp;B127)</f>
        <v/>
      </c>
      <c r="P127" s="35">
        <f>IF(A127="","","#"&amp;A127)</f>
        <v/>
      </c>
    </row>
    <row r="128">
      <c r="A128" s="32" t="n"/>
      <c r="B128" s="54" t="n"/>
      <c r="C128" s="48">
        <f>IFERROR(INDEX(Materiales!$B$4:$B$66,MATCH("#"&amp;$B128,Materiales!$L$4:$L$66,0)),"")</f>
        <v/>
      </c>
      <c r="D128" s="49">
        <f>IFERROR(INDEX(Materiales!$C$4:$C$66,MATCH("#"&amp;$B128,Materiales!$L$4:$L$66,0)),"")</f>
        <v/>
      </c>
      <c r="E128" s="107" t="n"/>
      <c r="F128" s="32" t="n"/>
      <c r="G128" s="45">
        <f>IF($B128="",0,$E128*SUMIF(Plan!$M$5:$M$24,"#"&amp;$A128,Plan!E$5:E$24))</f>
        <v/>
      </c>
      <c r="H128" s="45">
        <f>IF($B128="",0,$E128*SUMIF(Plan!$M$5:$M$24,"#"&amp;$A128,Plan!F$5:F$24))</f>
        <v/>
      </c>
      <c r="I128" s="45">
        <f>IF($B128="",0,$E128*SUMIF(Plan!$M$5:$M$24,"#"&amp;$A128,Plan!G$5:G$24))</f>
        <v/>
      </c>
      <c r="J128" s="45">
        <f>IF($B128="",0,$E128*SUMIF(Plan!$M$5:$M$24,"#"&amp;$A128,Plan!H$5:H$24))</f>
        <v/>
      </c>
      <c r="K128" s="45">
        <f>IF($B128="",0,$E128*SUMIF(Plan!$M$5:$M$24,"#"&amp;$A128,Plan!I$5:I$24))</f>
        <v/>
      </c>
      <c r="L128" s="45">
        <f>IF($B128="",0,$E128*SUMIF(Plan!$M$5:$M$24,"#"&amp;$A128,Plan!J$5:J$24))</f>
        <v/>
      </c>
      <c r="M128" s="45">
        <f>IF($B128="",0,$E128*SUMIF(Plan!$M$5:$M$24,"#"&amp;$A128,Plan!K$5:K$24))</f>
        <v/>
      </c>
      <c r="N128" s="45">
        <f>IF($B128="",0,$E128*SUMIF(Plan!$M$5:$M$24,"#"&amp;$A128,Plan!L$5:L$24))</f>
        <v/>
      </c>
      <c r="O128" s="35">
        <f>IF(B128="","","#"&amp;B128)</f>
        <v/>
      </c>
      <c r="P128" s="35">
        <f>IF(A128="","","#"&amp;A128)</f>
        <v/>
      </c>
    </row>
    <row r="129">
      <c r="A129" s="32" t="n"/>
      <c r="B129" s="54" t="n"/>
      <c r="C129" s="48">
        <f>IFERROR(INDEX(Materiales!$B$4:$B$66,MATCH("#"&amp;$B129,Materiales!$L$4:$L$66,0)),"")</f>
        <v/>
      </c>
      <c r="D129" s="49">
        <f>IFERROR(INDEX(Materiales!$C$4:$C$66,MATCH("#"&amp;$B129,Materiales!$L$4:$L$66,0)),"")</f>
        <v/>
      </c>
      <c r="E129" s="107" t="n"/>
      <c r="F129" s="32" t="n"/>
      <c r="G129" s="45">
        <f>IF($B129="",0,$E129*SUMIF(Plan!$M$5:$M$24,"#"&amp;$A129,Plan!E$5:E$24))</f>
        <v/>
      </c>
      <c r="H129" s="45">
        <f>IF($B129="",0,$E129*SUMIF(Plan!$M$5:$M$24,"#"&amp;$A129,Plan!F$5:F$24))</f>
        <v/>
      </c>
      <c r="I129" s="45">
        <f>IF($B129="",0,$E129*SUMIF(Plan!$M$5:$M$24,"#"&amp;$A129,Plan!G$5:G$24))</f>
        <v/>
      </c>
      <c r="J129" s="45">
        <f>IF($B129="",0,$E129*SUMIF(Plan!$M$5:$M$24,"#"&amp;$A129,Plan!H$5:H$24))</f>
        <v/>
      </c>
      <c r="K129" s="45">
        <f>IF($B129="",0,$E129*SUMIF(Plan!$M$5:$M$24,"#"&amp;$A129,Plan!I$5:I$24))</f>
        <v/>
      </c>
      <c r="L129" s="45">
        <f>IF($B129="",0,$E129*SUMIF(Plan!$M$5:$M$24,"#"&amp;$A129,Plan!J$5:J$24))</f>
        <v/>
      </c>
      <c r="M129" s="45">
        <f>IF($B129="",0,$E129*SUMIF(Plan!$M$5:$M$24,"#"&amp;$A129,Plan!K$5:K$24))</f>
        <v/>
      </c>
      <c r="N129" s="45">
        <f>IF($B129="",0,$E129*SUMIF(Plan!$M$5:$M$24,"#"&amp;$A129,Plan!L$5:L$24))</f>
        <v/>
      </c>
      <c r="O129" s="35">
        <f>IF(B129="","","#"&amp;B129)</f>
        <v/>
      </c>
      <c r="P129" s="35">
        <f>IF(A129="","","#"&amp;A129)</f>
        <v/>
      </c>
    </row>
    <row r="130">
      <c r="A130" s="32" t="n"/>
      <c r="B130" s="54" t="n"/>
      <c r="C130" s="48">
        <f>IFERROR(INDEX(Materiales!$B$4:$B$66,MATCH("#"&amp;$B130,Materiales!$L$4:$L$66,0)),"")</f>
        <v/>
      </c>
      <c r="D130" s="49">
        <f>IFERROR(INDEX(Materiales!$C$4:$C$66,MATCH("#"&amp;$B130,Materiales!$L$4:$L$66,0)),"")</f>
        <v/>
      </c>
      <c r="E130" s="107" t="n"/>
      <c r="F130" s="32" t="n"/>
      <c r="G130" s="45">
        <f>IF($B130="",0,$E130*SUMIF(Plan!$M$5:$M$24,"#"&amp;$A130,Plan!E$5:E$24))</f>
        <v/>
      </c>
      <c r="H130" s="45">
        <f>IF($B130="",0,$E130*SUMIF(Plan!$M$5:$M$24,"#"&amp;$A130,Plan!F$5:F$24))</f>
        <v/>
      </c>
      <c r="I130" s="45">
        <f>IF($B130="",0,$E130*SUMIF(Plan!$M$5:$M$24,"#"&amp;$A130,Plan!G$5:G$24))</f>
        <v/>
      </c>
      <c r="J130" s="45">
        <f>IF($B130="",0,$E130*SUMIF(Plan!$M$5:$M$24,"#"&amp;$A130,Plan!H$5:H$24))</f>
        <v/>
      </c>
      <c r="K130" s="45">
        <f>IF($B130="",0,$E130*SUMIF(Plan!$M$5:$M$24,"#"&amp;$A130,Plan!I$5:I$24))</f>
        <v/>
      </c>
      <c r="L130" s="45">
        <f>IF($B130="",0,$E130*SUMIF(Plan!$M$5:$M$24,"#"&amp;$A130,Plan!J$5:J$24))</f>
        <v/>
      </c>
      <c r="M130" s="45">
        <f>IF($B130="",0,$E130*SUMIF(Plan!$M$5:$M$24,"#"&amp;$A130,Plan!K$5:K$24))</f>
        <v/>
      </c>
      <c r="N130" s="45">
        <f>IF($B130="",0,$E130*SUMIF(Plan!$M$5:$M$24,"#"&amp;$A130,Plan!L$5:L$24))</f>
        <v/>
      </c>
      <c r="O130" s="35">
        <f>IF(B130="","","#"&amp;B130)</f>
        <v/>
      </c>
      <c r="P130" s="35">
        <f>IF(A130="","","#"&amp;A130)</f>
        <v/>
      </c>
    </row>
    <row r="131">
      <c r="A131" s="32" t="n"/>
      <c r="B131" s="54" t="n"/>
      <c r="C131" s="48">
        <f>IFERROR(INDEX(Materiales!$B$4:$B$66,MATCH("#"&amp;$B131,Materiales!$L$4:$L$66,0)),"")</f>
        <v/>
      </c>
      <c r="D131" s="49">
        <f>IFERROR(INDEX(Materiales!$C$4:$C$66,MATCH("#"&amp;$B131,Materiales!$L$4:$L$66,0)),"")</f>
        <v/>
      </c>
      <c r="E131" s="107" t="n"/>
      <c r="F131" s="32" t="n"/>
      <c r="G131" s="45">
        <f>IF($B131="",0,$E131*SUMIF(Plan!$M$5:$M$24,"#"&amp;$A131,Plan!E$5:E$24))</f>
        <v/>
      </c>
      <c r="H131" s="45">
        <f>IF($B131="",0,$E131*SUMIF(Plan!$M$5:$M$24,"#"&amp;$A131,Plan!F$5:F$24))</f>
        <v/>
      </c>
      <c r="I131" s="45">
        <f>IF($B131="",0,$E131*SUMIF(Plan!$M$5:$M$24,"#"&amp;$A131,Plan!G$5:G$24))</f>
        <v/>
      </c>
      <c r="J131" s="45">
        <f>IF($B131="",0,$E131*SUMIF(Plan!$M$5:$M$24,"#"&amp;$A131,Plan!H$5:H$24))</f>
        <v/>
      </c>
      <c r="K131" s="45">
        <f>IF($B131="",0,$E131*SUMIF(Plan!$M$5:$M$24,"#"&amp;$A131,Plan!I$5:I$24))</f>
        <v/>
      </c>
      <c r="L131" s="45">
        <f>IF($B131="",0,$E131*SUMIF(Plan!$M$5:$M$24,"#"&amp;$A131,Plan!J$5:J$24))</f>
        <v/>
      </c>
      <c r="M131" s="45">
        <f>IF($B131="",0,$E131*SUMIF(Plan!$M$5:$M$24,"#"&amp;$A131,Plan!K$5:K$24))</f>
        <v/>
      </c>
      <c r="N131" s="45">
        <f>IF($B131="",0,$E131*SUMIF(Plan!$M$5:$M$24,"#"&amp;$A131,Plan!L$5:L$24))</f>
        <v/>
      </c>
      <c r="O131" s="35">
        <f>IF(B131="","","#"&amp;B131)</f>
        <v/>
      </c>
      <c r="P131" s="35">
        <f>IF(A131="","","#"&amp;A131)</f>
        <v/>
      </c>
    </row>
    <row r="132">
      <c r="A132" s="32" t="n"/>
      <c r="B132" s="54" t="n"/>
      <c r="C132" s="48">
        <f>IFERROR(INDEX(Materiales!$B$4:$B$66,MATCH("#"&amp;$B132,Materiales!$L$4:$L$66,0)),"")</f>
        <v/>
      </c>
      <c r="D132" s="49">
        <f>IFERROR(INDEX(Materiales!$C$4:$C$66,MATCH("#"&amp;$B132,Materiales!$L$4:$L$66,0)),"")</f>
        <v/>
      </c>
      <c r="E132" s="107" t="n"/>
      <c r="F132" s="32" t="n"/>
      <c r="G132" s="45">
        <f>IF($B132="",0,$E132*SUMIF(Plan!$M$5:$M$24,"#"&amp;$A132,Plan!E$5:E$24))</f>
        <v/>
      </c>
      <c r="H132" s="45">
        <f>IF($B132="",0,$E132*SUMIF(Plan!$M$5:$M$24,"#"&amp;$A132,Plan!F$5:F$24))</f>
        <v/>
      </c>
      <c r="I132" s="45">
        <f>IF($B132="",0,$E132*SUMIF(Plan!$M$5:$M$24,"#"&amp;$A132,Plan!G$5:G$24))</f>
        <v/>
      </c>
      <c r="J132" s="45">
        <f>IF($B132="",0,$E132*SUMIF(Plan!$M$5:$M$24,"#"&amp;$A132,Plan!H$5:H$24))</f>
        <v/>
      </c>
      <c r="K132" s="45">
        <f>IF($B132="",0,$E132*SUMIF(Plan!$M$5:$M$24,"#"&amp;$A132,Plan!I$5:I$24))</f>
        <v/>
      </c>
      <c r="L132" s="45">
        <f>IF($B132="",0,$E132*SUMIF(Plan!$M$5:$M$24,"#"&amp;$A132,Plan!J$5:J$24))</f>
        <v/>
      </c>
      <c r="M132" s="45">
        <f>IF($B132="",0,$E132*SUMIF(Plan!$M$5:$M$24,"#"&amp;$A132,Plan!K$5:K$24))</f>
        <v/>
      </c>
      <c r="N132" s="45">
        <f>IF($B132="",0,$E132*SUMIF(Plan!$M$5:$M$24,"#"&amp;$A132,Plan!L$5:L$24))</f>
        <v/>
      </c>
      <c r="O132" s="35">
        <f>IF(B132="","","#"&amp;B132)</f>
        <v/>
      </c>
      <c r="P132" s="35">
        <f>IF(A132="","","#"&amp;A132)</f>
        <v/>
      </c>
    </row>
    <row r="133">
      <c r="A133" s="32" t="n"/>
      <c r="B133" s="54" t="n"/>
      <c r="C133" s="48">
        <f>IFERROR(INDEX(Materiales!$B$4:$B$66,MATCH("#"&amp;$B133,Materiales!$L$4:$L$66,0)),"")</f>
        <v/>
      </c>
      <c r="D133" s="49">
        <f>IFERROR(INDEX(Materiales!$C$4:$C$66,MATCH("#"&amp;$B133,Materiales!$L$4:$L$66,0)),"")</f>
        <v/>
      </c>
      <c r="E133" s="107" t="n"/>
      <c r="F133" s="32" t="n"/>
      <c r="G133" s="45">
        <f>IF($B133="",0,$E133*SUMIF(Plan!$M$5:$M$24,"#"&amp;$A133,Plan!E$5:E$24))</f>
        <v/>
      </c>
      <c r="H133" s="45">
        <f>IF($B133="",0,$E133*SUMIF(Plan!$M$5:$M$24,"#"&amp;$A133,Plan!F$5:F$24))</f>
        <v/>
      </c>
      <c r="I133" s="45">
        <f>IF($B133="",0,$E133*SUMIF(Plan!$M$5:$M$24,"#"&amp;$A133,Plan!G$5:G$24))</f>
        <v/>
      </c>
      <c r="J133" s="45">
        <f>IF($B133="",0,$E133*SUMIF(Plan!$M$5:$M$24,"#"&amp;$A133,Plan!H$5:H$24))</f>
        <v/>
      </c>
      <c r="K133" s="45">
        <f>IF($B133="",0,$E133*SUMIF(Plan!$M$5:$M$24,"#"&amp;$A133,Plan!I$5:I$24))</f>
        <v/>
      </c>
      <c r="L133" s="45">
        <f>IF($B133="",0,$E133*SUMIF(Plan!$M$5:$M$24,"#"&amp;$A133,Plan!J$5:J$24))</f>
        <v/>
      </c>
      <c r="M133" s="45">
        <f>IF($B133="",0,$E133*SUMIF(Plan!$M$5:$M$24,"#"&amp;$A133,Plan!K$5:K$24))</f>
        <v/>
      </c>
      <c r="N133" s="45">
        <f>IF($B133="",0,$E133*SUMIF(Plan!$M$5:$M$24,"#"&amp;$A133,Plan!L$5:L$24))</f>
        <v/>
      </c>
      <c r="O133" s="35">
        <f>IF(B133="","","#"&amp;B133)</f>
        <v/>
      </c>
      <c r="P133" s="35">
        <f>IF(A133="","","#"&amp;A133)</f>
        <v/>
      </c>
    </row>
    <row r="134">
      <c r="A134" s="32" t="n"/>
      <c r="B134" s="54" t="n"/>
      <c r="C134" s="48">
        <f>IFERROR(INDEX(Materiales!$B$4:$B$66,MATCH("#"&amp;$B134,Materiales!$L$4:$L$66,0)),"")</f>
        <v/>
      </c>
      <c r="D134" s="49">
        <f>IFERROR(INDEX(Materiales!$C$4:$C$66,MATCH("#"&amp;$B134,Materiales!$L$4:$L$66,0)),"")</f>
        <v/>
      </c>
      <c r="E134" s="107" t="n"/>
      <c r="F134" s="32" t="n"/>
      <c r="G134" s="45">
        <f>IF($B134="",0,$E134*SUMIF(Plan!$M$5:$M$24,"#"&amp;$A134,Plan!E$5:E$24))</f>
        <v/>
      </c>
      <c r="H134" s="45">
        <f>IF($B134="",0,$E134*SUMIF(Plan!$M$5:$M$24,"#"&amp;$A134,Plan!F$5:F$24))</f>
        <v/>
      </c>
      <c r="I134" s="45">
        <f>IF($B134="",0,$E134*SUMIF(Plan!$M$5:$M$24,"#"&amp;$A134,Plan!G$5:G$24))</f>
        <v/>
      </c>
      <c r="J134" s="45">
        <f>IF($B134="",0,$E134*SUMIF(Plan!$M$5:$M$24,"#"&amp;$A134,Plan!H$5:H$24))</f>
        <v/>
      </c>
      <c r="K134" s="45">
        <f>IF($B134="",0,$E134*SUMIF(Plan!$M$5:$M$24,"#"&amp;$A134,Plan!I$5:I$24))</f>
        <v/>
      </c>
      <c r="L134" s="45">
        <f>IF($B134="",0,$E134*SUMIF(Plan!$M$5:$M$24,"#"&amp;$A134,Plan!J$5:J$24))</f>
        <v/>
      </c>
      <c r="M134" s="45">
        <f>IF($B134="",0,$E134*SUMIF(Plan!$M$5:$M$24,"#"&amp;$A134,Plan!K$5:K$24))</f>
        <v/>
      </c>
      <c r="N134" s="45">
        <f>IF($B134="",0,$E134*SUMIF(Plan!$M$5:$M$24,"#"&amp;$A134,Plan!L$5:L$24))</f>
        <v/>
      </c>
      <c r="O134" s="35">
        <f>IF(B134="","","#"&amp;B134)</f>
        <v/>
      </c>
      <c r="P134" s="35">
        <f>IF(A134="","","#"&amp;A134)</f>
        <v/>
      </c>
    </row>
    <row r="135">
      <c r="A135" s="32" t="n"/>
      <c r="B135" s="54" t="n"/>
      <c r="C135" s="48">
        <f>IFERROR(INDEX(Materiales!$B$4:$B$66,MATCH("#"&amp;$B135,Materiales!$L$4:$L$66,0)),"")</f>
        <v/>
      </c>
      <c r="D135" s="49">
        <f>IFERROR(INDEX(Materiales!$C$4:$C$66,MATCH("#"&amp;$B135,Materiales!$L$4:$L$66,0)),"")</f>
        <v/>
      </c>
      <c r="E135" s="107" t="n"/>
      <c r="F135" s="32" t="n"/>
      <c r="G135" s="45">
        <f>IF($B135="",0,$E135*SUMIF(Plan!$M$5:$M$24,"#"&amp;$A135,Plan!E$5:E$24))</f>
        <v/>
      </c>
      <c r="H135" s="45">
        <f>IF($B135="",0,$E135*SUMIF(Plan!$M$5:$M$24,"#"&amp;$A135,Plan!F$5:F$24))</f>
        <v/>
      </c>
      <c r="I135" s="45">
        <f>IF($B135="",0,$E135*SUMIF(Plan!$M$5:$M$24,"#"&amp;$A135,Plan!G$5:G$24))</f>
        <v/>
      </c>
      <c r="J135" s="45">
        <f>IF($B135="",0,$E135*SUMIF(Plan!$M$5:$M$24,"#"&amp;$A135,Plan!H$5:H$24))</f>
        <v/>
      </c>
      <c r="K135" s="45">
        <f>IF($B135="",0,$E135*SUMIF(Plan!$M$5:$M$24,"#"&amp;$A135,Plan!I$5:I$24))</f>
        <v/>
      </c>
      <c r="L135" s="45">
        <f>IF($B135="",0,$E135*SUMIF(Plan!$M$5:$M$24,"#"&amp;$A135,Plan!J$5:J$24))</f>
        <v/>
      </c>
      <c r="M135" s="45">
        <f>IF($B135="",0,$E135*SUMIF(Plan!$M$5:$M$24,"#"&amp;$A135,Plan!K$5:K$24))</f>
        <v/>
      </c>
      <c r="N135" s="45">
        <f>IF($B135="",0,$E135*SUMIF(Plan!$M$5:$M$24,"#"&amp;$A135,Plan!L$5:L$24))</f>
        <v/>
      </c>
      <c r="O135" s="35">
        <f>IF(B135="","","#"&amp;B135)</f>
        <v/>
      </c>
      <c r="P135" s="35">
        <f>IF(A135="","","#"&amp;A135)</f>
        <v/>
      </c>
    </row>
    <row r="136">
      <c r="A136" s="32" t="n"/>
      <c r="B136" s="54" t="n"/>
      <c r="C136" s="48">
        <f>IFERROR(INDEX(Materiales!$B$4:$B$66,MATCH("#"&amp;$B136,Materiales!$L$4:$L$66,0)),"")</f>
        <v/>
      </c>
      <c r="D136" s="49">
        <f>IFERROR(INDEX(Materiales!$C$4:$C$66,MATCH("#"&amp;$B136,Materiales!$L$4:$L$66,0)),"")</f>
        <v/>
      </c>
      <c r="E136" s="107" t="n"/>
      <c r="F136" s="32" t="n"/>
      <c r="G136" s="45">
        <f>IF($B136="",0,$E136*SUMIF(Plan!$M$5:$M$24,"#"&amp;$A136,Plan!E$5:E$24))</f>
        <v/>
      </c>
      <c r="H136" s="45">
        <f>IF($B136="",0,$E136*SUMIF(Plan!$M$5:$M$24,"#"&amp;$A136,Plan!F$5:F$24))</f>
        <v/>
      </c>
      <c r="I136" s="45">
        <f>IF($B136="",0,$E136*SUMIF(Plan!$M$5:$M$24,"#"&amp;$A136,Plan!G$5:G$24))</f>
        <v/>
      </c>
      <c r="J136" s="45">
        <f>IF($B136="",0,$E136*SUMIF(Plan!$M$5:$M$24,"#"&amp;$A136,Plan!H$5:H$24))</f>
        <v/>
      </c>
      <c r="K136" s="45">
        <f>IF($B136="",0,$E136*SUMIF(Plan!$M$5:$M$24,"#"&amp;$A136,Plan!I$5:I$24))</f>
        <v/>
      </c>
      <c r="L136" s="45">
        <f>IF($B136="",0,$E136*SUMIF(Plan!$M$5:$M$24,"#"&amp;$A136,Plan!J$5:J$24))</f>
        <v/>
      </c>
      <c r="M136" s="45">
        <f>IF($B136="",0,$E136*SUMIF(Plan!$M$5:$M$24,"#"&amp;$A136,Plan!K$5:K$24))</f>
        <v/>
      </c>
      <c r="N136" s="45">
        <f>IF($B136="",0,$E136*SUMIF(Plan!$M$5:$M$24,"#"&amp;$A136,Plan!L$5:L$24))</f>
        <v/>
      </c>
      <c r="O136" s="35">
        <f>IF(B136="","","#"&amp;B136)</f>
        <v/>
      </c>
      <c r="P136" s="35">
        <f>IF(A136="","","#"&amp;A136)</f>
        <v/>
      </c>
    </row>
    <row r="137">
      <c r="A137" s="32" t="n"/>
      <c r="B137" s="54" t="n"/>
      <c r="C137" s="48">
        <f>IFERROR(INDEX(Materiales!$B$4:$B$66,MATCH("#"&amp;$B137,Materiales!$L$4:$L$66,0)),"")</f>
        <v/>
      </c>
      <c r="D137" s="49">
        <f>IFERROR(INDEX(Materiales!$C$4:$C$66,MATCH("#"&amp;$B137,Materiales!$L$4:$L$66,0)),"")</f>
        <v/>
      </c>
      <c r="E137" s="107" t="n"/>
      <c r="F137" s="32" t="n"/>
      <c r="G137" s="45">
        <f>IF($B137="",0,$E137*SUMIF(Plan!$M$5:$M$24,"#"&amp;$A137,Plan!E$5:E$24))</f>
        <v/>
      </c>
      <c r="H137" s="45">
        <f>IF($B137="",0,$E137*SUMIF(Plan!$M$5:$M$24,"#"&amp;$A137,Plan!F$5:F$24))</f>
        <v/>
      </c>
      <c r="I137" s="45">
        <f>IF($B137="",0,$E137*SUMIF(Plan!$M$5:$M$24,"#"&amp;$A137,Plan!G$5:G$24))</f>
        <v/>
      </c>
      <c r="J137" s="45">
        <f>IF($B137="",0,$E137*SUMIF(Plan!$M$5:$M$24,"#"&amp;$A137,Plan!H$5:H$24))</f>
        <v/>
      </c>
      <c r="K137" s="45">
        <f>IF($B137="",0,$E137*SUMIF(Plan!$M$5:$M$24,"#"&amp;$A137,Plan!I$5:I$24))</f>
        <v/>
      </c>
      <c r="L137" s="45">
        <f>IF($B137="",0,$E137*SUMIF(Plan!$M$5:$M$24,"#"&amp;$A137,Plan!J$5:J$24))</f>
        <v/>
      </c>
      <c r="M137" s="45">
        <f>IF($B137="",0,$E137*SUMIF(Plan!$M$5:$M$24,"#"&amp;$A137,Plan!K$5:K$24))</f>
        <v/>
      </c>
      <c r="N137" s="45">
        <f>IF($B137="",0,$E137*SUMIF(Plan!$M$5:$M$24,"#"&amp;$A137,Plan!L$5:L$24))</f>
        <v/>
      </c>
      <c r="O137" s="35">
        <f>IF(B137="","","#"&amp;B137)</f>
        <v/>
      </c>
      <c r="P137" s="35">
        <f>IF(A137="","","#"&amp;A137)</f>
        <v/>
      </c>
    </row>
    <row r="138">
      <c r="A138" s="32" t="n"/>
      <c r="B138" s="54" t="n"/>
      <c r="C138" s="48">
        <f>IFERROR(INDEX(Materiales!$B$4:$B$66,MATCH("#"&amp;$B138,Materiales!$L$4:$L$66,0)),"")</f>
        <v/>
      </c>
      <c r="D138" s="49">
        <f>IFERROR(INDEX(Materiales!$C$4:$C$66,MATCH("#"&amp;$B138,Materiales!$L$4:$L$66,0)),"")</f>
        <v/>
      </c>
      <c r="E138" s="107" t="n"/>
      <c r="F138" s="32" t="n"/>
      <c r="G138" s="45">
        <f>IF($B138="",0,$E138*SUMIF(Plan!$M$5:$M$24,"#"&amp;$A138,Plan!E$5:E$24))</f>
        <v/>
      </c>
      <c r="H138" s="45">
        <f>IF($B138="",0,$E138*SUMIF(Plan!$M$5:$M$24,"#"&amp;$A138,Plan!F$5:F$24))</f>
        <v/>
      </c>
      <c r="I138" s="45">
        <f>IF($B138="",0,$E138*SUMIF(Plan!$M$5:$M$24,"#"&amp;$A138,Plan!G$5:G$24))</f>
        <v/>
      </c>
      <c r="J138" s="45">
        <f>IF($B138="",0,$E138*SUMIF(Plan!$M$5:$M$24,"#"&amp;$A138,Plan!H$5:H$24))</f>
        <v/>
      </c>
      <c r="K138" s="45">
        <f>IF($B138="",0,$E138*SUMIF(Plan!$M$5:$M$24,"#"&amp;$A138,Plan!I$5:I$24))</f>
        <v/>
      </c>
      <c r="L138" s="45">
        <f>IF($B138="",0,$E138*SUMIF(Plan!$M$5:$M$24,"#"&amp;$A138,Plan!J$5:J$24))</f>
        <v/>
      </c>
      <c r="M138" s="45">
        <f>IF($B138="",0,$E138*SUMIF(Plan!$M$5:$M$24,"#"&amp;$A138,Plan!K$5:K$24))</f>
        <v/>
      </c>
      <c r="N138" s="45">
        <f>IF($B138="",0,$E138*SUMIF(Plan!$M$5:$M$24,"#"&amp;$A138,Plan!L$5:L$24))</f>
        <v/>
      </c>
      <c r="O138" s="35">
        <f>IF(B138="","","#"&amp;B138)</f>
        <v/>
      </c>
      <c r="P138" s="35">
        <f>IF(A138="","","#"&amp;A138)</f>
        <v/>
      </c>
    </row>
    <row r="139">
      <c r="A139" s="32" t="n"/>
      <c r="B139" s="54" t="n"/>
      <c r="C139" s="48">
        <f>IFERROR(INDEX(Materiales!$B$4:$B$66,MATCH("#"&amp;$B139,Materiales!$L$4:$L$66,0)),"")</f>
        <v/>
      </c>
      <c r="D139" s="49">
        <f>IFERROR(INDEX(Materiales!$C$4:$C$66,MATCH("#"&amp;$B139,Materiales!$L$4:$L$66,0)),"")</f>
        <v/>
      </c>
      <c r="E139" s="107" t="n"/>
      <c r="F139" s="32" t="n"/>
      <c r="G139" s="45">
        <f>IF($B139="",0,$E139*SUMIF(Plan!$M$5:$M$24,"#"&amp;$A139,Plan!E$5:E$24))</f>
        <v/>
      </c>
      <c r="H139" s="45">
        <f>IF($B139="",0,$E139*SUMIF(Plan!$M$5:$M$24,"#"&amp;$A139,Plan!F$5:F$24))</f>
        <v/>
      </c>
      <c r="I139" s="45">
        <f>IF($B139="",0,$E139*SUMIF(Plan!$M$5:$M$24,"#"&amp;$A139,Plan!G$5:G$24))</f>
        <v/>
      </c>
      <c r="J139" s="45">
        <f>IF($B139="",0,$E139*SUMIF(Plan!$M$5:$M$24,"#"&amp;$A139,Plan!H$5:H$24))</f>
        <v/>
      </c>
      <c r="K139" s="45">
        <f>IF($B139="",0,$E139*SUMIF(Plan!$M$5:$M$24,"#"&amp;$A139,Plan!I$5:I$24))</f>
        <v/>
      </c>
      <c r="L139" s="45">
        <f>IF($B139="",0,$E139*SUMIF(Plan!$M$5:$M$24,"#"&amp;$A139,Plan!J$5:J$24))</f>
        <v/>
      </c>
      <c r="M139" s="45">
        <f>IF($B139="",0,$E139*SUMIF(Plan!$M$5:$M$24,"#"&amp;$A139,Plan!K$5:K$24))</f>
        <v/>
      </c>
      <c r="N139" s="45">
        <f>IF($B139="",0,$E139*SUMIF(Plan!$M$5:$M$24,"#"&amp;$A139,Plan!L$5:L$24))</f>
        <v/>
      </c>
      <c r="O139" s="35">
        <f>IF(B139="","","#"&amp;B139)</f>
        <v/>
      </c>
      <c r="P139" s="35">
        <f>IF(A139="","","#"&amp;A139)</f>
        <v/>
      </c>
    </row>
    <row r="140">
      <c r="A140" s="32" t="n"/>
      <c r="B140" s="54" t="n"/>
      <c r="C140" s="48">
        <f>IFERROR(INDEX(Materiales!$B$4:$B$66,MATCH("#"&amp;$B140,Materiales!$L$4:$L$66,0)),"")</f>
        <v/>
      </c>
      <c r="D140" s="49">
        <f>IFERROR(INDEX(Materiales!$C$4:$C$66,MATCH("#"&amp;$B140,Materiales!$L$4:$L$66,0)),"")</f>
        <v/>
      </c>
      <c r="E140" s="107" t="n"/>
      <c r="F140" s="32" t="n"/>
      <c r="G140" s="45">
        <f>IF($B140="",0,$E140*SUMIF(Plan!$M$5:$M$24,"#"&amp;$A140,Plan!E$5:E$24))</f>
        <v/>
      </c>
      <c r="H140" s="45">
        <f>IF($B140="",0,$E140*SUMIF(Plan!$M$5:$M$24,"#"&amp;$A140,Plan!F$5:F$24))</f>
        <v/>
      </c>
      <c r="I140" s="45">
        <f>IF($B140="",0,$E140*SUMIF(Plan!$M$5:$M$24,"#"&amp;$A140,Plan!G$5:G$24))</f>
        <v/>
      </c>
      <c r="J140" s="45">
        <f>IF($B140="",0,$E140*SUMIF(Plan!$M$5:$M$24,"#"&amp;$A140,Plan!H$5:H$24))</f>
        <v/>
      </c>
      <c r="K140" s="45">
        <f>IF($B140="",0,$E140*SUMIF(Plan!$M$5:$M$24,"#"&amp;$A140,Plan!I$5:I$24))</f>
        <v/>
      </c>
      <c r="L140" s="45">
        <f>IF($B140="",0,$E140*SUMIF(Plan!$M$5:$M$24,"#"&amp;$A140,Plan!J$5:J$24))</f>
        <v/>
      </c>
      <c r="M140" s="45">
        <f>IF($B140="",0,$E140*SUMIF(Plan!$M$5:$M$24,"#"&amp;$A140,Plan!K$5:K$24))</f>
        <v/>
      </c>
      <c r="N140" s="45">
        <f>IF($B140="",0,$E140*SUMIF(Plan!$M$5:$M$24,"#"&amp;$A140,Plan!L$5:L$24))</f>
        <v/>
      </c>
      <c r="O140" s="35">
        <f>IF(B140="","","#"&amp;B140)</f>
        <v/>
      </c>
      <c r="P140" s="35">
        <f>IF(A140="","","#"&amp;A140)</f>
        <v/>
      </c>
    </row>
    <row r="141">
      <c r="A141" s="32" t="n"/>
      <c r="B141" s="54" t="n"/>
      <c r="C141" s="48">
        <f>IFERROR(INDEX(Materiales!$B$4:$B$66,MATCH("#"&amp;$B141,Materiales!$L$4:$L$66,0)),"")</f>
        <v/>
      </c>
      <c r="D141" s="49">
        <f>IFERROR(INDEX(Materiales!$C$4:$C$66,MATCH("#"&amp;$B141,Materiales!$L$4:$L$66,0)),"")</f>
        <v/>
      </c>
      <c r="E141" s="107" t="n"/>
      <c r="F141" s="32" t="n"/>
      <c r="G141" s="45">
        <f>IF($B141="",0,$E141*SUMIF(Plan!$M$5:$M$24,"#"&amp;$A141,Plan!E$5:E$24))</f>
        <v/>
      </c>
      <c r="H141" s="45">
        <f>IF($B141="",0,$E141*SUMIF(Plan!$M$5:$M$24,"#"&amp;$A141,Plan!F$5:F$24))</f>
        <v/>
      </c>
      <c r="I141" s="45">
        <f>IF($B141="",0,$E141*SUMIF(Plan!$M$5:$M$24,"#"&amp;$A141,Plan!G$5:G$24))</f>
        <v/>
      </c>
      <c r="J141" s="45">
        <f>IF($B141="",0,$E141*SUMIF(Plan!$M$5:$M$24,"#"&amp;$A141,Plan!H$5:H$24))</f>
        <v/>
      </c>
      <c r="K141" s="45">
        <f>IF($B141="",0,$E141*SUMIF(Plan!$M$5:$M$24,"#"&amp;$A141,Plan!I$5:I$24))</f>
        <v/>
      </c>
      <c r="L141" s="45">
        <f>IF($B141="",0,$E141*SUMIF(Plan!$M$5:$M$24,"#"&amp;$A141,Plan!J$5:J$24))</f>
        <v/>
      </c>
      <c r="M141" s="45">
        <f>IF($B141="",0,$E141*SUMIF(Plan!$M$5:$M$24,"#"&amp;$A141,Plan!K$5:K$24))</f>
        <v/>
      </c>
      <c r="N141" s="45">
        <f>IF($B141="",0,$E141*SUMIF(Plan!$M$5:$M$24,"#"&amp;$A141,Plan!L$5:L$24))</f>
        <v/>
      </c>
      <c r="O141" s="35">
        <f>IF(B141="","","#"&amp;B141)</f>
        <v/>
      </c>
      <c r="P141" s="35">
        <f>IF(A141="","","#"&amp;A141)</f>
        <v/>
      </c>
    </row>
    <row r="142">
      <c r="A142" s="32" t="n"/>
      <c r="B142" s="54" t="n"/>
      <c r="C142" s="48">
        <f>IFERROR(INDEX(Materiales!$B$4:$B$66,MATCH("#"&amp;$B142,Materiales!$L$4:$L$66,0)),"")</f>
        <v/>
      </c>
      <c r="D142" s="49">
        <f>IFERROR(INDEX(Materiales!$C$4:$C$66,MATCH("#"&amp;$B142,Materiales!$L$4:$L$66,0)),"")</f>
        <v/>
      </c>
      <c r="E142" s="107" t="n"/>
      <c r="F142" s="32" t="n"/>
      <c r="G142" s="45">
        <f>IF($B142="",0,$E142*SUMIF(Plan!$M$5:$M$24,"#"&amp;$A142,Plan!E$5:E$24))</f>
        <v/>
      </c>
      <c r="H142" s="45">
        <f>IF($B142="",0,$E142*SUMIF(Plan!$M$5:$M$24,"#"&amp;$A142,Plan!F$5:F$24))</f>
        <v/>
      </c>
      <c r="I142" s="45">
        <f>IF($B142="",0,$E142*SUMIF(Plan!$M$5:$M$24,"#"&amp;$A142,Plan!G$5:G$24))</f>
        <v/>
      </c>
      <c r="J142" s="45">
        <f>IF($B142="",0,$E142*SUMIF(Plan!$M$5:$M$24,"#"&amp;$A142,Plan!H$5:H$24))</f>
        <v/>
      </c>
      <c r="K142" s="45">
        <f>IF($B142="",0,$E142*SUMIF(Plan!$M$5:$M$24,"#"&amp;$A142,Plan!I$5:I$24))</f>
        <v/>
      </c>
      <c r="L142" s="45">
        <f>IF($B142="",0,$E142*SUMIF(Plan!$M$5:$M$24,"#"&amp;$A142,Plan!J$5:J$24))</f>
        <v/>
      </c>
      <c r="M142" s="45">
        <f>IF($B142="",0,$E142*SUMIF(Plan!$M$5:$M$24,"#"&amp;$A142,Plan!K$5:K$24))</f>
        <v/>
      </c>
      <c r="N142" s="45">
        <f>IF($B142="",0,$E142*SUMIF(Plan!$M$5:$M$24,"#"&amp;$A142,Plan!L$5:L$24))</f>
        <v/>
      </c>
      <c r="O142" s="35">
        <f>IF(B142="","","#"&amp;B142)</f>
        <v/>
      </c>
      <c r="P142" s="35">
        <f>IF(A142="","","#"&amp;A142)</f>
        <v/>
      </c>
    </row>
    <row r="143">
      <c r="A143" s="32" t="n"/>
      <c r="B143" s="54" t="n"/>
      <c r="C143" s="48">
        <f>IFERROR(INDEX(Materiales!$B$4:$B$66,MATCH("#"&amp;$B143,Materiales!$L$4:$L$66,0)),"")</f>
        <v/>
      </c>
      <c r="D143" s="49">
        <f>IFERROR(INDEX(Materiales!$C$4:$C$66,MATCH("#"&amp;$B143,Materiales!$L$4:$L$66,0)),"")</f>
        <v/>
      </c>
      <c r="E143" s="107" t="n"/>
      <c r="F143" s="32" t="n"/>
      <c r="G143" s="45">
        <f>IF($B143="",0,$E143*SUMIF(Plan!$M$5:$M$24,"#"&amp;$A143,Plan!E$5:E$24))</f>
        <v/>
      </c>
      <c r="H143" s="45">
        <f>IF($B143="",0,$E143*SUMIF(Plan!$M$5:$M$24,"#"&amp;$A143,Plan!F$5:F$24))</f>
        <v/>
      </c>
      <c r="I143" s="45">
        <f>IF($B143="",0,$E143*SUMIF(Plan!$M$5:$M$24,"#"&amp;$A143,Plan!G$5:G$24))</f>
        <v/>
      </c>
      <c r="J143" s="45">
        <f>IF($B143="",0,$E143*SUMIF(Plan!$M$5:$M$24,"#"&amp;$A143,Plan!H$5:H$24))</f>
        <v/>
      </c>
      <c r="K143" s="45">
        <f>IF($B143="",0,$E143*SUMIF(Plan!$M$5:$M$24,"#"&amp;$A143,Plan!I$5:I$24))</f>
        <v/>
      </c>
      <c r="L143" s="45">
        <f>IF($B143="",0,$E143*SUMIF(Plan!$M$5:$M$24,"#"&amp;$A143,Plan!J$5:J$24))</f>
        <v/>
      </c>
      <c r="M143" s="45">
        <f>IF($B143="",0,$E143*SUMIF(Plan!$M$5:$M$24,"#"&amp;$A143,Plan!K$5:K$24))</f>
        <v/>
      </c>
      <c r="N143" s="45">
        <f>IF($B143="",0,$E143*SUMIF(Plan!$M$5:$M$24,"#"&amp;$A143,Plan!L$5:L$24))</f>
        <v/>
      </c>
      <c r="O143" s="35">
        <f>IF(B143="","","#"&amp;B143)</f>
        <v/>
      </c>
      <c r="P143" s="35">
        <f>IF(A143="","","#"&amp;A143)</f>
        <v/>
      </c>
    </row>
  </sheetData>
  <mergeCells count="2">
    <mergeCell ref="A2:N2"/>
    <mergeCell ref="A1:N1"/>
  </mergeCells>
  <dataValidations count="2">
    <dataValidation sqref="B4:B143" showDropDown="0" showInputMessage="0" showErrorMessage="0" allowBlank="1" errorTitle="Valor no valido" error="Elige un valor de la lista." type="list">
      <formula1>Materiales!$A$4:$A$66</formula1>
    </dataValidation>
    <dataValidation sqref="A4:A143" showDropDown="0" showInputMessage="0" showErrorMessage="0" allowBlank="1" errorTitle="Valor no valido" error="Elige un valor de la lista." type="list">
      <formula1>Plan!$A$5:$A$24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F2CC"/>
    <outlinePr summaryBelow="1" summaryRight="1"/>
    <pageSetUpPr/>
  </sheetPr>
  <dimension ref="A1:M8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2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3" customWidth="1" min="13" max="13"/>
  </cols>
  <sheetData>
    <row r="1" ht="26" customHeight="1">
      <c r="A1" s="1" t="inlineStr">
        <is>
          <t>PASO 4 — Stock actual y ordenes ya emitidas</t>
        </is>
      </c>
    </row>
    <row r="2" ht="18" customHeight="1">
      <c r="A2" s="27" t="inlineStr">
        <is>
          <t>El stock viene del maestro de MukiCloud. Agrega en las columnas de semana las ordenes ya emitidas, en la semana en que llegaran. Puedes repetir un codigo en varios renglones.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28" t="inlineStr">
        <is>
          <t>02-02-10-0001</t>
        </is>
      </c>
      <c r="B5" s="48">
        <f>IFERROR(INDEX(Materiales!$B$4:$B$66,MATCH("#"&amp;$A5,Materiales!$L$4:$L$66,0)),"")</f>
        <v/>
      </c>
      <c r="C5" s="57" t="n">
        <v>2</v>
      </c>
      <c r="D5" s="32" t="n"/>
      <c r="E5" s="34" t="n"/>
      <c r="F5" s="34" t="n"/>
      <c r="G5" s="34" t="n"/>
      <c r="H5" s="34" t="n"/>
      <c r="I5" s="34" t="n"/>
      <c r="J5" s="34" t="n"/>
      <c r="K5" s="34" t="n"/>
      <c r="L5" s="34" t="n"/>
      <c r="M5" s="35">
        <f>IF(A5="","","#"&amp;A5)</f>
        <v/>
      </c>
    </row>
    <row r="6">
      <c r="A6" s="28" t="inlineStr">
        <is>
          <t>16-02-90-0001</t>
        </is>
      </c>
      <c r="B6" s="48">
        <f>IFERROR(INDEX(Materiales!$B$4:$B$66,MATCH("#"&amp;$A6,Materiales!$L$4:$L$66,0)),"")</f>
        <v/>
      </c>
      <c r="C6" s="57" t="n">
        <v>0</v>
      </c>
      <c r="D6" s="32" t="n"/>
      <c r="E6" s="34" t="n"/>
      <c r="F6" s="34" t="n"/>
      <c r="G6" s="34" t="n"/>
      <c r="H6" s="34" t="n"/>
      <c r="I6" s="34" t="n"/>
      <c r="J6" s="34" t="n"/>
      <c r="K6" s="34" t="n"/>
      <c r="L6" s="34" t="n"/>
      <c r="M6" s="35">
        <f>IF(A6="","","#"&amp;A6)</f>
        <v/>
      </c>
    </row>
    <row r="7">
      <c r="A7" s="28" t="inlineStr">
        <is>
          <t>11-01-05-0001</t>
        </is>
      </c>
      <c r="B7" s="48">
        <f>IFERROR(INDEX(Materiales!$B$4:$B$66,MATCH("#"&amp;$A7,Materiales!$L$4:$L$66,0)),"")</f>
        <v/>
      </c>
      <c r="C7" s="57" t="n">
        <v>1</v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28" t="inlineStr">
        <is>
          <t>10-02-90-0001</t>
        </is>
      </c>
      <c r="B8" s="48">
        <f>IFERROR(INDEX(Materiales!$B$4:$B$66,MATCH("#"&amp;$A8,Materiales!$L$4:$L$66,0)),"")</f>
        <v/>
      </c>
      <c r="C8" s="57" t="n">
        <v>0</v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28" t="inlineStr">
        <is>
          <t>08-02-01-0001</t>
        </is>
      </c>
      <c r="B9" s="48">
        <f>IFERROR(INDEX(Materiales!$B$4:$B$66,MATCH("#"&amp;$A9,Materiales!$L$4:$L$66,0)),"")</f>
        <v/>
      </c>
      <c r="C9" s="57" t="n">
        <v>270</v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28" t="inlineStr">
        <is>
          <t>08-02-01-0002</t>
        </is>
      </c>
      <c r="B10" s="48">
        <f>IFERROR(INDEX(Materiales!$B$4:$B$66,MATCH("#"&amp;$A10,Materiales!$L$4:$L$66,0)),"")</f>
        <v/>
      </c>
      <c r="C10" s="57" t="n">
        <v>162</v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28" t="inlineStr">
        <is>
          <t>08-02-01-0003</t>
        </is>
      </c>
      <c r="B11" s="48">
        <f>IFERROR(INDEX(Materiales!$B$4:$B$66,MATCH("#"&amp;$A11,Materiales!$L$4:$L$66,0)),"")</f>
        <v/>
      </c>
      <c r="C11" s="57" t="n">
        <v>119</v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28" t="inlineStr">
        <is>
          <t>07-02-01-0001</t>
        </is>
      </c>
      <c r="B12" s="48">
        <f>IFERROR(INDEX(Materiales!$B$4:$B$66,MATCH("#"&amp;$A12,Materiales!$L$4:$L$66,0)),"")</f>
        <v/>
      </c>
      <c r="C12" s="57" t="n">
        <v>49</v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28" t="inlineStr">
        <is>
          <t>01-02-10-0001</t>
        </is>
      </c>
      <c r="B13" s="48">
        <f>IFERROR(INDEX(Materiales!$B$4:$B$66,MATCH("#"&amp;$A13,Materiales!$L$4:$L$66,0)),"")</f>
        <v/>
      </c>
      <c r="C13" s="57" t="n">
        <v>24</v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28" t="inlineStr">
        <is>
          <t>01-02-10-0002</t>
        </is>
      </c>
      <c r="B14" s="48">
        <f>IFERROR(INDEX(Materiales!$B$4:$B$66,MATCH("#"&amp;$A14,Materiales!$L$4:$L$66,0)),"")</f>
        <v/>
      </c>
      <c r="C14" s="57" t="n">
        <v>15</v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28" t="inlineStr">
        <is>
          <t>01-02-10-0003</t>
        </is>
      </c>
      <c r="B15" s="48">
        <f>IFERROR(INDEX(Materiales!$B$4:$B$66,MATCH("#"&amp;$A15,Materiales!$L$4:$L$66,0)),"")</f>
        <v/>
      </c>
      <c r="C15" s="57" t="n">
        <v>8</v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28" t="inlineStr">
        <is>
          <t>01-02-30-0001</t>
        </is>
      </c>
      <c r="B16" s="48">
        <f>IFERROR(INDEX(Materiales!$B$4:$B$66,MATCH("#"&amp;$A16,Materiales!$L$4:$L$66,0)),"")</f>
        <v/>
      </c>
      <c r="C16" s="57" t="n">
        <v>4</v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28" t="inlineStr">
        <is>
          <t>01-02-30-0002</t>
        </is>
      </c>
      <c r="B17" s="48">
        <f>IFERROR(INDEX(Materiales!$B$4:$B$66,MATCH("#"&amp;$A17,Materiales!$L$4:$L$66,0)),"")</f>
        <v/>
      </c>
      <c r="C17" s="57" t="n">
        <v>7</v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28" t="inlineStr">
        <is>
          <t>01-02-30-0003</t>
        </is>
      </c>
      <c r="B18" s="48">
        <f>IFERROR(INDEX(Materiales!$B$4:$B$66,MATCH("#"&amp;$A18,Materiales!$L$4:$L$66,0)),"")</f>
        <v/>
      </c>
      <c r="C18" s="57" t="n">
        <v>3</v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28" t="inlineStr">
        <is>
          <t>01-02-30-0004</t>
        </is>
      </c>
      <c r="B19" s="48">
        <f>IFERROR(INDEX(Materiales!$B$4:$B$66,MATCH("#"&amp;$A19,Materiales!$L$4:$L$66,0)),"")</f>
        <v/>
      </c>
      <c r="C19" s="57" t="n">
        <v>3</v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28" t="inlineStr">
        <is>
          <t>01-02-30-0005</t>
        </is>
      </c>
      <c r="B20" s="48">
        <f>IFERROR(INDEX(Materiales!$B$4:$B$66,MATCH("#"&amp;$A20,Materiales!$L$4:$L$66,0)),"")</f>
        <v/>
      </c>
      <c r="C20" s="57" t="n">
        <v>9</v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28" t="inlineStr">
        <is>
          <t>01-02-20-0001</t>
        </is>
      </c>
      <c r="B21" s="48">
        <f>IFERROR(INDEX(Materiales!$B$4:$B$66,MATCH("#"&amp;$A21,Materiales!$L$4:$L$66,0)),"")</f>
        <v/>
      </c>
      <c r="C21" s="57" t="n">
        <v>151</v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28" t="inlineStr">
        <is>
          <t>01-02-20-0002</t>
        </is>
      </c>
      <c r="B22" s="48">
        <f>IFERROR(INDEX(Materiales!$B$4:$B$66,MATCH("#"&amp;$A22,Materiales!$L$4:$L$66,0)),"")</f>
        <v/>
      </c>
      <c r="C22" s="57" t="n">
        <v>110</v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28" t="inlineStr">
        <is>
          <t>10-02-90-0002</t>
        </is>
      </c>
      <c r="B23" s="48">
        <f>IFERROR(INDEX(Materiales!$B$4:$B$66,MATCH("#"&amp;$A23,Materiales!$L$4:$L$66,0)),"")</f>
        <v/>
      </c>
      <c r="C23" s="57" t="n">
        <v>0</v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28" t="inlineStr">
        <is>
          <t>10-02-90-0003</t>
        </is>
      </c>
      <c r="B24" s="48">
        <f>IFERROR(INDEX(Materiales!$B$4:$B$66,MATCH("#"&amp;$A24,Materiales!$L$4:$L$66,0)),"")</f>
        <v/>
      </c>
      <c r="C24" s="57" t="n">
        <v>800</v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  <row r="25">
      <c r="A25" s="28" t="inlineStr">
        <is>
          <t>40-01-90-0001</t>
        </is>
      </c>
      <c r="B25" s="48">
        <f>IFERROR(INDEX(Materiales!$B$4:$B$66,MATCH("#"&amp;$A25,Materiales!$L$4:$L$66,0)),"")</f>
        <v/>
      </c>
      <c r="C25" s="57" t="n">
        <v>0</v>
      </c>
      <c r="D25" s="32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5">
        <f>IF(A25="","","#"&amp;A25)</f>
        <v/>
      </c>
    </row>
    <row r="26">
      <c r="A26" s="28" t="inlineStr">
        <is>
          <t>01-03-90-0001</t>
        </is>
      </c>
      <c r="B26" s="48">
        <f>IFERROR(INDEX(Materiales!$B$4:$B$66,MATCH("#"&amp;$A26,Materiales!$L$4:$L$66,0)),"")</f>
        <v/>
      </c>
      <c r="C26" s="57" t="n">
        <v>2350</v>
      </c>
      <c r="D26" s="32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5">
        <f>IF(A26="","","#"&amp;A26)</f>
        <v/>
      </c>
    </row>
    <row r="27">
      <c r="A27" s="28" t="inlineStr">
        <is>
          <t>08-06-90-0001</t>
        </is>
      </c>
      <c r="B27" s="48">
        <f>IFERROR(INDEX(Materiales!$B$4:$B$66,MATCH("#"&amp;$A27,Materiales!$L$4:$L$66,0)),"")</f>
        <v/>
      </c>
      <c r="C27" s="57" t="n">
        <v>120</v>
      </c>
      <c r="D27" s="32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5">
        <f>IF(A27="","","#"&amp;A27)</f>
        <v/>
      </c>
    </row>
    <row r="28">
      <c r="A28" s="28" t="inlineStr">
        <is>
          <t>10-02-09-0001</t>
        </is>
      </c>
      <c r="B28" s="48">
        <f>IFERROR(INDEX(Materiales!$B$4:$B$66,MATCH("#"&amp;$A28,Materiales!$L$4:$L$66,0)),"")</f>
        <v/>
      </c>
      <c r="C28" s="57" t="n">
        <v>2</v>
      </c>
      <c r="D28" s="32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5">
        <f>IF(A28="","","#"&amp;A28)</f>
        <v/>
      </c>
    </row>
    <row r="29">
      <c r="A29" s="28" t="inlineStr">
        <is>
          <t>10-02-09-0002</t>
        </is>
      </c>
      <c r="B29" s="48">
        <f>IFERROR(INDEX(Materiales!$B$4:$B$66,MATCH("#"&amp;$A29,Materiales!$L$4:$L$66,0)),"")</f>
        <v/>
      </c>
      <c r="C29" s="57" t="n">
        <v>1</v>
      </c>
      <c r="D29" s="32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5">
        <f>IF(A29="","","#"&amp;A29)</f>
        <v/>
      </c>
    </row>
    <row r="30">
      <c r="A30" s="28" t="inlineStr">
        <is>
          <t>10-02-90-0004</t>
        </is>
      </c>
      <c r="B30" s="48">
        <f>IFERROR(INDEX(Materiales!$B$4:$B$66,MATCH("#"&amp;$A30,Materiales!$L$4:$L$66,0)),"")</f>
        <v/>
      </c>
      <c r="C30" s="57" t="n">
        <v>3</v>
      </c>
      <c r="D30" s="32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5">
        <f>IF(A30="","","#"&amp;A30)</f>
        <v/>
      </c>
    </row>
    <row r="31">
      <c r="A31" s="28" t="inlineStr">
        <is>
          <t>10-02-90-0005</t>
        </is>
      </c>
      <c r="B31" s="48">
        <f>IFERROR(INDEX(Materiales!$B$4:$B$66,MATCH("#"&amp;$A31,Materiales!$L$4:$L$66,0)),"")</f>
        <v/>
      </c>
      <c r="C31" s="57" t="n">
        <v>3</v>
      </c>
      <c r="D31" s="32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5">
        <f>IF(A31="","","#"&amp;A31)</f>
        <v/>
      </c>
    </row>
    <row r="32">
      <c r="A32" s="28" t="inlineStr">
        <is>
          <t>07-01-90-0001</t>
        </is>
      </c>
      <c r="B32" s="48">
        <f>IFERROR(INDEX(Materiales!$B$4:$B$66,MATCH("#"&amp;$A32,Materiales!$L$4:$L$66,0)),"")</f>
        <v/>
      </c>
      <c r="C32" s="57" t="n">
        <v>0</v>
      </c>
      <c r="D32" s="32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5">
        <f>IF(A32="","","#"&amp;A32)</f>
        <v/>
      </c>
    </row>
    <row r="33">
      <c r="A33" s="28" t="inlineStr">
        <is>
          <t>08-02-01-0004</t>
        </is>
      </c>
      <c r="B33" s="48">
        <f>IFERROR(INDEX(Materiales!$B$4:$B$66,MATCH("#"&amp;$A33,Materiales!$L$4:$L$66,0)),"")</f>
        <v/>
      </c>
      <c r="C33" s="57" t="n">
        <v>12</v>
      </c>
      <c r="D33" s="32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5">
        <f>IF(A33="","","#"&amp;A33)</f>
        <v/>
      </c>
    </row>
    <row r="34">
      <c r="A34" s="28" t="inlineStr">
        <is>
          <t>08-02-01-0005</t>
        </is>
      </c>
      <c r="B34" s="48">
        <f>IFERROR(INDEX(Materiales!$B$4:$B$66,MATCH("#"&amp;$A34,Materiales!$L$4:$L$66,0)),"")</f>
        <v/>
      </c>
      <c r="C34" s="57" t="n">
        <v>0</v>
      </c>
      <c r="D34" s="32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5">
        <f>IF(A34="","","#"&amp;A34)</f>
        <v/>
      </c>
    </row>
    <row r="35">
      <c r="A35" s="28" t="inlineStr">
        <is>
          <t>08-90-90-0001</t>
        </is>
      </c>
      <c r="B35" s="48">
        <f>IFERROR(INDEX(Materiales!$B$4:$B$66,MATCH("#"&amp;$A35,Materiales!$L$4:$L$66,0)),"")</f>
        <v/>
      </c>
      <c r="C35" s="57" t="n">
        <v>64</v>
      </c>
      <c r="D35" s="32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5">
        <f>IF(A35="","","#"&amp;A35)</f>
        <v/>
      </c>
    </row>
    <row r="36">
      <c r="A36" s="28" t="inlineStr">
        <is>
          <t>07-01-04-0001</t>
        </is>
      </c>
      <c r="B36" s="48">
        <f>IFERROR(INDEX(Materiales!$B$4:$B$66,MATCH("#"&amp;$A36,Materiales!$L$4:$L$66,0)),"")</f>
        <v/>
      </c>
      <c r="C36" s="57" t="n">
        <v>0</v>
      </c>
      <c r="D36" s="32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5">
        <f>IF(A36="","","#"&amp;A36)</f>
        <v/>
      </c>
    </row>
    <row r="37">
      <c r="A37" s="28" t="inlineStr">
        <is>
          <t>10-02-90-0006</t>
        </is>
      </c>
      <c r="B37" s="48">
        <f>IFERROR(INDEX(Materiales!$B$4:$B$66,MATCH("#"&amp;$A37,Materiales!$L$4:$L$66,0)),"")</f>
        <v/>
      </c>
      <c r="C37" s="57" t="n">
        <v>9</v>
      </c>
      <c r="D37" s="32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5">
        <f>IF(A37="","","#"&amp;A37)</f>
        <v/>
      </c>
    </row>
    <row r="38">
      <c r="A38" s="28" t="inlineStr">
        <is>
          <t>19-01-02-0001</t>
        </is>
      </c>
      <c r="B38" s="48">
        <f>IFERROR(INDEX(Materiales!$B$4:$B$66,MATCH("#"&amp;$A38,Materiales!$L$4:$L$66,0)),"")</f>
        <v/>
      </c>
      <c r="C38" s="57" t="n">
        <v>30</v>
      </c>
      <c r="D38" s="32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5">
        <f>IF(A38="","","#"&amp;A38)</f>
        <v/>
      </c>
    </row>
    <row r="39">
      <c r="A39" s="28" t="inlineStr">
        <is>
          <t>19-01-02-0002</t>
        </is>
      </c>
      <c r="B39" s="48">
        <f>IFERROR(INDEX(Materiales!$B$4:$B$66,MATCH("#"&amp;$A39,Materiales!$L$4:$L$66,0)),"")</f>
        <v/>
      </c>
      <c r="C39" s="57" t="n">
        <v>200</v>
      </c>
      <c r="D39" s="32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5">
        <f>IF(A39="","","#"&amp;A39)</f>
        <v/>
      </c>
    </row>
    <row r="40">
      <c r="A40" s="28" t="inlineStr">
        <is>
          <t>19-01-02-0003</t>
        </is>
      </c>
      <c r="B40" s="48">
        <f>IFERROR(INDEX(Materiales!$B$4:$B$66,MATCH("#"&amp;$A40,Materiales!$L$4:$L$66,0)),"")</f>
        <v/>
      </c>
      <c r="C40" s="57" t="n">
        <v>140</v>
      </c>
      <c r="D40" s="32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5">
        <f>IF(A40="","","#"&amp;A40)</f>
        <v/>
      </c>
    </row>
    <row r="41">
      <c r="A41" s="28" t="inlineStr">
        <is>
          <t>03-02-90-0001</t>
        </is>
      </c>
      <c r="B41" s="48">
        <f>IFERROR(INDEX(Materiales!$B$4:$B$66,MATCH("#"&amp;$A41,Materiales!$L$4:$L$66,0)),"")</f>
        <v/>
      </c>
      <c r="C41" s="57" t="n">
        <v>2</v>
      </c>
      <c r="D41" s="32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5">
        <f>IF(A41="","","#"&amp;A41)</f>
        <v/>
      </c>
    </row>
    <row r="42">
      <c r="A42" s="28" t="inlineStr">
        <is>
          <t>03-02-90-0002</t>
        </is>
      </c>
      <c r="B42" s="48">
        <f>IFERROR(INDEX(Materiales!$B$4:$B$66,MATCH("#"&amp;$A42,Materiales!$L$4:$L$66,0)),"")</f>
        <v/>
      </c>
      <c r="C42" s="57" t="n">
        <v>2</v>
      </c>
      <c r="D42" s="32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5">
        <f>IF(A42="","","#"&amp;A42)</f>
        <v/>
      </c>
    </row>
    <row r="43">
      <c r="A43" s="28" t="inlineStr">
        <is>
          <t>11-01-05-0002</t>
        </is>
      </c>
      <c r="B43" s="48">
        <f>IFERROR(INDEX(Materiales!$B$4:$B$66,MATCH("#"&amp;$A43,Materiales!$L$4:$L$66,0)),"")</f>
        <v/>
      </c>
      <c r="C43" s="57" t="n">
        <v>144</v>
      </c>
      <c r="D43" s="32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5">
        <f>IF(A43="","","#"&amp;A43)</f>
        <v/>
      </c>
    </row>
    <row r="44">
      <c r="A44" s="28" t="inlineStr">
        <is>
          <t>11-01-05-0003</t>
        </is>
      </c>
      <c r="B44" s="48">
        <f>IFERROR(INDEX(Materiales!$B$4:$B$66,MATCH("#"&amp;$A44,Materiales!$L$4:$L$66,0)),"")</f>
        <v/>
      </c>
      <c r="C44" s="57" t="n">
        <v>278</v>
      </c>
      <c r="D44" s="32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5">
        <f>IF(A44="","","#"&amp;A44)</f>
        <v/>
      </c>
    </row>
    <row r="45">
      <c r="A45" s="28" t="inlineStr">
        <is>
          <t>11-01-05-0004</t>
        </is>
      </c>
      <c r="B45" s="48">
        <f>IFERROR(INDEX(Materiales!$B$4:$B$66,MATCH("#"&amp;$A45,Materiales!$L$4:$L$66,0)),"")</f>
        <v/>
      </c>
      <c r="C45" s="57" t="n">
        <v>150</v>
      </c>
      <c r="D45" s="32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5">
        <f>IF(A45="","","#"&amp;A45)</f>
        <v/>
      </c>
    </row>
    <row r="46">
      <c r="A46" s="28" t="inlineStr">
        <is>
          <t>10-02-05-0001</t>
        </is>
      </c>
      <c r="B46" s="48">
        <f>IFERROR(INDEX(Materiales!$B$4:$B$66,MATCH("#"&amp;$A46,Materiales!$L$4:$L$66,0)),"")</f>
        <v/>
      </c>
      <c r="C46" s="57" t="n">
        <v>19</v>
      </c>
      <c r="D46" s="32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5">
        <f>IF(A46="","","#"&amp;A46)</f>
        <v/>
      </c>
    </row>
    <row r="47">
      <c r="A47" s="28" t="inlineStr">
        <is>
          <t>16-04-05-0001</t>
        </is>
      </c>
      <c r="B47" s="48">
        <f>IFERROR(INDEX(Materiales!$B$4:$B$66,MATCH("#"&amp;$A47,Materiales!$L$4:$L$66,0)),"")</f>
        <v/>
      </c>
      <c r="C47" s="57" t="n">
        <v>2</v>
      </c>
      <c r="D47" s="32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5">
        <f>IF(A47="","","#"&amp;A47)</f>
        <v/>
      </c>
    </row>
    <row r="48">
      <c r="A48" s="28" t="inlineStr">
        <is>
          <t>16-04-05-0002</t>
        </is>
      </c>
      <c r="B48" s="48">
        <f>IFERROR(INDEX(Materiales!$B$4:$B$66,MATCH("#"&amp;$A48,Materiales!$L$4:$L$66,0)),"")</f>
        <v/>
      </c>
      <c r="C48" s="57" t="n">
        <v>3</v>
      </c>
      <c r="D48" s="32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5">
        <f>IF(A48="","","#"&amp;A48)</f>
        <v/>
      </c>
    </row>
    <row r="49">
      <c r="A49" s="28" t="inlineStr">
        <is>
          <t>01-03-90-0002</t>
        </is>
      </c>
      <c r="B49" s="48">
        <f>IFERROR(INDEX(Materiales!$B$4:$B$66,MATCH("#"&amp;$A49,Materiales!$L$4:$L$66,0)),"")</f>
        <v/>
      </c>
      <c r="C49" s="57" t="n">
        <v>1950</v>
      </c>
      <c r="D49" s="32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5">
        <f>IF(A49="","","#"&amp;A49)</f>
        <v/>
      </c>
    </row>
    <row r="50">
      <c r="A50" s="28" t="inlineStr">
        <is>
          <t>29-01-90-0001</t>
        </is>
      </c>
      <c r="B50" s="48">
        <f>IFERROR(INDEX(Materiales!$B$4:$B$66,MATCH("#"&amp;$A50,Materiales!$L$4:$L$66,0)),"")</f>
        <v/>
      </c>
      <c r="C50" s="57" t="n">
        <v>0</v>
      </c>
      <c r="D50" s="32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5">
        <f>IF(A50="","","#"&amp;A50)</f>
        <v/>
      </c>
    </row>
    <row r="51">
      <c r="A51" s="28" t="inlineStr">
        <is>
          <t>11-01-05-0005</t>
        </is>
      </c>
      <c r="B51" s="48">
        <f>IFERROR(INDEX(Materiales!$B$4:$B$66,MATCH("#"&amp;$A51,Materiales!$L$4:$L$66,0)),"")</f>
        <v/>
      </c>
      <c r="C51" s="57" t="n">
        <v>19</v>
      </c>
      <c r="D51" s="32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5">
        <f>IF(A51="","","#"&amp;A51)</f>
        <v/>
      </c>
    </row>
    <row r="52">
      <c r="A52" s="28" t="inlineStr">
        <is>
          <t>07-01-90-0002</t>
        </is>
      </c>
      <c r="B52" s="48">
        <f>IFERROR(INDEX(Materiales!$B$4:$B$66,MATCH("#"&amp;$A52,Materiales!$L$4:$L$66,0)),"")</f>
        <v/>
      </c>
      <c r="C52" s="57" t="n">
        <v>0</v>
      </c>
      <c r="D52" s="32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5">
        <f>IF(A52="","","#"&amp;A52)</f>
        <v/>
      </c>
    </row>
    <row r="53">
      <c r="A53" s="28" t="inlineStr">
        <is>
          <t>16-03-05-0001</t>
        </is>
      </c>
      <c r="B53" s="48">
        <f>IFERROR(INDEX(Materiales!$B$4:$B$66,MATCH("#"&amp;$A53,Materiales!$L$4:$L$66,0)),"")</f>
        <v/>
      </c>
      <c r="C53" s="57" t="n">
        <v>4</v>
      </c>
      <c r="D53" s="32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5">
        <f>IF(A53="","","#"&amp;A53)</f>
        <v/>
      </c>
    </row>
    <row r="54">
      <c r="A54" s="28" t="inlineStr">
        <is>
          <t>16-03-05-0002</t>
        </is>
      </c>
      <c r="B54" s="48">
        <f>IFERROR(INDEX(Materiales!$B$4:$B$66,MATCH("#"&amp;$A54,Materiales!$L$4:$L$66,0)),"")</f>
        <v/>
      </c>
      <c r="C54" s="57" t="n">
        <v>4</v>
      </c>
      <c r="D54" s="32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5">
        <f>IF(A54="","","#"&amp;A54)</f>
        <v/>
      </c>
    </row>
    <row r="55">
      <c r="A55" s="28" t="inlineStr">
        <is>
          <t>16-01-04-0001</t>
        </is>
      </c>
      <c r="B55" s="48">
        <f>IFERROR(INDEX(Materiales!$B$4:$B$66,MATCH("#"&amp;$A55,Materiales!$L$4:$L$66,0)),"")</f>
        <v/>
      </c>
      <c r="C55" s="57" t="n">
        <v>100</v>
      </c>
      <c r="D55" s="32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5">
        <f>IF(A55="","","#"&amp;A55)</f>
        <v/>
      </c>
    </row>
    <row r="56">
      <c r="A56" s="28" t="inlineStr">
        <is>
          <t>16-01-04-0002</t>
        </is>
      </c>
      <c r="B56" s="48">
        <f>IFERROR(INDEX(Materiales!$B$4:$B$66,MATCH("#"&amp;$A56,Materiales!$L$4:$L$66,0)),"")</f>
        <v/>
      </c>
      <c r="C56" s="57" t="n">
        <v>200</v>
      </c>
      <c r="D56" s="32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5">
        <f>IF(A56="","","#"&amp;A56)</f>
        <v/>
      </c>
    </row>
    <row r="57">
      <c r="A57" s="28" t="inlineStr">
        <is>
          <t>16-01-04-0003</t>
        </is>
      </c>
      <c r="B57" s="48">
        <f>IFERROR(INDEX(Materiales!$B$4:$B$66,MATCH("#"&amp;$A57,Materiales!$L$4:$L$66,0)),"")</f>
        <v/>
      </c>
      <c r="C57" s="57" t="n">
        <v>100</v>
      </c>
      <c r="D57" s="32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5">
        <f>IF(A57="","","#"&amp;A57)</f>
        <v/>
      </c>
    </row>
    <row r="58">
      <c r="A58" s="28" t="inlineStr">
        <is>
          <t>16-01-04-0004</t>
        </is>
      </c>
      <c r="B58" s="48">
        <f>IFERROR(INDEX(Materiales!$B$4:$B$66,MATCH("#"&amp;$A58,Materiales!$L$4:$L$66,0)),"")</f>
        <v/>
      </c>
      <c r="C58" s="57" t="n">
        <v>100</v>
      </c>
      <c r="D58" s="32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5">
        <f>IF(A58="","","#"&amp;A58)</f>
        <v/>
      </c>
    </row>
    <row r="59">
      <c r="A59" s="28" t="inlineStr">
        <is>
          <t>16-01-04-0005</t>
        </is>
      </c>
      <c r="B59" s="48">
        <f>IFERROR(INDEX(Materiales!$B$4:$B$66,MATCH("#"&amp;$A59,Materiales!$L$4:$L$66,0)),"")</f>
        <v/>
      </c>
      <c r="C59" s="57" t="n">
        <v>0</v>
      </c>
      <c r="D59" s="32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5">
        <f>IF(A59="","","#"&amp;A59)</f>
        <v/>
      </c>
    </row>
    <row r="60">
      <c r="A60" s="28" t="inlineStr">
        <is>
          <t>16-03-05-0003</t>
        </is>
      </c>
      <c r="B60" s="48">
        <f>IFERROR(INDEX(Materiales!$B$4:$B$66,MATCH("#"&amp;$A60,Materiales!$L$4:$L$66,0)),"")</f>
        <v/>
      </c>
      <c r="C60" s="57" t="n">
        <v>0</v>
      </c>
      <c r="D60" s="32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5">
        <f>IF(A60="","","#"&amp;A60)</f>
        <v/>
      </c>
    </row>
    <row r="61">
      <c r="A61" s="28" t="inlineStr">
        <is>
          <t>16-03-05-0004</t>
        </is>
      </c>
      <c r="B61" s="48">
        <f>IFERROR(INDEX(Materiales!$B$4:$B$66,MATCH("#"&amp;$A61,Materiales!$L$4:$L$66,0)),"")</f>
        <v/>
      </c>
      <c r="C61" s="57" t="n">
        <v>0</v>
      </c>
      <c r="D61" s="32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5">
        <f>IF(A61="","","#"&amp;A61)</f>
        <v/>
      </c>
    </row>
    <row r="62">
      <c r="A62" s="28" t="inlineStr">
        <is>
          <t>16-06-01-0001</t>
        </is>
      </c>
      <c r="B62" s="48">
        <f>IFERROR(INDEX(Materiales!$B$4:$B$66,MATCH("#"&amp;$A62,Materiales!$L$4:$L$66,0)),"")</f>
        <v/>
      </c>
      <c r="C62" s="57" t="n">
        <v>2</v>
      </c>
      <c r="D62" s="32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5">
        <f>IF(A62="","","#"&amp;A62)</f>
        <v/>
      </c>
    </row>
    <row r="63">
      <c r="A63" s="28" t="inlineStr">
        <is>
          <t>16-06-01-0002</t>
        </is>
      </c>
      <c r="B63" s="48">
        <f>IFERROR(INDEX(Materiales!$B$4:$B$66,MATCH("#"&amp;$A63,Materiales!$L$4:$L$66,0)),"")</f>
        <v/>
      </c>
      <c r="C63" s="57" t="n">
        <v>6</v>
      </c>
      <c r="D63" s="32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5">
        <f>IF(A63="","","#"&amp;A63)</f>
        <v/>
      </c>
    </row>
    <row r="64">
      <c r="A64" s="28" t="inlineStr">
        <is>
          <t>16-06-01-0003</t>
        </is>
      </c>
      <c r="B64" s="48">
        <f>IFERROR(INDEX(Materiales!$B$4:$B$66,MATCH("#"&amp;$A64,Materiales!$L$4:$L$66,0)),"")</f>
        <v/>
      </c>
      <c r="C64" s="57" t="n">
        <v>3</v>
      </c>
      <c r="D64" s="32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5">
        <f>IF(A64="","","#"&amp;A64)</f>
        <v/>
      </c>
    </row>
    <row r="65">
      <c r="A65" s="28" t="inlineStr">
        <is>
          <t>16-01-04-0006</t>
        </is>
      </c>
      <c r="B65" s="48">
        <f>IFERROR(INDEX(Materiales!$B$4:$B$66,MATCH("#"&amp;$A65,Materiales!$L$4:$L$66,0)),"")</f>
        <v/>
      </c>
      <c r="C65" s="57" t="n">
        <v>100</v>
      </c>
      <c r="D65" s="32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5">
        <f>IF(A65="","","#"&amp;A65)</f>
        <v/>
      </c>
    </row>
    <row r="66">
      <c r="A66" s="28" t="inlineStr">
        <is>
          <t>08-02-01-0006</t>
        </is>
      </c>
      <c r="B66" s="48">
        <f>IFERROR(INDEX(Materiales!$B$4:$B$66,MATCH("#"&amp;$A66,Materiales!$L$4:$L$66,0)),"")</f>
        <v/>
      </c>
      <c r="C66" s="57" t="n">
        <v>3</v>
      </c>
      <c r="D66" s="32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5">
        <f>IF(A66="","","#"&amp;A66)</f>
        <v/>
      </c>
    </row>
    <row r="67">
      <c r="A67" s="28" t="inlineStr">
        <is>
          <t>08-02-01-0007</t>
        </is>
      </c>
      <c r="B67" s="48">
        <f>IFERROR(INDEX(Materiales!$B$4:$B$66,MATCH("#"&amp;$A67,Materiales!$L$4:$L$66,0)),"")</f>
        <v/>
      </c>
      <c r="C67" s="57" t="n">
        <v>3</v>
      </c>
      <c r="D67" s="32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5">
        <f>IF(A67="","","#"&amp;A67)</f>
        <v/>
      </c>
    </row>
    <row r="68">
      <c r="A68" s="54" t="n"/>
      <c r="B68" s="48">
        <f>IFERROR(INDEX(Materiales!$B$4:$B$66,MATCH("#"&amp;$A68,Materiales!$L$4:$L$66,0)),"")</f>
        <v/>
      </c>
      <c r="C68" s="34" t="n"/>
      <c r="D68" s="32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5">
        <f>IF(A68="","","#"&amp;A68)</f>
        <v/>
      </c>
    </row>
    <row r="69">
      <c r="A69" s="54" t="n"/>
      <c r="B69" s="48">
        <f>IFERROR(INDEX(Materiales!$B$4:$B$66,MATCH("#"&amp;$A69,Materiales!$L$4:$L$66,0)),"")</f>
        <v/>
      </c>
      <c r="C69" s="34" t="n"/>
      <c r="D69" s="32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5">
        <f>IF(A69="","","#"&amp;A69)</f>
        <v/>
      </c>
    </row>
    <row r="70">
      <c r="A70" s="54" t="n"/>
      <c r="B70" s="48">
        <f>IFERROR(INDEX(Materiales!$B$4:$B$66,MATCH("#"&amp;$A70,Materiales!$L$4:$L$66,0)),"")</f>
        <v/>
      </c>
      <c r="C70" s="34" t="n"/>
      <c r="D70" s="32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5">
        <f>IF(A70="","","#"&amp;A70)</f>
        <v/>
      </c>
    </row>
    <row r="71">
      <c r="A71" s="54" t="n"/>
      <c r="B71" s="48">
        <f>IFERROR(INDEX(Materiales!$B$4:$B$66,MATCH("#"&amp;$A71,Materiales!$L$4:$L$66,0)),"")</f>
        <v/>
      </c>
      <c r="C71" s="34" t="n"/>
      <c r="D71" s="32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5">
        <f>IF(A71="","","#"&amp;A71)</f>
        <v/>
      </c>
    </row>
    <row r="72">
      <c r="A72" s="54" t="n"/>
      <c r="B72" s="48">
        <f>IFERROR(INDEX(Materiales!$B$4:$B$66,MATCH("#"&amp;$A72,Materiales!$L$4:$L$66,0)),"")</f>
        <v/>
      </c>
      <c r="C72" s="34" t="n"/>
      <c r="D72" s="32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5">
        <f>IF(A72="","","#"&amp;A72)</f>
        <v/>
      </c>
    </row>
    <row r="73">
      <c r="A73" s="54" t="n"/>
      <c r="B73" s="48">
        <f>IFERROR(INDEX(Materiales!$B$4:$B$66,MATCH("#"&amp;$A73,Materiales!$L$4:$L$66,0)),"")</f>
        <v/>
      </c>
      <c r="C73" s="34" t="n"/>
      <c r="D73" s="32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5">
        <f>IF(A73="","","#"&amp;A73)</f>
        <v/>
      </c>
    </row>
    <row r="74">
      <c r="A74" s="54" t="n"/>
      <c r="B74" s="48">
        <f>IFERROR(INDEX(Materiales!$B$4:$B$66,MATCH("#"&amp;$A74,Materiales!$L$4:$L$66,0)),"")</f>
        <v/>
      </c>
      <c r="C74" s="34" t="n"/>
      <c r="D74" s="32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5">
        <f>IF(A74="","","#"&amp;A74)</f>
        <v/>
      </c>
    </row>
    <row r="75">
      <c r="A75" s="54" t="n"/>
      <c r="B75" s="48">
        <f>IFERROR(INDEX(Materiales!$B$4:$B$66,MATCH("#"&amp;$A75,Materiales!$L$4:$L$66,0)),"")</f>
        <v/>
      </c>
      <c r="C75" s="34" t="n"/>
      <c r="D75" s="32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5">
        <f>IF(A75="","","#"&amp;A75)</f>
        <v/>
      </c>
    </row>
    <row r="76">
      <c r="A76" s="54" t="n"/>
      <c r="B76" s="48">
        <f>IFERROR(INDEX(Materiales!$B$4:$B$66,MATCH("#"&amp;$A76,Materiales!$L$4:$L$66,0)),"")</f>
        <v/>
      </c>
      <c r="C76" s="34" t="n"/>
      <c r="D76" s="32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5">
        <f>IF(A76="","","#"&amp;A76)</f>
        <v/>
      </c>
    </row>
    <row r="77">
      <c r="A77" s="54" t="n"/>
      <c r="B77" s="48">
        <f>IFERROR(INDEX(Materiales!$B$4:$B$66,MATCH("#"&amp;$A77,Materiales!$L$4:$L$66,0)),"")</f>
        <v/>
      </c>
      <c r="C77" s="34" t="n"/>
      <c r="D77" s="32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5">
        <f>IF(A77="","","#"&amp;A77)</f>
        <v/>
      </c>
    </row>
    <row r="78">
      <c r="A78" s="54" t="n"/>
      <c r="B78" s="48">
        <f>IFERROR(INDEX(Materiales!$B$4:$B$66,MATCH("#"&amp;$A78,Materiales!$L$4:$L$66,0)),"")</f>
        <v/>
      </c>
      <c r="C78" s="34" t="n"/>
      <c r="D78" s="32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5">
        <f>IF(A78="","","#"&amp;A78)</f>
        <v/>
      </c>
    </row>
    <row r="79">
      <c r="A79" s="54" t="n"/>
      <c r="B79" s="48">
        <f>IFERROR(INDEX(Materiales!$B$4:$B$66,MATCH("#"&amp;$A79,Materiales!$L$4:$L$66,0)),"")</f>
        <v/>
      </c>
      <c r="C79" s="34" t="n"/>
      <c r="D79" s="32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5">
        <f>IF(A79="","","#"&amp;A79)</f>
        <v/>
      </c>
    </row>
    <row r="80">
      <c r="A80" s="54" t="n"/>
      <c r="B80" s="48">
        <f>IFERROR(INDEX(Materiales!$B$4:$B$66,MATCH("#"&amp;$A80,Materiales!$L$4:$L$66,0)),"")</f>
        <v/>
      </c>
      <c r="C80" s="34" t="n"/>
      <c r="D80" s="32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5">
        <f>IF(A80="","","#"&amp;A80)</f>
        <v/>
      </c>
    </row>
    <row r="81">
      <c r="A81" s="54" t="n"/>
      <c r="B81" s="48">
        <f>IFERROR(INDEX(Materiales!$B$4:$B$66,MATCH("#"&amp;$A81,Materiales!$L$4:$L$66,0)),"")</f>
        <v/>
      </c>
      <c r="C81" s="34" t="n"/>
      <c r="D81" s="32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5">
        <f>IF(A81="","","#"&amp;A81)</f>
        <v/>
      </c>
    </row>
    <row r="82">
      <c r="A82" s="54" t="n"/>
      <c r="B82" s="48">
        <f>IFERROR(INDEX(Materiales!$B$4:$B$66,MATCH("#"&amp;$A82,Materiales!$L$4:$L$66,0)),"")</f>
        <v/>
      </c>
      <c r="C82" s="34" t="n"/>
      <c r="D82" s="32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5">
        <f>IF(A82="","","#"&amp;A82)</f>
        <v/>
      </c>
    </row>
    <row r="83">
      <c r="A83" s="54" t="n"/>
      <c r="B83" s="48">
        <f>IFERROR(INDEX(Materiales!$B$4:$B$66,MATCH("#"&amp;$A83,Materiales!$L$4:$L$66,0)),"")</f>
        <v/>
      </c>
      <c r="C83" s="34" t="n"/>
      <c r="D83" s="32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5">
        <f>IF(A83="","","#"&amp;A83)</f>
        <v/>
      </c>
    </row>
    <row r="84">
      <c r="A84" s="54" t="n"/>
      <c r="B84" s="48">
        <f>IFERROR(INDEX(Materiales!$B$4:$B$66,MATCH("#"&amp;$A84,Materiales!$L$4:$L$66,0)),"")</f>
        <v/>
      </c>
      <c r="C84" s="34" t="n"/>
      <c r="D84" s="32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5">
        <f>IF(A84="","","#"&amp;A84)</f>
        <v/>
      </c>
    </row>
    <row r="85">
      <c r="A85" s="54" t="n"/>
      <c r="B85" s="48">
        <f>IFERROR(INDEX(Materiales!$B$4:$B$66,MATCH("#"&amp;$A85,Materiales!$L$4:$L$66,0)),"")</f>
        <v/>
      </c>
      <c r="C85" s="34" t="n"/>
      <c r="D85" s="32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5">
        <f>IF(A85="","","#"&amp;A85)</f>
        <v/>
      </c>
    </row>
    <row r="86">
      <c r="A86" s="54" t="n"/>
      <c r="B86" s="48">
        <f>IFERROR(INDEX(Materiales!$B$4:$B$66,MATCH("#"&amp;$A86,Materiales!$L$4:$L$66,0)),"")</f>
        <v/>
      </c>
      <c r="C86" s="34" t="n"/>
      <c r="D86" s="32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5">
        <f>IF(A86="","","#"&amp;A86)</f>
        <v/>
      </c>
    </row>
    <row r="87">
      <c r="A87" s="54" t="n"/>
      <c r="B87" s="48">
        <f>IFERROR(INDEX(Materiales!$B$4:$B$66,MATCH("#"&amp;$A87,Materiales!$L$4:$L$66,0)),"")</f>
        <v/>
      </c>
      <c r="C87" s="34" t="n"/>
      <c r="D87" s="32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5">
        <f>IF(A87="","","#"&amp;A87)</f>
        <v/>
      </c>
    </row>
  </sheetData>
  <mergeCells count="2">
    <mergeCell ref="A2:L2"/>
    <mergeCell ref="A1:L1"/>
  </mergeCells>
  <dataValidations count="1">
    <dataValidation sqref="A5:A87" showDropDown="0" showInputMessage="0" showErrorMessage="0" allowBlank="1" errorTitle="Valor no valido" error="Elige un valor de la lista." type="list">
      <formula1>Materiales!$A$4:$A$66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F2F2"/>
    <outlinePr summaryBelow="1" summaryRight="1"/>
    <pageSetUpPr/>
  </sheetPr>
  <dimension ref="A1:M44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34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7" t="inlineStr">
        <is>
          <t>Un bloque de 6 renglones por material. Lee el renglon verde: es la semana en que debes pedir.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58">
        <f>IF(Materiales!$A$4="","",Materiales!$A$4)</f>
        <v/>
      </c>
      <c r="B5" s="58">
        <f>IF(Materiales!$B$4="","",Materiales!$B$4)</f>
        <v/>
      </c>
      <c r="C5" s="59" t="inlineStr">
        <is>
          <t>Necesidad bruta</t>
        </is>
      </c>
      <c r="D5" s="60" t="n"/>
      <c r="E5" s="61">
        <f>ROUND(SUMIF(Consumo!$O$4:$O$143,"#"&amp;$A5,Consumo!G$4:G$143),4)</f>
        <v/>
      </c>
      <c r="F5" s="61">
        <f>ROUND(SUMIF(Consumo!$O$4:$O$143,"#"&amp;$A5,Consumo!H$4:H$143),4)</f>
        <v/>
      </c>
      <c r="G5" s="61">
        <f>ROUND(SUMIF(Consumo!$O$4:$O$143,"#"&amp;$A5,Consumo!I$4:I$143),4)</f>
        <v/>
      </c>
      <c r="H5" s="61">
        <f>ROUND(SUMIF(Consumo!$O$4:$O$143,"#"&amp;$A5,Consumo!J$4:J$143),4)</f>
        <v/>
      </c>
      <c r="I5" s="61">
        <f>ROUND(SUMIF(Consumo!$O$4:$O$143,"#"&amp;$A5,Consumo!K$4:K$143),4)</f>
        <v/>
      </c>
      <c r="J5" s="61">
        <f>ROUND(SUMIF(Consumo!$O$4:$O$143,"#"&amp;$A5,Consumo!L$4:L$143),4)</f>
        <v/>
      </c>
      <c r="K5" s="61">
        <f>ROUND(SUMIF(Consumo!$O$4:$O$143,"#"&amp;$A5,Consumo!M$4:M$143),4)</f>
        <v/>
      </c>
      <c r="L5" s="61">
        <f>ROUND(SUMIF(Consumo!$O$4:$O$143,"#"&amp;$A5,Consumo!N$4:N$143),4)</f>
        <v/>
      </c>
      <c r="M5" s="62" t="n"/>
    </row>
    <row r="6">
      <c r="C6" s="59" t="inlineStr">
        <is>
          <t>Recepciones programadas (ya pedido)</t>
        </is>
      </c>
      <c r="D6" s="60" t="n"/>
      <c r="E6" s="61">
        <f>SUMIF(Inventario!$M$5:$M$87,"#"&amp;$A5,Inventario!E$5:E$87)</f>
        <v/>
      </c>
      <c r="F6" s="61">
        <f>SUMIF(Inventario!$M$5:$M$87,"#"&amp;$A5,Inventario!F$5:F$87)</f>
        <v/>
      </c>
      <c r="G6" s="61">
        <f>SUMIF(Inventario!$M$5:$M$87,"#"&amp;$A5,Inventario!G$5:G$87)</f>
        <v/>
      </c>
      <c r="H6" s="61">
        <f>SUMIF(Inventario!$M$5:$M$87,"#"&amp;$A5,Inventario!H$5:H$87)</f>
        <v/>
      </c>
      <c r="I6" s="61">
        <f>SUMIF(Inventario!$M$5:$M$87,"#"&amp;$A5,Inventario!I$5:I$87)</f>
        <v/>
      </c>
      <c r="J6" s="61">
        <f>SUMIF(Inventario!$M$5:$M$87,"#"&amp;$A5,Inventario!J$5:J$87)</f>
        <v/>
      </c>
      <c r="K6" s="61">
        <f>SUMIF(Inventario!$M$5:$M$87,"#"&amp;$A5,Inventario!K$5:K$87)</f>
        <v/>
      </c>
      <c r="L6" s="61">
        <f>SUMIF(Inventario!$M$5:$M$87,"#"&amp;$A5,Inventario!L$5:L$87)</f>
        <v/>
      </c>
      <c r="M6" s="62" t="n"/>
    </row>
    <row r="7">
      <c r="C7" s="59" t="inlineStr">
        <is>
          <t>Stock proyectado disponible</t>
        </is>
      </c>
      <c r="D7" s="63">
        <f>SUMIF(Inventario!$M$5:$M$87,"#"&amp;$A5,Inventario!$C$5:$C$87)</f>
        <v/>
      </c>
      <c r="E7" s="64">
        <f>D7+E6+E9-E5</f>
        <v/>
      </c>
      <c r="F7" s="64">
        <f>E7+F6+F9-F5</f>
        <v/>
      </c>
      <c r="G7" s="64">
        <f>F7+G6+G9-G5</f>
        <v/>
      </c>
      <c r="H7" s="64">
        <f>G7+H6+H9-H5</f>
        <v/>
      </c>
      <c r="I7" s="64">
        <f>H7+I6+I9-I5</f>
        <v/>
      </c>
      <c r="J7" s="64">
        <f>I7+J6+J9-J5</f>
        <v/>
      </c>
      <c r="K7" s="64">
        <f>J7+K6+K9-K5</f>
        <v/>
      </c>
      <c r="L7" s="64">
        <f>K7+L6+L9-L5</f>
        <v/>
      </c>
      <c r="M7" s="62" t="n"/>
    </row>
    <row r="8">
      <c r="C8" s="59" t="inlineStr">
        <is>
          <t>Necesidad neta</t>
        </is>
      </c>
      <c r="D8" s="60" t="n"/>
      <c r="E8" s="65">
        <f>MAX(0,ROUND(E5+Materiales!$H$4-D7-E6,4))</f>
        <v/>
      </c>
      <c r="F8" s="65">
        <f>MAX(0,ROUND(F5+Materiales!$H$4-E7-F6,4))</f>
        <v/>
      </c>
      <c r="G8" s="65">
        <f>MAX(0,ROUND(G5+Materiales!$H$4-F7-G6,4))</f>
        <v/>
      </c>
      <c r="H8" s="65">
        <f>MAX(0,ROUND(H5+Materiales!$H$4-G7-H6,4))</f>
        <v/>
      </c>
      <c r="I8" s="65">
        <f>MAX(0,ROUND(I5+Materiales!$H$4-H7-I6,4))</f>
        <v/>
      </c>
      <c r="J8" s="65">
        <f>MAX(0,ROUND(J5+Materiales!$H$4-I7-J6,4))</f>
        <v/>
      </c>
      <c r="K8" s="65">
        <f>MAX(0,ROUND(K5+Materiales!$H$4-J7-K6,4))</f>
        <v/>
      </c>
      <c r="L8" s="65">
        <f>MAX(0,ROUND(L5+Materiales!$H$4-K7-L6,4))</f>
        <v/>
      </c>
      <c r="M8" s="62" t="n"/>
    </row>
    <row r="9">
      <c r="C9" s="59" t="inlineStr">
        <is>
          <t>Recepcion de orden planificada</t>
        </is>
      </c>
      <c r="D9" s="60" t="n"/>
      <c r="E9" s="61">
        <f>IF(E8&lt;=0,0,IF(Materiales!$G$4&lt;=0,E8,ROUNDUP(E8/Materiales!$G$4,0)*Materiales!$G$4))</f>
        <v/>
      </c>
      <c r="F9" s="61">
        <f>IF(F8&lt;=0,0,IF(Materiales!$G$4&lt;=0,F8,ROUNDUP(F8/Materiales!$G$4,0)*Materiales!$G$4))</f>
        <v/>
      </c>
      <c r="G9" s="61">
        <f>IF(G8&lt;=0,0,IF(Materiales!$G$4&lt;=0,G8,ROUNDUP(G8/Materiales!$G$4,0)*Materiales!$G$4))</f>
        <v/>
      </c>
      <c r="H9" s="61">
        <f>IF(H8&lt;=0,0,IF(Materiales!$G$4&lt;=0,H8,ROUNDUP(H8/Materiales!$G$4,0)*Materiales!$G$4))</f>
        <v/>
      </c>
      <c r="I9" s="61">
        <f>IF(I8&lt;=0,0,IF(Materiales!$G$4&lt;=0,I8,ROUNDUP(I8/Materiales!$G$4,0)*Materiales!$G$4))</f>
        <v/>
      </c>
      <c r="J9" s="61">
        <f>IF(J8&lt;=0,0,IF(Materiales!$G$4&lt;=0,J8,ROUNDUP(J8/Materiales!$G$4,0)*Materiales!$G$4))</f>
        <v/>
      </c>
      <c r="K9" s="61">
        <f>IF(K8&lt;=0,0,IF(Materiales!$G$4&lt;=0,K8,ROUNDUP(K8/Materiales!$G$4,0)*Materiales!$G$4))</f>
        <v/>
      </c>
      <c r="L9" s="61">
        <f>IF(L8&lt;=0,0,IF(Materiales!$G$4&lt;=0,L8,ROUNDUP(L8/Materiales!$G$4,0)*Materiales!$G$4))</f>
        <v/>
      </c>
      <c r="M9" s="62" t="n"/>
    </row>
    <row r="10">
      <c r="C10" s="66" t="inlineStr">
        <is>
          <t>LANZAMIENTO DE ORDEN — pedir esta semana</t>
        </is>
      </c>
      <c r="D10" s="60" t="n"/>
      <c r="E10" s="70">
        <f>IF(1+Materiales!$F$4&gt;8,0,INDEX($E$9:$L$9,1,1+Materiales!$F$4))</f>
        <v/>
      </c>
      <c r="F10" s="70">
        <f>IF(2+Materiales!$F$4&gt;8,0,INDEX($E$9:$L$9,1,2+Materiales!$F$4))</f>
        <v/>
      </c>
      <c r="G10" s="70">
        <f>IF(3+Materiales!$F$4&gt;8,0,INDEX($E$9:$L$9,1,3+Materiales!$F$4))</f>
        <v/>
      </c>
      <c r="H10" s="70">
        <f>IF(4+Materiales!$F$4&gt;8,0,INDEX($E$9:$L$9,1,4+Materiales!$F$4))</f>
        <v/>
      </c>
      <c r="I10" s="70">
        <f>IF(5+Materiales!$F$4&gt;8,0,INDEX($E$9:$L$9,1,5+Materiales!$F$4))</f>
        <v/>
      </c>
      <c r="J10" s="70">
        <f>IF(6+Materiales!$F$4&gt;8,0,INDEX($E$9:$L$9,1,6+Materiales!$F$4))</f>
        <v/>
      </c>
      <c r="K10" s="70">
        <f>IF(7+Materiales!$F$4&gt;8,0,INDEX($E$9:$L$9,1,7+Materiales!$F$4))</f>
        <v/>
      </c>
      <c r="L10" s="70">
        <f>IF(8+Materiales!$F$4&gt;8,0,INDEX($E$9:$L$9,1,8+Materiales!$F$4))</f>
        <v/>
      </c>
      <c r="M10" s="68">
        <f>IF($A5="","",IF(SUMPRODUCT((COLUMN($E$9:$L$9)-4&lt;=Materiales!$F$4)*$E$9:$L$9)&gt;0,"PEDIR YA (atrasado)","OK"))</f>
        <v/>
      </c>
    </row>
    <row r="11" ht="6" customHeight="1"/>
    <row r="12">
      <c r="A12" s="58">
        <f>IF(Materiales!$A$5="","",Materiales!$A$5)</f>
        <v/>
      </c>
      <c r="B12" s="58">
        <f>IF(Materiales!$B$5="","",Materiales!$B$5)</f>
        <v/>
      </c>
      <c r="C12" s="59" t="inlineStr">
        <is>
          <t>Necesidad bruta</t>
        </is>
      </c>
      <c r="D12" s="60" t="n"/>
      <c r="E12" s="61">
        <f>ROUND(SUMIF(Consumo!$O$4:$O$143,"#"&amp;$A12,Consumo!G$4:G$143),4)</f>
        <v/>
      </c>
      <c r="F12" s="61">
        <f>ROUND(SUMIF(Consumo!$O$4:$O$143,"#"&amp;$A12,Consumo!H$4:H$143),4)</f>
        <v/>
      </c>
      <c r="G12" s="61">
        <f>ROUND(SUMIF(Consumo!$O$4:$O$143,"#"&amp;$A12,Consumo!I$4:I$143),4)</f>
        <v/>
      </c>
      <c r="H12" s="61">
        <f>ROUND(SUMIF(Consumo!$O$4:$O$143,"#"&amp;$A12,Consumo!J$4:J$143),4)</f>
        <v/>
      </c>
      <c r="I12" s="61">
        <f>ROUND(SUMIF(Consumo!$O$4:$O$143,"#"&amp;$A12,Consumo!K$4:K$143),4)</f>
        <v/>
      </c>
      <c r="J12" s="61">
        <f>ROUND(SUMIF(Consumo!$O$4:$O$143,"#"&amp;$A12,Consumo!L$4:L$143),4)</f>
        <v/>
      </c>
      <c r="K12" s="61">
        <f>ROUND(SUMIF(Consumo!$O$4:$O$143,"#"&amp;$A12,Consumo!M$4:M$143),4)</f>
        <v/>
      </c>
      <c r="L12" s="61">
        <f>ROUND(SUMIF(Consumo!$O$4:$O$143,"#"&amp;$A12,Consumo!N$4:N$143),4)</f>
        <v/>
      </c>
      <c r="M12" s="62" t="n"/>
    </row>
    <row r="13">
      <c r="C13" s="59" t="inlineStr">
        <is>
          <t>Recepciones programadas (ya pedido)</t>
        </is>
      </c>
      <c r="D13" s="60" t="n"/>
      <c r="E13" s="61">
        <f>SUMIF(Inventario!$M$5:$M$87,"#"&amp;$A12,Inventario!E$5:E$87)</f>
        <v/>
      </c>
      <c r="F13" s="61">
        <f>SUMIF(Inventario!$M$5:$M$87,"#"&amp;$A12,Inventario!F$5:F$87)</f>
        <v/>
      </c>
      <c r="G13" s="61">
        <f>SUMIF(Inventario!$M$5:$M$87,"#"&amp;$A12,Inventario!G$5:G$87)</f>
        <v/>
      </c>
      <c r="H13" s="61">
        <f>SUMIF(Inventario!$M$5:$M$87,"#"&amp;$A12,Inventario!H$5:H$87)</f>
        <v/>
      </c>
      <c r="I13" s="61">
        <f>SUMIF(Inventario!$M$5:$M$87,"#"&amp;$A12,Inventario!I$5:I$87)</f>
        <v/>
      </c>
      <c r="J13" s="61">
        <f>SUMIF(Inventario!$M$5:$M$87,"#"&amp;$A12,Inventario!J$5:J$87)</f>
        <v/>
      </c>
      <c r="K13" s="61">
        <f>SUMIF(Inventario!$M$5:$M$87,"#"&amp;$A12,Inventario!K$5:K$87)</f>
        <v/>
      </c>
      <c r="L13" s="61">
        <f>SUMIF(Inventario!$M$5:$M$87,"#"&amp;$A12,Inventario!L$5:L$87)</f>
        <v/>
      </c>
      <c r="M13" s="62" t="n"/>
    </row>
    <row r="14">
      <c r="C14" s="59" t="inlineStr">
        <is>
          <t>Stock proyectado disponible</t>
        </is>
      </c>
      <c r="D14" s="63">
        <f>SUMIF(Inventario!$M$5:$M$87,"#"&amp;$A12,Inventario!$C$5:$C$87)</f>
        <v/>
      </c>
      <c r="E14" s="64">
        <f>D14+E13+E16-E12</f>
        <v/>
      </c>
      <c r="F14" s="64">
        <f>E14+F13+F16-F12</f>
        <v/>
      </c>
      <c r="G14" s="64">
        <f>F14+G13+G16-G12</f>
        <v/>
      </c>
      <c r="H14" s="64">
        <f>G14+H13+H16-H12</f>
        <v/>
      </c>
      <c r="I14" s="64">
        <f>H14+I13+I16-I12</f>
        <v/>
      </c>
      <c r="J14" s="64">
        <f>I14+J13+J16-J12</f>
        <v/>
      </c>
      <c r="K14" s="64">
        <f>J14+K13+K16-K12</f>
        <v/>
      </c>
      <c r="L14" s="64">
        <f>K14+L13+L16-L12</f>
        <v/>
      </c>
      <c r="M14" s="62" t="n"/>
    </row>
    <row r="15">
      <c r="C15" s="59" t="inlineStr">
        <is>
          <t>Necesidad neta</t>
        </is>
      </c>
      <c r="D15" s="60" t="n"/>
      <c r="E15" s="65">
        <f>MAX(0,ROUND(E12+Materiales!$H$5-D14-E13,4))</f>
        <v/>
      </c>
      <c r="F15" s="65">
        <f>MAX(0,ROUND(F12+Materiales!$H$5-E14-F13,4))</f>
        <v/>
      </c>
      <c r="G15" s="65">
        <f>MAX(0,ROUND(G12+Materiales!$H$5-F14-G13,4))</f>
        <v/>
      </c>
      <c r="H15" s="65">
        <f>MAX(0,ROUND(H12+Materiales!$H$5-G14-H13,4))</f>
        <v/>
      </c>
      <c r="I15" s="65">
        <f>MAX(0,ROUND(I12+Materiales!$H$5-H14-I13,4))</f>
        <v/>
      </c>
      <c r="J15" s="65">
        <f>MAX(0,ROUND(J12+Materiales!$H$5-I14-J13,4))</f>
        <v/>
      </c>
      <c r="K15" s="65">
        <f>MAX(0,ROUND(K12+Materiales!$H$5-J14-K13,4))</f>
        <v/>
      </c>
      <c r="L15" s="65">
        <f>MAX(0,ROUND(L12+Materiales!$H$5-K14-L13,4))</f>
        <v/>
      </c>
      <c r="M15" s="62" t="n"/>
    </row>
    <row r="16">
      <c r="C16" s="59" t="inlineStr">
        <is>
          <t>Recepcion de orden planificada</t>
        </is>
      </c>
      <c r="D16" s="60" t="n"/>
      <c r="E16" s="61">
        <f>IF(E15&lt;=0,0,IF(Materiales!$G$5&lt;=0,E15,ROUNDUP(E15/Materiales!$G$5,0)*Materiales!$G$5))</f>
        <v/>
      </c>
      <c r="F16" s="61">
        <f>IF(F15&lt;=0,0,IF(Materiales!$G$5&lt;=0,F15,ROUNDUP(F15/Materiales!$G$5,0)*Materiales!$G$5))</f>
        <v/>
      </c>
      <c r="G16" s="61">
        <f>IF(G15&lt;=0,0,IF(Materiales!$G$5&lt;=0,G15,ROUNDUP(G15/Materiales!$G$5,0)*Materiales!$G$5))</f>
        <v/>
      </c>
      <c r="H16" s="61">
        <f>IF(H15&lt;=0,0,IF(Materiales!$G$5&lt;=0,H15,ROUNDUP(H15/Materiales!$G$5,0)*Materiales!$G$5))</f>
        <v/>
      </c>
      <c r="I16" s="61">
        <f>IF(I15&lt;=0,0,IF(Materiales!$G$5&lt;=0,I15,ROUNDUP(I15/Materiales!$G$5,0)*Materiales!$G$5))</f>
        <v/>
      </c>
      <c r="J16" s="61">
        <f>IF(J15&lt;=0,0,IF(Materiales!$G$5&lt;=0,J15,ROUNDUP(J15/Materiales!$G$5,0)*Materiales!$G$5))</f>
        <v/>
      </c>
      <c r="K16" s="61">
        <f>IF(K15&lt;=0,0,IF(Materiales!$G$5&lt;=0,K15,ROUNDUP(K15/Materiales!$G$5,0)*Materiales!$G$5))</f>
        <v/>
      </c>
      <c r="L16" s="61">
        <f>IF(L15&lt;=0,0,IF(Materiales!$G$5&lt;=0,L15,ROUNDUP(L15/Materiales!$G$5,0)*Materiales!$G$5))</f>
        <v/>
      </c>
      <c r="M16" s="62" t="n"/>
    </row>
    <row r="17">
      <c r="C17" s="66" t="inlineStr">
        <is>
          <t>LANZAMIENTO DE ORDEN — pedir esta semana</t>
        </is>
      </c>
      <c r="D17" s="60" t="n"/>
      <c r="E17" s="70">
        <f>IF(1+Materiales!$F$5&gt;8,0,INDEX($E$16:$L$16,1,1+Materiales!$F$5))</f>
        <v/>
      </c>
      <c r="F17" s="70">
        <f>IF(2+Materiales!$F$5&gt;8,0,INDEX($E$16:$L$16,1,2+Materiales!$F$5))</f>
        <v/>
      </c>
      <c r="G17" s="70">
        <f>IF(3+Materiales!$F$5&gt;8,0,INDEX($E$16:$L$16,1,3+Materiales!$F$5))</f>
        <v/>
      </c>
      <c r="H17" s="70">
        <f>IF(4+Materiales!$F$5&gt;8,0,INDEX($E$16:$L$16,1,4+Materiales!$F$5))</f>
        <v/>
      </c>
      <c r="I17" s="70">
        <f>IF(5+Materiales!$F$5&gt;8,0,INDEX($E$16:$L$16,1,5+Materiales!$F$5))</f>
        <v/>
      </c>
      <c r="J17" s="70">
        <f>IF(6+Materiales!$F$5&gt;8,0,INDEX($E$16:$L$16,1,6+Materiales!$F$5))</f>
        <v/>
      </c>
      <c r="K17" s="70">
        <f>IF(7+Materiales!$F$5&gt;8,0,INDEX($E$16:$L$16,1,7+Materiales!$F$5))</f>
        <v/>
      </c>
      <c r="L17" s="70">
        <f>IF(8+Materiales!$F$5&gt;8,0,INDEX($E$16:$L$16,1,8+Materiales!$F$5))</f>
        <v/>
      </c>
      <c r="M17" s="68">
        <f>IF($A12="","",IF(SUMPRODUCT((COLUMN($E$16:$L$16)-4&lt;=Materiales!$F$5)*$E$16:$L$16)&gt;0,"PEDIR YA (atrasado)","OK"))</f>
        <v/>
      </c>
    </row>
    <row r="18" ht="6" customHeight="1"/>
    <row r="19">
      <c r="A19" s="58">
        <f>IF(Materiales!$A$6="","",Materiales!$A$6)</f>
        <v/>
      </c>
      <c r="B19" s="58">
        <f>IF(Materiales!$B$6="","",Materiales!$B$6)</f>
        <v/>
      </c>
      <c r="C19" s="59" t="inlineStr">
        <is>
          <t>Necesidad bruta</t>
        </is>
      </c>
      <c r="D19" s="60" t="n"/>
      <c r="E19" s="61">
        <f>ROUND(SUMIF(Consumo!$O$4:$O$143,"#"&amp;$A19,Consumo!G$4:G$143),4)</f>
        <v/>
      </c>
      <c r="F19" s="61">
        <f>ROUND(SUMIF(Consumo!$O$4:$O$143,"#"&amp;$A19,Consumo!H$4:H$143),4)</f>
        <v/>
      </c>
      <c r="G19" s="61">
        <f>ROUND(SUMIF(Consumo!$O$4:$O$143,"#"&amp;$A19,Consumo!I$4:I$143),4)</f>
        <v/>
      </c>
      <c r="H19" s="61">
        <f>ROUND(SUMIF(Consumo!$O$4:$O$143,"#"&amp;$A19,Consumo!J$4:J$143),4)</f>
        <v/>
      </c>
      <c r="I19" s="61">
        <f>ROUND(SUMIF(Consumo!$O$4:$O$143,"#"&amp;$A19,Consumo!K$4:K$143),4)</f>
        <v/>
      </c>
      <c r="J19" s="61">
        <f>ROUND(SUMIF(Consumo!$O$4:$O$143,"#"&amp;$A19,Consumo!L$4:L$143),4)</f>
        <v/>
      </c>
      <c r="K19" s="61">
        <f>ROUND(SUMIF(Consumo!$O$4:$O$143,"#"&amp;$A19,Consumo!M$4:M$143),4)</f>
        <v/>
      </c>
      <c r="L19" s="61">
        <f>ROUND(SUMIF(Consumo!$O$4:$O$143,"#"&amp;$A19,Consumo!N$4:N$143),4)</f>
        <v/>
      </c>
      <c r="M19" s="62" t="n"/>
    </row>
    <row r="20">
      <c r="C20" s="59" t="inlineStr">
        <is>
          <t>Recepciones programadas (ya pedido)</t>
        </is>
      </c>
      <c r="D20" s="60" t="n"/>
      <c r="E20" s="61">
        <f>SUMIF(Inventario!$M$5:$M$87,"#"&amp;$A19,Inventario!E$5:E$87)</f>
        <v/>
      </c>
      <c r="F20" s="61">
        <f>SUMIF(Inventario!$M$5:$M$87,"#"&amp;$A19,Inventario!F$5:F$87)</f>
        <v/>
      </c>
      <c r="G20" s="61">
        <f>SUMIF(Inventario!$M$5:$M$87,"#"&amp;$A19,Inventario!G$5:G$87)</f>
        <v/>
      </c>
      <c r="H20" s="61">
        <f>SUMIF(Inventario!$M$5:$M$87,"#"&amp;$A19,Inventario!H$5:H$87)</f>
        <v/>
      </c>
      <c r="I20" s="61">
        <f>SUMIF(Inventario!$M$5:$M$87,"#"&amp;$A19,Inventario!I$5:I$87)</f>
        <v/>
      </c>
      <c r="J20" s="61">
        <f>SUMIF(Inventario!$M$5:$M$87,"#"&amp;$A19,Inventario!J$5:J$87)</f>
        <v/>
      </c>
      <c r="K20" s="61">
        <f>SUMIF(Inventario!$M$5:$M$87,"#"&amp;$A19,Inventario!K$5:K$87)</f>
        <v/>
      </c>
      <c r="L20" s="61">
        <f>SUMIF(Inventario!$M$5:$M$87,"#"&amp;$A19,Inventario!L$5:L$87)</f>
        <v/>
      </c>
      <c r="M20" s="62" t="n"/>
    </row>
    <row r="21">
      <c r="C21" s="59" t="inlineStr">
        <is>
          <t>Stock proyectado disponible</t>
        </is>
      </c>
      <c r="D21" s="63">
        <f>SUMIF(Inventario!$M$5:$M$87,"#"&amp;$A19,Inventario!$C$5:$C$87)</f>
        <v/>
      </c>
      <c r="E21" s="64">
        <f>D21+E20+E23-E19</f>
        <v/>
      </c>
      <c r="F21" s="64">
        <f>E21+F20+F23-F19</f>
        <v/>
      </c>
      <c r="G21" s="64">
        <f>F21+G20+G23-G19</f>
        <v/>
      </c>
      <c r="H21" s="64">
        <f>G21+H20+H23-H19</f>
        <v/>
      </c>
      <c r="I21" s="64">
        <f>H21+I20+I23-I19</f>
        <v/>
      </c>
      <c r="J21" s="64">
        <f>I21+J20+J23-J19</f>
        <v/>
      </c>
      <c r="K21" s="64">
        <f>J21+K20+K23-K19</f>
        <v/>
      </c>
      <c r="L21" s="64">
        <f>K21+L20+L23-L19</f>
        <v/>
      </c>
      <c r="M21" s="62" t="n"/>
    </row>
    <row r="22">
      <c r="C22" s="59" t="inlineStr">
        <is>
          <t>Necesidad neta</t>
        </is>
      </c>
      <c r="D22" s="60" t="n"/>
      <c r="E22" s="65">
        <f>MAX(0,ROUND(E19+Materiales!$H$6-D21-E20,4))</f>
        <v/>
      </c>
      <c r="F22" s="65">
        <f>MAX(0,ROUND(F19+Materiales!$H$6-E21-F20,4))</f>
        <v/>
      </c>
      <c r="G22" s="65">
        <f>MAX(0,ROUND(G19+Materiales!$H$6-F21-G20,4))</f>
        <v/>
      </c>
      <c r="H22" s="65">
        <f>MAX(0,ROUND(H19+Materiales!$H$6-G21-H20,4))</f>
        <v/>
      </c>
      <c r="I22" s="65">
        <f>MAX(0,ROUND(I19+Materiales!$H$6-H21-I20,4))</f>
        <v/>
      </c>
      <c r="J22" s="65">
        <f>MAX(0,ROUND(J19+Materiales!$H$6-I21-J20,4))</f>
        <v/>
      </c>
      <c r="K22" s="65">
        <f>MAX(0,ROUND(K19+Materiales!$H$6-J21-K20,4))</f>
        <v/>
      </c>
      <c r="L22" s="65">
        <f>MAX(0,ROUND(L19+Materiales!$H$6-K21-L20,4))</f>
        <v/>
      </c>
      <c r="M22" s="62" t="n"/>
    </row>
    <row r="23">
      <c r="C23" s="59" t="inlineStr">
        <is>
          <t>Recepcion de orden planificada</t>
        </is>
      </c>
      <c r="D23" s="60" t="n"/>
      <c r="E23" s="61">
        <f>IF(E22&lt;=0,0,IF(Materiales!$G$6&lt;=0,E22,ROUNDUP(E22/Materiales!$G$6,0)*Materiales!$G$6))</f>
        <v/>
      </c>
      <c r="F23" s="61">
        <f>IF(F22&lt;=0,0,IF(Materiales!$G$6&lt;=0,F22,ROUNDUP(F22/Materiales!$G$6,0)*Materiales!$G$6))</f>
        <v/>
      </c>
      <c r="G23" s="61">
        <f>IF(G22&lt;=0,0,IF(Materiales!$G$6&lt;=0,G22,ROUNDUP(G22/Materiales!$G$6,0)*Materiales!$G$6))</f>
        <v/>
      </c>
      <c r="H23" s="61">
        <f>IF(H22&lt;=0,0,IF(Materiales!$G$6&lt;=0,H22,ROUNDUP(H22/Materiales!$G$6,0)*Materiales!$G$6))</f>
        <v/>
      </c>
      <c r="I23" s="61">
        <f>IF(I22&lt;=0,0,IF(Materiales!$G$6&lt;=0,I22,ROUNDUP(I22/Materiales!$G$6,0)*Materiales!$G$6))</f>
        <v/>
      </c>
      <c r="J23" s="61">
        <f>IF(J22&lt;=0,0,IF(Materiales!$G$6&lt;=0,J22,ROUNDUP(J22/Materiales!$G$6,0)*Materiales!$G$6))</f>
        <v/>
      </c>
      <c r="K23" s="61">
        <f>IF(K22&lt;=0,0,IF(Materiales!$G$6&lt;=0,K22,ROUNDUP(K22/Materiales!$G$6,0)*Materiales!$G$6))</f>
        <v/>
      </c>
      <c r="L23" s="61">
        <f>IF(L22&lt;=0,0,IF(Materiales!$G$6&lt;=0,L22,ROUNDUP(L22/Materiales!$G$6,0)*Materiales!$G$6))</f>
        <v/>
      </c>
      <c r="M23" s="62" t="n"/>
    </row>
    <row r="24">
      <c r="C24" s="66" t="inlineStr">
        <is>
          <t>LANZAMIENTO DE ORDEN — pedir esta semana</t>
        </is>
      </c>
      <c r="D24" s="60" t="n"/>
      <c r="E24" s="70">
        <f>IF(1+Materiales!$F$6&gt;8,0,INDEX($E$23:$L$23,1,1+Materiales!$F$6))</f>
        <v/>
      </c>
      <c r="F24" s="70">
        <f>IF(2+Materiales!$F$6&gt;8,0,INDEX($E$23:$L$23,1,2+Materiales!$F$6))</f>
        <v/>
      </c>
      <c r="G24" s="70">
        <f>IF(3+Materiales!$F$6&gt;8,0,INDEX($E$23:$L$23,1,3+Materiales!$F$6))</f>
        <v/>
      </c>
      <c r="H24" s="70">
        <f>IF(4+Materiales!$F$6&gt;8,0,INDEX($E$23:$L$23,1,4+Materiales!$F$6))</f>
        <v/>
      </c>
      <c r="I24" s="70">
        <f>IF(5+Materiales!$F$6&gt;8,0,INDEX($E$23:$L$23,1,5+Materiales!$F$6))</f>
        <v/>
      </c>
      <c r="J24" s="70">
        <f>IF(6+Materiales!$F$6&gt;8,0,INDEX($E$23:$L$23,1,6+Materiales!$F$6))</f>
        <v/>
      </c>
      <c r="K24" s="70">
        <f>IF(7+Materiales!$F$6&gt;8,0,INDEX($E$23:$L$23,1,7+Materiales!$F$6))</f>
        <v/>
      </c>
      <c r="L24" s="70">
        <f>IF(8+Materiales!$F$6&gt;8,0,INDEX($E$23:$L$23,1,8+Materiales!$F$6))</f>
        <v/>
      </c>
      <c r="M24" s="68">
        <f>IF($A19="","",IF(SUMPRODUCT((COLUMN($E$23:$L$23)-4&lt;=Materiales!$F$6)*$E$23:$L$23)&gt;0,"PEDIR YA (atrasado)","OK"))</f>
        <v/>
      </c>
    </row>
    <row r="25" ht="6" customHeight="1"/>
    <row r="26">
      <c r="A26" s="58">
        <f>IF(Materiales!$A$7="","",Materiales!$A$7)</f>
        <v/>
      </c>
      <c r="B26" s="58">
        <f>IF(Materiales!$B$7="","",Materiales!$B$7)</f>
        <v/>
      </c>
      <c r="C26" s="59" t="inlineStr">
        <is>
          <t>Necesidad bruta</t>
        </is>
      </c>
      <c r="D26" s="60" t="n"/>
      <c r="E26" s="61">
        <f>ROUND(SUMIF(Consumo!$O$4:$O$143,"#"&amp;$A26,Consumo!G$4:G$143),4)</f>
        <v/>
      </c>
      <c r="F26" s="61">
        <f>ROUND(SUMIF(Consumo!$O$4:$O$143,"#"&amp;$A26,Consumo!H$4:H$143),4)</f>
        <v/>
      </c>
      <c r="G26" s="61">
        <f>ROUND(SUMIF(Consumo!$O$4:$O$143,"#"&amp;$A26,Consumo!I$4:I$143),4)</f>
        <v/>
      </c>
      <c r="H26" s="61">
        <f>ROUND(SUMIF(Consumo!$O$4:$O$143,"#"&amp;$A26,Consumo!J$4:J$143),4)</f>
        <v/>
      </c>
      <c r="I26" s="61">
        <f>ROUND(SUMIF(Consumo!$O$4:$O$143,"#"&amp;$A26,Consumo!K$4:K$143),4)</f>
        <v/>
      </c>
      <c r="J26" s="61">
        <f>ROUND(SUMIF(Consumo!$O$4:$O$143,"#"&amp;$A26,Consumo!L$4:L$143),4)</f>
        <v/>
      </c>
      <c r="K26" s="61">
        <f>ROUND(SUMIF(Consumo!$O$4:$O$143,"#"&amp;$A26,Consumo!M$4:M$143),4)</f>
        <v/>
      </c>
      <c r="L26" s="61">
        <f>ROUND(SUMIF(Consumo!$O$4:$O$143,"#"&amp;$A26,Consumo!N$4:N$143),4)</f>
        <v/>
      </c>
      <c r="M26" s="62" t="n"/>
    </row>
    <row r="27">
      <c r="C27" s="59" t="inlineStr">
        <is>
          <t>Recepciones programadas (ya pedido)</t>
        </is>
      </c>
      <c r="D27" s="60" t="n"/>
      <c r="E27" s="61">
        <f>SUMIF(Inventario!$M$5:$M$87,"#"&amp;$A26,Inventario!E$5:E$87)</f>
        <v/>
      </c>
      <c r="F27" s="61">
        <f>SUMIF(Inventario!$M$5:$M$87,"#"&amp;$A26,Inventario!F$5:F$87)</f>
        <v/>
      </c>
      <c r="G27" s="61">
        <f>SUMIF(Inventario!$M$5:$M$87,"#"&amp;$A26,Inventario!G$5:G$87)</f>
        <v/>
      </c>
      <c r="H27" s="61">
        <f>SUMIF(Inventario!$M$5:$M$87,"#"&amp;$A26,Inventario!H$5:H$87)</f>
        <v/>
      </c>
      <c r="I27" s="61">
        <f>SUMIF(Inventario!$M$5:$M$87,"#"&amp;$A26,Inventario!I$5:I$87)</f>
        <v/>
      </c>
      <c r="J27" s="61">
        <f>SUMIF(Inventario!$M$5:$M$87,"#"&amp;$A26,Inventario!J$5:J$87)</f>
        <v/>
      </c>
      <c r="K27" s="61">
        <f>SUMIF(Inventario!$M$5:$M$87,"#"&amp;$A26,Inventario!K$5:K$87)</f>
        <v/>
      </c>
      <c r="L27" s="61">
        <f>SUMIF(Inventario!$M$5:$M$87,"#"&amp;$A26,Inventario!L$5:L$87)</f>
        <v/>
      </c>
      <c r="M27" s="62" t="n"/>
    </row>
    <row r="28">
      <c r="C28" s="59" t="inlineStr">
        <is>
          <t>Stock proyectado disponible</t>
        </is>
      </c>
      <c r="D28" s="63">
        <f>SUMIF(Inventario!$M$5:$M$87,"#"&amp;$A26,Inventario!$C$5:$C$87)</f>
        <v/>
      </c>
      <c r="E28" s="64">
        <f>D28+E27+E30-E26</f>
        <v/>
      </c>
      <c r="F28" s="64">
        <f>E28+F27+F30-F26</f>
        <v/>
      </c>
      <c r="G28" s="64">
        <f>F28+G27+G30-G26</f>
        <v/>
      </c>
      <c r="H28" s="64">
        <f>G28+H27+H30-H26</f>
        <v/>
      </c>
      <c r="I28" s="64">
        <f>H28+I27+I30-I26</f>
        <v/>
      </c>
      <c r="J28" s="64">
        <f>I28+J27+J30-J26</f>
        <v/>
      </c>
      <c r="K28" s="64">
        <f>J28+K27+K30-K26</f>
        <v/>
      </c>
      <c r="L28" s="64">
        <f>K28+L27+L30-L26</f>
        <v/>
      </c>
      <c r="M28" s="62" t="n"/>
    </row>
    <row r="29">
      <c r="C29" s="59" t="inlineStr">
        <is>
          <t>Necesidad neta</t>
        </is>
      </c>
      <c r="D29" s="60" t="n"/>
      <c r="E29" s="65">
        <f>MAX(0,ROUND(E26+Materiales!$H$7-D28-E27,4))</f>
        <v/>
      </c>
      <c r="F29" s="65">
        <f>MAX(0,ROUND(F26+Materiales!$H$7-E28-F27,4))</f>
        <v/>
      </c>
      <c r="G29" s="65">
        <f>MAX(0,ROUND(G26+Materiales!$H$7-F28-G27,4))</f>
        <v/>
      </c>
      <c r="H29" s="65">
        <f>MAX(0,ROUND(H26+Materiales!$H$7-G28-H27,4))</f>
        <v/>
      </c>
      <c r="I29" s="65">
        <f>MAX(0,ROUND(I26+Materiales!$H$7-H28-I27,4))</f>
        <v/>
      </c>
      <c r="J29" s="65">
        <f>MAX(0,ROUND(J26+Materiales!$H$7-I28-J27,4))</f>
        <v/>
      </c>
      <c r="K29" s="65">
        <f>MAX(0,ROUND(K26+Materiales!$H$7-J28-K27,4))</f>
        <v/>
      </c>
      <c r="L29" s="65">
        <f>MAX(0,ROUND(L26+Materiales!$H$7-K28-L27,4))</f>
        <v/>
      </c>
      <c r="M29" s="62" t="n"/>
    </row>
    <row r="30">
      <c r="C30" s="59" t="inlineStr">
        <is>
          <t>Recepcion de orden planificada</t>
        </is>
      </c>
      <c r="D30" s="60" t="n"/>
      <c r="E30" s="61">
        <f>IF(E29&lt;=0,0,IF(Materiales!$G$7&lt;=0,E29,ROUNDUP(E29/Materiales!$G$7,0)*Materiales!$G$7))</f>
        <v/>
      </c>
      <c r="F30" s="61">
        <f>IF(F29&lt;=0,0,IF(Materiales!$G$7&lt;=0,F29,ROUNDUP(F29/Materiales!$G$7,0)*Materiales!$G$7))</f>
        <v/>
      </c>
      <c r="G30" s="61">
        <f>IF(G29&lt;=0,0,IF(Materiales!$G$7&lt;=0,G29,ROUNDUP(G29/Materiales!$G$7,0)*Materiales!$G$7))</f>
        <v/>
      </c>
      <c r="H30" s="61">
        <f>IF(H29&lt;=0,0,IF(Materiales!$G$7&lt;=0,H29,ROUNDUP(H29/Materiales!$G$7,0)*Materiales!$G$7))</f>
        <v/>
      </c>
      <c r="I30" s="61">
        <f>IF(I29&lt;=0,0,IF(Materiales!$G$7&lt;=0,I29,ROUNDUP(I29/Materiales!$G$7,0)*Materiales!$G$7))</f>
        <v/>
      </c>
      <c r="J30" s="61">
        <f>IF(J29&lt;=0,0,IF(Materiales!$G$7&lt;=0,J29,ROUNDUP(J29/Materiales!$G$7,0)*Materiales!$G$7))</f>
        <v/>
      </c>
      <c r="K30" s="61">
        <f>IF(K29&lt;=0,0,IF(Materiales!$G$7&lt;=0,K29,ROUNDUP(K29/Materiales!$G$7,0)*Materiales!$G$7))</f>
        <v/>
      </c>
      <c r="L30" s="61">
        <f>IF(L29&lt;=0,0,IF(Materiales!$G$7&lt;=0,L29,ROUNDUP(L29/Materiales!$G$7,0)*Materiales!$G$7))</f>
        <v/>
      </c>
      <c r="M30" s="62" t="n"/>
    </row>
    <row r="31">
      <c r="C31" s="66" t="inlineStr">
        <is>
          <t>LANZAMIENTO DE ORDEN — pedir esta semana</t>
        </is>
      </c>
      <c r="D31" s="60" t="n"/>
      <c r="E31" s="70">
        <f>IF(1+Materiales!$F$7&gt;8,0,INDEX($E$30:$L$30,1,1+Materiales!$F$7))</f>
        <v/>
      </c>
      <c r="F31" s="70">
        <f>IF(2+Materiales!$F$7&gt;8,0,INDEX($E$30:$L$30,1,2+Materiales!$F$7))</f>
        <v/>
      </c>
      <c r="G31" s="70">
        <f>IF(3+Materiales!$F$7&gt;8,0,INDEX($E$30:$L$30,1,3+Materiales!$F$7))</f>
        <v/>
      </c>
      <c r="H31" s="70">
        <f>IF(4+Materiales!$F$7&gt;8,0,INDEX($E$30:$L$30,1,4+Materiales!$F$7))</f>
        <v/>
      </c>
      <c r="I31" s="70">
        <f>IF(5+Materiales!$F$7&gt;8,0,INDEX($E$30:$L$30,1,5+Materiales!$F$7))</f>
        <v/>
      </c>
      <c r="J31" s="70">
        <f>IF(6+Materiales!$F$7&gt;8,0,INDEX($E$30:$L$30,1,6+Materiales!$F$7))</f>
        <v/>
      </c>
      <c r="K31" s="70">
        <f>IF(7+Materiales!$F$7&gt;8,0,INDEX($E$30:$L$30,1,7+Materiales!$F$7))</f>
        <v/>
      </c>
      <c r="L31" s="70">
        <f>IF(8+Materiales!$F$7&gt;8,0,INDEX($E$30:$L$30,1,8+Materiales!$F$7))</f>
        <v/>
      </c>
      <c r="M31" s="68">
        <f>IF($A26="","",IF(SUMPRODUCT((COLUMN($E$30:$L$30)-4&lt;=Materiales!$F$7)*$E$30:$L$30)&gt;0,"PEDIR YA (atrasado)","OK"))</f>
        <v/>
      </c>
    </row>
    <row r="32" ht="6" customHeight="1"/>
    <row r="33">
      <c r="A33" s="58">
        <f>IF(Materiales!$A$8="","",Materiales!$A$8)</f>
        <v/>
      </c>
      <c r="B33" s="58">
        <f>IF(Materiales!$B$8="","",Materiales!$B$8)</f>
        <v/>
      </c>
      <c r="C33" s="59" t="inlineStr">
        <is>
          <t>Necesidad bruta</t>
        </is>
      </c>
      <c r="D33" s="60" t="n"/>
      <c r="E33" s="61">
        <f>ROUND(SUMIF(Consumo!$O$4:$O$143,"#"&amp;$A33,Consumo!G$4:G$143),4)</f>
        <v/>
      </c>
      <c r="F33" s="61">
        <f>ROUND(SUMIF(Consumo!$O$4:$O$143,"#"&amp;$A33,Consumo!H$4:H$143),4)</f>
        <v/>
      </c>
      <c r="G33" s="61">
        <f>ROUND(SUMIF(Consumo!$O$4:$O$143,"#"&amp;$A33,Consumo!I$4:I$143),4)</f>
        <v/>
      </c>
      <c r="H33" s="61">
        <f>ROUND(SUMIF(Consumo!$O$4:$O$143,"#"&amp;$A33,Consumo!J$4:J$143),4)</f>
        <v/>
      </c>
      <c r="I33" s="61">
        <f>ROUND(SUMIF(Consumo!$O$4:$O$143,"#"&amp;$A33,Consumo!K$4:K$143),4)</f>
        <v/>
      </c>
      <c r="J33" s="61">
        <f>ROUND(SUMIF(Consumo!$O$4:$O$143,"#"&amp;$A33,Consumo!L$4:L$143),4)</f>
        <v/>
      </c>
      <c r="K33" s="61">
        <f>ROUND(SUMIF(Consumo!$O$4:$O$143,"#"&amp;$A33,Consumo!M$4:M$143),4)</f>
        <v/>
      </c>
      <c r="L33" s="61">
        <f>ROUND(SUMIF(Consumo!$O$4:$O$143,"#"&amp;$A33,Consumo!N$4:N$143),4)</f>
        <v/>
      </c>
      <c r="M33" s="62" t="n"/>
    </row>
    <row r="34">
      <c r="C34" s="59" t="inlineStr">
        <is>
          <t>Recepciones programadas (ya pedido)</t>
        </is>
      </c>
      <c r="D34" s="60" t="n"/>
      <c r="E34" s="61">
        <f>SUMIF(Inventario!$M$5:$M$87,"#"&amp;$A33,Inventario!E$5:E$87)</f>
        <v/>
      </c>
      <c r="F34" s="61">
        <f>SUMIF(Inventario!$M$5:$M$87,"#"&amp;$A33,Inventario!F$5:F$87)</f>
        <v/>
      </c>
      <c r="G34" s="61">
        <f>SUMIF(Inventario!$M$5:$M$87,"#"&amp;$A33,Inventario!G$5:G$87)</f>
        <v/>
      </c>
      <c r="H34" s="61">
        <f>SUMIF(Inventario!$M$5:$M$87,"#"&amp;$A33,Inventario!H$5:H$87)</f>
        <v/>
      </c>
      <c r="I34" s="61">
        <f>SUMIF(Inventario!$M$5:$M$87,"#"&amp;$A33,Inventario!I$5:I$87)</f>
        <v/>
      </c>
      <c r="J34" s="61">
        <f>SUMIF(Inventario!$M$5:$M$87,"#"&amp;$A33,Inventario!J$5:J$87)</f>
        <v/>
      </c>
      <c r="K34" s="61">
        <f>SUMIF(Inventario!$M$5:$M$87,"#"&amp;$A33,Inventario!K$5:K$87)</f>
        <v/>
      </c>
      <c r="L34" s="61">
        <f>SUMIF(Inventario!$M$5:$M$87,"#"&amp;$A33,Inventario!L$5:L$87)</f>
        <v/>
      </c>
      <c r="M34" s="62" t="n"/>
    </row>
    <row r="35">
      <c r="C35" s="59" t="inlineStr">
        <is>
          <t>Stock proyectado disponible</t>
        </is>
      </c>
      <c r="D35" s="63">
        <f>SUMIF(Inventario!$M$5:$M$87,"#"&amp;$A33,Inventario!$C$5:$C$87)</f>
        <v/>
      </c>
      <c r="E35" s="64">
        <f>D35+E34+E37-E33</f>
        <v/>
      </c>
      <c r="F35" s="64">
        <f>E35+F34+F37-F33</f>
        <v/>
      </c>
      <c r="G35" s="64">
        <f>F35+G34+G37-G33</f>
        <v/>
      </c>
      <c r="H35" s="64">
        <f>G35+H34+H37-H33</f>
        <v/>
      </c>
      <c r="I35" s="64">
        <f>H35+I34+I37-I33</f>
        <v/>
      </c>
      <c r="J35" s="64">
        <f>I35+J34+J37-J33</f>
        <v/>
      </c>
      <c r="K35" s="64">
        <f>J35+K34+K37-K33</f>
        <v/>
      </c>
      <c r="L35" s="64">
        <f>K35+L34+L37-L33</f>
        <v/>
      </c>
      <c r="M35" s="62" t="n"/>
    </row>
    <row r="36">
      <c r="C36" s="59" t="inlineStr">
        <is>
          <t>Necesidad neta</t>
        </is>
      </c>
      <c r="D36" s="60" t="n"/>
      <c r="E36" s="65">
        <f>MAX(0,ROUND(E33+Materiales!$H$8-D35-E34,4))</f>
        <v/>
      </c>
      <c r="F36" s="65">
        <f>MAX(0,ROUND(F33+Materiales!$H$8-E35-F34,4))</f>
        <v/>
      </c>
      <c r="G36" s="65">
        <f>MAX(0,ROUND(G33+Materiales!$H$8-F35-G34,4))</f>
        <v/>
      </c>
      <c r="H36" s="65">
        <f>MAX(0,ROUND(H33+Materiales!$H$8-G35-H34,4))</f>
        <v/>
      </c>
      <c r="I36" s="65">
        <f>MAX(0,ROUND(I33+Materiales!$H$8-H35-I34,4))</f>
        <v/>
      </c>
      <c r="J36" s="65">
        <f>MAX(0,ROUND(J33+Materiales!$H$8-I35-J34,4))</f>
        <v/>
      </c>
      <c r="K36" s="65">
        <f>MAX(0,ROUND(K33+Materiales!$H$8-J35-K34,4))</f>
        <v/>
      </c>
      <c r="L36" s="65">
        <f>MAX(0,ROUND(L33+Materiales!$H$8-K35-L34,4))</f>
        <v/>
      </c>
      <c r="M36" s="62" t="n"/>
    </row>
    <row r="37">
      <c r="C37" s="59" t="inlineStr">
        <is>
          <t>Recepcion de orden planificada</t>
        </is>
      </c>
      <c r="D37" s="60" t="n"/>
      <c r="E37" s="61">
        <f>IF(E36&lt;=0,0,IF(Materiales!$G$8&lt;=0,E36,ROUNDUP(E36/Materiales!$G$8,0)*Materiales!$G$8))</f>
        <v/>
      </c>
      <c r="F37" s="61">
        <f>IF(F36&lt;=0,0,IF(Materiales!$G$8&lt;=0,F36,ROUNDUP(F36/Materiales!$G$8,0)*Materiales!$G$8))</f>
        <v/>
      </c>
      <c r="G37" s="61">
        <f>IF(G36&lt;=0,0,IF(Materiales!$G$8&lt;=0,G36,ROUNDUP(G36/Materiales!$G$8,0)*Materiales!$G$8))</f>
        <v/>
      </c>
      <c r="H37" s="61">
        <f>IF(H36&lt;=0,0,IF(Materiales!$G$8&lt;=0,H36,ROUNDUP(H36/Materiales!$G$8,0)*Materiales!$G$8))</f>
        <v/>
      </c>
      <c r="I37" s="61">
        <f>IF(I36&lt;=0,0,IF(Materiales!$G$8&lt;=0,I36,ROUNDUP(I36/Materiales!$G$8,0)*Materiales!$G$8))</f>
        <v/>
      </c>
      <c r="J37" s="61">
        <f>IF(J36&lt;=0,0,IF(Materiales!$G$8&lt;=0,J36,ROUNDUP(J36/Materiales!$G$8,0)*Materiales!$G$8))</f>
        <v/>
      </c>
      <c r="K37" s="61">
        <f>IF(K36&lt;=0,0,IF(Materiales!$G$8&lt;=0,K36,ROUNDUP(K36/Materiales!$G$8,0)*Materiales!$G$8))</f>
        <v/>
      </c>
      <c r="L37" s="61">
        <f>IF(L36&lt;=0,0,IF(Materiales!$G$8&lt;=0,L36,ROUNDUP(L36/Materiales!$G$8,0)*Materiales!$G$8))</f>
        <v/>
      </c>
      <c r="M37" s="62" t="n"/>
    </row>
    <row r="38">
      <c r="C38" s="66" t="inlineStr">
        <is>
          <t>LANZAMIENTO DE ORDEN — pedir esta semana</t>
        </is>
      </c>
      <c r="D38" s="60" t="n"/>
      <c r="E38" s="70">
        <f>IF(1+Materiales!$F$8&gt;8,0,INDEX($E$37:$L$37,1,1+Materiales!$F$8))</f>
        <v/>
      </c>
      <c r="F38" s="70">
        <f>IF(2+Materiales!$F$8&gt;8,0,INDEX($E$37:$L$37,1,2+Materiales!$F$8))</f>
        <v/>
      </c>
      <c r="G38" s="70">
        <f>IF(3+Materiales!$F$8&gt;8,0,INDEX($E$37:$L$37,1,3+Materiales!$F$8))</f>
        <v/>
      </c>
      <c r="H38" s="70">
        <f>IF(4+Materiales!$F$8&gt;8,0,INDEX($E$37:$L$37,1,4+Materiales!$F$8))</f>
        <v/>
      </c>
      <c r="I38" s="70">
        <f>IF(5+Materiales!$F$8&gt;8,0,INDEX($E$37:$L$37,1,5+Materiales!$F$8))</f>
        <v/>
      </c>
      <c r="J38" s="70">
        <f>IF(6+Materiales!$F$8&gt;8,0,INDEX($E$37:$L$37,1,6+Materiales!$F$8))</f>
        <v/>
      </c>
      <c r="K38" s="70">
        <f>IF(7+Materiales!$F$8&gt;8,0,INDEX($E$37:$L$37,1,7+Materiales!$F$8))</f>
        <v/>
      </c>
      <c r="L38" s="70">
        <f>IF(8+Materiales!$F$8&gt;8,0,INDEX($E$37:$L$37,1,8+Materiales!$F$8))</f>
        <v/>
      </c>
      <c r="M38" s="68">
        <f>IF($A33="","",IF(SUMPRODUCT((COLUMN($E$37:$L$37)-4&lt;=Materiales!$F$8)*$E$37:$L$37)&gt;0,"PEDIR YA (atrasado)","OK"))</f>
        <v/>
      </c>
    </row>
    <row r="39" ht="6" customHeight="1"/>
    <row r="40">
      <c r="A40" s="58">
        <f>IF(Materiales!$A$9="","",Materiales!$A$9)</f>
        <v/>
      </c>
      <c r="B40" s="58">
        <f>IF(Materiales!$B$9="","",Materiales!$B$9)</f>
        <v/>
      </c>
      <c r="C40" s="59" t="inlineStr">
        <is>
          <t>Necesidad bruta</t>
        </is>
      </c>
      <c r="D40" s="60" t="n"/>
      <c r="E40" s="61">
        <f>ROUND(SUMIF(Consumo!$O$4:$O$143,"#"&amp;$A40,Consumo!G$4:G$143),4)</f>
        <v/>
      </c>
      <c r="F40" s="61">
        <f>ROUND(SUMIF(Consumo!$O$4:$O$143,"#"&amp;$A40,Consumo!H$4:H$143),4)</f>
        <v/>
      </c>
      <c r="G40" s="61">
        <f>ROUND(SUMIF(Consumo!$O$4:$O$143,"#"&amp;$A40,Consumo!I$4:I$143),4)</f>
        <v/>
      </c>
      <c r="H40" s="61">
        <f>ROUND(SUMIF(Consumo!$O$4:$O$143,"#"&amp;$A40,Consumo!J$4:J$143),4)</f>
        <v/>
      </c>
      <c r="I40" s="61">
        <f>ROUND(SUMIF(Consumo!$O$4:$O$143,"#"&amp;$A40,Consumo!K$4:K$143),4)</f>
        <v/>
      </c>
      <c r="J40" s="61">
        <f>ROUND(SUMIF(Consumo!$O$4:$O$143,"#"&amp;$A40,Consumo!L$4:L$143),4)</f>
        <v/>
      </c>
      <c r="K40" s="61">
        <f>ROUND(SUMIF(Consumo!$O$4:$O$143,"#"&amp;$A40,Consumo!M$4:M$143),4)</f>
        <v/>
      </c>
      <c r="L40" s="61">
        <f>ROUND(SUMIF(Consumo!$O$4:$O$143,"#"&amp;$A40,Consumo!N$4:N$143),4)</f>
        <v/>
      </c>
      <c r="M40" s="62" t="n"/>
    </row>
    <row r="41">
      <c r="C41" s="59" t="inlineStr">
        <is>
          <t>Recepciones programadas (ya pedido)</t>
        </is>
      </c>
      <c r="D41" s="60" t="n"/>
      <c r="E41" s="61">
        <f>SUMIF(Inventario!$M$5:$M$87,"#"&amp;$A40,Inventario!E$5:E$87)</f>
        <v/>
      </c>
      <c r="F41" s="61">
        <f>SUMIF(Inventario!$M$5:$M$87,"#"&amp;$A40,Inventario!F$5:F$87)</f>
        <v/>
      </c>
      <c r="G41" s="61">
        <f>SUMIF(Inventario!$M$5:$M$87,"#"&amp;$A40,Inventario!G$5:G$87)</f>
        <v/>
      </c>
      <c r="H41" s="61">
        <f>SUMIF(Inventario!$M$5:$M$87,"#"&amp;$A40,Inventario!H$5:H$87)</f>
        <v/>
      </c>
      <c r="I41" s="61">
        <f>SUMIF(Inventario!$M$5:$M$87,"#"&amp;$A40,Inventario!I$5:I$87)</f>
        <v/>
      </c>
      <c r="J41" s="61">
        <f>SUMIF(Inventario!$M$5:$M$87,"#"&amp;$A40,Inventario!J$5:J$87)</f>
        <v/>
      </c>
      <c r="K41" s="61">
        <f>SUMIF(Inventario!$M$5:$M$87,"#"&amp;$A40,Inventario!K$5:K$87)</f>
        <v/>
      </c>
      <c r="L41" s="61">
        <f>SUMIF(Inventario!$M$5:$M$87,"#"&amp;$A40,Inventario!L$5:L$87)</f>
        <v/>
      </c>
      <c r="M41" s="62" t="n"/>
    </row>
    <row r="42">
      <c r="C42" s="59" t="inlineStr">
        <is>
          <t>Stock proyectado disponible</t>
        </is>
      </c>
      <c r="D42" s="63">
        <f>SUMIF(Inventario!$M$5:$M$87,"#"&amp;$A40,Inventario!$C$5:$C$87)</f>
        <v/>
      </c>
      <c r="E42" s="64">
        <f>D42+E41+E44-E40</f>
        <v/>
      </c>
      <c r="F42" s="64">
        <f>E42+F41+F44-F40</f>
        <v/>
      </c>
      <c r="G42" s="64">
        <f>F42+G41+G44-G40</f>
        <v/>
      </c>
      <c r="H42" s="64">
        <f>G42+H41+H44-H40</f>
        <v/>
      </c>
      <c r="I42" s="64">
        <f>H42+I41+I44-I40</f>
        <v/>
      </c>
      <c r="J42" s="64">
        <f>I42+J41+J44-J40</f>
        <v/>
      </c>
      <c r="K42" s="64">
        <f>J42+K41+K44-K40</f>
        <v/>
      </c>
      <c r="L42" s="64">
        <f>K42+L41+L44-L40</f>
        <v/>
      </c>
      <c r="M42" s="62" t="n"/>
    </row>
    <row r="43">
      <c r="C43" s="59" t="inlineStr">
        <is>
          <t>Necesidad neta</t>
        </is>
      </c>
      <c r="D43" s="60" t="n"/>
      <c r="E43" s="65">
        <f>MAX(0,ROUND(E40+Materiales!$H$9-D42-E41,4))</f>
        <v/>
      </c>
      <c r="F43" s="65">
        <f>MAX(0,ROUND(F40+Materiales!$H$9-E42-F41,4))</f>
        <v/>
      </c>
      <c r="G43" s="65">
        <f>MAX(0,ROUND(G40+Materiales!$H$9-F42-G41,4))</f>
        <v/>
      </c>
      <c r="H43" s="65">
        <f>MAX(0,ROUND(H40+Materiales!$H$9-G42-H41,4))</f>
        <v/>
      </c>
      <c r="I43" s="65">
        <f>MAX(0,ROUND(I40+Materiales!$H$9-H42-I41,4))</f>
        <v/>
      </c>
      <c r="J43" s="65">
        <f>MAX(0,ROUND(J40+Materiales!$H$9-I42-J41,4))</f>
        <v/>
      </c>
      <c r="K43" s="65">
        <f>MAX(0,ROUND(K40+Materiales!$H$9-J42-K41,4))</f>
        <v/>
      </c>
      <c r="L43" s="65">
        <f>MAX(0,ROUND(L40+Materiales!$H$9-K42-L41,4))</f>
        <v/>
      </c>
      <c r="M43" s="62" t="n"/>
    </row>
    <row r="44">
      <c r="C44" s="59" t="inlineStr">
        <is>
          <t>Recepcion de orden planificada</t>
        </is>
      </c>
      <c r="D44" s="60" t="n"/>
      <c r="E44" s="61">
        <f>IF(E43&lt;=0,0,IF(Materiales!$G$9&lt;=0,E43,ROUNDUP(E43/Materiales!$G$9,0)*Materiales!$G$9))</f>
        <v/>
      </c>
      <c r="F44" s="61">
        <f>IF(F43&lt;=0,0,IF(Materiales!$G$9&lt;=0,F43,ROUNDUP(F43/Materiales!$G$9,0)*Materiales!$G$9))</f>
        <v/>
      </c>
      <c r="G44" s="61">
        <f>IF(G43&lt;=0,0,IF(Materiales!$G$9&lt;=0,G43,ROUNDUP(G43/Materiales!$G$9,0)*Materiales!$G$9))</f>
        <v/>
      </c>
      <c r="H44" s="61">
        <f>IF(H43&lt;=0,0,IF(Materiales!$G$9&lt;=0,H43,ROUNDUP(H43/Materiales!$G$9,0)*Materiales!$G$9))</f>
        <v/>
      </c>
      <c r="I44" s="61">
        <f>IF(I43&lt;=0,0,IF(Materiales!$G$9&lt;=0,I43,ROUNDUP(I43/Materiales!$G$9,0)*Materiales!$G$9))</f>
        <v/>
      </c>
      <c r="J44" s="61">
        <f>IF(J43&lt;=0,0,IF(Materiales!$G$9&lt;=0,J43,ROUNDUP(J43/Materiales!$G$9,0)*Materiales!$G$9))</f>
        <v/>
      </c>
      <c r="K44" s="61">
        <f>IF(K43&lt;=0,0,IF(Materiales!$G$9&lt;=0,K43,ROUNDUP(K43/Materiales!$G$9,0)*Materiales!$G$9))</f>
        <v/>
      </c>
      <c r="L44" s="61">
        <f>IF(L43&lt;=0,0,IF(Materiales!$G$9&lt;=0,L43,ROUNDUP(L43/Materiales!$G$9,0)*Materiales!$G$9))</f>
        <v/>
      </c>
      <c r="M44" s="62" t="n"/>
    </row>
    <row r="45">
      <c r="C45" s="66" t="inlineStr">
        <is>
          <t>LANZAMIENTO DE ORDEN — pedir esta semana</t>
        </is>
      </c>
      <c r="D45" s="60" t="n"/>
      <c r="E45" s="70">
        <f>IF(1+Materiales!$F$9&gt;8,0,INDEX($E$44:$L$44,1,1+Materiales!$F$9))</f>
        <v/>
      </c>
      <c r="F45" s="70">
        <f>IF(2+Materiales!$F$9&gt;8,0,INDEX($E$44:$L$44,1,2+Materiales!$F$9))</f>
        <v/>
      </c>
      <c r="G45" s="70">
        <f>IF(3+Materiales!$F$9&gt;8,0,INDEX($E$44:$L$44,1,3+Materiales!$F$9))</f>
        <v/>
      </c>
      <c r="H45" s="70">
        <f>IF(4+Materiales!$F$9&gt;8,0,INDEX($E$44:$L$44,1,4+Materiales!$F$9))</f>
        <v/>
      </c>
      <c r="I45" s="70">
        <f>IF(5+Materiales!$F$9&gt;8,0,INDEX($E$44:$L$44,1,5+Materiales!$F$9))</f>
        <v/>
      </c>
      <c r="J45" s="70">
        <f>IF(6+Materiales!$F$9&gt;8,0,INDEX($E$44:$L$44,1,6+Materiales!$F$9))</f>
        <v/>
      </c>
      <c r="K45" s="70">
        <f>IF(7+Materiales!$F$9&gt;8,0,INDEX($E$44:$L$44,1,7+Materiales!$F$9))</f>
        <v/>
      </c>
      <c r="L45" s="70">
        <f>IF(8+Materiales!$F$9&gt;8,0,INDEX($E$44:$L$44,1,8+Materiales!$F$9))</f>
        <v/>
      </c>
      <c r="M45" s="68">
        <f>IF($A40="","",IF(SUMPRODUCT((COLUMN($E$44:$L$44)-4&lt;=Materiales!$F$9)*$E$44:$L$44)&gt;0,"PEDIR YA (atrasado)","OK"))</f>
        <v/>
      </c>
    </row>
    <row r="46" ht="6" customHeight="1"/>
    <row r="47">
      <c r="A47" s="58">
        <f>IF(Materiales!$A$10="","",Materiales!$A$10)</f>
        <v/>
      </c>
      <c r="B47" s="58">
        <f>IF(Materiales!$B$10="","",Materiales!$B$10)</f>
        <v/>
      </c>
      <c r="C47" s="59" t="inlineStr">
        <is>
          <t>Necesidad bruta</t>
        </is>
      </c>
      <c r="D47" s="60" t="n"/>
      <c r="E47" s="61">
        <f>ROUND(SUMIF(Consumo!$O$4:$O$143,"#"&amp;$A47,Consumo!G$4:G$143),4)</f>
        <v/>
      </c>
      <c r="F47" s="61">
        <f>ROUND(SUMIF(Consumo!$O$4:$O$143,"#"&amp;$A47,Consumo!H$4:H$143),4)</f>
        <v/>
      </c>
      <c r="G47" s="61">
        <f>ROUND(SUMIF(Consumo!$O$4:$O$143,"#"&amp;$A47,Consumo!I$4:I$143),4)</f>
        <v/>
      </c>
      <c r="H47" s="61">
        <f>ROUND(SUMIF(Consumo!$O$4:$O$143,"#"&amp;$A47,Consumo!J$4:J$143),4)</f>
        <v/>
      </c>
      <c r="I47" s="61">
        <f>ROUND(SUMIF(Consumo!$O$4:$O$143,"#"&amp;$A47,Consumo!K$4:K$143),4)</f>
        <v/>
      </c>
      <c r="J47" s="61">
        <f>ROUND(SUMIF(Consumo!$O$4:$O$143,"#"&amp;$A47,Consumo!L$4:L$143),4)</f>
        <v/>
      </c>
      <c r="K47" s="61">
        <f>ROUND(SUMIF(Consumo!$O$4:$O$143,"#"&amp;$A47,Consumo!M$4:M$143),4)</f>
        <v/>
      </c>
      <c r="L47" s="61">
        <f>ROUND(SUMIF(Consumo!$O$4:$O$143,"#"&amp;$A47,Consumo!N$4:N$143),4)</f>
        <v/>
      </c>
      <c r="M47" s="62" t="n"/>
    </row>
    <row r="48">
      <c r="C48" s="59" t="inlineStr">
        <is>
          <t>Recepciones programadas (ya pedido)</t>
        </is>
      </c>
      <c r="D48" s="60" t="n"/>
      <c r="E48" s="61">
        <f>SUMIF(Inventario!$M$5:$M$87,"#"&amp;$A47,Inventario!E$5:E$87)</f>
        <v/>
      </c>
      <c r="F48" s="61">
        <f>SUMIF(Inventario!$M$5:$M$87,"#"&amp;$A47,Inventario!F$5:F$87)</f>
        <v/>
      </c>
      <c r="G48" s="61">
        <f>SUMIF(Inventario!$M$5:$M$87,"#"&amp;$A47,Inventario!G$5:G$87)</f>
        <v/>
      </c>
      <c r="H48" s="61">
        <f>SUMIF(Inventario!$M$5:$M$87,"#"&amp;$A47,Inventario!H$5:H$87)</f>
        <v/>
      </c>
      <c r="I48" s="61">
        <f>SUMIF(Inventario!$M$5:$M$87,"#"&amp;$A47,Inventario!I$5:I$87)</f>
        <v/>
      </c>
      <c r="J48" s="61">
        <f>SUMIF(Inventario!$M$5:$M$87,"#"&amp;$A47,Inventario!J$5:J$87)</f>
        <v/>
      </c>
      <c r="K48" s="61">
        <f>SUMIF(Inventario!$M$5:$M$87,"#"&amp;$A47,Inventario!K$5:K$87)</f>
        <v/>
      </c>
      <c r="L48" s="61">
        <f>SUMIF(Inventario!$M$5:$M$87,"#"&amp;$A47,Inventario!L$5:L$87)</f>
        <v/>
      </c>
      <c r="M48" s="62" t="n"/>
    </row>
    <row r="49">
      <c r="C49" s="59" t="inlineStr">
        <is>
          <t>Stock proyectado disponible</t>
        </is>
      </c>
      <c r="D49" s="63">
        <f>SUMIF(Inventario!$M$5:$M$87,"#"&amp;$A47,Inventario!$C$5:$C$87)</f>
        <v/>
      </c>
      <c r="E49" s="64">
        <f>D49+E48+E51-E47</f>
        <v/>
      </c>
      <c r="F49" s="64">
        <f>E49+F48+F51-F47</f>
        <v/>
      </c>
      <c r="G49" s="64">
        <f>F49+G48+G51-G47</f>
        <v/>
      </c>
      <c r="H49" s="64">
        <f>G49+H48+H51-H47</f>
        <v/>
      </c>
      <c r="I49" s="64">
        <f>H49+I48+I51-I47</f>
        <v/>
      </c>
      <c r="J49" s="64">
        <f>I49+J48+J51-J47</f>
        <v/>
      </c>
      <c r="K49" s="64">
        <f>J49+K48+K51-K47</f>
        <v/>
      </c>
      <c r="L49" s="64">
        <f>K49+L48+L51-L47</f>
        <v/>
      </c>
      <c r="M49" s="62" t="n"/>
    </row>
    <row r="50">
      <c r="C50" s="59" t="inlineStr">
        <is>
          <t>Necesidad neta</t>
        </is>
      </c>
      <c r="D50" s="60" t="n"/>
      <c r="E50" s="65">
        <f>MAX(0,ROUND(E47+Materiales!$H$10-D49-E48,4))</f>
        <v/>
      </c>
      <c r="F50" s="65">
        <f>MAX(0,ROUND(F47+Materiales!$H$10-E49-F48,4))</f>
        <v/>
      </c>
      <c r="G50" s="65">
        <f>MAX(0,ROUND(G47+Materiales!$H$10-F49-G48,4))</f>
        <v/>
      </c>
      <c r="H50" s="65">
        <f>MAX(0,ROUND(H47+Materiales!$H$10-G49-H48,4))</f>
        <v/>
      </c>
      <c r="I50" s="65">
        <f>MAX(0,ROUND(I47+Materiales!$H$10-H49-I48,4))</f>
        <v/>
      </c>
      <c r="J50" s="65">
        <f>MAX(0,ROUND(J47+Materiales!$H$10-I49-J48,4))</f>
        <v/>
      </c>
      <c r="K50" s="65">
        <f>MAX(0,ROUND(K47+Materiales!$H$10-J49-K48,4))</f>
        <v/>
      </c>
      <c r="L50" s="65">
        <f>MAX(0,ROUND(L47+Materiales!$H$10-K49-L48,4))</f>
        <v/>
      </c>
      <c r="M50" s="62" t="n"/>
    </row>
    <row r="51">
      <c r="C51" s="59" t="inlineStr">
        <is>
          <t>Recepcion de orden planificada</t>
        </is>
      </c>
      <c r="D51" s="60" t="n"/>
      <c r="E51" s="61">
        <f>IF(E50&lt;=0,0,IF(Materiales!$G$10&lt;=0,E50,ROUNDUP(E50/Materiales!$G$10,0)*Materiales!$G$10))</f>
        <v/>
      </c>
      <c r="F51" s="61">
        <f>IF(F50&lt;=0,0,IF(Materiales!$G$10&lt;=0,F50,ROUNDUP(F50/Materiales!$G$10,0)*Materiales!$G$10))</f>
        <v/>
      </c>
      <c r="G51" s="61">
        <f>IF(G50&lt;=0,0,IF(Materiales!$G$10&lt;=0,G50,ROUNDUP(G50/Materiales!$G$10,0)*Materiales!$G$10))</f>
        <v/>
      </c>
      <c r="H51" s="61">
        <f>IF(H50&lt;=0,0,IF(Materiales!$G$10&lt;=0,H50,ROUNDUP(H50/Materiales!$G$10,0)*Materiales!$G$10))</f>
        <v/>
      </c>
      <c r="I51" s="61">
        <f>IF(I50&lt;=0,0,IF(Materiales!$G$10&lt;=0,I50,ROUNDUP(I50/Materiales!$G$10,0)*Materiales!$G$10))</f>
        <v/>
      </c>
      <c r="J51" s="61">
        <f>IF(J50&lt;=0,0,IF(Materiales!$G$10&lt;=0,J50,ROUNDUP(J50/Materiales!$G$10,0)*Materiales!$G$10))</f>
        <v/>
      </c>
      <c r="K51" s="61">
        <f>IF(K50&lt;=0,0,IF(Materiales!$G$10&lt;=0,K50,ROUNDUP(K50/Materiales!$G$10,0)*Materiales!$G$10))</f>
        <v/>
      </c>
      <c r="L51" s="61">
        <f>IF(L50&lt;=0,0,IF(Materiales!$G$10&lt;=0,L50,ROUNDUP(L50/Materiales!$G$10,0)*Materiales!$G$10))</f>
        <v/>
      </c>
      <c r="M51" s="62" t="n"/>
    </row>
    <row r="52">
      <c r="C52" s="66" t="inlineStr">
        <is>
          <t>LANZAMIENTO DE ORDEN — pedir esta semana</t>
        </is>
      </c>
      <c r="D52" s="60" t="n"/>
      <c r="E52" s="70">
        <f>IF(1+Materiales!$F$10&gt;8,0,INDEX($E$51:$L$51,1,1+Materiales!$F$10))</f>
        <v/>
      </c>
      <c r="F52" s="70">
        <f>IF(2+Materiales!$F$10&gt;8,0,INDEX($E$51:$L$51,1,2+Materiales!$F$10))</f>
        <v/>
      </c>
      <c r="G52" s="70">
        <f>IF(3+Materiales!$F$10&gt;8,0,INDEX($E$51:$L$51,1,3+Materiales!$F$10))</f>
        <v/>
      </c>
      <c r="H52" s="70">
        <f>IF(4+Materiales!$F$10&gt;8,0,INDEX($E$51:$L$51,1,4+Materiales!$F$10))</f>
        <v/>
      </c>
      <c r="I52" s="70">
        <f>IF(5+Materiales!$F$10&gt;8,0,INDEX($E$51:$L$51,1,5+Materiales!$F$10))</f>
        <v/>
      </c>
      <c r="J52" s="70">
        <f>IF(6+Materiales!$F$10&gt;8,0,INDEX($E$51:$L$51,1,6+Materiales!$F$10))</f>
        <v/>
      </c>
      <c r="K52" s="70">
        <f>IF(7+Materiales!$F$10&gt;8,0,INDEX($E$51:$L$51,1,7+Materiales!$F$10))</f>
        <v/>
      </c>
      <c r="L52" s="70">
        <f>IF(8+Materiales!$F$10&gt;8,0,INDEX($E$51:$L$51,1,8+Materiales!$F$10))</f>
        <v/>
      </c>
      <c r="M52" s="68">
        <f>IF($A47="","",IF(SUMPRODUCT((COLUMN($E$51:$L$51)-4&lt;=Materiales!$F$10)*$E$51:$L$51)&gt;0,"PEDIR YA (atrasado)","OK"))</f>
        <v/>
      </c>
    </row>
    <row r="53" ht="6" customHeight="1"/>
    <row r="54">
      <c r="A54" s="58">
        <f>IF(Materiales!$A$11="","",Materiales!$A$11)</f>
        <v/>
      </c>
      <c r="B54" s="58">
        <f>IF(Materiales!$B$11="","",Materiales!$B$11)</f>
        <v/>
      </c>
      <c r="C54" s="59" t="inlineStr">
        <is>
          <t>Necesidad bruta</t>
        </is>
      </c>
      <c r="D54" s="60" t="n"/>
      <c r="E54" s="61">
        <f>ROUND(SUMIF(Consumo!$O$4:$O$143,"#"&amp;$A54,Consumo!G$4:G$143),4)</f>
        <v/>
      </c>
      <c r="F54" s="61">
        <f>ROUND(SUMIF(Consumo!$O$4:$O$143,"#"&amp;$A54,Consumo!H$4:H$143),4)</f>
        <v/>
      </c>
      <c r="G54" s="61">
        <f>ROUND(SUMIF(Consumo!$O$4:$O$143,"#"&amp;$A54,Consumo!I$4:I$143),4)</f>
        <v/>
      </c>
      <c r="H54" s="61">
        <f>ROUND(SUMIF(Consumo!$O$4:$O$143,"#"&amp;$A54,Consumo!J$4:J$143),4)</f>
        <v/>
      </c>
      <c r="I54" s="61">
        <f>ROUND(SUMIF(Consumo!$O$4:$O$143,"#"&amp;$A54,Consumo!K$4:K$143),4)</f>
        <v/>
      </c>
      <c r="J54" s="61">
        <f>ROUND(SUMIF(Consumo!$O$4:$O$143,"#"&amp;$A54,Consumo!L$4:L$143),4)</f>
        <v/>
      </c>
      <c r="K54" s="61">
        <f>ROUND(SUMIF(Consumo!$O$4:$O$143,"#"&amp;$A54,Consumo!M$4:M$143),4)</f>
        <v/>
      </c>
      <c r="L54" s="61">
        <f>ROUND(SUMIF(Consumo!$O$4:$O$143,"#"&amp;$A54,Consumo!N$4:N$143),4)</f>
        <v/>
      </c>
      <c r="M54" s="62" t="n"/>
    </row>
    <row r="55">
      <c r="C55" s="59" t="inlineStr">
        <is>
          <t>Recepciones programadas (ya pedido)</t>
        </is>
      </c>
      <c r="D55" s="60" t="n"/>
      <c r="E55" s="61">
        <f>SUMIF(Inventario!$M$5:$M$87,"#"&amp;$A54,Inventario!E$5:E$87)</f>
        <v/>
      </c>
      <c r="F55" s="61">
        <f>SUMIF(Inventario!$M$5:$M$87,"#"&amp;$A54,Inventario!F$5:F$87)</f>
        <v/>
      </c>
      <c r="G55" s="61">
        <f>SUMIF(Inventario!$M$5:$M$87,"#"&amp;$A54,Inventario!G$5:G$87)</f>
        <v/>
      </c>
      <c r="H55" s="61">
        <f>SUMIF(Inventario!$M$5:$M$87,"#"&amp;$A54,Inventario!H$5:H$87)</f>
        <v/>
      </c>
      <c r="I55" s="61">
        <f>SUMIF(Inventario!$M$5:$M$87,"#"&amp;$A54,Inventario!I$5:I$87)</f>
        <v/>
      </c>
      <c r="J55" s="61">
        <f>SUMIF(Inventario!$M$5:$M$87,"#"&amp;$A54,Inventario!J$5:J$87)</f>
        <v/>
      </c>
      <c r="K55" s="61">
        <f>SUMIF(Inventario!$M$5:$M$87,"#"&amp;$A54,Inventario!K$5:K$87)</f>
        <v/>
      </c>
      <c r="L55" s="61">
        <f>SUMIF(Inventario!$M$5:$M$87,"#"&amp;$A54,Inventario!L$5:L$87)</f>
        <v/>
      </c>
      <c r="M55" s="62" t="n"/>
    </row>
    <row r="56">
      <c r="C56" s="59" t="inlineStr">
        <is>
          <t>Stock proyectado disponible</t>
        </is>
      </c>
      <c r="D56" s="63">
        <f>SUMIF(Inventario!$M$5:$M$87,"#"&amp;$A54,Inventario!$C$5:$C$87)</f>
        <v/>
      </c>
      <c r="E56" s="64">
        <f>D56+E55+E58-E54</f>
        <v/>
      </c>
      <c r="F56" s="64">
        <f>E56+F55+F58-F54</f>
        <v/>
      </c>
      <c r="G56" s="64">
        <f>F56+G55+G58-G54</f>
        <v/>
      </c>
      <c r="H56" s="64">
        <f>G56+H55+H58-H54</f>
        <v/>
      </c>
      <c r="I56" s="64">
        <f>H56+I55+I58-I54</f>
        <v/>
      </c>
      <c r="J56" s="64">
        <f>I56+J55+J58-J54</f>
        <v/>
      </c>
      <c r="K56" s="64">
        <f>J56+K55+K58-K54</f>
        <v/>
      </c>
      <c r="L56" s="64">
        <f>K56+L55+L58-L54</f>
        <v/>
      </c>
      <c r="M56" s="62" t="n"/>
    </row>
    <row r="57">
      <c r="C57" s="59" t="inlineStr">
        <is>
          <t>Necesidad neta</t>
        </is>
      </c>
      <c r="D57" s="60" t="n"/>
      <c r="E57" s="65">
        <f>MAX(0,ROUND(E54+Materiales!$H$11-D56-E55,4))</f>
        <v/>
      </c>
      <c r="F57" s="65">
        <f>MAX(0,ROUND(F54+Materiales!$H$11-E56-F55,4))</f>
        <v/>
      </c>
      <c r="G57" s="65">
        <f>MAX(0,ROUND(G54+Materiales!$H$11-F56-G55,4))</f>
        <v/>
      </c>
      <c r="H57" s="65">
        <f>MAX(0,ROUND(H54+Materiales!$H$11-G56-H55,4))</f>
        <v/>
      </c>
      <c r="I57" s="65">
        <f>MAX(0,ROUND(I54+Materiales!$H$11-H56-I55,4))</f>
        <v/>
      </c>
      <c r="J57" s="65">
        <f>MAX(0,ROUND(J54+Materiales!$H$11-I56-J55,4))</f>
        <v/>
      </c>
      <c r="K57" s="65">
        <f>MAX(0,ROUND(K54+Materiales!$H$11-J56-K55,4))</f>
        <v/>
      </c>
      <c r="L57" s="65">
        <f>MAX(0,ROUND(L54+Materiales!$H$11-K56-L55,4))</f>
        <v/>
      </c>
      <c r="M57" s="62" t="n"/>
    </row>
    <row r="58">
      <c r="C58" s="59" t="inlineStr">
        <is>
          <t>Recepcion de orden planificada</t>
        </is>
      </c>
      <c r="D58" s="60" t="n"/>
      <c r="E58" s="61">
        <f>IF(E57&lt;=0,0,IF(Materiales!$G$11&lt;=0,E57,ROUNDUP(E57/Materiales!$G$11,0)*Materiales!$G$11))</f>
        <v/>
      </c>
      <c r="F58" s="61">
        <f>IF(F57&lt;=0,0,IF(Materiales!$G$11&lt;=0,F57,ROUNDUP(F57/Materiales!$G$11,0)*Materiales!$G$11))</f>
        <v/>
      </c>
      <c r="G58" s="61">
        <f>IF(G57&lt;=0,0,IF(Materiales!$G$11&lt;=0,G57,ROUNDUP(G57/Materiales!$G$11,0)*Materiales!$G$11))</f>
        <v/>
      </c>
      <c r="H58" s="61">
        <f>IF(H57&lt;=0,0,IF(Materiales!$G$11&lt;=0,H57,ROUNDUP(H57/Materiales!$G$11,0)*Materiales!$G$11))</f>
        <v/>
      </c>
      <c r="I58" s="61">
        <f>IF(I57&lt;=0,0,IF(Materiales!$G$11&lt;=0,I57,ROUNDUP(I57/Materiales!$G$11,0)*Materiales!$G$11))</f>
        <v/>
      </c>
      <c r="J58" s="61">
        <f>IF(J57&lt;=0,0,IF(Materiales!$G$11&lt;=0,J57,ROUNDUP(J57/Materiales!$G$11,0)*Materiales!$G$11))</f>
        <v/>
      </c>
      <c r="K58" s="61">
        <f>IF(K57&lt;=0,0,IF(Materiales!$G$11&lt;=0,K57,ROUNDUP(K57/Materiales!$G$11,0)*Materiales!$G$11))</f>
        <v/>
      </c>
      <c r="L58" s="61">
        <f>IF(L57&lt;=0,0,IF(Materiales!$G$11&lt;=0,L57,ROUNDUP(L57/Materiales!$G$11,0)*Materiales!$G$11))</f>
        <v/>
      </c>
      <c r="M58" s="62" t="n"/>
    </row>
    <row r="59">
      <c r="C59" s="66" t="inlineStr">
        <is>
          <t>LANZAMIENTO DE ORDEN — pedir esta semana</t>
        </is>
      </c>
      <c r="D59" s="60" t="n"/>
      <c r="E59" s="70">
        <f>IF(1+Materiales!$F$11&gt;8,0,INDEX($E$58:$L$58,1,1+Materiales!$F$11))</f>
        <v/>
      </c>
      <c r="F59" s="70">
        <f>IF(2+Materiales!$F$11&gt;8,0,INDEX($E$58:$L$58,1,2+Materiales!$F$11))</f>
        <v/>
      </c>
      <c r="G59" s="70">
        <f>IF(3+Materiales!$F$11&gt;8,0,INDEX($E$58:$L$58,1,3+Materiales!$F$11))</f>
        <v/>
      </c>
      <c r="H59" s="70">
        <f>IF(4+Materiales!$F$11&gt;8,0,INDEX($E$58:$L$58,1,4+Materiales!$F$11))</f>
        <v/>
      </c>
      <c r="I59" s="70">
        <f>IF(5+Materiales!$F$11&gt;8,0,INDEX($E$58:$L$58,1,5+Materiales!$F$11))</f>
        <v/>
      </c>
      <c r="J59" s="70">
        <f>IF(6+Materiales!$F$11&gt;8,0,INDEX($E$58:$L$58,1,6+Materiales!$F$11))</f>
        <v/>
      </c>
      <c r="K59" s="70">
        <f>IF(7+Materiales!$F$11&gt;8,0,INDEX($E$58:$L$58,1,7+Materiales!$F$11))</f>
        <v/>
      </c>
      <c r="L59" s="70">
        <f>IF(8+Materiales!$F$11&gt;8,0,INDEX($E$58:$L$58,1,8+Materiales!$F$11))</f>
        <v/>
      </c>
      <c r="M59" s="68">
        <f>IF($A54="","",IF(SUMPRODUCT((COLUMN($E$58:$L$58)-4&lt;=Materiales!$F$11)*$E$58:$L$58)&gt;0,"PEDIR YA (atrasado)","OK"))</f>
        <v/>
      </c>
    </row>
    <row r="60" ht="6" customHeight="1"/>
    <row r="61">
      <c r="A61" s="58">
        <f>IF(Materiales!$A$12="","",Materiales!$A$12)</f>
        <v/>
      </c>
      <c r="B61" s="58">
        <f>IF(Materiales!$B$12="","",Materiales!$B$12)</f>
        <v/>
      </c>
      <c r="C61" s="59" t="inlineStr">
        <is>
          <t>Necesidad bruta</t>
        </is>
      </c>
      <c r="D61" s="60" t="n"/>
      <c r="E61" s="61">
        <f>ROUND(SUMIF(Consumo!$O$4:$O$143,"#"&amp;$A61,Consumo!G$4:G$143),4)</f>
        <v/>
      </c>
      <c r="F61" s="61">
        <f>ROUND(SUMIF(Consumo!$O$4:$O$143,"#"&amp;$A61,Consumo!H$4:H$143),4)</f>
        <v/>
      </c>
      <c r="G61" s="61">
        <f>ROUND(SUMIF(Consumo!$O$4:$O$143,"#"&amp;$A61,Consumo!I$4:I$143),4)</f>
        <v/>
      </c>
      <c r="H61" s="61">
        <f>ROUND(SUMIF(Consumo!$O$4:$O$143,"#"&amp;$A61,Consumo!J$4:J$143),4)</f>
        <v/>
      </c>
      <c r="I61" s="61">
        <f>ROUND(SUMIF(Consumo!$O$4:$O$143,"#"&amp;$A61,Consumo!K$4:K$143),4)</f>
        <v/>
      </c>
      <c r="J61" s="61">
        <f>ROUND(SUMIF(Consumo!$O$4:$O$143,"#"&amp;$A61,Consumo!L$4:L$143),4)</f>
        <v/>
      </c>
      <c r="K61" s="61">
        <f>ROUND(SUMIF(Consumo!$O$4:$O$143,"#"&amp;$A61,Consumo!M$4:M$143),4)</f>
        <v/>
      </c>
      <c r="L61" s="61">
        <f>ROUND(SUMIF(Consumo!$O$4:$O$143,"#"&amp;$A61,Consumo!N$4:N$143),4)</f>
        <v/>
      </c>
      <c r="M61" s="62" t="n"/>
    </row>
    <row r="62">
      <c r="C62" s="59" t="inlineStr">
        <is>
          <t>Recepciones programadas (ya pedido)</t>
        </is>
      </c>
      <c r="D62" s="60" t="n"/>
      <c r="E62" s="61">
        <f>SUMIF(Inventario!$M$5:$M$87,"#"&amp;$A61,Inventario!E$5:E$87)</f>
        <v/>
      </c>
      <c r="F62" s="61">
        <f>SUMIF(Inventario!$M$5:$M$87,"#"&amp;$A61,Inventario!F$5:F$87)</f>
        <v/>
      </c>
      <c r="G62" s="61">
        <f>SUMIF(Inventario!$M$5:$M$87,"#"&amp;$A61,Inventario!G$5:G$87)</f>
        <v/>
      </c>
      <c r="H62" s="61">
        <f>SUMIF(Inventario!$M$5:$M$87,"#"&amp;$A61,Inventario!H$5:H$87)</f>
        <v/>
      </c>
      <c r="I62" s="61">
        <f>SUMIF(Inventario!$M$5:$M$87,"#"&amp;$A61,Inventario!I$5:I$87)</f>
        <v/>
      </c>
      <c r="J62" s="61">
        <f>SUMIF(Inventario!$M$5:$M$87,"#"&amp;$A61,Inventario!J$5:J$87)</f>
        <v/>
      </c>
      <c r="K62" s="61">
        <f>SUMIF(Inventario!$M$5:$M$87,"#"&amp;$A61,Inventario!K$5:K$87)</f>
        <v/>
      </c>
      <c r="L62" s="61">
        <f>SUMIF(Inventario!$M$5:$M$87,"#"&amp;$A61,Inventario!L$5:L$87)</f>
        <v/>
      </c>
      <c r="M62" s="62" t="n"/>
    </row>
    <row r="63">
      <c r="C63" s="59" t="inlineStr">
        <is>
          <t>Stock proyectado disponible</t>
        </is>
      </c>
      <c r="D63" s="63">
        <f>SUMIF(Inventario!$M$5:$M$87,"#"&amp;$A61,Inventario!$C$5:$C$87)</f>
        <v/>
      </c>
      <c r="E63" s="64">
        <f>D63+E62+E65-E61</f>
        <v/>
      </c>
      <c r="F63" s="64">
        <f>E63+F62+F65-F61</f>
        <v/>
      </c>
      <c r="G63" s="64">
        <f>F63+G62+G65-G61</f>
        <v/>
      </c>
      <c r="H63" s="64">
        <f>G63+H62+H65-H61</f>
        <v/>
      </c>
      <c r="I63" s="64">
        <f>H63+I62+I65-I61</f>
        <v/>
      </c>
      <c r="J63" s="64">
        <f>I63+J62+J65-J61</f>
        <v/>
      </c>
      <c r="K63" s="64">
        <f>J63+K62+K65-K61</f>
        <v/>
      </c>
      <c r="L63" s="64">
        <f>K63+L62+L65-L61</f>
        <v/>
      </c>
      <c r="M63" s="62" t="n"/>
    </row>
    <row r="64">
      <c r="C64" s="59" t="inlineStr">
        <is>
          <t>Necesidad neta</t>
        </is>
      </c>
      <c r="D64" s="60" t="n"/>
      <c r="E64" s="65">
        <f>MAX(0,ROUND(E61+Materiales!$H$12-D63-E62,4))</f>
        <v/>
      </c>
      <c r="F64" s="65">
        <f>MAX(0,ROUND(F61+Materiales!$H$12-E63-F62,4))</f>
        <v/>
      </c>
      <c r="G64" s="65">
        <f>MAX(0,ROUND(G61+Materiales!$H$12-F63-G62,4))</f>
        <v/>
      </c>
      <c r="H64" s="65">
        <f>MAX(0,ROUND(H61+Materiales!$H$12-G63-H62,4))</f>
        <v/>
      </c>
      <c r="I64" s="65">
        <f>MAX(0,ROUND(I61+Materiales!$H$12-H63-I62,4))</f>
        <v/>
      </c>
      <c r="J64" s="65">
        <f>MAX(0,ROUND(J61+Materiales!$H$12-I63-J62,4))</f>
        <v/>
      </c>
      <c r="K64" s="65">
        <f>MAX(0,ROUND(K61+Materiales!$H$12-J63-K62,4))</f>
        <v/>
      </c>
      <c r="L64" s="65">
        <f>MAX(0,ROUND(L61+Materiales!$H$12-K63-L62,4))</f>
        <v/>
      </c>
      <c r="M64" s="62" t="n"/>
    </row>
    <row r="65">
      <c r="C65" s="59" t="inlineStr">
        <is>
          <t>Recepcion de orden planificada</t>
        </is>
      </c>
      <c r="D65" s="60" t="n"/>
      <c r="E65" s="61">
        <f>IF(E64&lt;=0,0,IF(Materiales!$G$12&lt;=0,E64,ROUNDUP(E64/Materiales!$G$12,0)*Materiales!$G$12))</f>
        <v/>
      </c>
      <c r="F65" s="61">
        <f>IF(F64&lt;=0,0,IF(Materiales!$G$12&lt;=0,F64,ROUNDUP(F64/Materiales!$G$12,0)*Materiales!$G$12))</f>
        <v/>
      </c>
      <c r="G65" s="61">
        <f>IF(G64&lt;=0,0,IF(Materiales!$G$12&lt;=0,G64,ROUNDUP(G64/Materiales!$G$12,0)*Materiales!$G$12))</f>
        <v/>
      </c>
      <c r="H65" s="61">
        <f>IF(H64&lt;=0,0,IF(Materiales!$G$12&lt;=0,H64,ROUNDUP(H64/Materiales!$G$12,0)*Materiales!$G$12))</f>
        <v/>
      </c>
      <c r="I65" s="61">
        <f>IF(I64&lt;=0,0,IF(Materiales!$G$12&lt;=0,I64,ROUNDUP(I64/Materiales!$G$12,0)*Materiales!$G$12))</f>
        <v/>
      </c>
      <c r="J65" s="61">
        <f>IF(J64&lt;=0,0,IF(Materiales!$G$12&lt;=0,J64,ROUNDUP(J64/Materiales!$G$12,0)*Materiales!$G$12))</f>
        <v/>
      </c>
      <c r="K65" s="61">
        <f>IF(K64&lt;=0,0,IF(Materiales!$G$12&lt;=0,K64,ROUNDUP(K64/Materiales!$G$12,0)*Materiales!$G$12))</f>
        <v/>
      </c>
      <c r="L65" s="61">
        <f>IF(L64&lt;=0,0,IF(Materiales!$G$12&lt;=0,L64,ROUNDUP(L64/Materiales!$G$12,0)*Materiales!$G$12))</f>
        <v/>
      </c>
      <c r="M65" s="62" t="n"/>
    </row>
    <row r="66">
      <c r="C66" s="66" t="inlineStr">
        <is>
          <t>LANZAMIENTO DE ORDEN — pedir esta semana</t>
        </is>
      </c>
      <c r="D66" s="60" t="n"/>
      <c r="E66" s="70">
        <f>IF(1+Materiales!$F$12&gt;8,0,INDEX($E$65:$L$65,1,1+Materiales!$F$12))</f>
        <v/>
      </c>
      <c r="F66" s="70">
        <f>IF(2+Materiales!$F$12&gt;8,0,INDEX($E$65:$L$65,1,2+Materiales!$F$12))</f>
        <v/>
      </c>
      <c r="G66" s="70">
        <f>IF(3+Materiales!$F$12&gt;8,0,INDEX($E$65:$L$65,1,3+Materiales!$F$12))</f>
        <v/>
      </c>
      <c r="H66" s="70">
        <f>IF(4+Materiales!$F$12&gt;8,0,INDEX($E$65:$L$65,1,4+Materiales!$F$12))</f>
        <v/>
      </c>
      <c r="I66" s="70">
        <f>IF(5+Materiales!$F$12&gt;8,0,INDEX($E$65:$L$65,1,5+Materiales!$F$12))</f>
        <v/>
      </c>
      <c r="J66" s="70">
        <f>IF(6+Materiales!$F$12&gt;8,0,INDEX($E$65:$L$65,1,6+Materiales!$F$12))</f>
        <v/>
      </c>
      <c r="K66" s="70">
        <f>IF(7+Materiales!$F$12&gt;8,0,INDEX($E$65:$L$65,1,7+Materiales!$F$12))</f>
        <v/>
      </c>
      <c r="L66" s="70">
        <f>IF(8+Materiales!$F$12&gt;8,0,INDEX($E$65:$L$65,1,8+Materiales!$F$12))</f>
        <v/>
      </c>
      <c r="M66" s="68">
        <f>IF($A61="","",IF(SUMPRODUCT((COLUMN($E$65:$L$65)-4&lt;=Materiales!$F$12)*$E$65:$L$65)&gt;0,"PEDIR YA (atrasado)","OK"))</f>
        <v/>
      </c>
    </row>
    <row r="67" ht="6" customHeight="1"/>
    <row r="68">
      <c r="A68" s="58">
        <f>IF(Materiales!$A$13="","",Materiales!$A$13)</f>
        <v/>
      </c>
      <c r="B68" s="58">
        <f>IF(Materiales!$B$13="","",Materiales!$B$13)</f>
        <v/>
      </c>
      <c r="C68" s="59" t="inlineStr">
        <is>
          <t>Necesidad bruta</t>
        </is>
      </c>
      <c r="D68" s="60" t="n"/>
      <c r="E68" s="61">
        <f>ROUND(SUMIF(Consumo!$O$4:$O$143,"#"&amp;$A68,Consumo!G$4:G$143),4)</f>
        <v/>
      </c>
      <c r="F68" s="61">
        <f>ROUND(SUMIF(Consumo!$O$4:$O$143,"#"&amp;$A68,Consumo!H$4:H$143),4)</f>
        <v/>
      </c>
      <c r="G68" s="61">
        <f>ROUND(SUMIF(Consumo!$O$4:$O$143,"#"&amp;$A68,Consumo!I$4:I$143),4)</f>
        <v/>
      </c>
      <c r="H68" s="61">
        <f>ROUND(SUMIF(Consumo!$O$4:$O$143,"#"&amp;$A68,Consumo!J$4:J$143),4)</f>
        <v/>
      </c>
      <c r="I68" s="61">
        <f>ROUND(SUMIF(Consumo!$O$4:$O$143,"#"&amp;$A68,Consumo!K$4:K$143),4)</f>
        <v/>
      </c>
      <c r="J68" s="61">
        <f>ROUND(SUMIF(Consumo!$O$4:$O$143,"#"&amp;$A68,Consumo!L$4:L$143),4)</f>
        <v/>
      </c>
      <c r="K68" s="61">
        <f>ROUND(SUMIF(Consumo!$O$4:$O$143,"#"&amp;$A68,Consumo!M$4:M$143),4)</f>
        <v/>
      </c>
      <c r="L68" s="61">
        <f>ROUND(SUMIF(Consumo!$O$4:$O$143,"#"&amp;$A68,Consumo!N$4:N$143),4)</f>
        <v/>
      </c>
      <c r="M68" s="62" t="n"/>
    </row>
    <row r="69">
      <c r="C69" s="59" t="inlineStr">
        <is>
          <t>Recepciones programadas (ya pedido)</t>
        </is>
      </c>
      <c r="D69" s="60" t="n"/>
      <c r="E69" s="61">
        <f>SUMIF(Inventario!$M$5:$M$87,"#"&amp;$A68,Inventario!E$5:E$87)</f>
        <v/>
      </c>
      <c r="F69" s="61">
        <f>SUMIF(Inventario!$M$5:$M$87,"#"&amp;$A68,Inventario!F$5:F$87)</f>
        <v/>
      </c>
      <c r="G69" s="61">
        <f>SUMIF(Inventario!$M$5:$M$87,"#"&amp;$A68,Inventario!G$5:G$87)</f>
        <v/>
      </c>
      <c r="H69" s="61">
        <f>SUMIF(Inventario!$M$5:$M$87,"#"&amp;$A68,Inventario!H$5:H$87)</f>
        <v/>
      </c>
      <c r="I69" s="61">
        <f>SUMIF(Inventario!$M$5:$M$87,"#"&amp;$A68,Inventario!I$5:I$87)</f>
        <v/>
      </c>
      <c r="J69" s="61">
        <f>SUMIF(Inventario!$M$5:$M$87,"#"&amp;$A68,Inventario!J$5:J$87)</f>
        <v/>
      </c>
      <c r="K69" s="61">
        <f>SUMIF(Inventario!$M$5:$M$87,"#"&amp;$A68,Inventario!K$5:K$87)</f>
        <v/>
      </c>
      <c r="L69" s="61">
        <f>SUMIF(Inventario!$M$5:$M$87,"#"&amp;$A68,Inventario!L$5:L$87)</f>
        <v/>
      </c>
      <c r="M69" s="62" t="n"/>
    </row>
    <row r="70">
      <c r="C70" s="59" t="inlineStr">
        <is>
          <t>Stock proyectado disponible</t>
        </is>
      </c>
      <c r="D70" s="63">
        <f>SUMIF(Inventario!$M$5:$M$87,"#"&amp;$A68,Inventario!$C$5:$C$87)</f>
        <v/>
      </c>
      <c r="E70" s="64">
        <f>D70+E69+E72-E68</f>
        <v/>
      </c>
      <c r="F70" s="64">
        <f>E70+F69+F72-F68</f>
        <v/>
      </c>
      <c r="G70" s="64">
        <f>F70+G69+G72-G68</f>
        <v/>
      </c>
      <c r="H70" s="64">
        <f>G70+H69+H72-H68</f>
        <v/>
      </c>
      <c r="I70" s="64">
        <f>H70+I69+I72-I68</f>
        <v/>
      </c>
      <c r="J70" s="64">
        <f>I70+J69+J72-J68</f>
        <v/>
      </c>
      <c r="K70" s="64">
        <f>J70+K69+K72-K68</f>
        <v/>
      </c>
      <c r="L70" s="64">
        <f>K70+L69+L72-L68</f>
        <v/>
      </c>
      <c r="M70" s="62" t="n"/>
    </row>
    <row r="71">
      <c r="C71" s="59" t="inlineStr">
        <is>
          <t>Necesidad neta</t>
        </is>
      </c>
      <c r="D71" s="60" t="n"/>
      <c r="E71" s="65">
        <f>MAX(0,ROUND(E68+Materiales!$H$13-D70-E69,4))</f>
        <v/>
      </c>
      <c r="F71" s="65">
        <f>MAX(0,ROUND(F68+Materiales!$H$13-E70-F69,4))</f>
        <v/>
      </c>
      <c r="G71" s="65">
        <f>MAX(0,ROUND(G68+Materiales!$H$13-F70-G69,4))</f>
        <v/>
      </c>
      <c r="H71" s="65">
        <f>MAX(0,ROUND(H68+Materiales!$H$13-G70-H69,4))</f>
        <v/>
      </c>
      <c r="I71" s="65">
        <f>MAX(0,ROUND(I68+Materiales!$H$13-H70-I69,4))</f>
        <v/>
      </c>
      <c r="J71" s="65">
        <f>MAX(0,ROUND(J68+Materiales!$H$13-I70-J69,4))</f>
        <v/>
      </c>
      <c r="K71" s="65">
        <f>MAX(0,ROUND(K68+Materiales!$H$13-J70-K69,4))</f>
        <v/>
      </c>
      <c r="L71" s="65">
        <f>MAX(0,ROUND(L68+Materiales!$H$13-K70-L69,4))</f>
        <v/>
      </c>
      <c r="M71" s="62" t="n"/>
    </row>
    <row r="72">
      <c r="C72" s="59" t="inlineStr">
        <is>
          <t>Recepcion de orden planificada</t>
        </is>
      </c>
      <c r="D72" s="60" t="n"/>
      <c r="E72" s="61">
        <f>IF(E71&lt;=0,0,IF(Materiales!$G$13&lt;=0,E71,ROUNDUP(E71/Materiales!$G$13,0)*Materiales!$G$13))</f>
        <v/>
      </c>
      <c r="F72" s="61">
        <f>IF(F71&lt;=0,0,IF(Materiales!$G$13&lt;=0,F71,ROUNDUP(F71/Materiales!$G$13,0)*Materiales!$G$13))</f>
        <v/>
      </c>
      <c r="G72" s="61">
        <f>IF(G71&lt;=0,0,IF(Materiales!$G$13&lt;=0,G71,ROUNDUP(G71/Materiales!$G$13,0)*Materiales!$G$13))</f>
        <v/>
      </c>
      <c r="H72" s="61">
        <f>IF(H71&lt;=0,0,IF(Materiales!$G$13&lt;=0,H71,ROUNDUP(H71/Materiales!$G$13,0)*Materiales!$G$13))</f>
        <v/>
      </c>
      <c r="I72" s="61">
        <f>IF(I71&lt;=0,0,IF(Materiales!$G$13&lt;=0,I71,ROUNDUP(I71/Materiales!$G$13,0)*Materiales!$G$13))</f>
        <v/>
      </c>
      <c r="J72" s="61">
        <f>IF(J71&lt;=0,0,IF(Materiales!$G$13&lt;=0,J71,ROUNDUP(J71/Materiales!$G$13,0)*Materiales!$G$13))</f>
        <v/>
      </c>
      <c r="K72" s="61">
        <f>IF(K71&lt;=0,0,IF(Materiales!$G$13&lt;=0,K71,ROUNDUP(K71/Materiales!$G$13,0)*Materiales!$G$13))</f>
        <v/>
      </c>
      <c r="L72" s="61">
        <f>IF(L71&lt;=0,0,IF(Materiales!$G$13&lt;=0,L71,ROUNDUP(L71/Materiales!$G$13,0)*Materiales!$G$13))</f>
        <v/>
      </c>
      <c r="M72" s="62" t="n"/>
    </row>
    <row r="73">
      <c r="C73" s="66" t="inlineStr">
        <is>
          <t>LANZAMIENTO DE ORDEN — pedir esta semana</t>
        </is>
      </c>
      <c r="D73" s="60" t="n"/>
      <c r="E73" s="70">
        <f>IF(1+Materiales!$F$13&gt;8,0,INDEX($E$72:$L$72,1,1+Materiales!$F$13))</f>
        <v/>
      </c>
      <c r="F73" s="70">
        <f>IF(2+Materiales!$F$13&gt;8,0,INDEX($E$72:$L$72,1,2+Materiales!$F$13))</f>
        <v/>
      </c>
      <c r="G73" s="70">
        <f>IF(3+Materiales!$F$13&gt;8,0,INDEX($E$72:$L$72,1,3+Materiales!$F$13))</f>
        <v/>
      </c>
      <c r="H73" s="70">
        <f>IF(4+Materiales!$F$13&gt;8,0,INDEX($E$72:$L$72,1,4+Materiales!$F$13))</f>
        <v/>
      </c>
      <c r="I73" s="70">
        <f>IF(5+Materiales!$F$13&gt;8,0,INDEX($E$72:$L$72,1,5+Materiales!$F$13))</f>
        <v/>
      </c>
      <c r="J73" s="70">
        <f>IF(6+Materiales!$F$13&gt;8,0,INDEX($E$72:$L$72,1,6+Materiales!$F$13))</f>
        <v/>
      </c>
      <c r="K73" s="70">
        <f>IF(7+Materiales!$F$13&gt;8,0,INDEX($E$72:$L$72,1,7+Materiales!$F$13))</f>
        <v/>
      </c>
      <c r="L73" s="70">
        <f>IF(8+Materiales!$F$13&gt;8,0,INDEX($E$72:$L$72,1,8+Materiales!$F$13))</f>
        <v/>
      </c>
      <c r="M73" s="68">
        <f>IF($A68="","",IF(SUMPRODUCT((COLUMN($E$72:$L$72)-4&lt;=Materiales!$F$13)*$E$72:$L$72)&gt;0,"PEDIR YA (atrasado)","OK"))</f>
        <v/>
      </c>
    </row>
    <row r="74" ht="6" customHeight="1"/>
    <row r="75">
      <c r="A75" s="58">
        <f>IF(Materiales!$A$14="","",Materiales!$A$14)</f>
        <v/>
      </c>
      <c r="B75" s="58">
        <f>IF(Materiales!$B$14="","",Materiales!$B$14)</f>
        <v/>
      </c>
      <c r="C75" s="59" t="inlineStr">
        <is>
          <t>Necesidad bruta</t>
        </is>
      </c>
      <c r="D75" s="60" t="n"/>
      <c r="E75" s="61">
        <f>ROUND(SUMIF(Consumo!$O$4:$O$143,"#"&amp;$A75,Consumo!G$4:G$143),4)</f>
        <v/>
      </c>
      <c r="F75" s="61">
        <f>ROUND(SUMIF(Consumo!$O$4:$O$143,"#"&amp;$A75,Consumo!H$4:H$143),4)</f>
        <v/>
      </c>
      <c r="G75" s="61">
        <f>ROUND(SUMIF(Consumo!$O$4:$O$143,"#"&amp;$A75,Consumo!I$4:I$143),4)</f>
        <v/>
      </c>
      <c r="H75" s="61">
        <f>ROUND(SUMIF(Consumo!$O$4:$O$143,"#"&amp;$A75,Consumo!J$4:J$143),4)</f>
        <v/>
      </c>
      <c r="I75" s="61">
        <f>ROUND(SUMIF(Consumo!$O$4:$O$143,"#"&amp;$A75,Consumo!K$4:K$143),4)</f>
        <v/>
      </c>
      <c r="J75" s="61">
        <f>ROUND(SUMIF(Consumo!$O$4:$O$143,"#"&amp;$A75,Consumo!L$4:L$143),4)</f>
        <v/>
      </c>
      <c r="K75" s="61">
        <f>ROUND(SUMIF(Consumo!$O$4:$O$143,"#"&amp;$A75,Consumo!M$4:M$143),4)</f>
        <v/>
      </c>
      <c r="L75" s="61">
        <f>ROUND(SUMIF(Consumo!$O$4:$O$143,"#"&amp;$A75,Consumo!N$4:N$143),4)</f>
        <v/>
      </c>
      <c r="M75" s="62" t="n"/>
    </row>
    <row r="76">
      <c r="C76" s="59" t="inlineStr">
        <is>
          <t>Recepciones programadas (ya pedido)</t>
        </is>
      </c>
      <c r="D76" s="60" t="n"/>
      <c r="E76" s="61">
        <f>SUMIF(Inventario!$M$5:$M$87,"#"&amp;$A75,Inventario!E$5:E$87)</f>
        <v/>
      </c>
      <c r="F76" s="61">
        <f>SUMIF(Inventario!$M$5:$M$87,"#"&amp;$A75,Inventario!F$5:F$87)</f>
        <v/>
      </c>
      <c r="G76" s="61">
        <f>SUMIF(Inventario!$M$5:$M$87,"#"&amp;$A75,Inventario!G$5:G$87)</f>
        <v/>
      </c>
      <c r="H76" s="61">
        <f>SUMIF(Inventario!$M$5:$M$87,"#"&amp;$A75,Inventario!H$5:H$87)</f>
        <v/>
      </c>
      <c r="I76" s="61">
        <f>SUMIF(Inventario!$M$5:$M$87,"#"&amp;$A75,Inventario!I$5:I$87)</f>
        <v/>
      </c>
      <c r="J76" s="61">
        <f>SUMIF(Inventario!$M$5:$M$87,"#"&amp;$A75,Inventario!J$5:J$87)</f>
        <v/>
      </c>
      <c r="K76" s="61">
        <f>SUMIF(Inventario!$M$5:$M$87,"#"&amp;$A75,Inventario!K$5:K$87)</f>
        <v/>
      </c>
      <c r="L76" s="61">
        <f>SUMIF(Inventario!$M$5:$M$87,"#"&amp;$A75,Inventario!L$5:L$87)</f>
        <v/>
      </c>
      <c r="M76" s="62" t="n"/>
    </row>
    <row r="77">
      <c r="C77" s="59" t="inlineStr">
        <is>
          <t>Stock proyectado disponible</t>
        </is>
      </c>
      <c r="D77" s="63">
        <f>SUMIF(Inventario!$M$5:$M$87,"#"&amp;$A75,Inventario!$C$5:$C$87)</f>
        <v/>
      </c>
      <c r="E77" s="64">
        <f>D77+E76+E79-E75</f>
        <v/>
      </c>
      <c r="F77" s="64">
        <f>E77+F76+F79-F75</f>
        <v/>
      </c>
      <c r="G77" s="64">
        <f>F77+G76+G79-G75</f>
        <v/>
      </c>
      <c r="H77" s="64">
        <f>G77+H76+H79-H75</f>
        <v/>
      </c>
      <c r="I77" s="64">
        <f>H77+I76+I79-I75</f>
        <v/>
      </c>
      <c r="J77" s="64">
        <f>I77+J76+J79-J75</f>
        <v/>
      </c>
      <c r="K77" s="64">
        <f>J77+K76+K79-K75</f>
        <v/>
      </c>
      <c r="L77" s="64">
        <f>K77+L76+L79-L75</f>
        <v/>
      </c>
      <c r="M77" s="62" t="n"/>
    </row>
    <row r="78">
      <c r="C78" s="59" t="inlineStr">
        <is>
          <t>Necesidad neta</t>
        </is>
      </c>
      <c r="D78" s="60" t="n"/>
      <c r="E78" s="65">
        <f>MAX(0,ROUND(E75+Materiales!$H$14-D77-E76,4))</f>
        <v/>
      </c>
      <c r="F78" s="65">
        <f>MAX(0,ROUND(F75+Materiales!$H$14-E77-F76,4))</f>
        <v/>
      </c>
      <c r="G78" s="65">
        <f>MAX(0,ROUND(G75+Materiales!$H$14-F77-G76,4))</f>
        <v/>
      </c>
      <c r="H78" s="65">
        <f>MAX(0,ROUND(H75+Materiales!$H$14-G77-H76,4))</f>
        <v/>
      </c>
      <c r="I78" s="65">
        <f>MAX(0,ROUND(I75+Materiales!$H$14-H77-I76,4))</f>
        <v/>
      </c>
      <c r="J78" s="65">
        <f>MAX(0,ROUND(J75+Materiales!$H$14-I77-J76,4))</f>
        <v/>
      </c>
      <c r="K78" s="65">
        <f>MAX(0,ROUND(K75+Materiales!$H$14-J77-K76,4))</f>
        <v/>
      </c>
      <c r="L78" s="65">
        <f>MAX(0,ROUND(L75+Materiales!$H$14-K77-L76,4))</f>
        <v/>
      </c>
      <c r="M78" s="62" t="n"/>
    </row>
    <row r="79">
      <c r="C79" s="59" t="inlineStr">
        <is>
          <t>Recepcion de orden planificada</t>
        </is>
      </c>
      <c r="D79" s="60" t="n"/>
      <c r="E79" s="61">
        <f>IF(E78&lt;=0,0,IF(Materiales!$G$14&lt;=0,E78,ROUNDUP(E78/Materiales!$G$14,0)*Materiales!$G$14))</f>
        <v/>
      </c>
      <c r="F79" s="61">
        <f>IF(F78&lt;=0,0,IF(Materiales!$G$14&lt;=0,F78,ROUNDUP(F78/Materiales!$G$14,0)*Materiales!$G$14))</f>
        <v/>
      </c>
      <c r="G79" s="61">
        <f>IF(G78&lt;=0,0,IF(Materiales!$G$14&lt;=0,G78,ROUNDUP(G78/Materiales!$G$14,0)*Materiales!$G$14))</f>
        <v/>
      </c>
      <c r="H79" s="61">
        <f>IF(H78&lt;=0,0,IF(Materiales!$G$14&lt;=0,H78,ROUNDUP(H78/Materiales!$G$14,0)*Materiales!$G$14))</f>
        <v/>
      </c>
      <c r="I79" s="61">
        <f>IF(I78&lt;=0,0,IF(Materiales!$G$14&lt;=0,I78,ROUNDUP(I78/Materiales!$G$14,0)*Materiales!$G$14))</f>
        <v/>
      </c>
      <c r="J79" s="61">
        <f>IF(J78&lt;=0,0,IF(Materiales!$G$14&lt;=0,J78,ROUNDUP(J78/Materiales!$G$14,0)*Materiales!$G$14))</f>
        <v/>
      </c>
      <c r="K79" s="61">
        <f>IF(K78&lt;=0,0,IF(Materiales!$G$14&lt;=0,K78,ROUNDUP(K78/Materiales!$G$14,0)*Materiales!$G$14))</f>
        <v/>
      </c>
      <c r="L79" s="61">
        <f>IF(L78&lt;=0,0,IF(Materiales!$G$14&lt;=0,L78,ROUNDUP(L78/Materiales!$G$14,0)*Materiales!$G$14))</f>
        <v/>
      </c>
      <c r="M79" s="62" t="n"/>
    </row>
    <row r="80">
      <c r="C80" s="66" t="inlineStr">
        <is>
          <t>LANZAMIENTO DE ORDEN — pedir esta semana</t>
        </is>
      </c>
      <c r="D80" s="60" t="n"/>
      <c r="E80" s="70">
        <f>IF(1+Materiales!$F$14&gt;8,0,INDEX($E$79:$L$79,1,1+Materiales!$F$14))</f>
        <v/>
      </c>
      <c r="F80" s="70">
        <f>IF(2+Materiales!$F$14&gt;8,0,INDEX($E$79:$L$79,1,2+Materiales!$F$14))</f>
        <v/>
      </c>
      <c r="G80" s="70">
        <f>IF(3+Materiales!$F$14&gt;8,0,INDEX($E$79:$L$79,1,3+Materiales!$F$14))</f>
        <v/>
      </c>
      <c r="H80" s="70">
        <f>IF(4+Materiales!$F$14&gt;8,0,INDEX($E$79:$L$79,1,4+Materiales!$F$14))</f>
        <v/>
      </c>
      <c r="I80" s="70">
        <f>IF(5+Materiales!$F$14&gt;8,0,INDEX($E$79:$L$79,1,5+Materiales!$F$14))</f>
        <v/>
      </c>
      <c r="J80" s="70">
        <f>IF(6+Materiales!$F$14&gt;8,0,INDEX($E$79:$L$79,1,6+Materiales!$F$14))</f>
        <v/>
      </c>
      <c r="K80" s="70">
        <f>IF(7+Materiales!$F$14&gt;8,0,INDEX($E$79:$L$79,1,7+Materiales!$F$14))</f>
        <v/>
      </c>
      <c r="L80" s="70">
        <f>IF(8+Materiales!$F$14&gt;8,0,INDEX($E$79:$L$79,1,8+Materiales!$F$14))</f>
        <v/>
      </c>
      <c r="M80" s="68">
        <f>IF($A75="","",IF(SUMPRODUCT((COLUMN($E$79:$L$79)-4&lt;=Materiales!$F$14)*$E$79:$L$79)&gt;0,"PEDIR YA (atrasado)","OK"))</f>
        <v/>
      </c>
    </row>
    <row r="81" ht="6" customHeight="1"/>
    <row r="82">
      <c r="A82" s="58">
        <f>IF(Materiales!$A$15="","",Materiales!$A$15)</f>
        <v/>
      </c>
      <c r="B82" s="58">
        <f>IF(Materiales!$B$15="","",Materiales!$B$15)</f>
        <v/>
      </c>
      <c r="C82" s="59" t="inlineStr">
        <is>
          <t>Necesidad bruta</t>
        </is>
      </c>
      <c r="D82" s="60" t="n"/>
      <c r="E82" s="61">
        <f>ROUND(SUMIF(Consumo!$O$4:$O$143,"#"&amp;$A82,Consumo!G$4:G$143),4)</f>
        <v/>
      </c>
      <c r="F82" s="61">
        <f>ROUND(SUMIF(Consumo!$O$4:$O$143,"#"&amp;$A82,Consumo!H$4:H$143),4)</f>
        <v/>
      </c>
      <c r="G82" s="61">
        <f>ROUND(SUMIF(Consumo!$O$4:$O$143,"#"&amp;$A82,Consumo!I$4:I$143),4)</f>
        <v/>
      </c>
      <c r="H82" s="61">
        <f>ROUND(SUMIF(Consumo!$O$4:$O$143,"#"&amp;$A82,Consumo!J$4:J$143),4)</f>
        <v/>
      </c>
      <c r="I82" s="61">
        <f>ROUND(SUMIF(Consumo!$O$4:$O$143,"#"&amp;$A82,Consumo!K$4:K$143),4)</f>
        <v/>
      </c>
      <c r="J82" s="61">
        <f>ROUND(SUMIF(Consumo!$O$4:$O$143,"#"&amp;$A82,Consumo!L$4:L$143),4)</f>
        <v/>
      </c>
      <c r="K82" s="61">
        <f>ROUND(SUMIF(Consumo!$O$4:$O$143,"#"&amp;$A82,Consumo!M$4:M$143),4)</f>
        <v/>
      </c>
      <c r="L82" s="61">
        <f>ROUND(SUMIF(Consumo!$O$4:$O$143,"#"&amp;$A82,Consumo!N$4:N$143),4)</f>
        <v/>
      </c>
      <c r="M82" s="62" t="n"/>
    </row>
    <row r="83">
      <c r="C83" s="59" t="inlineStr">
        <is>
          <t>Recepciones programadas (ya pedido)</t>
        </is>
      </c>
      <c r="D83" s="60" t="n"/>
      <c r="E83" s="61">
        <f>SUMIF(Inventario!$M$5:$M$87,"#"&amp;$A82,Inventario!E$5:E$87)</f>
        <v/>
      </c>
      <c r="F83" s="61">
        <f>SUMIF(Inventario!$M$5:$M$87,"#"&amp;$A82,Inventario!F$5:F$87)</f>
        <v/>
      </c>
      <c r="G83" s="61">
        <f>SUMIF(Inventario!$M$5:$M$87,"#"&amp;$A82,Inventario!G$5:G$87)</f>
        <v/>
      </c>
      <c r="H83" s="61">
        <f>SUMIF(Inventario!$M$5:$M$87,"#"&amp;$A82,Inventario!H$5:H$87)</f>
        <v/>
      </c>
      <c r="I83" s="61">
        <f>SUMIF(Inventario!$M$5:$M$87,"#"&amp;$A82,Inventario!I$5:I$87)</f>
        <v/>
      </c>
      <c r="J83" s="61">
        <f>SUMIF(Inventario!$M$5:$M$87,"#"&amp;$A82,Inventario!J$5:J$87)</f>
        <v/>
      </c>
      <c r="K83" s="61">
        <f>SUMIF(Inventario!$M$5:$M$87,"#"&amp;$A82,Inventario!K$5:K$87)</f>
        <v/>
      </c>
      <c r="L83" s="61">
        <f>SUMIF(Inventario!$M$5:$M$87,"#"&amp;$A82,Inventario!L$5:L$87)</f>
        <v/>
      </c>
      <c r="M83" s="62" t="n"/>
    </row>
    <row r="84">
      <c r="C84" s="59" t="inlineStr">
        <is>
          <t>Stock proyectado disponible</t>
        </is>
      </c>
      <c r="D84" s="63">
        <f>SUMIF(Inventario!$M$5:$M$87,"#"&amp;$A82,Inventario!$C$5:$C$87)</f>
        <v/>
      </c>
      <c r="E84" s="64">
        <f>D84+E83+E86-E82</f>
        <v/>
      </c>
      <c r="F84" s="64">
        <f>E84+F83+F86-F82</f>
        <v/>
      </c>
      <c r="G84" s="64">
        <f>F84+G83+G86-G82</f>
        <v/>
      </c>
      <c r="H84" s="64">
        <f>G84+H83+H86-H82</f>
        <v/>
      </c>
      <c r="I84" s="64">
        <f>H84+I83+I86-I82</f>
        <v/>
      </c>
      <c r="J84" s="64">
        <f>I84+J83+J86-J82</f>
        <v/>
      </c>
      <c r="K84" s="64">
        <f>J84+K83+K86-K82</f>
        <v/>
      </c>
      <c r="L84" s="64">
        <f>K84+L83+L86-L82</f>
        <v/>
      </c>
      <c r="M84" s="62" t="n"/>
    </row>
    <row r="85">
      <c r="C85" s="59" t="inlineStr">
        <is>
          <t>Necesidad neta</t>
        </is>
      </c>
      <c r="D85" s="60" t="n"/>
      <c r="E85" s="65">
        <f>MAX(0,ROUND(E82+Materiales!$H$15-D84-E83,4))</f>
        <v/>
      </c>
      <c r="F85" s="65">
        <f>MAX(0,ROUND(F82+Materiales!$H$15-E84-F83,4))</f>
        <v/>
      </c>
      <c r="G85" s="65">
        <f>MAX(0,ROUND(G82+Materiales!$H$15-F84-G83,4))</f>
        <v/>
      </c>
      <c r="H85" s="65">
        <f>MAX(0,ROUND(H82+Materiales!$H$15-G84-H83,4))</f>
        <v/>
      </c>
      <c r="I85" s="65">
        <f>MAX(0,ROUND(I82+Materiales!$H$15-H84-I83,4))</f>
        <v/>
      </c>
      <c r="J85" s="65">
        <f>MAX(0,ROUND(J82+Materiales!$H$15-I84-J83,4))</f>
        <v/>
      </c>
      <c r="K85" s="65">
        <f>MAX(0,ROUND(K82+Materiales!$H$15-J84-K83,4))</f>
        <v/>
      </c>
      <c r="L85" s="65">
        <f>MAX(0,ROUND(L82+Materiales!$H$15-K84-L83,4))</f>
        <v/>
      </c>
      <c r="M85" s="62" t="n"/>
    </row>
    <row r="86">
      <c r="C86" s="59" t="inlineStr">
        <is>
          <t>Recepcion de orden planificada</t>
        </is>
      </c>
      <c r="D86" s="60" t="n"/>
      <c r="E86" s="61">
        <f>IF(E85&lt;=0,0,IF(Materiales!$G$15&lt;=0,E85,ROUNDUP(E85/Materiales!$G$15,0)*Materiales!$G$15))</f>
        <v/>
      </c>
      <c r="F86" s="61">
        <f>IF(F85&lt;=0,0,IF(Materiales!$G$15&lt;=0,F85,ROUNDUP(F85/Materiales!$G$15,0)*Materiales!$G$15))</f>
        <v/>
      </c>
      <c r="G86" s="61">
        <f>IF(G85&lt;=0,0,IF(Materiales!$G$15&lt;=0,G85,ROUNDUP(G85/Materiales!$G$15,0)*Materiales!$G$15))</f>
        <v/>
      </c>
      <c r="H86" s="61">
        <f>IF(H85&lt;=0,0,IF(Materiales!$G$15&lt;=0,H85,ROUNDUP(H85/Materiales!$G$15,0)*Materiales!$G$15))</f>
        <v/>
      </c>
      <c r="I86" s="61">
        <f>IF(I85&lt;=0,0,IF(Materiales!$G$15&lt;=0,I85,ROUNDUP(I85/Materiales!$G$15,0)*Materiales!$G$15))</f>
        <v/>
      </c>
      <c r="J86" s="61">
        <f>IF(J85&lt;=0,0,IF(Materiales!$G$15&lt;=0,J85,ROUNDUP(J85/Materiales!$G$15,0)*Materiales!$G$15))</f>
        <v/>
      </c>
      <c r="K86" s="61">
        <f>IF(K85&lt;=0,0,IF(Materiales!$G$15&lt;=0,K85,ROUNDUP(K85/Materiales!$G$15,0)*Materiales!$G$15))</f>
        <v/>
      </c>
      <c r="L86" s="61">
        <f>IF(L85&lt;=0,0,IF(Materiales!$G$15&lt;=0,L85,ROUNDUP(L85/Materiales!$G$15,0)*Materiales!$G$15))</f>
        <v/>
      </c>
      <c r="M86" s="62" t="n"/>
    </row>
    <row r="87">
      <c r="C87" s="66" t="inlineStr">
        <is>
          <t>LANZAMIENTO DE ORDEN — pedir esta semana</t>
        </is>
      </c>
      <c r="D87" s="60" t="n"/>
      <c r="E87" s="70">
        <f>IF(1+Materiales!$F$15&gt;8,0,INDEX($E$86:$L$86,1,1+Materiales!$F$15))</f>
        <v/>
      </c>
      <c r="F87" s="70">
        <f>IF(2+Materiales!$F$15&gt;8,0,INDEX($E$86:$L$86,1,2+Materiales!$F$15))</f>
        <v/>
      </c>
      <c r="G87" s="70">
        <f>IF(3+Materiales!$F$15&gt;8,0,INDEX($E$86:$L$86,1,3+Materiales!$F$15))</f>
        <v/>
      </c>
      <c r="H87" s="70">
        <f>IF(4+Materiales!$F$15&gt;8,0,INDEX($E$86:$L$86,1,4+Materiales!$F$15))</f>
        <v/>
      </c>
      <c r="I87" s="70">
        <f>IF(5+Materiales!$F$15&gt;8,0,INDEX($E$86:$L$86,1,5+Materiales!$F$15))</f>
        <v/>
      </c>
      <c r="J87" s="70">
        <f>IF(6+Materiales!$F$15&gt;8,0,INDEX($E$86:$L$86,1,6+Materiales!$F$15))</f>
        <v/>
      </c>
      <c r="K87" s="70">
        <f>IF(7+Materiales!$F$15&gt;8,0,INDEX($E$86:$L$86,1,7+Materiales!$F$15))</f>
        <v/>
      </c>
      <c r="L87" s="70">
        <f>IF(8+Materiales!$F$15&gt;8,0,INDEX($E$86:$L$86,1,8+Materiales!$F$15))</f>
        <v/>
      </c>
      <c r="M87" s="68">
        <f>IF($A82="","",IF(SUMPRODUCT((COLUMN($E$86:$L$86)-4&lt;=Materiales!$F$15)*$E$86:$L$86)&gt;0,"PEDIR YA (atrasado)","OK"))</f>
        <v/>
      </c>
    </row>
    <row r="88" ht="6" customHeight="1"/>
    <row r="89">
      <c r="A89" s="58">
        <f>IF(Materiales!$A$16="","",Materiales!$A$16)</f>
        <v/>
      </c>
      <c r="B89" s="58">
        <f>IF(Materiales!$B$16="","",Materiales!$B$16)</f>
        <v/>
      </c>
      <c r="C89" s="59" t="inlineStr">
        <is>
          <t>Necesidad bruta</t>
        </is>
      </c>
      <c r="D89" s="60" t="n"/>
      <c r="E89" s="61">
        <f>ROUND(SUMIF(Consumo!$O$4:$O$143,"#"&amp;$A89,Consumo!G$4:G$143),4)</f>
        <v/>
      </c>
      <c r="F89" s="61">
        <f>ROUND(SUMIF(Consumo!$O$4:$O$143,"#"&amp;$A89,Consumo!H$4:H$143),4)</f>
        <v/>
      </c>
      <c r="G89" s="61">
        <f>ROUND(SUMIF(Consumo!$O$4:$O$143,"#"&amp;$A89,Consumo!I$4:I$143),4)</f>
        <v/>
      </c>
      <c r="H89" s="61">
        <f>ROUND(SUMIF(Consumo!$O$4:$O$143,"#"&amp;$A89,Consumo!J$4:J$143),4)</f>
        <v/>
      </c>
      <c r="I89" s="61">
        <f>ROUND(SUMIF(Consumo!$O$4:$O$143,"#"&amp;$A89,Consumo!K$4:K$143),4)</f>
        <v/>
      </c>
      <c r="J89" s="61">
        <f>ROUND(SUMIF(Consumo!$O$4:$O$143,"#"&amp;$A89,Consumo!L$4:L$143),4)</f>
        <v/>
      </c>
      <c r="K89" s="61">
        <f>ROUND(SUMIF(Consumo!$O$4:$O$143,"#"&amp;$A89,Consumo!M$4:M$143),4)</f>
        <v/>
      </c>
      <c r="L89" s="61">
        <f>ROUND(SUMIF(Consumo!$O$4:$O$143,"#"&amp;$A89,Consumo!N$4:N$143),4)</f>
        <v/>
      </c>
      <c r="M89" s="62" t="n"/>
    </row>
    <row r="90">
      <c r="C90" s="59" t="inlineStr">
        <is>
          <t>Recepciones programadas (ya pedido)</t>
        </is>
      </c>
      <c r="D90" s="60" t="n"/>
      <c r="E90" s="61">
        <f>SUMIF(Inventario!$M$5:$M$87,"#"&amp;$A89,Inventario!E$5:E$87)</f>
        <v/>
      </c>
      <c r="F90" s="61">
        <f>SUMIF(Inventario!$M$5:$M$87,"#"&amp;$A89,Inventario!F$5:F$87)</f>
        <v/>
      </c>
      <c r="G90" s="61">
        <f>SUMIF(Inventario!$M$5:$M$87,"#"&amp;$A89,Inventario!G$5:G$87)</f>
        <v/>
      </c>
      <c r="H90" s="61">
        <f>SUMIF(Inventario!$M$5:$M$87,"#"&amp;$A89,Inventario!H$5:H$87)</f>
        <v/>
      </c>
      <c r="I90" s="61">
        <f>SUMIF(Inventario!$M$5:$M$87,"#"&amp;$A89,Inventario!I$5:I$87)</f>
        <v/>
      </c>
      <c r="J90" s="61">
        <f>SUMIF(Inventario!$M$5:$M$87,"#"&amp;$A89,Inventario!J$5:J$87)</f>
        <v/>
      </c>
      <c r="K90" s="61">
        <f>SUMIF(Inventario!$M$5:$M$87,"#"&amp;$A89,Inventario!K$5:K$87)</f>
        <v/>
      </c>
      <c r="L90" s="61">
        <f>SUMIF(Inventario!$M$5:$M$87,"#"&amp;$A89,Inventario!L$5:L$87)</f>
        <v/>
      </c>
      <c r="M90" s="62" t="n"/>
    </row>
    <row r="91">
      <c r="C91" s="59" t="inlineStr">
        <is>
          <t>Stock proyectado disponible</t>
        </is>
      </c>
      <c r="D91" s="63">
        <f>SUMIF(Inventario!$M$5:$M$87,"#"&amp;$A89,Inventario!$C$5:$C$87)</f>
        <v/>
      </c>
      <c r="E91" s="64">
        <f>D91+E90+E93-E89</f>
        <v/>
      </c>
      <c r="F91" s="64">
        <f>E91+F90+F93-F89</f>
        <v/>
      </c>
      <c r="G91" s="64">
        <f>F91+G90+G93-G89</f>
        <v/>
      </c>
      <c r="H91" s="64">
        <f>G91+H90+H93-H89</f>
        <v/>
      </c>
      <c r="I91" s="64">
        <f>H91+I90+I93-I89</f>
        <v/>
      </c>
      <c r="J91" s="64">
        <f>I91+J90+J93-J89</f>
        <v/>
      </c>
      <c r="K91" s="64">
        <f>J91+K90+K93-K89</f>
        <v/>
      </c>
      <c r="L91" s="64">
        <f>K91+L90+L93-L89</f>
        <v/>
      </c>
      <c r="M91" s="62" t="n"/>
    </row>
    <row r="92">
      <c r="C92" s="59" t="inlineStr">
        <is>
          <t>Necesidad neta</t>
        </is>
      </c>
      <c r="D92" s="60" t="n"/>
      <c r="E92" s="65">
        <f>MAX(0,ROUND(E89+Materiales!$H$16-D91-E90,4))</f>
        <v/>
      </c>
      <c r="F92" s="65">
        <f>MAX(0,ROUND(F89+Materiales!$H$16-E91-F90,4))</f>
        <v/>
      </c>
      <c r="G92" s="65">
        <f>MAX(0,ROUND(G89+Materiales!$H$16-F91-G90,4))</f>
        <v/>
      </c>
      <c r="H92" s="65">
        <f>MAX(0,ROUND(H89+Materiales!$H$16-G91-H90,4))</f>
        <v/>
      </c>
      <c r="I92" s="65">
        <f>MAX(0,ROUND(I89+Materiales!$H$16-H91-I90,4))</f>
        <v/>
      </c>
      <c r="J92" s="65">
        <f>MAX(0,ROUND(J89+Materiales!$H$16-I91-J90,4))</f>
        <v/>
      </c>
      <c r="K92" s="65">
        <f>MAX(0,ROUND(K89+Materiales!$H$16-J91-K90,4))</f>
        <v/>
      </c>
      <c r="L92" s="65">
        <f>MAX(0,ROUND(L89+Materiales!$H$16-K91-L90,4))</f>
        <v/>
      </c>
      <c r="M92" s="62" t="n"/>
    </row>
    <row r="93">
      <c r="C93" s="59" t="inlineStr">
        <is>
          <t>Recepcion de orden planificada</t>
        </is>
      </c>
      <c r="D93" s="60" t="n"/>
      <c r="E93" s="61">
        <f>IF(E92&lt;=0,0,IF(Materiales!$G$16&lt;=0,E92,ROUNDUP(E92/Materiales!$G$16,0)*Materiales!$G$16))</f>
        <v/>
      </c>
      <c r="F93" s="61">
        <f>IF(F92&lt;=0,0,IF(Materiales!$G$16&lt;=0,F92,ROUNDUP(F92/Materiales!$G$16,0)*Materiales!$G$16))</f>
        <v/>
      </c>
      <c r="G93" s="61">
        <f>IF(G92&lt;=0,0,IF(Materiales!$G$16&lt;=0,G92,ROUNDUP(G92/Materiales!$G$16,0)*Materiales!$G$16))</f>
        <v/>
      </c>
      <c r="H93" s="61">
        <f>IF(H92&lt;=0,0,IF(Materiales!$G$16&lt;=0,H92,ROUNDUP(H92/Materiales!$G$16,0)*Materiales!$G$16))</f>
        <v/>
      </c>
      <c r="I93" s="61">
        <f>IF(I92&lt;=0,0,IF(Materiales!$G$16&lt;=0,I92,ROUNDUP(I92/Materiales!$G$16,0)*Materiales!$G$16))</f>
        <v/>
      </c>
      <c r="J93" s="61">
        <f>IF(J92&lt;=0,0,IF(Materiales!$G$16&lt;=0,J92,ROUNDUP(J92/Materiales!$G$16,0)*Materiales!$G$16))</f>
        <v/>
      </c>
      <c r="K93" s="61">
        <f>IF(K92&lt;=0,0,IF(Materiales!$G$16&lt;=0,K92,ROUNDUP(K92/Materiales!$G$16,0)*Materiales!$G$16))</f>
        <v/>
      </c>
      <c r="L93" s="61">
        <f>IF(L92&lt;=0,0,IF(Materiales!$G$16&lt;=0,L92,ROUNDUP(L92/Materiales!$G$16,0)*Materiales!$G$16))</f>
        <v/>
      </c>
      <c r="M93" s="62" t="n"/>
    </row>
    <row r="94">
      <c r="C94" s="66" t="inlineStr">
        <is>
          <t>LANZAMIENTO DE ORDEN — pedir esta semana</t>
        </is>
      </c>
      <c r="D94" s="60" t="n"/>
      <c r="E94" s="70">
        <f>IF(1+Materiales!$F$16&gt;8,0,INDEX($E$93:$L$93,1,1+Materiales!$F$16))</f>
        <v/>
      </c>
      <c r="F94" s="70">
        <f>IF(2+Materiales!$F$16&gt;8,0,INDEX($E$93:$L$93,1,2+Materiales!$F$16))</f>
        <v/>
      </c>
      <c r="G94" s="70">
        <f>IF(3+Materiales!$F$16&gt;8,0,INDEX($E$93:$L$93,1,3+Materiales!$F$16))</f>
        <v/>
      </c>
      <c r="H94" s="70">
        <f>IF(4+Materiales!$F$16&gt;8,0,INDEX($E$93:$L$93,1,4+Materiales!$F$16))</f>
        <v/>
      </c>
      <c r="I94" s="70">
        <f>IF(5+Materiales!$F$16&gt;8,0,INDEX($E$93:$L$93,1,5+Materiales!$F$16))</f>
        <v/>
      </c>
      <c r="J94" s="70">
        <f>IF(6+Materiales!$F$16&gt;8,0,INDEX($E$93:$L$93,1,6+Materiales!$F$16))</f>
        <v/>
      </c>
      <c r="K94" s="70">
        <f>IF(7+Materiales!$F$16&gt;8,0,INDEX($E$93:$L$93,1,7+Materiales!$F$16))</f>
        <v/>
      </c>
      <c r="L94" s="70">
        <f>IF(8+Materiales!$F$16&gt;8,0,INDEX($E$93:$L$93,1,8+Materiales!$F$16))</f>
        <v/>
      </c>
      <c r="M94" s="68">
        <f>IF($A89="","",IF(SUMPRODUCT((COLUMN($E$93:$L$93)-4&lt;=Materiales!$F$16)*$E$93:$L$93)&gt;0,"PEDIR YA (atrasado)","OK"))</f>
        <v/>
      </c>
    </row>
    <row r="95" ht="6" customHeight="1"/>
    <row r="96">
      <c r="A96" s="58">
        <f>IF(Materiales!$A$17="","",Materiales!$A$17)</f>
        <v/>
      </c>
      <c r="B96" s="58">
        <f>IF(Materiales!$B$17="","",Materiales!$B$17)</f>
        <v/>
      </c>
      <c r="C96" s="59" t="inlineStr">
        <is>
          <t>Necesidad bruta</t>
        </is>
      </c>
      <c r="D96" s="60" t="n"/>
      <c r="E96" s="61">
        <f>ROUND(SUMIF(Consumo!$O$4:$O$143,"#"&amp;$A96,Consumo!G$4:G$143),4)</f>
        <v/>
      </c>
      <c r="F96" s="61">
        <f>ROUND(SUMIF(Consumo!$O$4:$O$143,"#"&amp;$A96,Consumo!H$4:H$143),4)</f>
        <v/>
      </c>
      <c r="G96" s="61">
        <f>ROUND(SUMIF(Consumo!$O$4:$O$143,"#"&amp;$A96,Consumo!I$4:I$143),4)</f>
        <v/>
      </c>
      <c r="H96" s="61">
        <f>ROUND(SUMIF(Consumo!$O$4:$O$143,"#"&amp;$A96,Consumo!J$4:J$143),4)</f>
        <v/>
      </c>
      <c r="I96" s="61">
        <f>ROUND(SUMIF(Consumo!$O$4:$O$143,"#"&amp;$A96,Consumo!K$4:K$143),4)</f>
        <v/>
      </c>
      <c r="J96" s="61">
        <f>ROUND(SUMIF(Consumo!$O$4:$O$143,"#"&amp;$A96,Consumo!L$4:L$143),4)</f>
        <v/>
      </c>
      <c r="K96" s="61">
        <f>ROUND(SUMIF(Consumo!$O$4:$O$143,"#"&amp;$A96,Consumo!M$4:M$143),4)</f>
        <v/>
      </c>
      <c r="L96" s="61">
        <f>ROUND(SUMIF(Consumo!$O$4:$O$143,"#"&amp;$A96,Consumo!N$4:N$143),4)</f>
        <v/>
      </c>
      <c r="M96" s="62" t="n"/>
    </row>
    <row r="97">
      <c r="C97" s="59" t="inlineStr">
        <is>
          <t>Recepciones programadas (ya pedido)</t>
        </is>
      </c>
      <c r="D97" s="60" t="n"/>
      <c r="E97" s="61">
        <f>SUMIF(Inventario!$M$5:$M$87,"#"&amp;$A96,Inventario!E$5:E$87)</f>
        <v/>
      </c>
      <c r="F97" s="61">
        <f>SUMIF(Inventario!$M$5:$M$87,"#"&amp;$A96,Inventario!F$5:F$87)</f>
        <v/>
      </c>
      <c r="G97" s="61">
        <f>SUMIF(Inventario!$M$5:$M$87,"#"&amp;$A96,Inventario!G$5:G$87)</f>
        <v/>
      </c>
      <c r="H97" s="61">
        <f>SUMIF(Inventario!$M$5:$M$87,"#"&amp;$A96,Inventario!H$5:H$87)</f>
        <v/>
      </c>
      <c r="I97" s="61">
        <f>SUMIF(Inventario!$M$5:$M$87,"#"&amp;$A96,Inventario!I$5:I$87)</f>
        <v/>
      </c>
      <c r="J97" s="61">
        <f>SUMIF(Inventario!$M$5:$M$87,"#"&amp;$A96,Inventario!J$5:J$87)</f>
        <v/>
      </c>
      <c r="K97" s="61">
        <f>SUMIF(Inventario!$M$5:$M$87,"#"&amp;$A96,Inventario!K$5:K$87)</f>
        <v/>
      </c>
      <c r="L97" s="61">
        <f>SUMIF(Inventario!$M$5:$M$87,"#"&amp;$A96,Inventario!L$5:L$87)</f>
        <v/>
      </c>
      <c r="M97" s="62" t="n"/>
    </row>
    <row r="98">
      <c r="C98" s="59" t="inlineStr">
        <is>
          <t>Stock proyectado disponible</t>
        </is>
      </c>
      <c r="D98" s="63">
        <f>SUMIF(Inventario!$M$5:$M$87,"#"&amp;$A96,Inventario!$C$5:$C$87)</f>
        <v/>
      </c>
      <c r="E98" s="64">
        <f>D98+E97+E100-E96</f>
        <v/>
      </c>
      <c r="F98" s="64">
        <f>E98+F97+F100-F96</f>
        <v/>
      </c>
      <c r="G98" s="64">
        <f>F98+G97+G100-G96</f>
        <v/>
      </c>
      <c r="H98" s="64">
        <f>G98+H97+H100-H96</f>
        <v/>
      </c>
      <c r="I98" s="64">
        <f>H98+I97+I100-I96</f>
        <v/>
      </c>
      <c r="J98" s="64">
        <f>I98+J97+J100-J96</f>
        <v/>
      </c>
      <c r="K98" s="64">
        <f>J98+K97+K100-K96</f>
        <v/>
      </c>
      <c r="L98" s="64">
        <f>K98+L97+L100-L96</f>
        <v/>
      </c>
      <c r="M98" s="62" t="n"/>
    </row>
    <row r="99">
      <c r="C99" s="59" t="inlineStr">
        <is>
          <t>Necesidad neta</t>
        </is>
      </c>
      <c r="D99" s="60" t="n"/>
      <c r="E99" s="65">
        <f>MAX(0,ROUND(E96+Materiales!$H$17-D98-E97,4))</f>
        <v/>
      </c>
      <c r="F99" s="65">
        <f>MAX(0,ROUND(F96+Materiales!$H$17-E98-F97,4))</f>
        <v/>
      </c>
      <c r="G99" s="65">
        <f>MAX(0,ROUND(G96+Materiales!$H$17-F98-G97,4))</f>
        <v/>
      </c>
      <c r="H99" s="65">
        <f>MAX(0,ROUND(H96+Materiales!$H$17-G98-H97,4))</f>
        <v/>
      </c>
      <c r="I99" s="65">
        <f>MAX(0,ROUND(I96+Materiales!$H$17-H98-I97,4))</f>
        <v/>
      </c>
      <c r="J99" s="65">
        <f>MAX(0,ROUND(J96+Materiales!$H$17-I98-J97,4))</f>
        <v/>
      </c>
      <c r="K99" s="65">
        <f>MAX(0,ROUND(K96+Materiales!$H$17-J98-K97,4))</f>
        <v/>
      </c>
      <c r="L99" s="65">
        <f>MAX(0,ROUND(L96+Materiales!$H$17-K98-L97,4))</f>
        <v/>
      </c>
      <c r="M99" s="62" t="n"/>
    </row>
    <row r="100">
      <c r="C100" s="59" t="inlineStr">
        <is>
          <t>Recepcion de orden planificada</t>
        </is>
      </c>
      <c r="D100" s="60" t="n"/>
      <c r="E100" s="61">
        <f>IF(E99&lt;=0,0,IF(Materiales!$G$17&lt;=0,E99,ROUNDUP(E99/Materiales!$G$17,0)*Materiales!$G$17))</f>
        <v/>
      </c>
      <c r="F100" s="61">
        <f>IF(F99&lt;=0,0,IF(Materiales!$G$17&lt;=0,F99,ROUNDUP(F99/Materiales!$G$17,0)*Materiales!$G$17))</f>
        <v/>
      </c>
      <c r="G100" s="61">
        <f>IF(G99&lt;=0,0,IF(Materiales!$G$17&lt;=0,G99,ROUNDUP(G99/Materiales!$G$17,0)*Materiales!$G$17))</f>
        <v/>
      </c>
      <c r="H100" s="61">
        <f>IF(H99&lt;=0,0,IF(Materiales!$G$17&lt;=0,H99,ROUNDUP(H99/Materiales!$G$17,0)*Materiales!$G$17))</f>
        <v/>
      </c>
      <c r="I100" s="61">
        <f>IF(I99&lt;=0,0,IF(Materiales!$G$17&lt;=0,I99,ROUNDUP(I99/Materiales!$G$17,0)*Materiales!$G$17))</f>
        <v/>
      </c>
      <c r="J100" s="61">
        <f>IF(J99&lt;=0,0,IF(Materiales!$G$17&lt;=0,J99,ROUNDUP(J99/Materiales!$G$17,0)*Materiales!$G$17))</f>
        <v/>
      </c>
      <c r="K100" s="61">
        <f>IF(K99&lt;=0,0,IF(Materiales!$G$17&lt;=0,K99,ROUNDUP(K99/Materiales!$G$17,0)*Materiales!$G$17))</f>
        <v/>
      </c>
      <c r="L100" s="61">
        <f>IF(L99&lt;=0,0,IF(Materiales!$G$17&lt;=0,L99,ROUNDUP(L99/Materiales!$G$17,0)*Materiales!$G$17))</f>
        <v/>
      </c>
      <c r="M100" s="62" t="n"/>
    </row>
    <row r="101">
      <c r="C101" s="66" t="inlineStr">
        <is>
          <t>LANZAMIENTO DE ORDEN — pedir esta semana</t>
        </is>
      </c>
      <c r="D101" s="60" t="n"/>
      <c r="E101" s="70">
        <f>IF(1+Materiales!$F$17&gt;8,0,INDEX($E$100:$L$100,1,1+Materiales!$F$17))</f>
        <v/>
      </c>
      <c r="F101" s="70">
        <f>IF(2+Materiales!$F$17&gt;8,0,INDEX($E$100:$L$100,1,2+Materiales!$F$17))</f>
        <v/>
      </c>
      <c r="G101" s="70">
        <f>IF(3+Materiales!$F$17&gt;8,0,INDEX($E$100:$L$100,1,3+Materiales!$F$17))</f>
        <v/>
      </c>
      <c r="H101" s="70">
        <f>IF(4+Materiales!$F$17&gt;8,0,INDEX($E$100:$L$100,1,4+Materiales!$F$17))</f>
        <v/>
      </c>
      <c r="I101" s="70">
        <f>IF(5+Materiales!$F$17&gt;8,0,INDEX($E$100:$L$100,1,5+Materiales!$F$17))</f>
        <v/>
      </c>
      <c r="J101" s="70">
        <f>IF(6+Materiales!$F$17&gt;8,0,INDEX($E$100:$L$100,1,6+Materiales!$F$17))</f>
        <v/>
      </c>
      <c r="K101" s="70">
        <f>IF(7+Materiales!$F$17&gt;8,0,INDEX($E$100:$L$100,1,7+Materiales!$F$17))</f>
        <v/>
      </c>
      <c r="L101" s="70">
        <f>IF(8+Materiales!$F$17&gt;8,0,INDEX($E$100:$L$100,1,8+Materiales!$F$17))</f>
        <v/>
      </c>
      <c r="M101" s="68">
        <f>IF($A96="","",IF(SUMPRODUCT((COLUMN($E$100:$L$100)-4&lt;=Materiales!$F$17)*$E$100:$L$100)&gt;0,"PEDIR YA (atrasado)","OK"))</f>
        <v/>
      </c>
    </row>
    <row r="102" ht="6" customHeight="1"/>
    <row r="103">
      <c r="A103" s="58">
        <f>IF(Materiales!$A$18="","",Materiales!$A$18)</f>
        <v/>
      </c>
      <c r="B103" s="58">
        <f>IF(Materiales!$B$18="","",Materiales!$B$18)</f>
        <v/>
      </c>
      <c r="C103" s="59" t="inlineStr">
        <is>
          <t>Necesidad bruta</t>
        </is>
      </c>
      <c r="D103" s="60" t="n"/>
      <c r="E103" s="61">
        <f>ROUND(SUMIF(Consumo!$O$4:$O$143,"#"&amp;$A103,Consumo!G$4:G$143),4)</f>
        <v/>
      </c>
      <c r="F103" s="61">
        <f>ROUND(SUMIF(Consumo!$O$4:$O$143,"#"&amp;$A103,Consumo!H$4:H$143),4)</f>
        <v/>
      </c>
      <c r="G103" s="61">
        <f>ROUND(SUMIF(Consumo!$O$4:$O$143,"#"&amp;$A103,Consumo!I$4:I$143),4)</f>
        <v/>
      </c>
      <c r="H103" s="61">
        <f>ROUND(SUMIF(Consumo!$O$4:$O$143,"#"&amp;$A103,Consumo!J$4:J$143),4)</f>
        <v/>
      </c>
      <c r="I103" s="61">
        <f>ROUND(SUMIF(Consumo!$O$4:$O$143,"#"&amp;$A103,Consumo!K$4:K$143),4)</f>
        <v/>
      </c>
      <c r="J103" s="61">
        <f>ROUND(SUMIF(Consumo!$O$4:$O$143,"#"&amp;$A103,Consumo!L$4:L$143),4)</f>
        <v/>
      </c>
      <c r="K103" s="61">
        <f>ROUND(SUMIF(Consumo!$O$4:$O$143,"#"&amp;$A103,Consumo!M$4:M$143),4)</f>
        <v/>
      </c>
      <c r="L103" s="61">
        <f>ROUND(SUMIF(Consumo!$O$4:$O$143,"#"&amp;$A103,Consumo!N$4:N$143),4)</f>
        <v/>
      </c>
      <c r="M103" s="62" t="n"/>
    </row>
    <row r="104">
      <c r="C104" s="59" t="inlineStr">
        <is>
          <t>Recepciones programadas (ya pedido)</t>
        </is>
      </c>
      <c r="D104" s="60" t="n"/>
      <c r="E104" s="61">
        <f>SUMIF(Inventario!$M$5:$M$87,"#"&amp;$A103,Inventario!E$5:E$87)</f>
        <v/>
      </c>
      <c r="F104" s="61">
        <f>SUMIF(Inventario!$M$5:$M$87,"#"&amp;$A103,Inventario!F$5:F$87)</f>
        <v/>
      </c>
      <c r="G104" s="61">
        <f>SUMIF(Inventario!$M$5:$M$87,"#"&amp;$A103,Inventario!G$5:G$87)</f>
        <v/>
      </c>
      <c r="H104" s="61">
        <f>SUMIF(Inventario!$M$5:$M$87,"#"&amp;$A103,Inventario!H$5:H$87)</f>
        <v/>
      </c>
      <c r="I104" s="61">
        <f>SUMIF(Inventario!$M$5:$M$87,"#"&amp;$A103,Inventario!I$5:I$87)</f>
        <v/>
      </c>
      <c r="J104" s="61">
        <f>SUMIF(Inventario!$M$5:$M$87,"#"&amp;$A103,Inventario!J$5:J$87)</f>
        <v/>
      </c>
      <c r="K104" s="61">
        <f>SUMIF(Inventario!$M$5:$M$87,"#"&amp;$A103,Inventario!K$5:K$87)</f>
        <v/>
      </c>
      <c r="L104" s="61">
        <f>SUMIF(Inventario!$M$5:$M$87,"#"&amp;$A103,Inventario!L$5:L$87)</f>
        <v/>
      </c>
      <c r="M104" s="62" t="n"/>
    </row>
    <row r="105">
      <c r="C105" s="59" t="inlineStr">
        <is>
          <t>Stock proyectado disponible</t>
        </is>
      </c>
      <c r="D105" s="63">
        <f>SUMIF(Inventario!$M$5:$M$87,"#"&amp;$A103,Inventario!$C$5:$C$87)</f>
        <v/>
      </c>
      <c r="E105" s="64">
        <f>D105+E104+E107-E103</f>
        <v/>
      </c>
      <c r="F105" s="64">
        <f>E105+F104+F107-F103</f>
        <v/>
      </c>
      <c r="G105" s="64">
        <f>F105+G104+G107-G103</f>
        <v/>
      </c>
      <c r="H105" s="64">
        <f>G105+H104+H107-H103</f>
        <v/>
      </c>
      <c r="I105" s="64">
        <f>H105+I104+I107-I103</f>
        <v/>
      </c>
      <c r="J105" s="64">
        <f>I105+J104+J107-J103</f>
        <v/>
      </c>
      <c r="K105" s="64">
        <f>J105+K104+K107-K103</f>
        <v/>
      </c>
      <c r="L105" s="64">
        <f>K105+L104+L107-L103</f>
        <v/>
      </c>
      <c r="M105" s="62" t="n"/>
    </row>
    <row r="106">
      <c r="C106" s="59" t="inlineStr">
        <is>
          <t>Necesidad neta</t>
        </is>
      </c>
      <c r="D106" s="60" t="n"/>
      <c r="E106" s="65">
        <f>MAX(0,ROUND(E103+Materiales!$H$18-D105-E104,4))</f>
        <v/>
      </c>
      <c r="F106" s="65">
        <f>MAX(0,ROUND(F103+Materiales!$H$18-E105-F104,4))</f>
        <v/>
      </c>
      <c r="G106" s="65">
        <f>MAX(0,ROUND(G103+Materiales!$H$18-F105-G104,4))</f>
        <v/>
      </c>
      <c r="H106" s="65">
        <f>MAX(0,ROUND(H103+Materiales!$H$18-G105-H104,4))</f>
        <v/>
      </c>
      <c r="I106" s="65">
        <f>MAX(0,ROUND(I103+Materiales!$H$18-H105-I104,4))</f>
        <v/>
      </c>
      <c r="J106" s="65">
        <f>MAX(0,ROUND(J103+Materiales!$H$18-I105-J104,4))</f>
        <v/>
      </c>
      <c r="K106" s="65">
        <f>MAX(0,ROUND(K103+Materiales!$H$18-J105-K104,4))</f>
        <v/>
      </c>
      <c r="L106" s="65">
        <f>MAX(0,ROUND(L103+Materiales!$H$18-K105-L104,4))</f>
        <v/>
      </c>
      <c r="M106" s="62" t="n"/>
    </row>
    <row r="107">
      <c r="C107" s="59" t="inlineStr">
        <is>
          <t>Recepcion de orden planificada</t>
        </is>
      </c>
      <c r="D107" s="60" t="n"/>
      <c r="E107" s="61">
        <f>IF(E106&lt;=0,0,IF(Materiales!$G$18&lt;=0,E106,ROUNDUP(E106/Materiales!$G$18,0)*Materiales!$G$18))</f>
        <v/>
      </c>
      <c r="F107" s="61">
        <f>IF(F106&lt;=0,0,IF(Materiales!$G$18&lt;=0,F106,ROUNDUP(F106/Materiales!$G$18,0)*Materiales!$G$18))</f>
        <v/>
      </c>
      <c r="G107" s="61">
        <f>IF(G106&lt;=0,0,IF(Materiales!$G$18&lt;=0,G106,ROUNDUP(G106/Materiales!$G$18,0)*Materiales!$G$18))</f>
        <v/>
      </c>
      <c r="H107" s="61">
        <f>IF(H106&lt;=0,0,IF(Materiales!$G$18&lt;=0,H106,ROUNDUP(H106/Materiales!$G$18,0)*Materiales!$G$18))</f>
        <v/>
      </c>
      <c r="I107" s="61">
        <f>IF(I106&lt;=0,0,IF(Materiales!$G$18&lt;=0,I106,ROUNDUP(I106/Materiales!$G$18,0)*Materiales!$G$18))</f>
        <v/>
      </c>
      <c r="J107" s="61">
        <f>IF(J106&lt;=0,0,IF(Materiales!$G$18&lt;=0,J106,ROUNDUP(J106/Materiales!$G$18,0)*Materiales!$G$18))</f>
        <v/>
      </c>
      <c r="K107" s="61">
        <f>IF(K106&lt;=0,0,IF(Materiales!$G$18&lt;=0,K106,ROUNDUP(K106/Materiales!$G$18,0)*Materiales!$G$18))</f>
        <v/>
      </c>
      <c r="L107" s="61">
        <f>IF(L106&lt;=0,0,IF(Materiales!$G$18&lt;=0,L106,ROUNDUP(L106/Materiales!$G$18,0)*Materiales!$G$18))</f>
        <v/>
      </c>
      <c r="M107" s="62" t="n"/>
    </row>
    <row r="108">
      <c r="C108" s="66" t="inlineStr">
        <is>
          <t>LANZAMIENTO DE ORDEN — pedir esta semana</t>
        </is>
      </c>
      <c r="D108" s="60" t="n"/>
      <c r="E108" s="70">
        <f>IF(1+Materiales!$F$18&gt;8,0,INDEX($E$107:$L$107,1,1+Materiales!$F$18))</f>
        <v/>
      </c>
      <c r="F108" s="70">
        <f>IF(2+Materiales!$F$18&gt;8,0,INDEX($E$107:$L$107,1,2+Materiales!$F$18))</f>
        <v/>
      </c>
      <c r="G108" s="70">
        <f>IF(3+Materiales!$F$18&gt;8,0,INDEX($E$107:$L$107,1,3+Materiales!$F$18))</f>
        <v/>
      </c>
      <c r="H108" s="70">
        <f>IF(4+Materiales!$F$18&gt;8,0,INDEX($E$107:$L$107,1,4+Materiales!$F$18))</f>
        <v/>
      </c>
      <c r="I108" s="70">
        <f>IF(5+Materiales!$F$18&gt;8,0,INDEX($E$107:$L$107,1,5+Materiales!$F$18))</f>
        <v/>
      </c>
      <c r="J108" s="70">
        <f>IF(6+Materiales!$F$18&gt;8,0,INDEX($E$107:$L$107,1,6+Materiales!$F$18))</f>
        <v/>
      </c>
      <c r="K108" s="70">
        <f>IF(7+Materiales!$F$18&gt;8,0,INDEX($E$107:$L$107,1,7+Materiales!$F$18))</f>
        <v/>
      </c>
      <c r="L108" s="70">
        <f>IF(8+Materiales!$F$18&gt;8,0,INDEX($E$107:$L$107,1,8+Materiales!$F$18))</f>
        <v/>
      </c>
      <c r="M108" s="68">
        <f>IF($A103="","",IF(SUMPRODUCT((COLUMN($E$107:$L$107)-4&lt;=Materiales!$F$18)*$E$107:$L$107)&gt;0,"PEDIR YA (atrasado)","OK"))</f>
        <v/>
      </c>
    </row>
    <row r="109" ht="6" customHeight="1"/>
    <row r="110">
      <c r="A110" s="58">
        <f>IF(Materiales!$A$19="","",Materiales!$A$19)</f>
        <v/>
      </c>
      <c r="B110" s="58">
        <f>IF(Materiales!$B$19="","",Materiales!$B$19)</f>
        <v/>
      </c>
      <c r="C110" s="59" t="inlineStr">
        <is>
          <t>Necesidad bruta</t>
        </is>
      </c>
      <c r="D110" s="60" t="n"/>
      <c r="E110" s="61">
        <f>ROUND(SUMIF(Consumo!$O$4:$O$143,"#"&amp;$A110,Consumo!G$4:G$143),4)</f>
        <v/>
      </c>
      <c r="F110" s="61">
        <f>ROUND(SUMIF(Consumo!$O$4:$O$143,"#"&amp;$A110,Consumo!H$4:H$143),4)</f>
        <v/>
      </c>
      <c r="G110" s="61">
        <f>ROUND(SUMIF(Consumo!$O$4:$O$143,"#"&amp;$A110,Consumo!I$4:I$143),4)</f>
        <v/>
      </c>
      <c r="H110" s="61">
        <f>ROUND(SUMIF(Consumo!$O$4:$O$143,"#"&amp;$A110,Consumo!J$4:J$143),4)</f>
        <v/>
      </c>
      <c r="I110" s="61">
        <f>ROUND(SUMIF(Consumo!$O$4:$O$143,"#"&amp;$A110,Consumo!K$4:K$143),4)</f>
        <v/>
      </c>
      <c r="J110" s="61">
        <f>ROUND(SUMIF(Consumo!$O$4:$O$143,"#"&amp;$A110,Consumo!L$4:L$143),4)</f>
        <v/>
      </c>
      <c r="K110" s="61">
        <f>ROUND(SUMIF(Consumo!$O$4:$O$143,"#"&amp;$A110,Consumo!M$4:M$143),4)</f>
        <v/>
      </c>
      <c r="L110" s="61">
        <f>ROUND(SUMIF(Consumo!$O$4:$O$143,"#"&amp;$A110,Consumo!N$4:N$143),4)</f>
        <v/>
      </c>
      <c r="M110" s="62" t="n"/>
    </row>
    <row r="111">
      <c r="C111" s="59" t="inlineStr">
        <is>
          <t>Recepciones programadas (ya pedido)</t>
        </is>
      </c>
      <c r="D111" s="60" t="n"/>
      <c r="E111" s="61">
        <f>SUMIF(Inventario!$M$5:$M$87,"#"&amp;$A110,Inventario!E$5:E$87)</f>
        <v/>
      </c>
      <c r="F111" s="61">
        <f>SUMIF(Inventario!$M$5:$M$87,"#"&amp;$A110,Inventario!F$5:F$87)</f>
        <v/>
      </c>
      <c r="G111" s="61">
        <f>SUMIF(Inventario!$M$5:$M$87,"#"&amp;$A110,Inventario!G$5:G$87)</f>
        <v/>
      </c>
      <c r="H111" s="61">
        <f>SUMIF(Inventario!$M$5:$M$87,"#"&amp;$A110,Inventario!H$5:H$87)</f>
        <v/>
      </c>
      <c r="I111" s="61">
        <f>SUMIF(Inventario!$M$5:$M$87,"#"&amp;$A110,Inventario!I$5:I$87)</f>
        <v/>
      </c>
      <c r="J111" s="61">
        <f>SUMIF(Inventario!$M$5:$M$87,"#"&amp;$A110,Inventario!J$5:J$87)</f>
        <v/>
      </c>
      <c r="K111" s="61">
        <f>SUMIF(Inventario!$M$5:$M$87,"#"&amp;$A110,Inventario!K$5:K$87)</f>
        <v/>
      </c>
      <c r="L111" s="61">
        <f>SUMIF(Inventario!$M$5:$M$87,"#"&amp;$A110,Inventario!L$5:L$87)</f>
        <v/>
      </c>
      <c r="M111" s="62" t="n"/>
    </row>
    <row r="112">
      <c r="C112" s="59" t="inlineStr">
        <is>
          <t>Stock proyectado disponible</t>
        </is>
      </c>
      <c r="D112" s="63">
        <f>SUMIF(Inventario!$M$5:$M$87,"#"&amp;$A110,Inventario!$C$5:$C$87)</f>
        <v/>
      </c>
      <c r="E112" s="64">
        <f>D112+E111+E114-E110</f>
        <v/>
      </c>
      <c r="F112" s="64">
        <f>E112+F111+F114-F110</f>
        <v/>
      </c>
      <c r="G112" s="64">
        <f>F112+G111+G114-G110</f>
        <v/>
      </c>
      <c r="H112" s="64">
        <f>G112+H111+H114-H110</f>
        <v/>
      </c>
      <c r="I112" s="64">
        <f>H112+I111+I114-I110</f>
        <v/>
      </c>
      <c r="J112" s="64">
        <f>I112+J111+J114-J110</f>
        <v/>
      </c>
      <c r="K112" s="64">
        <f>J112+K111+K114-K110</f>
        <v/>
      </c>
      <c r="L112" s="64">
        <f>K112+L111+L114-L110</f>
        <v/>
      </c>
      <c r="M112" s="62" t="n"/>
    </row>
    <row r="113">
      <c r="C113" s="59" t="inlineStr">
        <is>
          <t>Necesidad neta</t>
        </is>
      </c>
      <c r="D113" s="60" t="n"/>
      <c r="E113" s="65">
        <f>MAX(0,ROUND(E110+Materiales!$H$19-D112-E111,4))</f>
        <v/>
      </c>
      <c r="F113" s="65">
        <f>MAX(0,ROUND(F110+Materiales!$H$19-E112-F111,4))</f>
        <v/>
      </c>
      <c r="G113" s="65">
        <f>MAX(0,ROUND(G110+Materiales!$H$19-F112-G111,4))</f>
        <v/>
      </c>
      <c r="H113" s="65">
        <f>MAX(0,ROUND(H110+Materiales!$H$19-G112-H111,4))</f>
        <v/>
      </c>
      <c r="I113" s="65">
        <f>MAX(0,ROUND(I110+Materiales!$H$19-H112-I111,4))</f>
        <v/>
      </c>
      <c r="J113" s="65">
        <f>MAX(0,ROUND(J110+Materiales!$H$19-I112-J111,4))</f>
        <v/>
      </c>
      <c r="K113" s="65">
        <f>MAX(0,ROUND(K110+Materiales!$H$19-J112-K111,4))</f>
        <v/>
      </c>
      <c r="L113" s="65">
        <f>MAX(0,ROUND(L110+Materiales!$H$19-K112-L111,4))</f>
        <v/>
      </c>
      <c r="M113" s="62" t="n"/>
    </row>
    <row r="114">
      <c r="C114" s="59" t="inlineStr">
        <is>
          <t>Recepcion de orden planificada</t>
        </is>
      </c>
      <c r="D114" s="60" t="n"/>
      <c r="E114" s="61">
        <f>IF(E113&lt;=0,0,IF(Materiales!$G$19&lt;=0,E113,ROUNDUP(E113/Materiales!$G$19,0)*Materiales!$G$19))</f>
        <v/>
      </c>
      <c r="F114" s="61">
        <f>IF(F113&lt;=0,0,IF(Materiales!$G$19&lt;=0,F113,ROUNDUP(F113/Materiales!$G$19,0)*Materiales!$G$19))</f>
        <v/>
      </c>
      <c r="G114" s="61">
        <f>IF(G113&lt;=0,0,IF(Materiales!$G$19&lt;=0,G113,ROUNDUP(G113/Materiales!$G$19,0)*Materiales!$G$19))</f>
        <v/>
      </c>
      <c r="H114" s="61">
        <f>IF(H113&lt;=0,0,IF(Materiales!$G$19&lt;=0,H113,ROUNDUP(H113/Materiales!$G$19,0)*Materiales!$G$19))</f>
        <v/>
      </c>
      <c r="I114" s="61">
        <f>IF(I113&lt;=0,0,IF(Materiales!$G$19&lt;=0,I113,ROUNDUP(I113/Materiales!$G$19,0)*Materiales!$G$19))</f>
        <v/>
      </c>
      <c r="J114" s="61">
        <f>IF(J113&lt;=0,0,IF(Materiales!$G$19&lt;=0,J113,ROUNDUP(J113/Materiales!$G$19,0)*Materiales!$G$19))</f>
        <v/>
      </c>
      <c r="K114" s="61">
        <f>IF(K113&lt;=0,0,IF(Materiales!$G$19&lt;=0,K113,ROUNDUP(K113/Materiales!$G$19,0)*Materiales!$G$19))</f>
        <v/>
      </c>
      <c r="L114" s="61">
        <f>IF(L113&lt;=0,0,IF(Materiales!$G$19&lt;=0,L113,ROUNDUP(L113/Materiales!$G$19,0)*Materiales!$G$19))</f>
        <v/>
      </c>
      <c r="M114" s="62" t="n"/>
    </row>
    <row r="115">
      <c r="C115" s="66" t="inlineStr">
        <is>
          <t>LANZAMIENTO DE ORDEN — pedir esta semana</t>
        </is>
      </c>
      <c r="D115" s="60" t="n"/>
      <c r="E115" s="70">
        <f>IF(1+Materiales!$F$19&gt;8,0,INDEX($E$114:$L$114,1,1+Materiales!$F$19))</f>
        <v/>
      </c>
      <c r="F115" s="70">
        <f>IF(2+Materiales!$F$19&gt;8,0,INDEX($E$114:$L$114,1,2+Materiales!$F$19))</f>
        <v/>
      </c>
      <c r="G115" s="70">
        <f>IF(3+Materiales!$F$19&gt;8,0,INDEX($E$114:$L$114,1,3+Materiales!$F$19))</f>
        <v/>
      </c>
      <c r="H115" s="70">
        <f>IF(4+Materiales!$F$19&gt;8,0,INDEX($E$114:$L$114,1,4+Materiales!$F$19))</f>
        <v/>
      </c>
      <c r="I115" s="70">
        <f>IF(5+Materiales!$F$19&gt;8,0,INDEX($E$114:$L$114,1,5+Materiales!$F$19))</f>
        <v/>
      </c>
      <c r="J115" s="70">
        <f>IF(6+Materiales!$F$19&gt;8,0,INDEX($E$114:$L$114,1,6+Materiales!$F$19))</f>
        <v/>
      </c>
      <c r="K115" s="70">
        <f>IF(7+Materiales!$F$19&gt;8,0,INDEX($E$114:$L$114,1,7+Materiales!$F$19))</f>
        <v/>
      </c>
      <c r="L115" s="70">
        <f>IF(8+Materiales!$F$19&gt;8,0,INDEX($E$114:$L$114,1,8+Materiales!$F$19))</f>
        <v/>
      </c>
      <c r="M115" s="68">
        <f>IF($A110="","",IF(SUMPRODUCT((COLUMN($E$114:$L$114)-4&lt;=Materiales!$F$19)*$E$114:$L$114)&gt;0,"PEDIR YA (atrasado)","OK"))</f>
        <v/>
      </c>
    </row>
    <row r="116" ht="6" customHeight="1"/>
    <row r="117">
      <c r="A117" s="58">
        <f>IF(Materiales!$A$20="","",Materiales!$A$20)</f>
        <v/>
      </c>
      <c r="B117" s="58">
        <f>IF(Materiales!$B$20="","",Materiales!$B$20)</f>
        <v/>
      </c>
      <c r="C117" s="59" t="inlineStr">
        <is>
          <t>Necesidad bruta</t>
        </is>
      </c>
      <c r="D117" s="60" t="n"/>
      <c r="E117" s="61">
        <f>ROUND(SUMIF(Consumo!$O$4:$O$143,"#"&amp;$A117,Consumo!G$4:G$143),4)</f>
        <v/>
      </c>
      <c r="F117" s="61">
        <f>ROUND(SUMIF(Consumo!$O$4:$O$143,"#"&amp;$A117,Consumo!H$4:H$143),4)</f>
        <v/>
      </c>
      <c r="G117" s="61">
        <f>ROUND(SUMIF(Consumo!$O$4:$O$143,"#"&amp;$A117,Consumo!I$4:I$143),4)</f>
        <v/>
      </c>
      <c r="H117" s="61">
        <f>ROUND(SUMIF(Consumo!$O$4:$O$143,"#"&amp;$A117,Consumo!J$4:J$143),4)</f>
        <v/>
      </c>
      <c r="I117" s="61">
        <f>ROUND(SUMIF(Consumo!$O$4:$O$143,"#"&amp;$A117,Consumo!K$4:K$143),4)</f>
        <v/>
      </c>
      <c r="J117" s="61">
        <f>ROUND(SUMIF(Consumo!$O$4:$O$143,"#"&amp;$A117,Consumo!L$4:L$143),4)</f>
        <v/>
      </c>
      <c r="K117" s="61">
        <f>ROUND(SUMIF(Consumo!$O$4:$O$143,"#"&amp;$A117,Consumo!M$4:M$143),4)</f>
        <v/>
      </c>
      <c r="L117" s="61">
        <f>ROUND(SUMIF(Consumo!$O$4:$O$143,"#"&amp;$A117,Consumo!N$4:N$143),4)</f>
        <v/>
      </c>
      <c r="M117" s="62" t="n"/>
    </row>
    <row r="118">
      <c r="C118" s="59" t="inlineStr">
        <is>
          <t>Recepciones programadas (ya pedido)</t>
        </is>
      </c>
      <c r="D118" s="60" t="n"/>
      <c r="E118" s="61">
        <f>SUMIF(Inventario!$M$5:$M$87,"#"&amp;$A117,Inventario!E$5:E$87)</f>
        <v/>
      </c>
      <c r="F118" s="61">
        <f>SUMIF(Inventario!$M$5:$M$87,"#"&amp;$A117,Inventario!F$5:F$87)</f>
        <v/>
      </c>
      <c r="G118" s="61">
        <f>SUMIF(Inventario!$M$5:$M$87,"#"&amp;$A117,Inventario!G$5:G$87)</f>
        <v/>
      </c>
      <c r="H118" s="61">
        <f>SUMIF(Inventario!$M$5:$M$87,"#"&amp;$A117,Inventario!H$5:H$87)</f>
        <v/>
      </c>
      <c r="I118" s="61">
        <f>SUMIF(Inventario!$M$5:$M$87,"#"&amp;$A117,Inventario!I$5:I$87)</f>
        <v/>
      </c>
      <c r="J118" s="61">
        <f>SUMIF(Inventario!$M$5:$M$87,"#"&amp;$A117,Inventario!J$5:J$87)</f>
        <v/>
      </c>
      <c r="K118" s="61">
        <f>SUMIF(Inventario!$M$5:$M$87,"#"&amp;$A117,Inventario!K$5:K$87)</f>
        <v/>
      </c>
      <c r="L118" s="61">
        <f>SUMIF(Inventario!$M$5:$M$87,"#"&amp;$A117,Inventario!L$5:L$87)</f>
        <v/>
      </c>
      <c r="M118" s="62" t="n"/>
    </row>
    <row r="119">
      <c r="C119" s="59" t="inlineStr">
        <is>
          <t>Stock proyectado disponible</t>
        </is>
      </c>
      <c r="D119" s="63">
        <f>SUMIF(Inventario!$M$5:$M$87,"#"&amp;$A117,Inventario!$C$5:$C$87)</f>
        <v/>
      </c>
      <c r="E119" s="64">
        <f>D119+E118+E121-E117</f>
        <v/>
      </c>
      <c r="F119" s="64">
        <f>E119+F118+F121-F117</f>
        <v/>
      </c>
      <c r="G119" s="64">
        <f>F119+G118+G121-G117</f>
        <v/>
      </c>
      <c r="H119" s="64">
        <f>G119+H118+H121-H117</f>
        <v/>
      </c>
      <c r="I119" s="64">
        <f>H119+I118+I121-I117</f>
        <v/>
      </c>
      <c r="J119" s="64">
        <f>I119+J118+J121-J117</f>
        <v/>
      </c>
      <c r="K119" s="64">
        <f>J119+K118+K121-K117</f>
        <v/>
      </c>
      <c r="L119" s="64">
        <f>K119+L118+L121-L117</f>
        <v/>
      </c>
      <c r="M119" s="62" t="n"/>
    </row>
    <row r="120">
      <c r="C120" s="59" t="inlineStr">
        <is>
          <t>Necesidad neta</t>
        </is>
      </c>
      <c r="D120" s="60" t="n"/>
      <c r="E120" s="65">
        <f>MAX(0,ROUND(E117+Materiales!$H$20-D119-E118,4))</f>
        <v/>
      </c>
      <c r="F120" s="65">
        <f>MAX(0,ROUND(F117+Materiales!$H$20-E119-F118,4))</f>
        <v/>
      </c>
      <c r="G120" s="65">
        <f>MAX(0,ROUND(G117+Materiales!$H$20-F119-G118,4))</f>
        <v/>
      </c>
      <c r="H120" s="65">
        <f>MAX(0,ROUND(H117+Materiales!$H$20-G119-H118,4))</f>
        <v/>
      </c>
      <c r="I120" s="65">
        <f>MAX(0,ROUND(I117+Materiales!$H$20-H119-I118,4))</f>
        <v/>
      </c>
      <c r="J120" s="65">
        <f>MAX(0,ROUND(J117+Materiales!$H$20-I119-J118,4))</f>
        <v/>
      </c>
      <c r="K120" s="65">
        <f>MAX(0,ROUND(K117+Materiales!$H$20-J119-K118,4))</f>
        <v/>
      </c>
      <c r="L120" s="65">
        <f>MAX(0,ROUND(L117+Materiales!$H$20-K119-L118,4))</f>
        <v/>
      </c>
      <c r="M120" s="62" t="n"/>
    </row>
    <row r="121">
      <c r="C121" s="59" t="inlineStr">
        <is>
          <t>Recepcion de orden planificada</t>
        </is>
      </c>
      <c r="D121" s="60" t="n"/>
      <c r="E121" s="61">
        <f>IF(E120&lt;=0,0,IF(Materiales!$G$20&lt;=0,E120,ROUNDUP(E120/Materiales!$G$20,0)*Materiales!$G$20))</f>
        <v/>
      </c>
      <c r="F121" s="61">
        <f>IF(F120&lt;=0,0,IF(Materiales!$G$20&lt;=0,F120,ROUNDUP(F120/Materiales!$G$20,0)*Materiales!$G$20))</f>
        <v/>
      </c>
      <c r="G121" s="61">
        <f>IF(G120&lt;=0,0,IF(Materiales!$G$20&lt;=0,G120,ROUNDUP(G120/Materiales!$G$20,0)*Materiales!$G$20))</f>
        <v/>
      </c>
      <c r="H121" s="61">
        <f>IF(H120&lt;=0,0,IF(Materiales!$G$20&lt;=0,H120,ROUNDUP(H120/Materiales!$G$20,0)*Materiales!$G$20))</f>
        <v/>
      </c>
      <c r="I121" s="61">
        <f>IF(I120&lt;=0,0,IF(Materiales!$G$20&lt;=0,I120,ROUNDUP(I120/Materiales!$G$20,0)*Materiales!$G$20))</f>
        <v/>
      </c>
      <c r="J121" s="61">
        <f>IF(J120&lt;=0,0,IF(Materiales!$G$20&lt;=0,J120,ROUNDUP(J120/Materiales!$G$20,0)*Materiales!$G$20))</f>
        <v/>
      </c>
      <c r="K121" s="61">
        <f>IF(K120&lt;=0,0,IF(Materiales!$G$20&lt;=0,K120,ROUNDUP(K120/Materiales!$G$20,0)*Materiales!$G$20))</f>
        <v/>
      </c>
      <c r="L121" s="61">
        <f>IF(L120&lt;=0,0,IF(Materiales!$G$20&lt;=0,L120,ROUNDUP(L120/Materiales!$G$20,0)*Materiales!$G$20))</f>
        <v/>
      </c>
      <c r="M121" s="62" t="n"/>
    </row>
    <row r="122">
      <c r="C122" s="66" t="inlineStr">
        <is>
          <t>LANZAMIENTO DE ORDEN — pedir esta semana</t>
        </is>
      </c>
      <c r="D122" s="60" t="n"/>
      <c r="E122" s="70">
        <f>IF(1+Materiales!$F$20&gt;8,0,INDEX($E$121:$L$121,1,1+Materiales!$F$20))</f>
        <v/>
      </c>
      <c r="F122" s="70">
        <f>IF(2+Materiales!$F$20&gt;8,0,INDEX($E$121:$L$121,1,2+Materiales!$F$20))</f>
        <v/>
      </c>
      <c r="G122" s="70">
        <f>IF(3+Materiales!$F$20&gt;8,0,INDEX($E$121:$L$121,1,3+Materiales!$F$20))</f>
        <v/>
      </c>
      <c r="H122" s="70">
        <f>IF(4+Materiales!$F$20&gt;8,0,INDEX($E$121:$L$121,1,4+Materiales!$F$20))</f>
        <v/>
      </c>
      <c r="I122" s="70">
        <f>IF(5+Materiales!$F$20&gt;8,0,INDEX($E$121:$L$121,1,5+Materiales!$F$20))</f>
        <v/>
      </c>
      <c r="J122" s="70">
        <f>IF(6+Materiales!$F$20&gt;8,0,INDEX($E$121:$L$121,1,6+Materiales!$F$20))</f>
        <v/>
      </c>
      <c r="K122" s="70">
        <f>IF(7+Materiales!$F$20&gt;8,0,INDEX($E$121:$L$121,1,7+Materiales!$F$20))</f>
        <v/>
      </c>
      <c r="L122" s="70">
        <f>IF(8+Materiales!$F$20&gt;8,0,INDEX($E$121:$L$121,1,8+Materiales!$F$20))</f>
        <v/>
      </c>
      <c r="M122" s="68">
        <f>IF($A117="","",IF(SUMPRODUCT((COLUMN($E$121:$L$121)-4&lt;=Materiales!$F$20)*$E$121:$L$121)&gt;0,"PEDIR YA (atrasado)","OK"))</f>
        <v/>
      </c>
    </row>
    <row r="123" ht="6" customHeight="1"/>
    <row r="124">
      <c r="A124" s="58">
        <f>IF(Materiales!$A$21="","",Materiales!$A$21)</f>
        <v/>
      </c>
      <c r="B124" s="58">
        <f>IF(Materiales!$B$21="","",Materiales!$B$21)</f>
        <v/>
      </c>
      <c r="C124" s="59" t="inlineStr">
        <is>
          <t>Necesidad bruta</t>
        </is>
      </c>
      <c r="D124" s="60" t="n"/>
      <c r="E124" s="61">
        <f>ROUND(SUMIF(Consumo!$O$4:$O$143,"#"&amp;$A124,Consumo!G$4:G$143),4)</f>
        <v/>
      </c>
      <c r="F124" s="61">
        <f>ROUND(SUMIF(Consumo!$O$4:$O$143,"#"&amp;$A124,Consumo!H$4:H$143),4)</f>
        <v/>
      </c>
      <c r="G124" s="61">
        <f>ROUND(SUMIF(Consumo!$O$4:$O$143,"#"&amp;$A124,Consumo!I$4:I$143),4)</f>
        <v/>
      </c>
      <c r="H124" s="61">
        <f>ROUND(SUMIF(Consumo!$O$4:$O$143,"#"&amp;$A124,Consumo!J$4:J$143),4)</f>
        <v/>
      </c>
      <c r="I124" s="61">
        <f>ROUND(SUMIF(Consumo!$O$4:$O$143,"#"&amp;$A124,Consumo!K$4:K$143),4)</f>
        <v/>
      </c>
      <c r="J124" s="61">
        <f>ROUND(SUMIF(Consumo!$O$4:$O$143,"#"&amp;$A124,Consumo!L$4:L$143),4)</f>
        <v/>
      </c>
      <c r="K124" s="61">
        <f>ROUND(SUMIF(Consumo!$O$4:$O$143,"#"&amp;$A124,Consumo!M$4:M$143),4)</f>
        <v/>
      </c>
      <c r="L124" s="61">
        <f>ROUND(SUMIF(Consumo!$O$4:$O$143,"#"&amp;$A124,Consumo!N$4:N$143),4)</f>
        <v/>
      </c>
      <c r="M124" s="62" t="n"/>
    </row>
    <row r="125">
      <c r="C125" s="59" t="inlineStr">
        <is>
          <t>Recepciones programadas (ya pedido)</t>
        </is>
      </c>
      <c r="D125" s="60" t="n"/>
      <c r="E125" s="61">
        <f>SUMIF(Inventario!$M$5:$M$87,"#"&amp;$A124,Inventario!E$5:E$87)</f>
        <v/>
      </c>
      <c r="F125" s="61">
        <f>SUMIF(Inventario!$M$5:$M$87,"#"&amp;$A124,Inventario!F$5:F$87)</f>
        <v/>
      </c>
      <c r="G125" s="61">
        <f>SUMIF(Inventario!$M$5:$M$87,"#"&amp;$A124,Inventario!G$5:G$87)</f>
        <v/>
      </c>
      <c r="H125" s="61">
        <f>SUMIF(Inventario!$M$5:$M$87,"#"&amp;$A124,Inventario!H$5:H$87)</f>
        <v/>
      </c>
      <c r="I125" s="61">
        <f>SUMIF(Inventario!$M$5:$M$87,"#"&amp;$A124,Inventario!I$5:I$87)</f>
        <v/>
      </c>
      <c r="J125" s="61">
        <f>SUMIF(Inventario!$M$5:$M$87,"#"&amp;$A124,Inventario!J$5:J$87)</f>
        <v/>
      </c>
      <c r="K125" s="61">
        <f>SUMIF(Inventario!$M$5:$M$87,"#"&amp;$A124,Inventario!K$5:K$87)</f>
        <v/>
      </c>
      <c r="L125" s="61">
        <f>SUMIF(Inventario!$M$5:$M$87,"#"&amp;$A124,Inventario!L$5:L$87)</f>
        <v/>
      </c>
      <c r="M125" s="62" t="n"/>
    </row>
    <row r="126">
      <c r="C126" s="59" t="inlineStr">
        <is>
          <t>Stock proyectado disponible</t>
        </is>
      </c>
      <c r="D126" s="63">
        <f>SUMIF(Inventario!$M$5:$M$87,"#"&amp;$A124,Inventario!$C$5:$C$87)</f>
        <v/>
      </c>
      <c r="E126" s="64">
        <f>D126+E125+E128-E124</f>
        <v/>
      </c>
      <c r="F126" s="64">
        <f>E126+F125+F128-F124</f>
        <v/>
      </c>
      <c r="G126" s="64">
        <f>F126+G125+G128-G124</f>
        <v/>
      </c>
      <c r="H126" s="64">
        <f>G126+H125+H128-H124</f>
        <v/>
      </c>
      <c r="I126" s="64">
        <f>H126+I125+I128-I124</f>
        <v/>
      </c>
      <c r="J126" s="64">
        <f>I126+J125+J128-J124</f>
        <v/>
      </c>
      <c r="K126" s="64">
        <f>J126+K125+K128-K124</f>
        <v/>
      </c>
      <c r="L126" s="64">
        <f>K126+L125+L128-L124</f>
        <v/>
      </c>
      <c r="M126" s="62" t="n"/>
    </row>
    <row r="127">
      <c r="C127" s="59" t="inlineStr">
        <is>
          <t>Necesidad neta</t>
        </is>
      </c>
      <c r="D127" s="60" t="n"/>
      <c r="E127" s="65">
        <f>MAX(0,ROUND(E124+Materiales!$H$21-D126-E125,4))</f>
        <v/>
      </c>
      <c r="F127" s="65">
        <f>MAX(0,ROUND(F124+Materiales!$H$21-E126-F125,4))</f>
        <v/>
      </c>
      <c r="G127" s="65">
        <f>MAX(0,ROUND(G124+Materiales!$H$21-F126-G125,4))</f>
        <v/>
      </c>
      <c r="H127" s="65">
        <f>MAX(0,ROUND(H124+Materiales!$H$21-G126-H125,4))</f>
        <v/>
      </c>
      <c r="I127" s="65">
        <f>MAX(0,ROUND(I124+Materiales!$H$21-H126-I125,4))</f>
        <v/>
      </c>
      <c r="J127" s="65">
        <f>MAX(0,ROUND(J124+Materiales!$H$21-I126-J125,4))</f>
        <v/>
      </c>
      <c r="K127" s="65">
        <f>MAX(0,ROUND(K124+Materiales!$H$21-J126-K125,4))</f>
        <v/>
      </c>
      <c r="L127" s="65">
        <f>MAX(0,ROUND(L124+Materiales!$H$21-K126-L125,4))</f>
        <v/>
      </c>
      <c r="M127" s="62" t="n"/>
    </row>
    <row r="128">
      <c r="C128" s="59" t="inlineStr">
        <is>
          <t>Recepcion de orden planificada</t>
        </is>
      </c>
      <c r="D128" s="60" t="n"/>
      <c r="E128" s="61">
        <f>IF(E127&lt;=0,0,IF(Materiales!$G$21&lt;=0,E127,ROUNDUP(E127/Materiales!$G$21,0)*Materiales!$G$21))</f>
        <v/>
      </c>
      <c r="F128" s="61">
        <f>IF(F127&lt;=0,0,IF(Materiales!$G$21&lt;=0,F127,ROUNDUP(F127/Materiales!$G$21,0)*Materiales!$G$21))</f>
        <v/>
      </c>
      <c r="G128" s="61">
        <f>IF(G127&lt;=0,0,IF(Materiales!$G$21&lt;=0,G127,ROUNDUP(G127/Materiales!$G$21,0)*Materiales!$G$21))</f>
        <v/>
      </c>
      <c r="H128" s="61">
        <f>IF(H127&lt;=0,0,IF(Materiales!$G$21&lt;=0,H127,ROUNDUP(H127/Materiales!$G$21,0)*Materiales!$G$21))</f>
        <v/>
      </c>
      <c r="I128" s="61">
        <f>IF(I127&lt;=0,0,IF(Materiales!$G$21&lt;=0,I127,ROUNDUP(I127/Materiales!$G$21,0)*Materiales!$G$21))</f>
        <v/>
      </c>
      <c r="J128" s="61">
        <f>IF(J127&lt;=0,0,IF(Materiales!$G$21&lt;=0,J127,ROUNDUP(J127/Materiales!$G$21,0)*Materiales!$G$21))</f>
        <v/>
      </c>
      <c r="K128" s="61">
        <f>IF(K127&lt;=0,0,IF(Materiales!$G$21&lt;=0,K127,ROUNDUP(K127/Materiales!$G$21,0)*Materiales!$G$21))</f>
        <v/>
      </c>
      <c r="L128" s="61">
        <f>IF(L127&lt;=0,0,IF(Materiales!$G$21&lt;=0,L127,ROUNDUP(L127/Materiales!$G$21,0)*Materiales!$G$21))</f>
        <v/>
      </c>
      <c r="M128" s="62" t="n"/>
    </row>
    <row r="129">
      <c r="C129" s="66" t="inlineStr">
        <is>
          <t>LANZAMIENTO DE ORDEN — pedir esta semana</t>
        </is>
      </c>
      <c r="D129" s="60" t="n"/>
      <c r="E129" s="70">
        <f>IF(1+Materiales!$F$21&gt;8,0,INDEX($E$128:$L$128,1,1+Materiales!$F$21))</f>
        <v/>
      </c>
      <c r="F129" s="70">
        <f>IF(2+Materiales!$F$21&gt;8,0,INDEX($E$128:$L$128,1,2+Materiales!$F$21))</f>
        <v/>
      </c>
      <c r="G129" s="70">
        <f>IF(3+Materiales!$F$21&gt;8,0,INDEX($E$128:$L$128,1,3+Materiales!$F$21))</f>
        <v/>
      </c>
      <c r="H129" s="70">
        <f>IF(4+Materiales!$F$21&gt;8,0,INDEX($E$128:$L$128,1,4+Materiales!$F$21))</f>
        <v/>
      </c>
      <c r="I129" s="70">
        <f>IF(5+Materiales!$F$21&gt;8,0,INDEX($E$128:$L$128,1,5+Materiales!$F$21))</f>
        <v/>
      </c>
      <c r="J129" s="70">
        <f>IF(6+Materiales!$F$21&gt;8,0,INDEX($E$128:$L$128,1,6+Materiales!$F$21))</f>
        <v/>
      </c>
      <c r="K129" s="70">
        <f>IF(7+Materiales!$F$21&gt;8,0,INDEX($E$128:$L$128,1,7+Materiales!$F$21))</f>
        <v/>
      </c>
      <c r="L129" s="70">
        <f>IF(8+Materiales!$F$21&gt;8,0,INDEX($E$128:$L$128,1,8+Materiales!$F$21))</f>
        <v/>
      </c>
      <c r="M129" s="68">
        <f>IF($A124="","",IF(SUMPRODUCT((COLUMN($E$128:$L$128)-4&lt;=Materiales!$F$21)*$E$128:$L$128)&gt;0,"PEDIR YA (atrasado)","OK"))</f>
        <v/>
      </c>
    </row>
    <row r="130" ht="6" customHeight="1"/>
    <row r="131">
      <c r="A131" s="58">
        <f>IF(Materiales!$A$22="","",Materiales!$A$22)</f>
        <v/>
      </c>
      <c r="B131" s="58">
        <f>IF(Materiales!$B$22="","",Materiales!$B$22)</f>
        <v/>
      </c>
      <c r="C131" s="59" t="inlineStr">
        <is>
          <t>Necesidad bruta</t>
        </is>
      </c>
      <c r="D131" s="60" t="n"/>
      <c r="E131" s="61">
        <f>ROUND(SUMIF(Consumo!$O$4:$O$143,"#"&amp;$A131,Consumo!G$4:G$143),4)</f>
        <v/>
      </c>
      <c r="F131" s="61">
        <f>ROUND(SUMIF(Consumo!$O$4:$O$143,"#"&amp;$A131,Consumo!H$4:H$143),4)</f>
        <v/>
      </c>
      <c r="G131" s="61">
        <f>ROUND(SUMIF(Consumo!$O$4:$O$143,"#"&amp;$A131,Consumo!I$4:I$143),4)</f>
        <v/>
      </c>
      <c r="H131" s="61">
        <f>ROUND(SUMIF(Consumo!$O$4:$O$143,"#"&amp;$A131,Consumo!J$4:J$143),4)</f>
        <v/>
      </c>
      <c r="I131" s="61">
        <f>ROUND(SUMIF(Consumo!$O$4:$O$143,"#"&amp;$A131,Consumo!K$4:K$143),4)</f>
        <v/>
      </c>
      <c r="J131" s="61">
        <f>ROUND(SUMIF(Consumo!$O$4:$O$143,"#"&amp;$A131,Consumo!L$4:L$143),4)</f>
        <v/>
      </c>
      <c r="K131" s="61">
        <f>ROUND(SUMIF(Consumo!$O$4:$O$143,"#"&amp;$A131,Consumo!M$4:M$143),4)</f>
        <v/>
      </c>
      <c r="L131" s="61">
        <f>ROUND(SUMIF(Consumo!$O$4:$O$143,"#"&amp;$A131,Consumo!N$4:N$143),4)</f>
        <v/>
      </c>
      <c r="M131" s="62" t="n"/>
    </row>
    <row r="132">
      <c r="C132" s="59" t="inlineStr">
        <is>
          <t>Recepciones programadas (ya pedido)</t>
        </is>
      </c>
      <c r="D132" s="60" t="n"/>
      <c r="E132" s="61">
        <f>SUMIF(Inventario!$M$5:$M$87,"#"&amp;$A131,Inventario!E$5:E$87)</f>
        <v/>
      </c>
      <c r="F132" s="61">
        <f>SUMIF(Inventario!$M$5:$M$87,"#"&amp;$A131,Inventario!F$5:F$87)</f>
        <v/>
      </c>
      <c r="G132" s="61">
        <f>SUMIF(Inventario!$M$5:$M$87,"#"&amp;$A131,Inventario!G$5:G$87)</f>
        <v/>
      </c>
      <c r="H132" s="61">
        <f>SUMIF(Inventario!$M$5:$M$87,"#"&amp;$A131,Inventario!H$5:H$87)</f>
        <v/>
      </c>
      <c r="I132" s="61">
        <f>SUMIF(Inventario!$M$5:$M$87,"#"&amp;$A131,Inventario!I$5:I$87)</f>
        <v/>
      </c>
      <c r="J132" s="61">
        <f>SUMIF(Inventario!$M$5:$M$87,"#"&amp;$A131,Inventario!J$5:J$87)</f>
        <v/>
      </c>
      <c r="K132" s="61">
        <f>SUMIF(Inventario!$M$5:$M$87,"#"&amp;$A131,Inventario!K$5:K$87)</f>
        <v/>
      </c>
      <c r="L132" s="61">
        <f>SUMIF(Inventario!$M$5:$M$87,"#"&amp;$A131,Inventario!L$5:L$87)</f>
        <v/>
      </c>
      <c r="M132" s="62" t="n"/>
    </row>
    <row r="133">
      <c r="C133" s="59" t="inlineStr">
        <is>
          <t>Stock proyectado disponible</t>
        </is>
      </c>
      <c r="D133" s="63">
        <f>SUMIF(Inventario!$M$5:$M$87,"#"&amp;$A131,Inventario!$C$5:$C$87)</f>
        <v/>
      </c>
      <c r="E133" s="64">
        <f>D133+E132+E135-E131</f>
        <v/>
      </c>
      <c r="F133" s="64">
        <f>E133+F132+F135-F131</f>
        <v/>
      </c>
      <c r="G133" s="64">
        <f>F133+G132+G135-G131</f>
        <v/>
      </c>
      <c r="H133" s="64">
        <f>G133+H132+H135-H131</f>
        <v/>
      </c>
      <c r="I133" s="64">
        <f>H133+I132+I135-I131</f>
        <v/>
      </c>
      <c r="J133" s="64">
        <f>I133+J132+J135-J131</f>
        <v/>
      </c>
      <c r="K133" s="64">
        <f>J133+K132+K135-K131</f>
        <v/>
      </c>
      <c r="L133" s="64">
        <f>K133+L132+L135-L131</f>
        <v/>
      </c>
      <c r="M133" s="62" t="n"/>
    </row>
    <row r="134">
      <c r="C134" s="59" t="inlineStr">
        <is>
          <t>Necesidad neta</t>
        </is>
      </c>
      <c r="D134" s="60" t="n"/>
      <c r="E134" s="65">
        <f>MAX(0,ROUND(E131+Materiales!$H$22-D133-E132,4))</f>
        <v/>
      </c>
      <c r="F134" s="65">
        <f>MAX(0,ROUND(F131+Materiales!$H$22-E133-F132,4))</f>
        <v/>
      </c>
      <c r="G134" s="65">
        <f>MAX(0,ROUND(G131+Materiales!$H$22-F133-G132,4))</f>
        <v/>
      </c>
      <c r="H134" s="65">
        <f>MAX(0,ROUND(H131+Materiales!$H$22-G133-H132,4))</f>
        <v/>
      </c>
      <c r="I134" s="65">
        <f>MAX(0,ROUND(I131+Materiales!$H$22-H133-I132,4))</f>
        <v/>
      </c>
      <c r="J134" s="65">
        <f>MAX(0,ROUND(J131+Materiales!$H$22-I133-J132,4))</f>
        <v/>
      </c>
      <c r="K134" s="65">
        <f>MAX(0,ROUND(K131+Materiales!$H$22-J133-K132,4))</f>
        <v/>
      </c>
      <c r="L134" s="65">
        <f>MAX(0,ROUND(L131+Materiales!$H$22-K133-L132,4))</f>
        <v/>
      </c>
      <c r="M134" s="62" t="n"/>
    </row>
    <row r="135">
      <c r="C135" s="59" t="inlineStr">
        <is>
          <t>Recepcion de orden planificada</t>
        </is>
      </c>
      <c r="D135" s="60" t="n"/>
      <c r="E135" s="61">
        <f>IF(E134&lt;=0,0,IF(Materiales!$G$22&lt;=0,E134,ROUNDUP(E134/Materiales!$G$22,0)*Materiales!$G$22))</f>
        <v/>
      </c>
      <c r="F135" s="61">
        <f>IF(F134&lt;=0,0,IF(Materiales!$G$22&lt;=0,F134,ROUNDUP(F134/Materiales!$G$22,0)*Materiales!$G$22))</f>
        <v/>
      </c>
      <c r="G135" s="61">
        <f>IF(G134&lt;=0,0,IF(Materiales!$G$22&lt;=0,G134,ROUNDUP(G134/Materiales!$G$22,0)*Materiales!$G$22))</f>
        <v/>
      </c>
      <c r="H135" s="61">
        <f>IF(H134&lt;=0,0,IF(Materiales!$G$22&lt;=0,H134,ROUNDUP(H134/Materiales!$G$22,0)*Materiales!$G$22))</f>
        <v/>
      </c>
      <c r="I135" s="61">
        <f>IF(I134&lt;=0,0,IF(Materiales!$G$22&lt;=0,I134,ROUNDUP(I134/Materiales!$G$22,0)*Materiales!$G$22))</f>
        <v/>
      </c>
      <c r="J135" s="61">
        <f>IF(J134&lt;=0,0,IF(Materiales!$G$22&lt;=0,J134,ROUNDUP(J134/Materiales!$G$22,0)*Materiales!$G$22))</f>
        <v/>
      </c>
      <c r="K135" s="61">
        <f>IF(K134&lt;=0,0,IF(Materiales!$G$22&lt;=0,K134,ROUNDUP(K134/Materiales!$G$22,0)*Materiales!$G$22))</f>
        <v/>
      </c>
      <c r="L135" s="61">
        <f>IF(L134&lt;=0,0,IF(Materiales!$G$22&lt;=0,L134,ROUNDUP(L134/Materiales!$G$22,0)*Materiales!$G$22))</f>
        <v/>
      </c>
      <c r="M135" s="62" t="n"/>
    </row>
    <row r="136">
      <c r="C136" s="66" t="inlineStr">
        <is>
          <t>LANZAMIENTO DE ORDEN — pedir esta semana</t>
        </is>
      </c>
      <c r="D136" s="60" t="n"/>
      <c r="E136" s="70">
        <f>IF(1+Materiales!$F$22&gt;8,0,INDEX($E$135:$L$135,1,1+Materiales!$F$22))</f>
        <v/>
      </c>
      <c r="F136" s="70">
        <f>IF(2+Materiales!$F$22&gt;8,0,INDEX($E$135:$L$135,1,2+Materiales!$F$22))</f>
        <v/>
      </c>
      <c r="G136" s="70">
        <f>IF(3+Materiales!$F$22&gt;8,0,INDEX($E$135:$L$135,1,3+Materiales!$F$22))</f>
        <v/>
      </c>
      <c r="H136" s="70">
        <f>IF(4+Materiales!$F$22&gt;8,0,INDEX($E$135:$L$135,1,4+Materiales!$F$22))</f>
        <v/>
      </c>
      <c r="I136" s="70">
        <f>IF(5+Materiales!$F$22&gt;8,0,INDEX($E$135:$L$135,1,5+Materiales!$F$22))</f>
        <v/>
      </c>
      <c r="J136" s="70">
        <f>IF(6+Materiales!$F$22&gt;8,0,INDEX($E$135:$L$135,1,6+Materiales!$F$22))</f>
        <v/>
      </c>
      <c r="K136" s="70">
        <f>IF(7+Materiales!$F$22&gt;8,0,INDEX($E$135:$L$135,1,7+Materiales!$F$22))</f>
        <v/>
      </c>
      <c r="L136" s="70">
        <f>IF(8+Materiales!$F$22&gt;8,0,INDEX($E$135:$L$135,1,8+Materiales!$F$22))</f>
        <v/>
      </c>
      <c r="M136" s="68">
        <f>IF($A131="","",IF(SUMPRODUCT((COLUMN($E$135:$L$135)-4&lt;=Materiales!$F$22)*$E$135:$L$135)&gt;0,"PEDIR YA (atrasado)","OK"))</f>
        <v/>
      </c>
    </row>
    <row r="137" ht="6" customHeight="1"/>
    <row r="138">
      <c r="A138" s="58">
        <f>IF(Materiales!$A$23="","",Materiales!$A$23)</f>
        <v/>
      </c>
      <c r="B138" s="58">
        <f>IF(Materiales!$B$23="","",Materiales!$B$23)</f>
        <v/>
      </c>
      <c r="C138" s="59" t="inlineStr">
        <is>
          <t>Necesidad bruta</t>
        </is>
      </c>
      <c r="D138" s="60" t="n"/>
      <c r="E138" s="61">
        <f>ROUND(SUMIF(Consumo!$O$4:$O$143,"#"&amp;$A138,Consumo!G$4:G$143),4)</f>
        <v/>
      </c>
      <c r="F138" s="61">
        <f>ROUND(SUMIF(Consumo!$O$4:$O$143,"#"&amp;$A138,Consumo!H$4:H$143),4)</f>
        <v/>
      </c>
      <c r="G138" s="61">
        <f>ROUND(SUMIF(Consumo!$O$4:$O$143,"#"&amp;$A138,Consumo!I$4:I$143),4)</f>
        <v/>
      </c>
      <c r="H138" s="61">
        <f>ROUND(SUMIF(Consumo!$O$4:$O$143,"#"&amp;$A138,Consumo!J$4:J$143),4)</f>
        <v/>
      </c>
      <c r="I138" s="61">
        <f>ROUND(SUMIF(Consumo!$O$4:$O$143,"#"&amp;$A138,Consumo!K$4:K$143),4)</f>
        <v/>
      </c>
      <c r="J138" s="61">
        <f>ROUND(SUMIF(Consumo!$O$4:$O$143,"#"&amp;$A138,Consumo!L$4:L$143),4)</f>
        <v/>
      </c>
      <c r="K138" s="61">
        <f>ROUND(SUMIF(Consumo!$O$4:$O$143,"#"&amp;$A138,Consumo!M$4:M$143),4)</f>
        <v/>
      </c>
      <c r="L138" s="61">
        <f>ROUND(SUMIF(Consumo!$O$4:$O$143,"#"&amp;$A138,Consumo!N$4:N$143),4)</f>
        <v/>
      </c>
      <c r="M138" s="62" t="n"/>
    </row>
    <row r="139">
      <c r="C139" s="59" t="inlineStr">
        <is>
          <t>Recepciones programadas (ya pedido)</t>
        </is>
      </c>
      <c r="D139" s="60" t="n"/>
      <c r="E139" s="61">
        <f>SUMIF(Inventario!$M$5:$M$87,"#"&amp;$A138,Inventario!E$5:E$87)</f>
        <v/>
      </c>
      <c r="F139" s="61">
        <f>SUMIF(Inventario!$M$5:$M$87,"#"&amp;$A138,Inventario!F$5:F$87)</f>
        <v/>
      </c>
      <c r="G139" s="61">
        <f>SUMIF(Inventario!$M$5:$M$87,"#"&amp;$A138,Inventario!G$5:G$87)</f>
        <v/>
      </c>
      <c r="H139" s="61">
        <f>SUMIF(Inventario!$M$5:$M$87,"#"&amp;$A138,Inventario!H$5:H$87)</f>
        <v/>
      </c>
      <c r="I139" s="61">
        <f>SUMIF(Inventario!$M$5:$M$87,"#"&amp;$A138,Inventario!I$5:I$87)</f>
        <v/>
      </c>
      <c r="J139" s="61">
        <f>SUMIF(Inventario!$M$5:$M$87,"#"&amp;$A138,Inventario!J$5:J$87)</f>
        <v/>
      </c>
      <c r="K139" s="61">
        <f>SUMIF(Inventario!$M$5:$M$87,"#"&amp;$A138,Inventario!K$5:K$87)</f>
        <v/>
      </c>
      <c r="L139" s="61">
        <f>SUMIF(Inventario!$M$5:$M$87,"#"&amp;$A138,Inventario!L$5:L$87)</f>
        <v/>
      </c>
      <c r="M139" s="62" t="n"/>
    </row>
    <row r="140">
      <c r="C140" s="59" t="inlineStr">
        <is>
          <t>Stock proyectado disponible</t>
        </is>
      </c>
      <c r="D140" s="63">
        <f>SUMIF(Inventario!$M$5:$M$87,"#"&amp;$A138,Inventario!$C$5:$C$87)</f>
        <v/>
      </c>
      <c r="E140" s="64">
        <f>D140+E139+E142-E138</f>
        <v/>
      </c>
      <c r="F140" s="64">
        <f>E140+F139+F142-F138</f>
        <v/>
      </c>
      <c r="G140" s="64">
        <f>F140+G139+G142-G138</f>
        <v/>
      </c>
      <c r="H140" s="64">
        <f>G140+H139+H142-H138</f>
        <v/>
      </c>
      <c r="I140" s="64">
        <f>H140+I139+I142-I138</f>
        <v/>
      </c>
      <c r="J140" s="64">
        <f>I140+J139+J142-J138</f>
        <v/>
      </c>
      <c r="K140" s="64">
        <f>J140+K139+K142-K138</f>
        <v/>
      </c>
      <c r="L140" s="64">
        <f>K140+L139+L142-L138</f>
        <v/>
      </c>
      <c r="M140" s="62" t="n"/>
    </row>
    <row r="141">
      <c r="C141" s="59" t="inlineStr">
        <is>
          <t>Necesidad neta</t>
        </is>
      </c>
      <c r="D141" s="60" t="n"/>
      <c r="E141" s="65">
        <f>MAX(0,ROUND(E138+Materiales!$H$23-D140-E139,4))</f>
        <v/>
      </c>
      <c r="F141" s="65">
        <f>MAX(0,ROUND(F138+Materiales!$H$23-E140-F139,4))</f>
        <v/>
      </c>
      <c r="G141" s="65">
        <f>MAX(0,ROUND(G138+Materiales!$H$23-F140-G139,4))</f>
        <v/>
      </c>
      <c r="H141" s="65">
        <f>MAX(0,ROUND(H138+Materiales!$H$23-G140-H139,4))</f>
        <v/>
      </c>
      <c r="I141" s="65">
        <f>MAX(0,ROUND(I138+Materiales!$H$23-H140-I139,4))</f>
        <v/>
      </c>
      <c r="J141" s="65">
        <f>MAX(0,ROUND(J138+Materiales!$H$23-I140-J139,4))</f>
        <v/>
      </c>
      <c r="K141" s="65">
        <f>MAX(0,ROUND(K138+Materiales!$H$23-J140-K139,4))</f>
        <v/>
      </c>
      <c r="L141" s="65">
        <f>MAX(0,ROUND(L138+Materiales!$H$23-K140-L139,4))</f>
        <v/>
      </c>
      <c r="M141" s="62" t="n"/>
    </row>
    <row r="142">
      <c r="C142" s="59" t="inlineStr">
        <is>
          <t>Recepcion de orden planificada</t>
        </is>
      </c>
      <c r="D142" s="60" t="n"/>
      <c r="E142" s="61">
        <f>IF(E141&lt;=0,0,IF(Materiales!$G$23&lt;=0,E141,ROUNDUP(E141/Materiales!$G$23,0)*Materiales!$G$23))</f>
        <v/>
      </c>
      <c r="F142" s="61">
        <f>IF(F141&lt;=0,0,IF(Materiales!$G$23&lt;=0,F141,ROUNDUP(F141/Materiales!$G$23,0)*Materiales!$G$23))</f>
        <v/>
      </c>
      <c r="G142" s="61">
        <f>IF(G141&lt;=0,0,IF(Materiales!$G$23&lt;=0,G141,ROUNDUP(G141/Materiales!$G$23,0)*Materiales!$G$23))</f>
        <v/>
      </c>
      <c r="H142" s="61">
        <f>IF(H141&lt;=0,0,IF(Materiales!$G$23&lt;=0,H141,ROUNDUP(H141/Materiales!$G$23,0)*Materiales!$G$23))</f>
        <v/>
      </c>
      <c r="I142" s="61">
        <f>IF(I141&lt;=0,0,IF(Materiales!$G$23&lt;=0,I141,ROUNDUP(I141/Materiales!$G$23,0)*Materiales!$G$23))</f>
        <v/>
      </c>
      <c r="J142" s="61">
        <f>IF(J141&lt;=0,0,IF(Materiales!$G$23&lt;=0,J141,ROUNDUP(J141/Materiales!$G$23,0)*Materiales!$G$23))</f>
        <v/>
      </c>
      <c r="K142" s="61">
        <f>IF(K141&lt;=0,0,IF(Materiales!$G$23&lt;=0,K141,ROUNDUP(K141/Materiales!$G$23,0)*Materiales!$G$23))</f>
        <v/>
      </c>
      <c r="L142" s="61">
        <f>IF(L141&lt;=0,0,IF(Materiales!$G$23&lt;=0,L141,ROUNDUP(L141/Materiales!$G$23,0)*Materiales!$G$23))</f>
        <v/>
      </c>
      <c r="M142" s="62" t="n"/>
    </row>
    <row r="143">
      <c r="C143" s="66" t="inlineStr">
        <is>
          <t>LANZAMIENTO DE ORDEN — pedir esta semana</t>
        </is>
      </c>
      <c r="D143" s="60" t="n"/>
      <c r="E143" s="70">
        <f>IF(1+Materiales!$F$23&gt;8,0,INDEX($E$142:$L$142,1,1+Materiales!$F$23))</f>
        <v/>
      </c>
      <c r="F143" s="70">
        <f>IF(2+Materiales!$F$23&gt;8,0,INDEX($E$142:$L$142,1,2+Materiales!$F$23))</f>
        <v/>
      </c>
      <c r="G143" s="70">
        <f>IF(3+Materiales!$F$23&gt;8,0,INDEX($E$142:$L$142,1,3+Materiales!$F$23))</f>
        <v/>
      </c>
      <c r="H143" s="70">
        <f>IF(4+Materiales!$F$23&gt;8,0,INDEX($E$142:$L$142,1,4+Materiales!$F$23))</f>
        <v/>
      </c>
      <c r="I143" s="70">
        <f>IF(5+Materiales!$F$23&gt;8,0,INDEX($E$142:$L$142,1,5+Materiales!$F$23))</f>
        <v/>
      </c>
      <c r="J143" s="70">
        <f>IF(6+Materiales!$F$23&gt;8,0,INDEX($E$142:$L$142,1,6+Materiales!$F$23))</f>
        <v/>
      </c>
      <c r="K143" s="70">
        <f>IF(7+Materiales!$F$23&gt;8,0,INDEX($E$142:$L$142,1,7+Materiales!$F$23))</f>
        <v/>
      </c>
      <c r="L143" s="70">
        <f>IF(8+Materiales!$F$23&gt;8,0,INDEX($E$142:$L$142,1,8+Materiales!$F$23))</f>
        <v/>
      </c>
      <c r="M143" s="68">
        <f>IF($A138="","",IF(SUMPRODUCT((COLUMN($E$142:$L$142)-4&lt;=Materiales!$F$23)*$E$142:$L$142)&gt;0,"PEDIR YA (atrasado)","OK"))</f>
        <v/>
      </c>
    </row>
    <row r="144" ht="6" customHeight="1"/>
    <row r="145">
      <c r="A145" s="58">
        <f>IF(Materiales!$A$24="","",Materiales!$A$24)</f>
        <v/>
      </c>
      <c r="B145" s="58">
        <f>IF(Materiales!$B$24="","",Materiales!$B$24)</f>
        <v/>
      </c>
      <c r="C145" s="59" t="inlineStr">
        <is>
          <t>Necesidad bruta</t>
        </is>
      </c>
      <c r="D145" s="60" t="n"/>
      <c r="E145" s="61">
        <f>ROUND(SUMIF(Consumo!$O$4:$O$143,"#"&amp;$A145,Consumo!G$4:G$143),4)</f>
        <v/>
      </c>
      <c r="F145" s="61">
        <f>ROUND(SUMIF(Consumo!$O$4:$O$143,"#"&amp;$A145,Consumo!H$4:H$143),4)</f>
        <v/>
      </c>
      <c r="G145" s="61">
        <f>ROUND(SUMIF(Consumo!$O$4:$O$143,"#"&amp;$A145,Consumo!I$4:I$143),4)</f>
        <v/>
      </c>
      <c r="H145" s="61">
        <f>ROUND(SUMIF(Consumo!$O$4:$O$143,"#"&amp;$A145,Consumo!J$4:J$143),4)</f>
        <v/>
      </c>
      <c r="I145" s="61">
        <f>ROUND(SUMIF(Consumo!$O$4:$O$143,"#"&amp;$A145,Consumo!K$4:K$143),4)</f>
        <v/>
      </c>
      <c r="J145" s="61">
        <f>ROUND(SUMIF(Consumo!$O$4:$O$143,"#"&amp;$A145,Consumo!L$4:L$143),4)</f>
        <v/>
      </c>
      <c r="K145" s="61">
        <f>ROUND(SUMIF(Consumo!$O$4:$O$143,"#"&amp;$A145,Consumo!M$4:M$143),4)</f>
        <v/>
      </c>
      <c r="L145" s="61">
        <f>ROUND(SUMIF(Consumo!$O$4:$O$143,"#"&amp;$A145,Consumo!N$4:N$143),4)</f>
        <v/>
      </c>
      <c r="M145" s="62" t="n"/>
    </row>
    <row r="146">
      <c r="C146" s="59" t="inlineStr">
        <is>
          <t>Recepciones programadas (ya pedido)</t>
        </is>
      </c>
      <c r="D146" s="60" t="n"/>
      <c r="E146" s="61">
        <f>SUMIF(Inventario!$M$5:$M$87,"#"&amp;$A145,Inventario!E$5:E$87)</f>
        <v/>
      </c>
      <c r="F146" s="61">
        <f>SUMIF(Inventario!$M$5:$M$87,"#"&amp;$A145,Inventario!F$5:F$87)</f>
        <v/>
      </c>
      <c r="G146" s="61">
        <f>SUMIF(Inventario!$M$5:$M$87,"#"&amp;$A145,Inventario!G$5:G$87)</f>
        <v/>
      </c>
      <c r="H146" s="61">
        <f>SUMIF(Inventario!$M$5:$M$87,"#"&amp;$A145,Inventario!H$5:H$87)</f>
        <v/>
      </c>
      <c r="I146" s="61">
        <f>SUMIF(Inventario!$M$5:$M$87,"#"&amp;$A145,Inventario!I$5:I$87)</f>
        <v/>
      </c>
      <c r="J146" s="61">
        <f>SUMIF(Inventario!$M$5:$M$87,"#"&amp;$A145,Inventario!J$5:J$87)</f>
        <v/>
      </c>
      <c r="K146" s="61">
        <f>SUMIF(Inventario!$M$5:$M$87,"#"&amp;$A145,Inventario!K$5:K$87)</f>
        <v/>
      </c>
      <c r="L146" s="61">
        <f>SUMIF(Inventario!$M$5:$M$87,"#"&amp;$A145,Inventario!L$5:L$87)</f>
        <v/>
      </c>
      <c r="M146" s="62" t="n"/>
    </row>
    <row r="147">
      <c r="C147" s="59" t="inlineStr">
        <is>
          <t>Stock proyectado disponible</t>
        </is>
      </c>
      <c r="D147" s="63">
        <f>SUMIF(Inventario!$M$5:$M$87,"#"&amp;$A145,Inventario!$C$5:$C$87)</f>
        <v/>
      </c>
      <c r="E147" s="64">
        <f>D147+E146+E149-E145</f>
        <v/>
      </c>
      <c r="F147" s="64">
        <f>E147+F146+F149-F145</f>
        <v/>
      </c>
      <c r="G147" s="64">
        <f>F147+G146+G149-G145</f>
        <v/>
      </c>
      <c r="H147" s="64">
        <f>G147+H146+H149-H145</f>
        <v/>
      </c>
      <c r="I147" s="64">
        <f>H147+I146+I149-I145</f>
        <v/>
      </c>
      <c r="J147" s="64">
        <f>I147+J146+J149-J145</f>
        <v/>
      </c>
      <c r="K147" s="64">
        <f>J147+K146+K149-K145</f>
        <v/>
      </c>
      <c r="L147" s="64">
        <f>K147+L146+L149-L145</f>
        <v/>
      </c>
      <c r="M147" s="62" t="n"/>
    </row>
    <row r="148">
      <c r="C148" s="59" t="inlineStr">
        <is>
          <t>Necesidad neta</t>
        </is>
      </c>
      <c r="D148" s="60" t="n"/>
      <c r="E148" s="65">
        <f>MAX(0,ROUND(E145+Materiales!$H$24-D147-E146,4))</f>
        <v/>
      </c>
      <c r="F148" s="65">
        <f>MAX(0,ROUND(F145+Materiales!$H$24-E147-F146,4))</f>
        <v/>
      </c>
      <c r="G148" s="65">
        <f>MAX(0,ROUND(G145+Materiales!$H$24-F147-G146,4))</f>
        <v/>
      </c>
      <c r="H148" s="65">
        <f>MAX(0,ROUND(H145+Materiales!$H$24-G147-H146,4))</f>
        <v/>
      </c>
      <c r="I148" s="65">
        <f>MAX(0,ROUND(I145+Materiales!$H$24-H147-I146,4))</f>
        <v/>
      </c>
      <c r="J148" s="65">
        <f>MAX(0,ROUND(J145+Materiales!$H$24-I147-J146,4))</f>
        <v/>
      </c>
      <c r="K148" s="65">
        <f>MAX(0,ROUND(K145+Materiales!$H$24-J147-K146,4))</f>
        <v/>
      </c>
      <c r="L148" s="65">
        <f>MAX(0,ROUND(L145+Materiales!$H$24-K147-L146,4))</f>
        <v/>
      </c>
      <c r="M148" s="62" t="n"/>
    </row>
    <row r="149">
      <c r="C149" s="59" t="inlineStr">
        <is>
          <t>Recepcion de orden planificada</t>
        </is>
      </c>
      <c r="D149" s="60" t="n"/>
      <c r="E149" s="61">
        <f>IF(E148&lt;=0,0,IF(Materiales!$G$24&lt;=0,E148,ROUNDUP(E148/Materiales!$G$24,0)*Materiales!$G$24))</f>
        <v/>
      </c>
      <c r="F149" s="61">
        <f>IF(F148&lt;=0,0,IF(Materiales!$G$24&lt;=0,F148,ROUNDUP(F148/Materiales!$G$24,0)*Materiales!$G$24))</f>
        <v/>
      </c>
      <c r="G149" s="61">
        <f>IF(G148&lt;=0,0,IF(Materiales!$G$24&lt;=0,G148,ROUNDUP(G148/Materiales!$G$24,0)*Materiales!$G$24))</f>
        <v/>
      </c>
      <c r="H149" s="61">
        <f>IF(H148&lt;=0,0,IF(Materiales!$G$24&lt;=0,H148,ROUNDUP(H148/Materiales!$G$24,0)*Materiales!$G$24))</f>
        <v/>
      </c>
      <c r="I149" s="61">
        <f>IF(I148&lt;=0,0,IF(Materiales!$G$24&lt;=0,I148,ROUNDUP(I148/Materiales!$G$24,0)*Materiales!$G$24))</f>
        <v/>
      </c>
      <c r="J149" s="61">
        <f>IF(J148&lt;=0,0,IF(Materiales!$G$24&lt;=0,J148,ROUNDUP(J148/Materiales!$G$24,0)*Materiales!$G$24))</f>
        <v/>
      </c>
      <c r="K149" s="61">
        <f>IF(K148&lt;=0,0,IF(Materiales!$G$24&lt;=0,K148,ROUNDUP(K148/Materiales!$G$24,0)*Materiales!$G$24))</f>
        <v/>
      </c>
      <c r="L149" s="61">
        <f>IF(L148&lt;=0,0,IF(Materiales!$G$24&lt;=0,L148,ROUNDUP(L148/Materiales!$G$24,0)*Materiales!$G$24))</f>
        <v/>
      </c>
      <c r="M149" s="62" t="n"/>
    </row>
    <row r="150">
      <c r="C150" s="66" t="inlineStr">
        <is>
          <t>LANZAMIENTO DE ORDEN — pedir esta semana</t>
        </is>
      </c>
      <c r="D150" s="60" t="n"/>
      <c r="E150" s="70">
        <f>IF(1+Materiales!$F$24&gt;8,0,INDEX($E$149:$L$149,1,1+Materiales!$F$24))</f>
        <v/>
      </c>
      <c r="F150" s="70">
        <f>IF(2+Materiales!$F$24&gt;8,0,INDEX($E$149:$L$149,1,2+Materiales!$F$24))</f>
        <v/>
      </c>
      <c r="G150" s="70">
        <f>IF(3+Materiales!$F$24&gt;8,0,INDEX($E$149:$L$149,1,3+Materiales!$F$24))</f>
        <v/>
      </c>
      <c r="H150" s="70">
        <f>IF(4+Materiales!$F$24&gt;8,0,INDEX($E$149:$L$149,1,4+Materiales!$F$24))</f>
        <v/>
      </c>
      <c r="I150" s="70">
        <f>IF(5+Materiales!$F$24&gt;8,0,INDEX($E$149:$L$149,1,5+Materiales!$F$24))</f>
        <v/>
      </c>
      <c r="J150" s="70">
        <f>IF(6+Materiales!$F$24&gt;8,0,INDEX($E$149:$L$149,1,6+Materiales!$F$24))</f>
        <v/>
      </c>
      <c r="K150" s="70">
        <f>IF(7+Materiales!$F$24&gt;8,0,INDEX($E$149:$L$149,1,7+Materiales!$F$24))</f>
        <v/>
      </c>
      <c r="L150" s="70">
        <f>IF(8+Materiales!$F$24&gt;8,0,INDEX($E$149:$L$149,1,8+Materiales!$F$24))</f>
        <v/>
      </c>
      <c r="M150" s="68">
        <f>IF($A145="","",IF(SUMPRODUCT((COLUMN($E$149:$L$149)-4&lt;=Materiales!$F$24)*$E$149:$L$149)&gt;0,"PEDIR YA (atrasado)","OK"))</f>
        <v/>
      </c>
    </row>
    <row r="151" ht="6" customHeight="1"/>
    <row r="152">
      <c r="A152" s="58">
        <f>IF(Materiales!$A$25="","",Materiales!$A$25)</f>
        <v/>
      </c>
      <c r="B152" s="58">
        <f>IF(Materiales!$B$25="","",Materiales!$B$25)</f>
        <v/>
      </c>
      <c r="C152" s="59" t="inlineStr">
        <is>
          <t>Necesidad bruta</t>
        </is>
      </c>
      <c r="D152" s="60" t="n"/>
      <c r="E152" s="61">
        <f>ROUND(SUMIF(Consumo!$O$4:$O$143,"#"&amp;$A152,Consumo!G$4:G$143),4)</f>
        <v/>
      </c>
      <c r="F152" s="61">
        <f>ROUND(SUMIF(Consumo!$O$4:$O$143,"#"&amp;$A152,Consumo!H$4:H$143),4)</f>
        <v/>
      </c>
      <c r="G152" s="61">
        <f>ROUND(SUMIF(Consumo!$O$4:$O$143,"#"&amp;$A152,Consumo!I$4:I$143),4)</f>
        <v/>
      </c>
      <c r="H152" s="61">
        <f>ROUND(SUMIF(Consumo!$O$4:$O$143,"#"&amp;$A152,Consumo!J$4:J$143),4)</f>
        <v/>
      </c>
      <c r="I152" s="61">
        <f>ROUND(SUMIF(Consumo!$O$4:$O$143,"#"&amp;$A152,Consumo!K$4:K$143),4)</f>
        <v/>
      </c>
      <c r="J152" s="61">
        <f>ROUND(SUMIF(Consumo!$O$4:$O$143,"#"&amp;$A152,Consumo!L$4:L$143),4)</f>
        <v/>
      </c>
      <c r="K152" s="61">
        <f>ROUND(SUMIF(Consumo!$O$4:$O$143,"#"&amp;$A152,Consumo!M$4:M$143),4)</f>
        <v/>
      </c>
      <c r="L152" s="61">
        <f>ROUND(SUMIF(Consumo!$O$4:$O$143,"#"&amp;$A152,Consumo!N$4:N$143),4)</f>
        <v/>
      </c>
      <c r="M152" s="62" t="n"/>
    </row>
    <row r="153">
      <c r="C153" s="59" t="inlineStr">
        <is>
          <t>Recepciones programadas (ya pedido)</t>
        </is>
      </c>
      <c r="D153" s="60" t="n"/>
      <c r="E153" s="61">
        <f>SUMIF(Inventario!$M$5:$M$87,"#"&amp;$A152,Inventario!E$5:E$87)</f>
        <v/>
      </c>
      <c r="F153" s="61">
        <f>SUMIF(Inventario!$M$5:$M$87,"#"&amp;$A152,Inventario!F$5:F$87)</f>
        <v/>
      </c>
      <c r="G153" s="61">
        <f>SUMIF(Inventario!$M$5:$M$87,"#"&amp;$A152,Inventario!G$5:G$87)</f>
        <v/>
      </c>
      <c r="H153" s="61">
        <f>SUMIF(Inventario!$M$5:$M$87,"#"&amp;$A152,Inventario!H$5:H$87)</f>
        <v/>
      </c>
      <c r="I153" s="61">
        <f>SUMIF(Inventario!$M$5:$M$87,"#"&amp;$A152,Inventario!I$5:I$87)</f>
        <v/>
      </c>
      <c r="J153" s="61">
        <f>SUMIF(Inventario!$M$5:$M$87,"#"&amp;$A152,Inventario!J$5:J$87)</f>
        <v/>
      </c>
      <c r="K153" s="61">
        <f>SUMIF(Inventario!$M$5:$M$87,"#"&amp;$A152,Inventario!K$5:K$87)</f>
        <v/>
      </c>
      <c r="L153" s="61">
        <f>SUMIF(Inventario!$M$5:$M$87,"#"&amp;$A152,Inventario!L$5:L$87)</f>
        <v/>
      </c>
      <c r="M153" s="62" t="n"/>
    </row>
    <row r="154">
      <c r="C154" s="59" t="inlineStr">
        <is>
          <t>Stock proyectado disponible</t>
        </is>
      </c>
      <c r="D154" s="63">
        <f>SUMIF(Inventario!$M$5:$M$87,"#"&amp;$A152,Inventario!$C$5:$C$87)</f>
        <v/>
      </c>
      <c r="E154" s="64">
        <f>D154+E153+E156-E152</f>
        <v/>
      </c>
      <c r="F154" s="64">
        <f>E154+F153+F156-F152</f>
        <v/>
      </c>
      <c r="G154" s="64">
        <f>F154+G153+G156-G152</f>
        <v/>
      </c>
      <c r="H154" s="64">
        <f>G154+H153+H156-H152</f>
        <v/>
      </c>
      <c r="I154" s="64">
        <f>H154+I153+I156-I152</f>
        <v/>
      </c>
      <c r="J154" s="64">
        <f>I154+J153+J156-J152</f>
        <v/>
      </c>
      <c r="K154" s="64">
        <f>J154+K153+K156-K152</f>
        <v/>
      </c>
      <c r="L154" s="64">
        <f>K154+L153+L156-L152</f>
        <v/>
      </c>
      <c r="M154" s="62" t="n"/>
    </row>
    <row r="155">
      <c r="C155" s="59" t="inlineStr">
        <is>
          <t>Necesidad neta</t>
        </is>
      </c>
      <c r="D155" s="60" t="n"/>
      <c r="E155" s="65">
        <f>MAX(0,ROUND(E152+Materiales!$H$25-D154-E153,4))</f>
        <v/>
      </c>
      <c r="F155" s="65">
        <f>MAX(0,ROUND(F152+Materiales!$H$25-E154-F153,4))</f>
        <v/>
      </c>
      <c r="G155" s="65">
        <f>MAX(0,ROUND(G152+Materiales!$H$25-F154-G153,4))</f>
        <v/>
      </c>
      <c r="H155" s="65">
        <f>MAX(0,ROUND(H152+Materiales!$H$25-G154-H153,4))</f>
        <v/>
      </c>
      <c r="I155" s="65">
        <f>MAX(0,ROUND(I152+Materiales!$H$25-H154-I153,4))</f>
        <v/>
      </c>
      <c r="J155" s="65">
        <f>MAX(0,ROUND(J152+Materiales!$H$25-I154-J153,4))</f>
        <v/>
      </c>
      <c r="K155" s="65">
        <f>MAX(0,ROUND(K152+Materiales!$H$25-J154-K153,4))</f>
        <v/>
      </c>
      <c r="L155" s="65">
        <f>MAX(0,ROUND(L152+Materiales!$H$25-K154-L153,4))</f>
        <v/>
      </c>
      <c r="M155" s="62" t="n"/>
    </row>
    <row r="156">
      <c r="C156" s="59" t="inlineStr">
        <is>
          <t>Recepcion de orden planificada</t>
        </is>
      </c>
      <c r="D156" s="60" t="n"/>
      <c r="E156" s="61">
        <f>IF(E155&lt;=0,0,IF(Materiales!$G$25&lt;=0,E155,ROUNDUP(E155/Materiales!$G$25,0)*Materiales!$G$25))</f>
        <v/>
      </c>
      <c r="F156" s="61">
        <f>IF(F155&lt;=0,0,IF(Materiales!$G$25&lt;=0,F155,ROUNDUP(F155/Materiales!$G$25,0)*Materiales!$G$25))</f>
        <v/>
      </c>
      <c r="G156" s="61">
        <f>IF(G155&lt;=0,0,IF(Materiales!$G$25&lt;=0,G155,ROUNDUP(G155/Materiales!$G$25,0)*Materiales!$G$25))</f>
        <v/>
      </c>
      <c r="H156" s="61">
        <f>IF(H155&lt;=0,0,IF(Materiales!$G$25&lt;=0,H155,ROUNDUP(H155/Materiales!$G$25,0)*Materiales!$G$25))</f>
        <v/>
      </c>
      <c r="I156" s="61">
        <f>IF(I155&lt;=0,0,IF(Materiales!$G$25&lt;=0,I155,ROUNDUP(I155/Materiales!$G$25,0)*Materiales!$G$25))</f>
        <v/>
      </c>
      <c r="J156" s="61">
        <f>IF(J155&lt;=0,0,IF(Materiales!$G$25&lt;=0,J155,ROUNDUP(J155/Materiales!$G$25,0)*Materiales!$G$25))</f>
        <v/>
      </c>
      <c r="K156" s="61">
        <f>IF(K155&lt;=0,0,IF(Materiales!$G$25&lt;=0,K155,ROUNDUP(K155/Materiales!$G$25,0)*Materiales!$G$25))</f>
        <v/>
      </c>
      <c r="L156" s="61">
        <f>IF(L155&lt;=0,0,IF(Materiales!$G$25&lt;=0,L155,ROUNDUP(L155/Materiales!$G$25,0)*Materiales!$G$25))</f>
        <v/>
      </c>
      <c r="M156" s="62" t="n"/>
    </row>
    <row r="157">
      <c r="C157" s="66" t="inlineStr">
        <is>
          <t>LANZAMIENTO DE ORDEN — pedir esta semana</t>
        </is>
      </c>
      <c r="D157" s="60" t="n"/>
      <c r="E157" s="70">
        <f>IF(1+Materiales!$F$25&gt;8,0,INDEX($E$156:$L$156,1,1+Materiales!$F$25))</f>
        <v/>
      </c>
      <c r="F157" s="70">
        <f>IF(2+Materiales!$F$25&gt;8,0,INDEX($E$156:$L$156,1,2+Materiales!$F$25))</f>
        <v/>
      </c>
      <c r="G157" s="70">
        <f>IF(3+Materiales!$F$25&gt;8,0,INDEX($E$156:$L$156,1,3+Materiales!$F$25))</f>
        <v/>
      </c>
      <c r="H157" s="70">
        <f>IF(4+Materiales!$F$25&gt;8,0,INDEX($E$156:$L$156,1,4+Materiales!$F$25))</f>
        <v/>
      </c>
      <c r="I157" s="70">
        <f>IF(5+Materiales!$F$25&gt;8,0,INDEX($E$156:$L$156,1,5+Materiales!$F$25))</f>
        <v/>
      </c>
      <c r="J157" s="70">
        <f>IF(6+Materiales!$F$25&gt;8,0,INDEX($E$156:$L$156,1,6+Materiales!$F$25))</f>
        <v/>
      </c>
      <c r="K157" s="70">
        <f>IF(7+Materiales!$F$25&gt;8,0,INDEX($E$156:$L$156,1,7+Materiales!$F$25))</f>
        <v/>
      </c>
      <c r="L157" s="70">
        <f>IF(8+Materiales!$F$25&gt;8,0,INDEX($E$156:$L$156,1,8+Materiales!$F$25))</f>
        <v/>
      </c>
      <c r="M157" s="68">
        <f>IF($A152="","",IF(SUMPRODUCT((COLUMN($E$156:$L$156)-4&lt;=Materiales!$F$25)*$E$156:$L$156)&gt;0,"PEDIR YA (atrasado)","OK"))</f>
        <v/>
      </c>
    </row>
    <row r="158" ht="6" customHeight="1"/>
    <row r="159">
      <c r="A159" s="58">
        <f>IF(Materiales!$A$26="","",Materiales!$A$26)</f>
        <v/>
      </c>
      <c r="B159" s="58">
        <f>IF(Materiales!$B$26="","",Materiales!$B$26)</f>
        <v/>
      </c>
      <c r="C159" s="59" t="inlineStr">
        <is>
          <t>Necesidad bruta</t>
        </is>
      </c>
      <c r="D159" s="60" t="n"/>
      <c r="E159" s="61">
        <f>ROUND(SUMIF(Consumo!$O$4:$O$143,"#"&amp;$A159,Consumo!G$4:G$143),4)</f>
        <v/>
      </c>
      <c r="F159" s="61">
        <f>ROUND(SUMIF(Consumo!$O$4:$O$143,"#"&amp;$A159,Consumo!H$4:H$143),4)</f>
        <v/>
      </c>
      <c r="G159" s="61">
        <f>ROUND(SUMIF(Consumo!$O$4:$O$143,"#"&amp;$A159,Consumo!I$4:I$143),4)</f>
        <v/>
      </c>
      <c r="H159" s="61">
        <f>ROUND(SUMIF(Consumo!$O$4:$O$143,"#"&amp;$A159,Consumo!J$4:J$143),4)</f>
        <v/>
      </c>
      <c r="I159" s="61">
        <f>ROUND(SUMIF(Consumo!$O$4:$O$143,"#"&amp;$A159,Consumo!K$4:K$143),4)</f>
        <v/>
      </c>
      <c r="J159" s="61">
        <f>ROUND(SUMIF(Consumo!$O$4:$O$143,"#"&amp;$A159,Consumo!L$4:L$143),4)</f>
        <v/>
      </c>
      <c r="K159" s="61">
        <f>ROUND(SUMIF(Consumo!$O$4:$O$143,"#"&amp;$A159,Consumo!M$4:M$143),4)</f>
        <v/>
      </c>
      <c r="L159" s="61">
        <f>ROUND(SUMIF(Consumo!$O$4:$O$143,"#"&amp;$A159,Consumo!N$4:N$143),4)</f>
        <v/>
      </c>
      <c r="M159" s="62" t="n"/>
    </row>
    <row r="160">
      <c r="C160" s="59" t="inlineStr">
        <is>
          <t>Recepciones programadas (ya pedido)</t>
        </is>
      </c>
      <c r="D160" s="60" t="n"/>
      <c r="E160" s="61">
        <f>SUMIF(Inventario!$M$5:$M$87,"#"&amp;$A159,Inventario!E$5:E$87)</f>
        <v/>
      </c>
      <c r="F160" s="61">
        <f>SUMIF(Inventario!$M$5:$M$87,"#"&amp;$A159,Inventario!F$5:F$87)</f>
        <v/>
      </c>
      <c r="G160" s="61">
        <f>SUMIF(Inventario!$M$5:$M$87,"#"&amp;$A159,Inventario!G$5:G$87)</f>
        <v/>
      </c>
      <c r="H160" s="61">
        <f>SUMIF(Inventario!$M$5:$M$87,"#"&amp;$A159,Inventario!H$5:H$87)</f>
        <v/>
      </c>
      <c r="I160" s="61">
        <f>SUMIF(Inventario!$M$5:$M$87,"#"&amp;$A159,Inventario!I$5:I$87)</f>
        <v/>
      </c>
      <c r="J160" s="61">
        <f>SUMIF(Inventario!$M$5:$M$87,"#"&amp;$A159,Inventario!J$5:J$87)</f>
        <v/>
      </c>
      <c r="K160" s="61">
        <f>SUMIF(Inventario!$M$5:$M$87,"#"&amp;$A159,Inventario!K$5:K$87)</f>
        <v/>
      </c>
      <c r="L160" s="61">
        <f>SUMIF(Inventario!$M$5:$M$87,"#"&amp;$A159,Inventario!L$5:L$87)</f>
        <v/>
      </c>
      <c r="M160" s="62" t="n"/>
    </row>
    <row r="161">
      <c r="C161" s="59" t="inlineStr">
        <is>
          <t>Stock proyectado disponible</t>
        </is>
      </c>
      <c r="D161" s="63">
        <f>SUMIF(Inventario!$M$5:$M$87,"#"&amp;$A159,Inventario!$C$5:$C$87)</f>
        <v/>
      </c>
      <c r="E161" s="64">
        <f>D161+E160+E163-E159</f>
        <v/>
      </c>
      <c r="F161" s="64">
        <f>E161+F160+F163-F159</f>
        <v/>
      </c>
      <c r="G161" s="64">
        <f>F161+G160+G163-G159</f>
        <v/>
      </c>
      <c r="H161" s="64">
        <f>G161+H160+H163-H159</f>
        <v/>
      </c>
      <c r="I161" s="64">
        <f>H161+I160+I163-I159</f>
        <v/>
      </c>
      <c r="J161" s="64">
        <f>I161+J160+J163-J159</f>
        <v/>
      </c>
      <c r="K161" s="64">
        <f>J161+K160+K163-K159</f>
        <v/>
      </c>
      <c r="L161" s="64">
        <f>K161+L160+L163-L159</f>
        <v/>
      </c>
      <c r="M161" s="62" t="n"/>
    </row>
    <row r="162">
      <c r="C162" s="59" t="inlineStr">
        <is>
          <t>Necesidad neta</t>
        </is>
      </c>
      <c r="D162" s="60" t="n"/>
      <c r="E162" s="65">
        <f>MAX(0,ROUND(E159+Materiales!$H$26-D161-E160,4))</f>
        <v/>
      </c>
      <c r="F162" s="65">
        <f>MAX(0,ROUND(F159+Materiales!$H$26-E161-F160,4))</f>
        <v/>
      </c>
      <c r="G162" s="65">
        <f>MAX(0,ROUND(G159+Materiales!$H$26-F161-G160,4))</f>
        <v/>
      </c>
      <c r="H162" s="65">
        <f>MAX(0,ROUND(H159+Materiales!$H$26-G161-H160,4))</f>
        <v/>
      </c>
      <c r="I162" s="65">
        <f>MAX(0,ROUND(I159+Materiales!$H$26-H161-I160,4))</f>
        <v/>
      </c>
      <c r="J162" s="65">
        <f>MAX(0,ROUND(J159+Materiales!$H$26-I161-J160,4))</f>
        <v/>
      </c>
      <c r="K162" s="65">
        <f>MAX(0,ROUND(K159+Materiales!$H$26-J161-K160,4))</f>
        <v/>
      </c>
      <c r="L162" s="65">
        <f>MAX(0,ROUND(L159+Materiales!$H$26-K161-L160,4))</f>
        <v/>
      </c>
      <c r="M162" s="62" t="n"/>
    </row>
    <row r="163">
      <c r="C163" s="59" t="inlineStr">
        <is>
          <t>Recepcion de orden planificada</t>
        </is>
      </c>
      <c r="D163" s="60" t="n"/>
      <c r="E163" s="61">
        <f>IF(E162&lt;=0,0,IF(Materiales!$G$26&lt;=0,E162,ROUNDUP(E162/Materiales!$G$26,0)*Materiales!$G$26))</f>
        <v/>
      </c>
      <c r="F163" s="61">
        <f>IF(F162&lt;=0,0,IF(Materiales!$G$26&lt;=0,F162,ROUNDUP(F162/Materiales!$G$26,0)*Materiales!$G$26))</f>
        <v/>
      </c>
      <c r="G163" s="61">
        <f>IF(G162&lt;=0,0,IF(Materiales!$G$26&lt;=0,G162,ROUNDUP(G162/Materiales!$G$26,0)*Materiales!$G$26))</f>
        <v/>
      </c>
      <c r="H163" s="61">
        <f>IF(H162&lt;=0,0,IF(Materiales!$G$26&lt;=0,H162,ROUNDUP(H162/Materiales!$G$26,0)*Materiales!$G$26))</f>
        <v/>
      </c>
      <c r="I163" s="61">
        <f>IF(I162&lt;=0,0,IF(Materiales!$G$26&lt;=0,I162,ROUNDUP(I162/Materiales!$G$26,0)*Materiales!$G$26))</f>
        <v/>
      </c>
      <c r="J163" s="61">
        <f>IF(J162&lt;=0,0,IF(Materiales!$G$26&lt;=0,J162,ROUNDUP(J162/Materiales!$G$26,0)*Materiales!$G$26))</f>
        <v/>
      </c>
      <c r="K163" s="61">
        <f>IF(K162&lt;=0,0,IF(Materiales!$G$26&lt;=0,K162,ROUNDUP(K162/Materiales!$G$26,0)*Materiales!$G$26))</f>
        <v/>
      </c>
      <c r="L163" s="61">
        <f>IF(L162&lt;=0,0,IF(Materiales!$G$26&lt;=0,L162,ROUNDUP(L162/Materiales!$G$26,0)*Materiales!$G$26))</f>
        <v/>
      </c>
      <c r="M163" s="62" t="n"/>
    </row>
    <row r="164">
      <c r="C164" s="66" t="inlineStr">
        <is>
          <t>LANZAMIENTO DE ORDEN — pedir esta semana</t>
        </is>
      </c>
      <c r="D164" s="60" t="n"/>
      <c r="E164" s="70">
        <f>IF(1+Materiales!$F$26&gt;8,0,INDEX($E$163:$L$163,1,1+Materiales!$F$26))</f>
        <v/>
      </c>
      <c r="F164" s="70">
        <f>IF(2+Materiales!$F$26&gt;8,0,INDEX($E$163:$L$163,1,2+Materiales!$F$26))</f>
        <v/>
      </c>
      <c r="G164" s="70">
        <f>IF(3+Materiales!$F$26&gt;8,0,INDEX($E$163:$L$163,1,3+Materiales!$F$26))</f>
        <v/>
      </c>
      <c r="H164" s="70">
        <f>IF(4+Materiales!$F$26&gt;8,0,INDEX($E$163:$L$163,1,4+Materiales!$F$26))</f>
        <v/>
      </c>
      <c r="I164" s="70">
        <f>IF(5+Materiales!$F$26&gt;8,0,INDEX($E$163:$L$163,1,5+Materiales!$F$26))</f>
        <v/>
      </c>
      <c r="J164" s="70">
        <f>IF(6+Materiales!$F$26&gt;8,0,INDEX($E$163:$L$163,1,6+Materiales!$F$26))</f>
        <v/>
      </c>
      <c r="K164" s="70">
        <f>IF(7+Materiales!$F$26&gt;8,0,INDEX($E$163:$L$163,1,7+Materiales!$F$26))</f>
        <v/>
      </c>
      <c r="L164" s="70">
        <f>IF(8+Materiales!$F$26&gt;8,0,INDEX($E$163:$L$163,1,8+Materiales!$F$26))</f>
        <v/>
      </c>
      <c r="M164" s="68">
        <f>IF($A159="","",IF(SUMPRODUCT((COLUMN($E$163:$L$163)-4&lt;=Materiales!$F$26)*$E$163:$L$163)&gt;0,"PEDIR YA (atrasado)","OK"))</f>
        <v/>
      </c>
    </row>
    <row r="165" ht="6" customHeight="1"/>
    <row r="166">
      <c r="A166" s="58">
        <f>IF(Materiales!$A$27="","",Materiales!$A$27)</f>
        <v/>
      </c>
      <c r="B166" s="58">
        <f>IF(Materiales!$B$27="","",Materiales!$B$27)</f>
        <v/>
      </c>
      <c r="C166" s="59" t="inlineStr">
        <is>
          <t>Necesidad bruta</t>
        </is>
      </c>
      <c r="D166" s="60" t="n"/>
      <c r="E166" s="61">
        <f>ROUND(SUMIF(Consumo!$O$4:$O$143,"#"&amp;$A166,Consumo!G$4:G$143),4)</f>
        <v/>
      </c>
      <c r="F166" s="61">
        <f>ROUND(SUMIF(Consumo!$O$4:$O$143,"#"&amp;$A166,Consumo!H$4:H$143),4)</f>
        <v/>
      </c>
      <c r="G166" s="61">
        <f>ROUND(SUMIF(Consumo!$O$4:$O$143,"#"&amp;$A166,Consumo!I$4:I$143),4)</f>
        <v/>
      </c>
      <c r="H166" s="61">
        <f>ROUND(SUMIF(Consumo!$O$4:$O$143,"#"&amp;$A166,Consumo!J$4:J$143),4)</f>
        <v/>
      </c>
      <c r="I166" s="61">
        <f>ROUND(SUMIF(Consumo!$O$4:$O$143,"#"&amp;$A166,Consumo!K$4:K$143),4)</f>
        <v/>
      </c>
      <c r="J166" s="61">
        <f>ROUND(SUMIF(Consumo!$O$4:$O$143,"#"&amp;$A166,Consumo!L$4:L$143),4)</f>
        <v/>
      </c>
      <c r="K166" s="61">
        <f>ROUND(SUMIF(Consumo!$O$4:$O$143,"#"&amp;$A166,Consumo!M$4:M$143),4)</f>
        <v/>
      </c>
      <c r="L166" s="61">
        <f>ROUND(SUMIF(Consumo!$O$4:$O$143,"#"&amp;$A166,Consumo!N$4:N$143),4)</f>
        <v/>
      </c>
      <c r="M166" s="62" t="n"/>
    </row>
    <row r="167">
      <c r="C167" s="59" t="inlineStr">
        <is>
          <t>Recepciones programadas (ya pedido)</t>
        </is>
      </c>
      <c r="D167" s="60" t="n"/>
      <c r="E167" s="61">
        <f>SUMIF(Inventario!$M$5:$M$87,"#"&amp;$A166,Inventario!E$5:E$87)</f>
        <v/>
      </c>
      <c r="F167" s="61">
        <f>SUMIF(Inventario!$M$5:$M$87,"#"&amp;$A166,Inventario!F$5:F$87)</f>
        <v/>
      </c>
      <c r="G167" s="61">
        <f>SUMIF(Inventario!$M$5:$M$87,"#"&amp;$A166,Inventario!G$5:G$87)</f>
        <v/>
      </c>
      <c r="H167" s="61">
        <f>SUMIF(Inventario!$M$5:$M$87,"#"&amp;$A166,Inventario!H$5:H$87)</f>
        <v/>
      </c>
      <c r="I167" s="61">
        <f>SUMIF(Inventario!$M$5:$M$87,"#"&amp;$A166,Inventario!I$5:I$87)</f>
        <v/>
      </c>
      <c r="J167" s="61">
        <f>SUMIF(Inventario!$M$5:$M$87,"#"&amp;$A166,Inventario!J$5:J$87)</f>
        <v/>
      </c>
      <c r="K167" s="61">
        <f>SUMIF(Inventario!$M$5:$M$87,"#"&amp;$A166,Inventario!K$5:K$87)</f>
        <v/>
      </c>
      <c r="L167" s="61">
        <f>SUMIF(Inventario!$M$5:$M$87,"#"&amp;$A166,Inventario!L$5:L$87)</f>
        <v/>
      </c>
      <c r="M167" s="62" t="n"/>
    </row>
    <row r="168">
      <c r="C168" s="59" t="inlineStr">
        <is>
          <t>Stock proyectado disponible</t>
        </is>
      </c>
      <c r="D168" s="63">
        <f>SUMIF(Inventario!$M$5:$M$87,"#"&amp;$A166,Inventario!$C$5:$C$87)</f>
        <v/>
      </c>
      <c r="E168" s="64">
        <f>D168+E167+E170-E166</f>
        <v/>
      </c>
      <c r="F168" s="64">
        <f>E168+F167+F170-F166</f>
        <v/>
      </c>
      <c r="G168" s="64">
        <f>F168+G167+G170-G166</f>
        <v/>
      </c>
      <c r="H168" s="64">
        <f>G168+H167+H170-H166</f>
        <v/>
      </c>
      <c r="I168" s="64">
        <f>H168+I167+I170-I166</f>
        <v/>
      </c>
      <c r="J168" s="64">
        <f>I168+J167+J170-J166</f>
        <v/>
      </c>
      <c r="K168" s="64">
        <f>J168+K167+K170-K166</f>
        <v/>
      </c>
      <c r="L168" s="64">
        <f>K168+L167+L170-L166</f>
        <v/>
      </c>
      <c r="M168" s="62" t="n"/>
    </row>
    <row r="169">
      <c r="C169" s="59" t="inlineStr">
        <is>
          <t>Necesidad neta</t>
        </is>
      </c>
      <c r="D169" s="60" t="n"/>
      <c r="E169" s="65">
        <f>MAX(0,ROUND(E166+Materiales!$H$27-D168-E167,4))</f>
        <v/>
      </c>
      <c r="F169" s="65">
        <f>MAX(0,ROUND(F166+Materiales!$H$27-E168-F167,4))</f>
        <v/>
      </c>
      <c r="G169" s="65">
        <f>MAX(0,ROUND(G166+Materiales!$H$27-F168-G167,4))</f>
        <v/>
      </c>
      <c r="H169" s="65">
        <f>MAX(0,ROUND(H166+Materiales!$H$27-G168-H167,4))</f>
        <v/>
      </c>
      <c r="I169" s="65">
        <f>MAX(0,ROUND(I166+Materiales!$H$27-H168-I167,4))</f>
        <v/>
      </c>
      <c r="J169" s="65">
        <f>MAX(0,ROUND(J166+Materiales!$H$27-I168-J167,4))</f>
        <v/>
      </c>
      <c r="K169" s="65">
        <f>MAX(0,ROUND(K166+Materiales!$H$27-J168-K167,4))</f>
        <v/>
      </c>
      <c r="L169" s="65">
        <f>MAX(0,ROUND(L166+Materiales!$H$27-K168-L167,4))</f>
        <v/>
      </c>
      <c r="M169" s="62" t="n"/>
    </row>
    <row r="170">
      <c r="C170" s="59" t="inlineStr">
        <is>
          <t>Recepcion de orden planificada</t>
        </is>
      </c>
      <c r="D170" s="60" t="n"/>
      <c r="E170" s="61">
        <f>IF(E169&lt;=0,0,IF(Materiales!$G$27&lt;=0,E169,ROUNDUP(E169/Materiales!$G$27,0)*Materiales!$G$27))</f>
        <v/>
      </c>
      <c r="F170" s="61">
        <f>IF(F169&lt;=0,0,IF(Materiales!$G$27&lt;=0,F169,ROUNDUP(F169/Materiales!$G$27,0)*Materiales!$G$27))</f>
        <v/>
      </c>
      <c r="G170" s="61">
        <f>IF(G169&lt;=0,0,IF(Materiales!$G$27&lt;=0,G169,ROUNDUP(G169/Materiales!$G$27,0)*Materiales!$G$27))</f>
        <v/>
      </c>
      <c r="H170" s="61">
        <f>IF(H169&lt;=0,0,IF(Materiales!$G$27&lt;=0,H169,ROUNDUP(H169/Materiales!$G$27,0)*Materiales!$G$27))</f>
        <v/>
      </c>
      <c r="I170" s="61">
        <f>IF(I169&lt;=0,0,IF(Materiales!$G$27&lt;=0,I169,ROUNDUP(I169/Materiales!$G$27,0)*Materiales!$G$27))</f>
        <v/>
      </c>
      <c r="J170" s="61">
        <f>IF(J169&lt;=0,0,IF(Materiales!$G$27&lt;=0,J169,ROUNDUP(J169/Materiales!$G$27,0)*Materiales!$G$27))</f>
        <v/>
      </c>
      <c r="K170" s="61">
        <f>IF(K169&lt;=0,0,IF(Materiales!$G$27&lt;=0,K169,ROUNDUP(K169/Materiales!$G$27,0)*Materiales!$G$27))</f>
        <v/>
      </c>
      <c r="L170" s="61">
        <f>IF(L169&lt;=0,0,IF(Materiales!$G$27&lt;=0,L169,ROUNDUP(L169/Materiales!$G$27,0)*Materiales!$G$27))</f>
        <v/>
      </c>
      <c r="M170" s="62" t="n"/>
    </row>
    <row r="171">
      <c r="C171" s="66" t="inlineStr">
        <is>
          <t>LANZAMIENTO DE ORDEN — pedir esta semana</t>
        </is>
      </c>
      <c r="D171" s="60" t="n"/>
      <c r="E171" s="70">
        <f>IF(1+Materiales!$F$27&gt;8,0,INDEX($E$170:$L$170,1,1+Materiales!$F$27))</f>
        <v/>
      </c>
      <c r="F171" s="70">
        <f>IF(2+Materiales!$F$27&gt;8,0,INDEX($E$170:$L$170,1,2+Materiales!$F$27))</f>
        <v/>
      </c>
      <c r="G171" s="70">
        <f>IF(3+Materiales!$F$27&gt;8,0,INDEX($E$170:$L$170,1,3+Materiales!$F$27))</f>
        <v/>
      </c>
      <c r="H171" s="70">
        <f>IF(4+Materiales!$F$27&gt;8,0,INDEX($E$170:$L$170,1,4+Materiales!$F$27))</f>
        <v/>
      </c>
      <c r="I171" s="70">
        <f>IF(5+Materiales!$F$27&gt;8,0,INDEX($E$170:$L$170,1,5+Materiales!$F$27))</f>
        <v/>
      </c>
      <c r="J171" s="70">
        <f>IF(6+Materiales!$F$27&gt;8,0,INDEX($E$170:$L$170,1,6+Materiales!$F$27))</f>
        <v/>
      </c>
      <c r="K171" s="70">
        <f>IF(7+Materiales!$F$27&gt;8,0,INDEX($E$170:$L$170,1,7+Materiales!$F$27))</f>
        <v/>
      </c>
      <c r="L171" s="70">
        <f>IF(8+Materiales!$F$27&gt;8,0,INDEX($E$170:$L$170,1,8+Materiales!$F$27))</f>
        <v/>
      </c>
      <c r="M171" s="68">
        <f>IF($A166="","",IF(SUMPRODUCT((COLUMN($E$170:$L$170)-4&lt;=Materiales!$F$27)*$E$170:$L$170)&gt;0,"PEDIR YA (atrasado)","OK"))</f>
        <v/>
      </c>
    </row>
    <row r="172" ht="6" customHeight="1"/>
    <row r="173">
      <c r="A173" s="58">
        <f>IF(Materiales!$A$28="","",Materiales!$A$28)</f>
        <v/>
      </c>
      <c r="B173" s="58">
        <f>IF(Materiales!$B$28="","",Materiales!$B$28)</f>
        <v/>
      </c>
      <c r="C173" s="59" t="inlineStr">
        <is>
          <t>Necesidad bruta</t>
        </is>
      </c>
      <c r="D173" s="60" t="n"/>
      <c r="E173" s="61">
        <f>ROUND(SUMIF(Consumo!$O$4:$O$143,"#"&amp;$A173,Consumo!G$4:G$143),4)</f>
        <v/>
      </c>
      <c r="F173" s="61">
        <f>ROUND(SUMIF(Consumo!$O$4:$O$143,"#"&amp;$A173,Consumo!H$4:H$143),4)</f>
        <v/>
      </c>
      <c r="G173" s="61">
        <f>ROUND(SUMIF(Consumo!$O$4:$O$143,"#"&amp;$A173,Consumo!I$4:I$143),4)</f>
        <v/>
      </c>
      <c r="H173" s="61">
        <f>ROUND(SUMIF(Consumo!$O$4:$O$143,"#"&amp;$A173,Consumo!J$4:J$143),4)</f>
        <v/>
      </c>
      <c r="I173" s="61">
        <f>ROUND(SUMIF(Consumo!$O$4:$O$143,"#"&amp;$A173,Consumo!K$4:K$143),4)</f>
        <v/>
      </c>
      <c r="J173" s="61">
        <f>ROUND(SUMIF(Consumo!$O$4:$O$143,"#"&amp;$A173,Consumo!L$4:L$143),4)</f>
        <v/>
      </c>
      <c r="K173" s="61">
        <f>ROUND(SUMIF(Consumo!$O$4:$O$143,"#"&amp;$A173,Consumo!M$4:M$143),4)</f>
        <v/>
      </c>
      <c r="L173" s="61">
        <f>ROUND(SUMIF(Consumo!$O$4:$O$143,"#"&amp;$A173,Consumo!N$4:N$143),4)</f>
        <v/>
      </c>
      <c r="M173" s="62" t="n"/>
    </row>
    <row r="174">
      <c r="C174" s="59" t="inlineStr">
        <is>
          <t>Recepciones programadas (ya pedido)</t>
        </is>
      </c>
      <c r="D174" s="60" t="n"/>
      <c r="E174" s="61">
        <f>SUMIF(Inventario!$M$5:$M$87,"#"&amp;$A173,Inventario!E$5:E$87)</f>
        <v/>
      </c>
      <c r="F174" s="61">
        <f>SUMIF(Inventario!$M$5:$M$87,"#"&amp;$A173,Inventario!F$5:F$87)</f>
        <v/>
      </c>
      <c r="G174" s="61">
        <f>SUMIF(Inventario!$M$5:$M$87,"#"&amp;$A173,Inventario!G$5:G$87)</f>
        <v/>
      </c>
      <c r="H174" s="61">
        <f>SUMIF(Inventario!$M$5:$M$87,"#"&amp;$A173,Inventario!H$5:H$87)</f>
        <v/>
      </c>
      <c r="I174" s="61">
        <f>SUMIF(Inventario!$M$5:$M$87,"#"&amp;$A173,Inventario!I$5:I$87)</f>
        <v/>
      </c>
      <c r="J174" s="61">
        <f>SUMIF(Inventario!$M$5:$M$87,"#"&amp;$A173,Inventario!J$5:J$87)</f>
        <v/>
      </c>
      <c r="K174" s="61">
        <f>SUMIF(Inventario!$M$5:$M$87,"#"&amp;$A173,Inventario!K$5:K$87)</f>
        <v/>
      </c>
      <c r="L174" s="61">
        <f>SUMIF(Inventario!$M$5:$M$87,"#"&amp;$A173,Inventario!L$5:L$87)</f>
        <v/>
      </c>
      <c r="M174" s="62" t="n"/>
    </row>
    <row r="175">
      <c r="C175" s="59" t="inlineStr">
        <is>
          <t>Stock proyectado disponible</t>
        </is>
      </c>
      <c r="D175" s="63">
        <f>SUMIF(Inventario!$M$5:$M$87,"#"&amp;$A173,Inventario!$C$5:$C$87)</f>
        <v/>
      </c>
      <c r="E175" s="64">
        <f>D175+E174+E177-E173</f>
        <v/>
      </c>
      <c r="F175" s="64">
        <f>E175+F174+F177-F173</f>
        <v/>
      </c>
      <c r="G175" s="64">
        <f>F175+G174+G177-G173</f>
        <v/>
      </c>
      <c r="H175" s="64">
        <f>G175+H174+H177-H173</f>
        <v/>
      </c>
      <c r="I175" s="64">
        <f>H175+I174+I177-I173</f>
        <v/>
      </c>
      <c r="J175" s="64">
        <f>I175+J174+J177-J173</f>
        <v/>
      </c>
      <c r="K175" s="64">
        <f>J175+K174+K177-K173</f>
        <v/>
      </c>
      <c r="L175" s="64">
        <f>K175+L174+L177-L173</f>
        <v/>
      </c>
      <c r="M175" s="62" t="n"/>
    </row>
    <row r="176">
      <c r="C176" s="59" t="inlineStr">
        <is>
          <t>Necesidad neta</t>
        </is>
      </c>
      <c r="D176" s="60" t="n"/>
      <c r="E176" s="65">
        <f>MAX(0,ROUND(E173+Materiales!$H$28-D175-E174,4))</f>
        <v/>
      </c>
      <c r="F176" s="65">
        <f>MAX(0,ROUND(F173+Materiales!$H$28-E175-F174,4))</f>
        <v/>
      </c>
      <c r="G176" s="65">
        <f>MAX(0,ROUND(G173+Materiales!$H$28-F175-G174,4))</f>
        <v/>
      </c>
      <c r="H176" s="65">
        <f>MAX(0,ROUND(H173+Materiales!$H$28-G175-H174,4))</f>
        <v/>
      </c>
      <c r="I176" s="65">
        <f>MAX(0,ROUND(I173+Materiales!$H$28-H175-I174,4))</f>
        <v/>
      </c>
      <c r="J176" s="65">
        <f>MAX(0,ROUND(J173+Materiales!$H$28-I175-J174,4))</f>
        <v/>
      </c>
      <c r="K176" s="65">
        <f>MAX(0,ROUND(K173+Materiales!$H$28-J175-K174,4))</f>
        <v/>
      </c>
      <c r="L176" s="65">
        <f>MAX(0,ROUND(L173+Materiales!$H$28-K175-L174,4))</f>
        <v/>
      </c>
      <c r="M176" s="62" t="n"/>
    </row>
    <row r="177">
      <c r="C177" s="59" t="inlineStr">
        <is>
          <t>Recepcion de orden planificada</t>
        </is>
      </c>
      <c r="D177" s="60" t="n"/>
      <c r="E177" s="61">
        <f>IF(E176&lt;=0,0,IF(Materiales!$G$28&lt;=0,E176,ROUNDUP(E176/Materiales!$G$28,0)*Materiales!$G$28))</f>
        <v/>
      </c>
      <c r="F177" s="61">
        <f>IF(F176&lt;=0,0,IF(Materiales!$G$28&lt;=0,F176,ROUNDUP(F176/Materiales!$G$28,0)*Materiales!$G$28))</f>
        <v/>
      </c>
      <c r="G177" s="61">
        <f>IF(G176&lt;=0,0,IF(Materiales!$G$28&lt;=0,G176,ROUNDUP(G176/Materiales!$G$28,0)*Materiales!$G$28))</f>
        <v/>
      </c>
      <c r="H177" s="61">
        <f>IF(H176&lt;=0,0,IF(Materiales!$G$28&lt;=0,H176,ROUNDUP(H176/Materiales!$G$28,0)*Materiales!$G$28))</f>
        <v/>
      </c>
      <c r="I177" s="61">
        <f>IF(I176&lt;=0,0,IF(Materiales!$G$28&lt;=0,I176,ROUNDUP(I176/Materiales!$G$28,0)*Materiales!$G$28))</f>
        <v/>
      </c>
      <c r="J177" s="61">
        <f>IF(J176&lt;=0,0,IF(Materiales!$G$28&lt;=0,J176,ROUNDUP(J176/Materiales!$G$28,0)*Materiales!$G$28))</f>
        <v/>
      </c>
      <c r="K177" s="61">
        <f>IF(K176&lt;=0,0,IF(Materiales!$G$28&lt;=0,K176,ROUNDUP(K176/Materiales!$G$28,0)*Materiales!$G$28))</f>
        <v/>
      </c>
      <c r="L177" s="61">
        <f>IF(L176&lt;=0,0,IF(Materiales!$G$28&lt;=0,L176,ROUNDUP(L176/Materiales!$G$28,0)*Materiales!$G$28))</f>
        <v/>
      </c>
      <c r="M177" s="62" t="n"/>
    </row>
    <row r="178">
      <c r="C178" s="66" t="inlineStr">
        <is>
          <t>LANZAMIENTO DE ORDEN — pedir esta semana</t>
        </is>
      </c>
      <c r="D178" s="60" t="n"/>
      <c r="E178" s="70">
        <f>IF(1+Materiales!$F$28&gt;8,0,INDEX($E$177:$L$177,1,1+Materiales!$F$28))</f>
        <v/>
      </c>
      <c r="F178" s="70">
        <f>IF(2+Materiales!$F$28&gt;8,0,INDEX($E$177:$L$177,1,2+Materiales!$F$28))</f>
        <v/>
      </c>
      <c r="G178" s="70">
        <f>IF(3+Materiales!$F$28&gt;8,0,INDEX($E$177:$L$177,1,3+Materiales!$F$28))</f>
        <v/>
      </c>
      <c r="H178" s="70">
        <f>IF(4+Materiales!$F$28&gt;8,0,INDEX($E$177:$L$177,1,4+Materiales!$F$28))</f>
        <v/>
      </c>
      <c r="I178" s="70">
        <f>IF(5+Materiales!$F$28&gt;8,0,INDEX($E$177:$L$177,1,5+Materiales!$F$28))</f>
        <v/>
      </c>
      <c r="J178" s="70">
        <f>IF(6+Materiales!$F$28&gt;8,0,INDEX($E$177:$L$177,1,6+Materiales!$F$28))</f>
        <v/>
      </c>
      <c r="K178" s="70">
        <f>IF(7+Materiales!$F$28&gt;8,0,INDEX($E$177:$L$177,1,7+Materiales!$F$28))</f>
        <v/>
      </c>
      <c r="L178" s="70">
        <f>IF(8+Materiales!$F$28&gt;8,0,INDEX($E$177:$L$177,1,8+Materiales!$F$28))</f>
        <v/>
      </c>
      <c r="M178" s="68">
        <f>IF($A173="","",IF(SUMPRODUCT((COLUMN($E$177:$L$177)-4&lt;=Materiales!$F$28)*$E$177:$L$177)&gt;0,"PEDIR YA (atrasado)","OK"))</f>
        <v/>
      </c>
    </row>
    <row r="179" ht="6" customHeight="1"/>
    <row r="180">
      <c r="A180" s="58">
        <f>IF(Materiales!$A$29="","",Materiales!$A$29)</f>
        <v/>
      </c>
      <c r="B180" s="58">
        <f>IF(Materiales!$B$29="","",Materiales!$B$29)</f>
        <v/>
      </c>
      <c r="C180" s="59" t="inlineStr">
        <is>
          <t>Necesidad bruta</t>
        </is>
      </c>
      <c r="D180" s="60" t="n"/>
      <c r="E180" s="61">
        <f>ROUND(SUMIF(Consumo!$O$4:$O$143,"#"&amp;$A180,Consumo!G$4:G$143),4)</f>
        <v/>
      </c>
      <c r="F180" s="61">
        <f>ROUND(SUMIF(Consumo!$O$4:$O$143,"#"&amp;$A180,Consumo!H$4:H$143),4)</f>
        <v/>
      </c>
      <c r="G180" s="61">
        <f>ROUND(SUMIF(Consumo!$O$4:$O$143,"#"&amp;$A180,Consumo!I$4:I$143),4)</f>
        <v/>
      </c>
      <c r="H180" s="61">
        <f>ROUND(SUMIF(Consumo!$O$4:$O$143,"#"&amp;$A180,Consumo!J$4:J$143),4)</f>
        <v/>
      </c>
      <c r="I180" s="61">
        <f>ROUND(SUMIF(Consumo!$O$4:$O$143,"#"&amp;$A180,Consumo!K$4:K$143),4)</f>
        <v/>
      </c>
      <c r="J180" s="61">
        <f>ROUND(SUMIF(Consumo!$O$4:$O$143,"#"&amp;$A180,Consumo!L$4:L$143),4)</f>
        <v/>
      </c>
      <c r="K180" s="61">
        <f>ROUND(SUMIF(Consumo!$O$4:$O$143,"#"&amp;$A180,Consumo!M$4:M$143),4)</f>
        <v/>
      </c>
      <c r="L180" s="61">
        <f>ROUND(SUMIF(Consumo!$O$4:$O$143,"#"&amp;$A180,Consumo!N$4:N$143),4)</f>
        <v/>
      </c>
      <c r="M180" s="62" t="n"/>
    </row>
    <row r="181">
      <c r="C181" s="59" t="inlineStr">
        <is>
          <t>Recepciones programadas (ya pedido)</t>
        </is>
      </c>
      <c r="D181" s="60" t="n"/>
      <c r="E181" s="61">
        <f>SUMIF(Inventario!$M$5:$M$87,"#"&amp;$A180,Inventario!E$5:E$87)</f>
        <v/>
      </c>
      <c r="F181" s="61">
        <f>SUMIF(Inventario!$M$5:$M$87,"#"&amp;$A180,Inventario!F$5:F$87)</f>
        <v/>
      </c>
      <c r="G181" s="61">
        <f>SUMIF(Inventario!$M$5:$M$87,"#"&amp;$A180,Inventario!G$5:G$87)</f>
        <v/>
      </c>
      <c r="H181" s="61">
        <f>SUMIF(Inventario!$M$5:$M$87,"#"&amp;$A180,Inventario!H$5:H$87)</f>
        <v/>
      </c>
      <c r="I181" s="61">
        <f>SUMIF(Inventario!$M$5:$M$87,"#"&amp;$A180,Inventario!I$5:I$87)</f>
        <v/>
      </c>
      <c r="J181" s="61">
        <f>SUMIF(Inventario!$M$5:$M$87,"#"&amp;$A180,Inventario!J$5:J$87)</f>
        <v/>
      </c>
      <c r="K181" s="61">
        <f>SUMIF(Inventario!$M$5:$M$87,"#"&amp;$A180,Inventario!K$5:K$87)</f>
        <v/>
      </c>
      <c r="L181" s="61">
        <f>SUMIF(Inventario!$M$5:$M$87,"#"&amp;$A180,Inventario!L$5:L$87)</f>
        <v/>
      </c>
      <c r="M181" s="62" t="n"/>
    </row>
    <row r="182">
      <c r="C182" s="59" t="inlineStr">
        <is>
          <t>Stock proyectado disponible</t>
        </is>
      </c>
      <c r="D182" s="63">
        <f>SUMIF(Inventario!$M$5:$M$87,"#"&amp;$A180,Inventario!$C$5:$C$87)</f>
        <v/>
      </c>
      <c r="E182" s="64">
        <f>D182+E181+E184-E180</f>
        <v/>
      </c>
      <c r="F182" s="64">
        <f>E182+F181+F184-F180</f>
        <v/>
      </c>
      <c r="G182" s="64">
        <f>F182+G181+G184-G180</f>
        <v/>
      </c>
      <c r="H182" s="64">
        <f>G182+H181+H184-H180</f>
        <v/>
      </c>
      <c r="I182" s="64">
        <f>H182+I181+I184-I180</f>
        <v/>
      </c>
      <c r="J182" s="64">
        <f>I182+J181+J184-J180</f>
        <v/>
      </c>
      <c r="K182" s="64">
        <f>J182+K181+K184-K180</f>
        <v/>
      </c>
      <c r="L182" s="64">
        <f>K182+L181+L184-L180</f>
        <v/>
      </c>
      <c r="M182" s="62" t="n"/>
    </row>
    <row r="183">
      <c r="C183" s="59" t="inlineStr">
        <is>
          <t>Necesidad neta</t>
        </is>
      </c>
      <c r="D183" s="60" t="n"/>
      <c r="E183" s="65">
        <f>MAX(0,ROUND(E180+Materiales!$H$29-D182-E181,4))</f>
        <v/>
      </c>
      <c r="F183" s="65">
        <f>MAX(0,ROUND(F180+Materiales!$H$29-E182-F181,4))</f>
        <v/>
      </c>
      <c r="G183" s="65">
        <f>MAX(0,ROUND(G180+Materiales!$H$29-F182-G181,4))</f>
        <v/>
      </c>
      <c r="H183" s="65">
        <f>MAX(0,ROUND(H180+Materiales!$H$29-G182-H181,4))</f>
        <v/>
      </c>
      <c r="I183" s="65">
        <f>MAX(0,ROUND(I180+Materiales!$H$29-H182-I181,4))</f>
        <v/>
      </c>
      <c r="J183" s="65">
        <f>MAX(0,ROUND(J180+Materiales!$H$29-I182-J181,4))</f>
        <v/>
      </c>
      <c r="K183" s="65">
        <f>MAX(0,ROUND(K180+Materiales!$H$29-J182-K181,4))</f>
        <v/>
      </c>
      <c r="L183" s="65">
        <f>MAX(0,ROUND(L180+Materiales!$H$29-K182-L181,4))</f>
        <v/>
      </c>
      <c r="M183" s="62" t="n"/>
    </row>
    <row r="184">
      <c r="C184" s="59" t="inlineStr">
        <is>
          <t>Recepcion de orden planificada</t>
        </is>
      </c>
      <c r="D184" s="60" t="n"/>
      <c r="E184" s="61">
        <f>IF(E183&lt;=0,0,IF(Materiales!$G$29&lt;=0,E183,ROUNDUP(E183/Materiales!$G$29,0)*Materiales!$G$29))</f>
        <v/>
      </c>
      <c r="F184" s="61">
        <f>IF(F183&lt;=0,0,IF(Materiales!$G$29&lt;=0,F183,ROUNDUP(F183/Materiales!$G$29,0)*Materiales!$G$29))</f>
        <v/>
      </c>
      <c r="G184" s="61">
        <f>IF(G183&lt;=0,0,IF(Materiales!$G$29&lt;=0,G183,ROUNDUP(G183/Materiales!$G$29,0)*Materiales!$G$29))</f>
        <v/>
      </c>
      <c r="H184" s="61">
        <f>IF(H183&lt;=0,0,IF(Materiales!$G$29&lt;=0,H183,ROUNDUP(H183/Materiales!$G$29,0)*Materiales!$G$29))</f>
        <v/>
      </c>
      <c r="I184" s="61">
        <f>IF(I183&lt;=0,0,IF(Materiales!$G$29&lt;=0,I183,ROUNDUP(I183/Materiales!$G$29,0)*Materiales!$G$29))</f>
        <v/>
      </c>
      <c r="J184" s="61">
        <f>IF(J183&lt;=0,0,IF(Materiales!$G$29&lt;=0,J183,ROUNDUP(J183/Materiales!$G$29,0)*Materiales!$G$29))</f>
        <v/>
      </c>
      <c r="K184" s="61">
        <f>IF(K183&lt;=0,0,IF(Materiales!$G$29&lt;=0,K183,ROUNDUP(K183/Materiales!$G$29,0)*Materiales!$G$29))</f>
        <v/>
      </c>
      <c r="L184" s="61">
        <f>IF(L183&lt;=0,0,IF(Materiales!$G$29&lt;=0,L183,ROUNDUP(L183/Materiales!$G$29,0)*Materiales!$G$29))</f>
        <v/>
      </c>
      <c r="M184" s="62" t="n"/>
    </row>
    <row r="185">
      <c r="C185" s="66" t="inlineStr">
        <is>
          <t>LANZAMIENTO DE ORDEN — pedir esta semana</t>
        </is>
      </c>
      <c r="D185" s="60" t="n"/>
      <c r="E185" s="70">
        <f>IF(1+Materiales!$F$29&gt;8,0,INDEX($E$184:$L$184,1,1+Materiales!$F$29))</f>
        <v/>
      </c>
      <c r="F185" s="70">
        <f>IF(2+Materiales!$F$29&gt;8,0,INDEX($E$184:$L$184,1,2+Materiales!$F$29))</f>
        <v/>
      </c>
      <c r="G185" s="70">
        <f>IF(3+Materiales!$F$29&gt;8,0,INDEX($E$184:$L$184,1,3+Materiales!$F$29))</f>
        <v/>
      </c>
      <c r="H185" s="70">
        <f>IF(4+Materiales!$F$29&gt;8,0,INDEX($E$184:$L$184,1,4+Materiales!$F$29))</f>
        <v/>
      </c>
      <c r="I185" s="70">
        <f>IF(5+Materiales!$F$29&gt;8,0,INDEX($E$184:$L$184,1,5+Materiales!$F$29))</f>
        <v/>
      </c>
      <c r="J185" s="70">
        <f>IF(6+Materiales!$F$29&gt;8,0,INDEX($E$184:$L$184,1,6+Materiales!$F$29))</f>
        <v/>
      </c>
      <c r="K185" s="70">
        <f>IF(7+Materiales!$F$29&gt;8,0,INDEX($E$184:$L$184,1,7+Materiales!$F$29))</f>
        <v/>
      </c>
      <c r="L185" s="70">
        <f>IF(8+Materiales!$F$29&gt;8,0,INDEX($E$184:$L$184,1,8+Materiales!$F$29))</f>
        <v/>
      </c>
      <c r="M185" s="68">
        <f>IF($A180="","",IF(SUMPRODUCT((COLUMN($E$184:$L$184)-4&lt;=Materiales!$F$29)*$E$184:$L$184)&gt;0,"PEDIR YA (atrasado)","OK"))</f>
        <v/>
      </c>
    </row>
    <row r="186" ht="6" customHeight="1"/>
    <row r="187">
      <c r="A187" s="58">
        <f>IF(Materiales!$A$30="","",Materiales!$A$30)</f>
        <v/>
      </c>
      <c r="B187" s="58">
        <f>IF(Materiales!$B$30="","",Materiales!$B$30)</f>
        <v/>
      </c>
      <c r="C187" s="59" t="inlineStr">
        <is>
          <t>Necesidad bruta</t>
        </is>
      </c>
      <c r="D187" s="60" t="n"/>
      <c r="E187" s="61">
        <f>ROUND(SUMIF(Consumo!$O$4:$O$143,"#"&amp;$A187,Consumo!G$4:G$143),4)</f>
        <v/>
      </c>
      <c r="F187" s="61">
        <f>ROUND(SUMIF(Consumo!$O$4:$O$143,"#"&amp;$A187,Consumo!H$4:H$143),4)</f>
        <v/>
      </c>
      <c r="G187" s="61">
        <f>ROUND(SUMIF(Consumo!$O$4:$O$143,"#"&amp;$A187,Consumo!I$4:I$143),4)</f>
        <v/>
      </c>
      <c r="H187" s="61">
        <f>ROUND(SUMIF(Consumo!$O$4:$O$143,"#"&amp;$A187,Consumo!J$4:J$143),4)</f>
        <v/>
      </c>
      <c r="I187" s="61">
        <f>ROUND(SUMIF(Consumo!$O$4:$O$143,"#"&amp;$A187,Consumo!K$4:K$143),4)</f>
        <v/>
      </c>
      <c r="J187" s="61">
        <f>ROUND(SUMIF(Consumo!$O$4:$O$143,"#"&amp;$A187,Consumo!L$4:L$143),4)</f>
        <v/>
      </c>
      <c r="K187" s="61">
        <f>ROUND(SUMIF(Consumo!$O$4:$O$143,"#"&amp;$A187,Consumo!M$4:M$143),4)</f>
        <v/>
      </c>
      <c r="L187" s="61">
        <f>ROUND(SUMIF(Consumo!$O$4:$O$143,"#"&amp;$A187,Consumo!N$4:N$143),4)</f>
        <v/>
      </c>
      <c r="M187" s="62" t="n"/>
    </row>
    <row r="188">
      <c r="C188" s="59" t="inlineStr">
        <is>
          <t>Recepciones programadas (ya pedido)</t>
        </is>
      </c>
      <c r="D188" s="60" t="n"/>
      <c r="E188" s="61">
        <f>SUMIF(Inventario!$M$5:$M$87,"#"&amp;$A187,Inventario!E$5:E$87)</f>
        <v/>
      </c>
      <c r="F188" s="61">
        <f>SUMIF(Inventario!$M$5:$M$87,"#"&amp;$A187,Inventario!F$5:F$87)</f>
        <v/>
      </c>
      <c r="G188" s="61">
        <f>SUMIF(Inventario!$M$5:$M$87,"#"&amp;$A187,Inventario!G$5:G$87)</f>
        <v/>
      </c>
      <c r="H188" s="61">
        <f>SUMIF(Inventario!$M$5:$M$87,"#"&amp;$A187,Inventario!H$5:H$87)</f>
        <v/>
      </c>
      <c r="I188" s="61">
        <f>SUMIF(Inventario!$M$5:$M$87,"#"&amp;$A187,Inventario!I$5:I$87)</f>
        <v/>
      </c>
      <c r="J188" s="61">
        <f>SUMIF(Inventario!$M$5:$M$87,"#"&amp;$A187,Inventario!J$5:J$87)</f>
        <v/>
      </c>
      <c r="K188" s="61">
        <f>SUMIF(Inventario!$M$5:$M$87,"#"&amp;$A187,Inventario!K$5:K$87)</f>
        <v/>
      </c>
      <c r="L188" s="61">
        <f>SUMIF(Inventario!$M$5:$M$87,"#"&amp;$A187,Inventario!L$5:L$87)</f>
        <v/>
      </c>
      <c r="M188" s="62" t="n"/>
    </row>
    <row r="189">
      <c r="C189" s="59" t="inlineStr">
        <is>
          <t>Stock proyectado disponible</t>
        </is>
      </c>
      <c r="D189" s="63">
        <f>SUMIF(Inventario!$M$5:$M$87,"#"&amp;$A187,Inventario!$C$5:$C$87)</f>
        <v/>
      </c>
      <c r="E189" s="64">
        <f>D189+E188+E191-E187</f>
        <v/>
      </c>
      <c r="F189" s="64">
        <f>E189+F188+F191-F187</f>
        <v/>
      </c>
      <c r="G189" s="64">
        <f>F189+G188+G191-G187</f>
        <v/>
      </c>
      <c r="H189" s="64">
        <f>G189+H188+H191-H187</f>
        <v/>
      </c>
      <c r="I189" s="64">
        <f>H189+I188+I191-I187</f>
        <v/>
      </c>
      <c r="J189" s="64">
        <f>I189+J188+J191-J187</f>
        <v/>
      </c>
      <c r="K189" s="64">
        <f>J189+K188+K191-K187</f>
        <v/>
      </c>
      <c r="L189" s="64">
        <f>K189+L188+L191-L187</f>
        <v/>
      </c>
      <c r="M189" s="62" t="n"/>
    </row>
    <row r="190">
      <c r="C190" s="59" t="inlineStr">
        <is>
          <t>Necesidad neta</t>
        </is>
      </c>
      <c r="D190" s="60" t="n"/>
      <c r="E190" s="65">
        <f>MAX(0,ROUND(E187+Materiales!$H$30-D189-E188,4))</f>
        <v/>
      </c>
      <c r="F190" s="65">
        <f>MAX(0,ROUND(F187+Materiales!$H$30-E189-F188,4))</f>
        <v/>
      </c>
      <c r="G190" s="65">
        <f>MAX(0,ROUND(G187+Materiales!$H$30-F189-G188,4))</f>
        <v/>
      </c>
      <c r="H190" s="65">
        <f>MAX(0,ROUND(H187+Materiales!$H$30-G189-H188,4))</f>
        <v/>
      </c>
      <c r="I190" s="65">
        <f>MAX(0,ROUND(I187+Materiales!$H$30-H189-I188,4))</f>
        <v/>
      </c>
      <c r="J190" s="65">
        <f>MAX(0,ROUND(J187+Materiales!$H$30-I189-J188,4))</f>
        <v/>
      </c>
      <c r="K190" s="65">
        <f>MAX(0,ROUND(K187+Materiales!$H$30-J189-K188,4))</f>
        <v/>
      </c>
      <c r="L190" s="65">
        <f>MAX(0,ROUND(L187+Materiales!$H$30-K189-L188,4))</f>
        <v/>
      </c>
      <c r="M190" s="62" t="n"/>
    </row>
    <row r="191">
      <c r="C191" s="59" t="inlineStr">
        <is>
          <t>Recepcion de orden planificada</t>
        </is>
      </c>
      <c r="D191" s="60" t="n"/>
      <c r="E191" s="61">
        <f>IF(E190&lt;=0,0,IF(Materiales!$G$30&lt;=0,E190,ROUNDUP(E190/Materiales!$G$30,0)*Materiales!$G$30))</f>
        <v/>
      </c>
      <c r="F191" s="61">
        <f>IF(F190&lt;=0,0,IF(Materiales!$G$30&lt;=0,F190,ROUNDUP(F190/Materiales!$G$30,0)*Materiales!$G$30))</f>
        <v/>
      </c>
      <c r="G191" s="61">
        <f>IF(G190&lt;=0,0,IF(Materiales!$G$30&lt;=0,G190,ROUNDUP(G190/Materiales!$G$30,0)*Materiales!$G$30))</f>
        <v/>
      </c>
      <c r="H191" s="61">
        <f>IF(H190&lt;=0,0,IF(Materiales!$G$30&lt;=0,H190,ROUNDUP(H190/Materiales!$G$30,0)*Materiales!$G$30))</f>
        <v/>
      </c>
      <c r="I191" s="61">
        <f>IF(I190&lt;=0,0,IF(Materiales!$G$30&lt;=0,I190,ROUNDUP(I190/Materiales!$G$30,0)*Materiales!$G$30))</f>
        <v/>
      </c>
      <c r="J191" s="61">
        <f>IF(J190&lt;=0,0,IF(Materiales!$G$30&lt;=0,J190,ROUNDUP(J190/Materiales!$G$30,0)*Materiales!$G$30))</f>
        <v/>
      </c>
      <c r="K191" s="61">
        <f>IF(K190&lt;=0,0,IF(Materiales!$G$30&lt;=0,K190,ROUNDUP(K190/Materiales!$G$30,0)*Materiales!$G$30))</f>
        <v/>
      </c>
      <c r="L191" s="61">
        <f>IF(L190&lt;=0,0,IF(Materiales!$G$30&lt;=0,L190,ROUNDUP(L190/Materiales!$G$30,0)*Materiales!$G$30))</f>
        <v/>
      </c>
      <c r="M191" s="62" t="n"/>
    </row>
    <row r="192">
      <c r="C192" s="66" t="inlineStr">
        <is>
          <t>LANZAMIENTO DE ORDEN — pedir esta semana</t>
        </is>
      </c>
      <c r="D192" s="60" t="n"/>
      <c r="E192" s="70">
        <f>IF(1+Materiales!$F$30&gt;8,0,INDEX($E$191:$L$191,1,1+Materiales!$F$30))</f>
        <v/>
      </c>
      <c r="F192" s="70">
        <f>IF(2+Materiales!$F$30&gt;8,0,INDEX($E$191:$L$191,1,2+Materiales!$F$30))</f>
        <v/>
      </c>
      <c r="G192" s="70">
        <f>IF(3+Materiales!$F$30&gt;8,0,INDEX($E$191:$L$191,1,3+Materiales!$F$30))</f>
        <v/>
      </c>
      <c r="H192" s="70">
        <f>IF(4+Materiales!$F$30&gt;8,0,INDEX($E$191:$L$191,1,4+Materiales!$F$30))</f>
        <v/>
      </c>
      <c r="I192" s="70">
        <f>IF(5+Materiales!$F$30&gt;8,0,INDEX($E$191:$L$191,1,5+Materiales!$F$30))</f>
        <v/>
      </c>
      <c r="J192" s="70">
        <f>IF(6+Materiales!$F$30&gt;8,0,INDEX($E$191:$L$191,1,6+Materiales!$F$30))</f>
        <v/>
      </c>
      <c r="K192" s="70">
        <f>IF(7+Materiales!$F$30&gt;8,0,INDEX($E$191:$L$191,1,7+Materiales!$F$30))</f>
        <v/>
      </c>
      <c r="L192" s="70">
        <f>IF(8+Materiales!$F$30&gt;8,0,INDEX($E$191:$L$191,1,8+Materiales!$F$30))</f>
        <v/>
      </c>
      <c r="M192" s="68">
        <f>IF($A187="","",IF(SUMPRODUCT((COLUMN($E$191:$L$191)-4&lt;=Materiales!$F$30)*$E$191:$L$191)&gt;0,"PEDIR YA (atrasado)","OK"))</f>
        <v/>
      </c>
    </row>
    <row r="193" ht="6" customHeight="1"/>
    <row r="194">
      <c r="A194" s="58">
        <f>IF(Materiales!$A$31="","",Materiales!$A$31)</f>
        <v/>
      </c>
      <c r="B194" s="58">
        <f>IF(Materiales!$B$31="","",Materiales!$B$31)</f>
        <v/>
      </c>
      <c r="C194" s="59" t="inlineStr">
        <is>
          <t>Necesidad bruta</t>
        </is>
      </c>
      <c r="D194" s="60" t="n"/>
      <c r="E194" s="61">
        <f>ROUND(SUMIF(Consumo!$O$4:$O$143,"#"&amp;$A194,Consumo!G$4:G$143),4)</f>
        <v/>
      </c>
      <c r="F194" s="61">
        <f>ROUND(SUMIF(Consumo!$O$4:$O$143,"#"&amp;$A194,Consumo!H$4:H$143),4)</f>
        <v/>
      </c>
      <c r="G194" s="61">
        <f>ROUND(SUMIF(Consumo!$O$4:$O$143,"#"&amp;$A194,Consumo!I$4:I$143),4)</f>
        <v/>
      </c>
      <c r="H194" s="61">
        <f>ROUND(SUMIF(Consumo!$O$4:$O$143,"#"&amp;$A194,Consumo!J$4:J$143),4)</f>
        <v/>
      </c>
      <c r="I194" s="61">
        <f>ROUND(SUMIF(Consumo!$O$4:$O$143,"#"&amp;$A194,Consumo!K$4:K$143),4)</f>
        <v/>
      </c>
      <c r="J194" s="61">
        <f>ROUND(SUMIF(Consumo!$O$4:$O$143,"#"&amp;$A194,Consumo!L$4:L$143),4)</f>
        <v/>
      </c>
      <c r="K194" s="61">
        <f>ROUND(SUMIF(Consumo!$O$4:$O$143,"#"&amp;$A194,Consumo!M$4:M$143),4)</f>
        <v/>
      </c>
      <c r="L194" s="61">
        <f>ROUND(SUMIF(Consumo!$O$4:$O$143,"#"&amp;$A194,Consumo!N$4:N$143),4)</f>
        <v/>
      </c>
      <c r="M194" s="62" t="n"/>
    </row>
    <row r="195">
      <c r="C195" s="59" t="inlineStr">
        <is>
          <t>Recepciones programadas (ya pedido)</t>
        </is>
      </c>
      <c r="D195" s="60" t="n"/>
      <c r="E195" s="61">
        <f>SUMIF(Inventario!$M$5:$M$87,"#"&amp;$A194,Inventario!E$5:E$87)</f>
        <v/>
      </c>
      <c r="F195" s="61">
        <f>SUMIF(Inventario!$M$5:$M$87,"#"&amp;$A194,Inventario!F$5:F$87)</f>
        <v/>
      </c>
      <c r="G195" s="61">
        <f>SUMIF(Inventario!$M$5:$M$87,"#"&amp;$A194,Inventario!G$5:G$87)</f>
        <v/>
      </c>
      <c r="H195" s="61">
        <f>SUMIF(Inventario!$M$5:$M$87,"#"&amp;$A194,Inventario!H$5:H$87)</f>
        <v/>
      </c>
      <c r="I195" s="61">
        <f>SUMIF(Inventario!$M$5:$M$87,"#"&amp;$A194,Inventario!I$5:I$87)</f>
        <v/>
      </c>
      <c r="J195" s="61">
        <f>SUMIF(Inventario!$M$5:$M$87,"#"&amp;$A194,Inventario!J$5:J$87)</f>
        <v/>
      </c>
      <c r="K195" s="61">
        <f>SUMIF(Inventario!$M$5:$M$87,"#"&amp;$A194,Inventario!K$5:K$87)</f>
        <v/>
      </c>
      <c r="L195" s="61">
        <f>SUMIF(Inventario!$M$5:$M$87,"#"&amp;$A194,Inventario!L$5:L$87)</f>
        <v/>
      </c>
      <c r="M195" s="62" t="n"/>
    </row>
    <row r="196">
      <c r="C196" s="59" t="inlineStr">
        <is>
          <t>Stock proyectado disponible</t>
        </is>
      </c>
      <c r="D196" s="63">
        <f>SUMIF(Inventario!$M$5:$M$87,"#"&amp;$A194,Inventario!$C$5:$C$87)</f>
        <v/>
      </c>
      <c r="E196" s="64">
        <f>D196+E195+E198-E194</f>
        <v/>
      </c>
      <c r="F196" s="64">
        <f>E196+F195+F198-F194</f>
        <v/>
      </c>
      <c r="G196" s="64">
        <f>F196+G195+G198-G194</f>
        <v/>
      </c>
      <c r="H196" s="64">
        <f>G196+H195+H198-H194</f>
        <v/>
      </c>
      <c r="I196" s="64">
        <f>H196+I195+I198-I194</f>
        <v/>
      </c>
      <c r="J196" s="64">
        <f>I196+J195+J198-J194</f>
        <v/>
      </c>
      <c r="K196" s="64">
        <f>J196+K195+K198-K194</f>
        <v/>
      </c>
      <c r="L196" s="64">
        <f>K196+L195+L198-L194</f>
        <v/>
      </c>
      <c r="M196" s="62" t="n"/>
    </row>
    <row r="197">
      <c r="C197" s="59" t="inlineStr">
        <is>
          <t>Necesidad neta</t>
        </is>
      </c>
      <c r="D197" s="60" t="n"/>
      <c r="E197" s="65">
        <f>MAX(0,ROUND(E194+Materiales!$H$31-D196-E195,4))</f>
        <v/>
      </c>
      <c r="F197" s="65">
        <f>MAX(0,ROUND(F194+Materiales!$H$31-E196-F195,4))</f>
        <v/>
      </c>
      <c r="G197" s="65">
        <f>MAX(0,ROUND(G194+Materiales!$H$31-F196-G195,4))</f>
        <v/>
      </c>
      <c r="H197" s="65">
        <f>MAX(0,ROUND(H194+Materiales!$H$31-G196-H195,4))</f>
        <v/>
      </c>
      <c r="I197" s="65">
        <f>MAX(0,ROUND(I194+Materiales!$H$31-H196-I195,4))</f>
        <v/>
      </c>
      <c r="J197" s="65">
        <f>MAX(0,ROUND(J194+Materiales!$H$31-I196-J195,4))</f>
        <v/>
      </c>
      <c r="K197" s="65">
        <f>MAX(0,ROUND(K194+Materiales!$H$31-J196-K195,4))</f>
        <v/>
      </c>
      <c r="L197" s="65">
        <f>MAX(0,ROUND(L194+Materiales!$H$31-K196-L195,4))</f>
        <v/>
      </c>
      <c r="M197" s="62" t="n"/>
    </row>
    <row r="198">
      <c r="C198" s="59" t="inlineStr">
        <is>
          <t>Recepcion de orden planificada</t>
        </is>
      </c>
      <c r="D198" s="60" t="n"/>
      <c r="E198" s="61">
        <f>IF(E197&lt;=0,0,IF(Materiales!$G$31&lt;=0,E197,ROUNDUP(E197/Materiales!$G$31,0)*Materiales!$G$31))</f>
        <v/>
      </c>
      <c r="F198" s="61">
        <f>IF(F197&lt;=0,0,IF(Materiales!$G$31&lt;=0,F197,ROUNDUP(F197/Materiales!$G$31,0)*Materiales!$G$31))</f>
        <v/>
      </c>
      <c r="G198" s="61">
        <f>IF(G197&lt;=0,0,IF(Materiales!$G$31&lt;=0,G197,ROUNDUP(G197/Materiales!$G$31,0)*Materiales!$G$31))</f>
        <v/>
      </c>
      <c r="H198" s="61">
        <f>IF(H197&lt;=0,0,IF(Materiales!$G$31&lt;=0,H197,ROUNDUP(H197/Materiales!$G$31,0)*Materiales!$G$31))</f>
        <v/>
      </c>
      <c r="I198" s="61">
        <f>IF(I197&lt;=0,0,IF(Materiales!$G$31&lt;=0,I197,ROUNDUP(I197/Materiales!$G$31,0)*Materiales!$G$31))</f>
        <v/>
      </c>
      <c r="J198" s="61">
        <f>IF(J197&lt;=0,0,IF(Materiales!$G$31&lt;=0,J197,ROUNDUP(J197/Materiales!$G$31,0)*Materiales!$G$31))</f>
        <v/>
      </c>
      <c r="K198" s="61">
        <f>IF(K197&lt;=0,0,IF(Materiales!$G$31&lt;=0,K197,ROUNDUP(K197/Materiales!$G$31,0)*Materiales!$G$31))</f>
        <v/>
      </c>
      <c r="L198" s="61">
        <f>IF(L197&lt;=0,0,IF(Materiales!$G$31&lt;=0,L197,ROUNDUP(L197/Materiales!$G$31,0)*Materiales!$G$31))</f>
        <v/>
      </c>
      <c r="M198" s="62" t="n"/>
    </row>
    <row r="199">
      <c r="C199" s="66" t="inlineStr">
        <is>
          <t>LANZAMIENTO DE ORDEN — pedir esta semana</t>
        </is>
      </c>
      <c r="D199" s="60" t="n"/>
      <c r="E199" s="70">
        <f>IF(1+Materiales!$F$31&gt;8,0,INDEX($E$198:$L$198,1,1+Materiales!$F$31))</f>
        <v/>
      </c>
      <c r="F199" s="70">
        <f>IF(2+Materiales!$F$31&gt;8,0,INDEX($E$198:$L$198,1,2+Materiales!$F$31))</f>
        <v/>
      </c>
      <c r="G199" s="70">
        <f>IF(3+Materiales!$F$31&gt;8,0,INDEX($E$198:$L$198,1,3+Materiales!$F$31))</f>
        <v/>
      </c>
      <c r="H199" s="70">
        <f>IF(4+Materiales!$F$31&gt;8,0,INDEX($E$198:$L$198,1,4+Materiales!$F$31))</f>
        <v/>
      </c>
      <c r="I199" s="70">
        <f>IF(5+Materiales!$F$31&gt;8,0,INDEX($E$198:$L$198,1,5+Materiales!$F$31))</f>
        <v/>
      </c>
      <c r="J199" s="70">
        <f>IF(6+Materiales!$F$31&gt;8,0,INDEX($E$198:$L$198,1,6+Materiales!$F$31))</f>
        <v/>
      </c>
      <c r="K199" s="70">
        <f>IF(7+Materiales!$F$31&gt;8,0,INDEX($E$198:$L$198,1,7+Materiales!$F$31))</f>
        <v/>
      </c>
      <c r="L199" s="70">
        <f>IF(8+Materiales!$F$31&gt;8,0,INDEX($E$198:$L$198,1,8+Materiales!$F$31))</f>
        <v/>
      </c>
      <c r="M199" s="68">
        <f>IF($A194="","",IF(SUMPRODUCT((COLUMN($E$198:$L$198)-4&lt;=Materiales!$F$31)*$E$198:$L$198)&gt;0,"PEDIR YA (atrasado)","OK"))</f>
        <v/>
      </c>
    </row>
    <row r="200" ht="6" customHeight="1"/>
    <row r="201">
      <c r="A201" s="58">
        <f>IF(Materiales!$A$32="","",Materiales!$A$32)</f>
        <v/>
      </c>
      <c r="B201" s="58">
        <f>IF(Materiales!$B$32="","",Materiales!$B$32)</f>
        <v/>
      </c>
      <c r="C201" s="59" t="inlineStr">
        <is>
          <t>Necesidad bruta</t>
        </is>
      </c>
      <c r="D201" s="60" t="n"/>
      <c r="E201" s="61">
        <f>ROUND(SUMIF(Consumo!$O$4:$O$143,"#"&amp;$A201,Consumo!G$4:G$143),4)</f>
        <v/>
      </c>
      <c r="F201" s="61">
        <f>ROUND(SUMIF(Consumo!$O$4:$O$143,"#"&amp;$A201,Consumo!H$4:H$143),4)</f>
        <v/>
      </c>
      <c r="G201" s="61">
        <f>ROUND(SUMIF(Consumo!$O$4:$O$143,"#"&amp;$A201,Consumo!I$4:I$143),4)</f>
        <v/>
      </c>
      <c r="H201" s="61">
        <f>ROUND(SUMIF(Consumo!$O$4:$O$143,"#"&amp;$A201,Consumo!J$4:J$143),4)</f>
        <v/>
      </c>
      <c r="I201" s="61">
        <f>ROUND(SUMIF(Consumo!$O$4:$O$143,"#"&amp;$A201,Consumo!K$4:K$143),4)</f>
        <v/>
      </c>
      <c r="J201" s="61">
        <f>ROUND(SUMIF(Consumo!$O$4:$O$143,"#"&amp;$A201,Consumo!L$4:L$143),4)</f>
        <v/>
      </c>
      <c r="K201" s="61">
        <f>ROUND(SUMIF(Consumo!$O$4:$O$143,"#"&amp;$A201,Consumo!M$4:M$143),4)</f>
        <v/>
      </c>
      <c r="L201" s="61">
        <f>ROUND(SUMIF(Consumo!$O$4:$O$143,"#"&amp;$A201,Consumo!N$4:N$143),4)</f>
        <v/>
      </c>
      <c r="M201" s="62" t="n"/>
    </row>
    <row r="202">
      <c r="C202" s="59" t="inlineStr">
        <is>
          <t>Recepciones programadas (ya pedido)</t>
        </is>
      </c>
      <c r="D202" s="60" t="n"/>
      <c r="E202" s="61">
        <f>SUMIF(Inventario!$M$5:$M$87,"#"&amp;$A201,Inventario!E$5:E$87)</f>
        <v/>
      </c>
      <c r="F202" s="61">
        <f>SUMIF(Inventario!$M$5:$M$87,"#"&amp;$A201,Inventario!F$5:F$87)</f>
        <v/>
      </c>
      <c r="G202" s="61">
        <f>SUMIF(Inventario!$M$5:$M$87,"#"&amp;$A201,Inventario!G$5:G$87)</f>
        <v/>
      </c>
      <c r="H202" s="61">
        <f>SUMIF(Inventario!$M$5:$M$87,"#"&amp;$A201,Inventario!H$5:H$87)</f>
        <v/>
      </c>
      <c r="I202" s="61">
        <f>SUMIF(Inventario!$M$5:$M$87,"#"&amp;$A201,Inventario!I$5:I$87)</f>
        <v/>
      </c>
      <c r="J202" s="61">
        <f>SUMIF(Inventario!$M$5:$M$87,"#"&amp;$A201,Inventario!J$5:J$87)</f>
        <v/>
      </c>
      <c r="K202" s="61">
        <f>SUMIF(Inventario!$M$5:$M$87,"#"&amp;$A201,Inventario!K$5:K$87)</f>
        <v/>
      </c>
      <c r="L202" s="61">
        <f>SUMIF(Inventario!$M$5:$M$87,"#"&amp;$A201,Inventario!L$5:L$87)</f>
        <v/>
      </c>
      <c r="M202" s="62" t="n"/>
    </row>
    <row r="203">
      <c r="C203" s="59" t="inlineStr">
        <is>
          <t>Stock proyectado disponible</t>
        </is>
      </c>
      <c r="D203" s="63">
        <f>SUMIF(Inventario!$M$5:$M$87,"#"&amp;$A201,Inventario!$C$5:$C$87)</f>
        <v/>
      </c>
      <c r="E203" s="64">
        <f>D203+E202+E205-E201</f>
        <v/>
      </c>
      <c r="F203" s="64">
        <f>E203+F202+F205-F201</f>
        <v/>
      </c>
      <c r="G203" s="64">
        <f>F203+G202+G205-G201</f>
        <v/>
      </c>
      <c r="H203" s="64">
        <f>G203+H202+H205-H201</f>
        <v/>
      </c>
      <c r="I203" s="64">
        <f>H203+I202+I205-I201</f>
        <v/>
      </c>
      <c r="J203" s="64">
        <f>I203+J202+J205-J201</f>
        <v/>
      </c>
      <c r="K203" s="64">
        <f>J203+K202+K205-K201</f>
        <v/>
      </c>
      <c r="L203" s="64">
        <f>K203+L202+L205-L201</f>
        <v/>
      </c>
      <c r="M203" s="62" t="n"/>
    </row>
    <row r="204">
      <c r="C204" s="59" t="inlineStr">
        <is>
          <t>Necesidad neta</t>
        </is>
      </c>
      <c r="D204" s="60" t="n"/>
      <c r="E204" s="65">
        <f>MAX(0,ROUND(E201+Materiales!$H$32-D203-E202,4))</f>
        <v/>
      </c>
      <c r="F204" s="65">
        <f>MAX(0,ROUND(F201+Materiales!$H$32-E203-F202,4))</f>
        <v/>
      </c>
      <c r="G204" s="65">
        <f>MAX(0,ROUND(G201+Materiales!$H$32-F203-G202,4))</f>
        <v/>
      </c>
      <c r="H204" s="65">
        <f>MAX(0,ROUND(H201+Materiales!$H$32-G203-H202,4))</f>
        <v/>
      </c>
      <c r="I204" s="65">
        <f>MAX(0,ROUND(I201+Materiales!$H$32-H203-I202,4))</f>
        <v/>
      </c>
      <c r="J204" s="65">
        <f>MAX(0,ROUND(J201+Materiales!$H$32-I203-J202,4))</f>
        <v/>
      </c>
      <c r="K204" s="65">
        <f>MAX(0,ROUND(K201+Materiales!$H$32-J203-K202,4))</f>
        <v/>
      </c>
      <c r="L204" s="65">
        <f>MAX(0,ROUND(L201+Materiales!$H$32-K203-L202,4))</f>
        <v/>
      </c>
      <c r="M204" s="62" t="n"/>
    </row>
    <row r="205">
      <c r="C205" s="59" t="inlineStr">
        <is>
          <t>Recepcion de orden planificada</t>
        </is>
      </c>
      <c r="D205" s="60" t="n"/>
      <c r="E205" s="61">
        <f>IF(E204&lt;=0,0,IF(Materiales!$G$32&lt;=0,E204,ROUNDUP(E204/Materiales!$G$32,0)*Materiales!$G$32))</f>
        <v/>
      </c>
      <c r="F205" s="61">
        <f>IF(F204&lt;=0,0,IF(Materiales!$G$32&lt;=0,F204,ROUNDUP(F204/Materiales!$G$32,0)*Materiales!$G$32))</f>
        <v/>
      </c>
      <c r="G205" s="61">
        <f>IF(G204&lt;=0,0,IF(Materiales!$G$32&lt;=0,G204,ROUNDUP(G204/Materiales!$G$32,0)*Materiales!$G$32))</f>
        <v/>
      </c>
      <c r="H205" s="61">
        <f>IF(H204&lt;=0,0,IF(Materiales!$G$32&lt;=0,H204,ROUNDUP(H204/Materiales!$G$32,0)*Materiales!$G$32))</f>
        <v/>
      </c>
      <c r="I205" s="61">
        <f>IF(I204&lt;=0,0,IF(Materiales!$G$32&lt;=0,I204,ROUNDUP(I204/Materiales!$G$32,0)*Materiales!$G$32))</f>
        <v/>
      </c>
      <c r="J205" s="61">
        <f>IF(J204&lt;=0,0,IF(Materiales!$G$32&lt;=0,J204,ROUNDUP(J204/Materiales!$G$32,0)*Materiales!$G$32))</f>
        <v/>
      </c>
      <c r="K205" s="61">
        <f>IF(K204&lt;=0,0,IF(Materiales!$G$32&lt;=0,K204,ROUNDUP(K204/Materiales!$G$32,0)*Materiales!$G$32))</f>
        <v/>
      </c>
      <c r="L205" s="61">
        <f>IF(L204&lt;=0,0,IF(Materiales!$G$32&lt;=0,L204,ROUNDUP(L204/Materiales!$G$32,0)*Materiales!$G$32))</f>
        <v/>
      </c>
      <c r="M205" s="62" t="n"/>
    </row>
    <row r="206">
      <c r="C206" s="66" t="inlineStr">
        <is>
          <t>LANZAMIENTO DE ORDEN — pedir esta semana</t>
        </is>
      </c>
      <c r="D206" s="60" t="n"/>
      <c r="E206" s="70">
        <f>IF(1+Materiales!$F$32&gt;8,0,INDEX($E$205:$L$205,1,1+Materiales!$F$32))</f>
        <v/>
      </c>
      <c r="F206" s="70">
        <f>IF(2+Materiales!$F$32&gt;8,0,INDEX($E$205:$L$205,1,2+Materiales!$F$32))</f>
        <v/>
      </c>
      <c r="G206" s="70">
        <f>IF(3+Materiales!$F$32&gt;8,0,INDEX($E$205:$L$205,1,3+Materiales!$F$32))</f>
        <v/>
      </c>
      <c r="H206" s="70">
        <f>IF(4+Materiales!$F$32&gt;8,0,INDEX($E$205:$L$205,1,4+Materiales!$F$32))</f>
        <v/>
      </c>
      <c r="I206" s="70">
        <f>IF(5+Materiales!$F$32&gt;8,0,INDEX($E$205:$L$205,1,5+Materiales!$F$32))</f>
        <v/>
      </c>
      <c r="J206" s="70">
        <f>IF(6+Materiales!$F$32&gt;8,0,INDEX($E$205:$L$205,1,6+Materiales!$F$32))</f>
        <v/>
      </c>
      <c r="K206" s="70">
        <f>IF(7+Materiales!$F$32&gt;8,0,INDEX($E$205:$L$205,1,7+Materiales!$F$32))</f>
        <v/>
      </c>
      <c r="L206" s="70">
        <f>IF(8+Materiales!$F$32&gt;8,0,INDEX($E$205:$L$205,1,8+Materiales!$F$32))</f>
        <v/>
      </c>
      <c r="M206" s="68">
        <f>IF($A201="","",IF(SUMPRODUCT((COLUMN($E$205:$L$205)-4&lt;=Materiales!$F$32)*$E$205:$L$205)&gt;0,"PEDIR YA (atrasado)","OK"))</f>
        <v/>
      </c>
    </row>
    <row r="207" ht="6" customHeight="1"/>
    <row r="208">
      <c r="A208" s="58">
        <f>IF(Materiales!$A$33="","",Materiales!$A$33)</f>
        <v/>
      </c>
      <c r="B208" s="58">
        <f>IF(Materiales!$B$33="","",Materiales!$B$33)</f>
        <v/>
      </c>
      <c r="C208" s="59" t="inlineStr">
        <is>
          <t>Necesidad bruta</t>
        </is>
      </c>
      <c r="D208" s="60" t="n"/>
      <c r="E208" s="61">
        <f>ROUND(SUMIF(Consumo!$O$4:$O$143,"#"&amp;$A208,Consumo!G$4:G$143),4)</f>
        <v/>
      </c>
      <c r="F208" s="61">
        <f>ROUND(SUMIF(Consumo!$O$4:$O$143,"#"&amp;$A208,Consumo!H$4:H$143),4)</f>
        <v/>
      </c>
      <c r="G208" s="61">
        <f>ROUND(SUMIF(Consumo!$O$4:$O$143,"#"&amp;$A208,Consumo!I$4:I$143),4)</f>
        <v/>
      </c>
      <c r="H208" s="61">
        <f>ROUND(SUMIF(Consumo!$O$4:$O$143,"#"&amp;$A208,Consumo!J$4:J$143),4)</f>
        <v/>
      </c>
      <c r="I208" s="61">
        <f>ROUND(SUMIF(Consumo!$O$4:$O$143,"#"&amp;$A208,Consumo!K$4:K$143),4)</f>
        <v/>
      </c>
      <c r="J208" s="61">
        <f>ROUND(SUMIF(Consumo!$O$4:$O$143,"#"&amp;$A208,Consumo!L$4:L$143),4)</f>
        <v/>
      </c>
      <c r="K208" s="61">
        <f>ROUND(SUMIF(Consumo!$O$4:$O$143,"#"&amp;$A208,Consumo!M$4:M$143),4)</f>
        <v/>
      </c>
      <c r="L208" s="61">
        <f>ROUND(SUMIF(Consumo!$O$4:$O$143,"#"&amp;$A208,Consumo!N$4:N$143),4)</f>
        <v/>
      </c>
      <c r="M208" s="62" t="n"/>
    </row>
    <row r="209">
      <c r="C209" s="59" t="inlineStr">
        <is>
          <t>Recepciones programadas (ya pedido)</t>
        </is>
      </c>
      <c r="D209" s="60" t="n"/>
      <c r="E209" s="61">
        <f>SUMIF(Inventario!$M$5:$M$87,"#"&amp;$A208,Inventario!E$5:E$87)</f>
        <v/>
      </c>
      <c r="F209" s="61">
        <f>SUMIF(Inventario!$M$5:$M$87,"#"&amp;$A208,Inventario!F$5:F$87)</f>
        <v/>
      </c>
      <c r="G209" s="61">
        <f>SUMIF(Inventario!$M$5:$M$87,"#"&amp;$A208,Inventario!G$5:G$87)</f>
        <v/>
      </c>
      <c r="H209" s="61">
        <f>SUMIF(Inventario!$M$5:$M$87,"#"&amp;$A208,Inventario!H$5:H$87)</f>
        <v/>
      </c>
      <c r="I209" s="61">
        <f>SUMIF(Inventario!$M$5:$M$87,"#"&amp;$A208,Inventario!I$5:I$87)</f>
        <v/>
      </c>
      <c r="J209" s="61">
        <f>SUMIF(Inventario!$M$5:$M$87,"#"&amp;$A208,Inventario!J$5:J$87)</f>
        <v/>
      </c>
      <c r="K209" s="61">
        <f>SUMIF(Inventario!$M$5:$M$87,"#"&amp;$A208,Inventario!K$5:K$87)</f>
        <v/>
      </c>
      <c r="L209" s="61">
        <f>SUMIF(Inventario!$M$5:$M$87,"#"&amp;$A208,Inventario!L$5:L$87)</f>
        <v/>
      </c>
      <c r="M209" s="62" t="n"/>
    </row>
    <row r="210">
      <c r="C210" s="59" t="inlineStr">
        <is>
          <t>Stock proyectado disponible</t>
        </is>
      </c>
      <c r="D210" s="63">
        <f>SUMIF(Inventario!$M$5:$M$87,"#"&amp;$A208,Inventario!$C$5:$C$87)</f>
        <v/>
      </c>
      <c r="E210" s="64">
        <f>D210+E209+E212-E208</f>
        <v/>
      </c>
      <c r="F210" s="64">
        <f>E210+F209+F212-F208</f>
        <v/>
      </c>
      <c r="G210" s="64">
        <f>F210+G209+G212-G208</f>
        <v/>
      </c>
      <c r="H210" s="64">
        <f>G210+H209+H212-H208</f>
        <v/>
      </c>
      <c r="I210" s="64">
        <f>H210+I209+I212-I208</f>
        <v/>
      </c>
      <c r="J210" s="64">
        <f>I210+J209+J212-J208</f>
        <v/>
      </c>
      <c r="K210" s="64">
        <f>J210+K209+K212-K208</f>
        <v/>
      </c>
      <c r="L210" s="64">
        <f>K210+L209+L212-L208</f>
        <v/>
      </c>
      <c r="M210" s="62" t="n"/>
    </row>
    <row r="211">
      <c r="C211" s="59" t="inlineStr">
        <is>
          <t>Necesidad neta</t>
        </is>
      </c>
      <c r="D211" s="60" t="n"/>
      <c r="E211" s="65">
        <f>MAX(0,ROUND(E208+Materiales!$H$33-D210-E209,4))</f>
        <v/>
      </c>
      <c r="F211" s="65">
        <f>MAX(0,ROUND(F208+Materiales!$H$33-E210-F209,4))</f>
        <v/>
      </c>
      <c r="G211" s="65">
        <f>MAX(0,ROUND(G208+Materiales!$H$33-F210-G209,4))</f>
        <v/>
      </c>
      <c r="H211" s="65">
        <f>MAX(0,ROUND(H208+Materiales!$H$33-G210-H209,4))</f>
        <v/>
      </c>
      <c r="I211" s="65">
        <f>MAX(0,ROUND(I208+Materiales!$H$33-H210-I209,4))</f>
        <v/>
      </c>
      <c r="J211" s="65">
        <f>MAX(0,ROUND(J208+Materiales!$H$33-I210-J209,4))</f>
        <v/>
      </c>
      <c r="K211" s="65">
        <f>MAX(0,ROUND(K208+Materiales!$H$33-J210-K209,4))</f>
        <v/>
      </c>
      <c r="L211" s="65">
        <f>MAX(0,ROUND(L208+Materiales!$H$33-K210-L209,4))</f>
        <v/>
      </c>
      <c r="M211" s="62" t="n"/>
    </row>
    <row r="212">
      <c r="C212" s="59" t="inlineStr">
        <is>
          <t>Recepcion de orden planificada</t>
        </is>
      </c>
      <c r="D212" s="60" t="n"/>
      <c r="E212" s="61">
        <f>IF(E211&lt;=0,0,IF(Materiales!$G$33&lt;=0,E211,ROUNDUP(E211/Materiales!$G$33,0)*Materiales!$G$33))</f>
        <v/>
      </c>
      <c r="F212" s="61">
        <f>IF(F211&lt;=0,0,IF(Materiales!$G$33&lt;=0,F211,ROUNDUP(F211/Materiales!$G$33,0)*Materiales!$G$33))</f>
        <v/>
      </c>
      <c r="G212" s="61">
        <f>IF(G211&lt;=0,0,IF(Materiales!$G$33&lt;=0,G211,ROUNDUP(G211/Materiales!$G$33,0)*Materiales!$G$33))</f>
        <v/>
      </c>
      <c r="H212" s="61">
        <f>IF(H211&lt;=0,0,IF(Materiales!$G$33&lt;=0,H211,ROUNDUP(H211/Materiales!$G$33,0)*Materiales!$G$33))</f>
        <v/>
      </c>
      <c r="I212" s="61">
        <f>IF(I211&lt;=0,0,IF(Materiales!$G$33&lt;=0,I211,ROUNDUP(I211/Materiales!$G$33,0)*Materiales!$G$33))</f>
        <v/>
      </c>
      <c r="J212" s="61">
        <f>IF(J211&lt;=0,0,IF(Materiales!$G$33&lt;=0,J211,ROUNDUP(J211/Materiales!$G$33,0)*Materiales!$G$33))</f>
        <v/>
      </c>
      <c r="K212" s="61">
        <f>IF(K211&lt;=0,0,IF(Materiales!$G$33&lt;=0,K211,ROUNDUP(K211/Materiales!$G$33,0)*Materiales!$G$33))</f>
        <v/>
      </c>
      <c r="L212" s="61">
        <f>IF(L211&lt;=0,0,IF(Materiales!$G$33&lt;=0,L211,ROUNDUP(L211/Materiales!$G$33,0)*Materiales!$G$33))</f>
        <v/>
      </c>
      <c r="M212" s="62" t="n"/>
    </row>
    <row r="213">
      <c r="C213" s="66" t="inlineStr">
        <is>
          <t>LANZAMIENTO DE ORDEN — pedir esta semana</t>
        </is>
      </c>
      <c r="D213" s="60" t="n"/>
      <c r="E213" s="70">
        <f>IF(1+Materiales!$F$33&gt;8,0,INDEX($E$212:$L$212,1,1+Materiales!$F$33))</f>
        <v/>
      </c>
      <c r="F213" s="70">
        <f>IF(2+Materiales!$F$33&gt;8,0,INDEX($E$212:$L$212,1,2+Materiales!$F$33))</f>
        <v/>
      </c>
      <c r="G213" s="70">
        <f>IF(3+Materiales!$F$33&gt;8,0,INDEX($E$212:$L$212,1,3+Materiales!$F$33))</f>
        <v/>
      </c>
      <c r="H213" s="70">
        <f>IF(4+Materiales!$F$33&gt;8,0,INDEX($E$212:$L$212,1,4+Materiales!$F$33))</f>
        <v/>
      </c>
      <c r="I213" s="70">
        <f>IF(5+Materiales!$F$33&gt;8,0,INDEX($E$212:$L$212,1,5+Materiales!$F$33))</f>
        <v/>
      </c>
      <c r="J213" s="70">
        <f>IF(6+Materiales!$F$33&gt;8,0,INDEX($E$212:$L$212,1,6+Materiales!$F$33))</f>
        <v/>
      </c>
      <c r="K213" s="70">
        <f>IF(7+Materiales!$F$33&gt;8,0,INDEX($E$212:$L$212,1,7+Materiales!$F$33))</f>
        <v/>
      </c>
      <c r="L213" s="70">
        <f>IF(8+Materiales!$F$33&gt;8,0,INDEX($E$212:$L$212,1,8+Materiales!$F$33))</f>
        <v/>
      </c>
      <c r="M213" s="68">
        <f>IF($A208="","",IF(SUMPRODUCT((COLUMN($E$212:$L$212)-4&lt;=Materiales!$F$33)*$E$212:$L$212)&gt;0,"PEDIR YA (atrasado)","OK"))</f>
        <v/>
      </c>
    </row>
    <row r="214" ht="6" customHeight="1"/>
    <row r="215">
      <c r="A215" s="58">
        <f>IF(Materiales!$A$34="","",Materiales!$A$34)</f>
        <v/>
      </c>
      <c r="B215" s="58">
        <f>IF(Materiales!$B$34="","",Materiales!$B$34)</f>
        <v/>
      </c>
      <c r="C215" s="59" t="inlineStr">
        <is>
          <t>Necesidad bruta</t>
        </is>
      </c>
      <c r="D215" s="60" t="n"/>
      <c r="E215" s="61">
        <f>ROUND(SUMIF(Consumo!$O$4:$O$143,"#"&amp;$A215,Consumo!G$4:G$143),4)</f>
        <v/>
      </c>
      <c r="F215" s="61">
        <f>ROUND(SUMIF(Consumo!$O$4:$O$143,"#"&amp;$A215,Consumo!H$4:H$143),4)</f>
        <v/>
      </c>
      <c r="G215" s="61">
        <f>ROUND(SUMIF(Consumo!$O$4:$O$143,"#"&amp;$A215,Consumo!I$4:I$143),4)</f>
        <v/>
      </c>
      <c r="H215" s="61">
        <f>ROUND(SUMIF(Consumo!$O$4:$O$143,"#"&amp;$A215,Consumo!J$4:J$143),4)</f>
        <v/>
      </c>
      <c r="I215" s="61">
        <f>ROUND(SUMIF(Consumo!$O$4:$O$143,"#"&amp;$A215,Consumo!K$4:K$143),4)</f>
        <v/>
      </c>
      <c r="J215" s="61">
        <f>ROUND(SUMIF(Consumo!$O$4:$O$143,"#"&amp;$A215,Consumo!L$4:L$143),4)</f>
        <v/>
      </c>
      <c r="K215" s="61">
        <f>ROUND(SUMIF(Consumo!$O$4:$O$143,"#"&amp;$A215,Consumo!M$4:M$143),4)</f>
        <v/>
      </c>
      <c r="L215" s="61">
        <f>ROUND(SUMIF(Consumo!$O$4:$O$143,"#"&amp;$A215,Consumo!N$4:N$143),4)</f>
        <v/>
      </c>
      <c r="M215" s="62" t="n"/>
    </row>
    <row r="216">
      <c r="C216" s="59" t="inlineStr">
        <is>
          <t>Recepciones programadas (ya pedido)</t>
        </is>
      </c>
      <c r="D216" s="60" t="n"/>
      <c r="E216" s="61">
        <f>SUMIF(Inventario!$M$5:$M$87,"#"&amp;$A215,Inventario!E$5:E$87)</f>
        <v/>
      </c>
      <c r="F216" s="61">
        <f>SUMIF(Inventario!$M$5:$M$87,"#"&amp;$A215,Inventario!F$5:F$87)</f>
        <v/>
      </c>
      <c r="G216" s="61">
        <f>SUMIF(Inventario!$M$5:$M$87,"#"&amp;$A215,Inventario!G$5:G$87)</f>
        <v/>
      </c>
      <c r="H216" s="61">
        <f>SUMIF(Inventario!$M$5:$M$87,"#"&amp;$A215,Inventario!H$5:H$87)</f>
        <v/>
      </c>
      <c r="I216" s="61">
        <f>SUMIF(Inventario!$M$5:$M$87,"#"&amp;$A215,Inventario!I$5:I$87)</f>
        <v/>
      </c>
      <c r="J216" s="61">
        <f>SUMIF(Inventario!$M$5:$M$87,"#"&amp;$A215,Inventario!J$5:J$87)</f>
        <v/>
      </c>
      <c r="K216" s="61">
        <f>SUMIF(Inventario!$M$5:$M$87,"#"&amp;$A215,Inventario!K$5:K$87)</f>
        <v/>
      </c>
      <c r="L216" s="61">
        <f>SUMIF(Inventario!$M$5:$M$87,"#"&amp;$A215,Inventario!L$5:L$87)</f>
        <v/>
      </c>
      <c r="M216" s="62" t="n"/>
    </row>
    <row r="217">
      <c r="C217" s="59" t="inlineStr">
        <is>
          <t>Stock proyectado disponible</t>
        </is>
      </c>
      <c r="D217" s="63">
        <f>SUMIF(Inventario!$M$5:$M$87,"#"&amp;$A215,Inventario!$C$5:$C$87)</f>
        <v/>
      </c>
      <c r="E217" s="64">
        <f>D217+E216+E219-E215</f>
        <v/>
      </c>
      <c r="F217" s="64">
        <f>E217+F216+F219-F215</f>
        <v/>
      </c>
      <c r="G217" s="64">
        <f>F217+G216+G219-G215</f>
        <v/>
      </c>
      <c r="H217" s="64">
        <f>G217+H216+H219-H215</f>
        <v/>
      </c>
      <c r="I217" s="64">
        <f>H217+I216+I219-I215</f>
        <v/>
      </c>
      <c r="J217" s="64">
        <f>I217+J216+J219-J215</f>
        <v/>
      </c>
      <c r="K217" s="64">
        <f>J217+K216+K219-K215</f>
        <v/>
      </c>
      <c r="L217" s="64">
        <f>K217+L216+L219-L215</f>
        <v/>
      </c>
      <c r="M217" s="62" t="n"/>
    </row>
    <row r="218">
      <c r="C218" s="59" t="inlineStr">
        <is>
          <t>Necesidad neta</t>
        </is>
      </c>
      <c r="D218" s="60" t="n"/>
      <c r="E218" s="65">
        <f>MAX(0,ROUND(E215+Materiales!$H$34-D217-E216,4))</f>
        <v/>
      </c>
      <c r="F218" s="65">
        <f>MAX(0,ROUND(F215+Materiales!$H$34-E217-F216,4))</f>
        <v/>
      </c>
      <c r="G218" s="65">
        <f>MAX(0,ROUND(G215+Materiales!$H$34-F217-G216,4))</f>
        <v/>
      </c>
      <c r="H218" s="65">
        <f>MAX(0,ROUND(H215+Materiales!$H$34-G217-H216,4))</f>
        <v/>
      </c>
      <c r="I218" s="65">
        <f>MAX(0,ROUND(I215+Materiales!$H$34-H217-I216,4))</f>
        <v/>
      </c>
      <c r="J218" s="65">
        <f>MAX(0,ROUND(J215+Materiales!$H$34-I217-J216,4))</f>
        <v/>
      </c>
      <c r="K218" s="65">
        <f>MAX(0,ROUND(K215+Materiales!$H$34-J217-K216,4))</f>
        <v/>
      </c>
      <c r="L218" s="65">
        <f>MAX(0,ROUND(L215+Materiales!$H$34-K217-L216,4))</f>
        <v/>
      </c>
      <c r="M218" s="62" t="n"/>
    </row>
    <row r="219">
      <c r="C219" s="59" t="inlineStr">
        <is>
          <t>Recepcion de orden planificada</t>
        </is>
      </c>
      <c r="D219" s="60" t="n"/>
      <c r="E219" s="61">
        <f>IF(E218&lt;=0,0,IF(Materiales!$G$34&lt;=0,E218,ROUNDUP(E218/Materiales!$G$34,0)*Materiales!$G$34))</f>
        <v/>
      </c>
      <c r="F219" s="61">
        <f>IF(F218&lt;=0,0,IF(Materiales!$G$34&lt;=0,F218,ROUNDUP(F218/Materiales!$G$34,0)*Materiales!$G$34))</f>
        <v/>
      </c>
      <c r="G219" s="61">
        <f>IF(G218&lt;=0,0,IF(Materiales!$G$34&lt;=0,G218,ROUNDUP(G218/Materiales!$G$34,0)*Materiales!$G$34))</f>
        <v/>
      </c>
      <c r="H219" s="61">
        <f>IF(H218&lt;=0,0,IF(Materiales!$G$34&lt;=0,H218,ROUNDUP(H218/Materiales!$G$34,0)*Materiales!$G$34))</f>
        <v/>
      </c>
      <c r="I219" s="61">
        <f>IF(I218&lt;=0,0,IF(Materiales!$G$34&lt;=0,I218,ROUNDUP(I218/Materiales!$G$34,0)*Materiales!$G$34))</f>
        <v/>
      </c>
      <c r="J219" s="61">
        <f>IF(J218&lt;=0,0,IF(Materiales!$G$34&lt;=0,J218,ROUNDUP(J218/Materiales!$G$34,0)*Materiales!$G$34))</f>
        <v/>
      </c>
      <c r="K219" s="61">
        <f>IF(K218&lt;=0,0,IF(Materiales!$G$34&lt;=0,K218,ROUNDUP(K218/Materiales!$G$34,0)*Materiales!$G$34))</f>
        <v/>
      </c>
      <c r="L219" s="61">
        <f>IF(L218&lt;=0,0,IF(Materiales!$G$34&lt;=0,L218,ROUNDUP(L218/Materiales!$G$34,0)*Materiales!$G$34))</f>
        <v/>
      </c>
      <c r="M219" s="62" t="n"/>
    </row>
    <row r="220">
      <c r="C220" s="66" t="inlineStr">
        <is>
          <t>LANZAMIENTO DE ORDEN — pedir esta semana</t>
        </is>
      </c>
      <c r="D220" s="60" t="n"/>
      <c r="E220" s="70">
        <f>IF(1+Materiales!$F$34&gt;8,0,INDEX($E$219:$L$219,1,1+Materiales!$F$34))</f>
        <v/>
      </c>
      <c r="F220" s="70">
        <f>IF(2+Materiales!$F$34&gt;8,0,INDEX($E$219:$L$219,1,2+Materiales!$F$34))</f>
        <v/>
      </c>
      <c r="G220" s="70">
        <f>IF(3+Materiales!$F$34&gt;8,0,INDEX($E$219:$L$219,1,3+Materiales!$F$34))</f>
        <v/>
      </c>
      <c r="H220" s="70">
        <f>IF(4+Materiales!$F$34&gt;8,0,INDEX($E$219:$L$219,1,4+Materiales!$F$34))</f>
        <v/>
      </c>
      <c r="I220" s="70">
        <f>IF(5+Materiales!$F$34&gt;8,0,INDEX($E$219:$L$219,1,5+Materiales!$F$34))</f>
        <v/>
      </c>
      <c r="J220" s="70">
        <f>IF(6+Materiales!$F$34&gt;8,0,INDEX($E$219:$L$219,1,6+Materiales!$F$34))</f>
        <v/>
      </c>
      <c r="K220" s="70">
        <f>IF(7+Materiales!$F$34&gt;8,0,INDEX($E$219:$L$219,1,7+Materiales!$F$34))</f>
        <v/>
      </c>
      <c r="L220" s="70">
        <f>IF(8+Materiales!$F$34&gt;8,0,INDEX($E$219:$L$219,1,8+Materiales!$F$34))</f>
        <v/>
      </c>
      <c r="M220" s="68">
        <f>IF($A215="","",IF(SUMPRODUCT((COLUMN($E$219:$L$219)-4&lt;=Materiales!$F$34)*$E$219:$L$219)&gt;0,"PEDIR YA (atrasado)","OK"))</f>
        <v/>
      </c>
    </row>
    <row r="221" ht="6" customHeight="1"/>
    <row r="222">
      <c r="A222" s="58">
        <f>IF(Materiales!$A$35="","",Materiales!$A$35)</f>
        <v/>
      </c>
      <c r="B222" s="58">
        <f>IF(Materiales!$B$35="","",Materiales!$B$35)</f>
        <v/>
      </c>
      <c r="C222" s="59" t="inlineStr">
        <is>
          <t>Necesidad bruta</t>
        </is>
      </c>
      <c r="D222" s="60" t="n"/>
      <c r="E222" s="61">
        <f>ROUND(SUMIF(Consumo!$O$4:$O$143,"#"&amp;$A222,Consumo!G$4:G$143),4)</f>
        <v/>
      </c>
      <c r="F222" s="61">
        <f>ROUND(SUMIF(Consumo!$O$4:$O$143,"#"&amp;$A222,Consumo!H$4:H$143),4)</f>
        <v/>
      </c>
      <c r="G222" s="61">
        <f>ROUND(SUMIF(Consumo!$O$4:$O$143,"#"&amp;$A222,Consumo!I$4:I$143),4)</f>
        <v/>
      </c>
      <c r="H222" s="61">
        <f>ROUND(SUMIF(Consumo!$O$4:$O$143,"#"&amp;$A222,Consumo!J$4:J$143),4)</f>
        <v/>
      </c>
      <c r="I222" s="61">
        <f>ROUND(SUMIF(Consumo!$O$4:$O$143,"#"&amp;$A222,Consumo!K$4:K$143),4)</f>
        <v/>
      </c>
      <c r="J222" s="61">
        <f>ROUND(SUMIF(Consumo!$O$4:$O$143,"#"&amp;$A222,Consumo!L$4:L$143),4)</f>
        <v/>
      </c>
      <c r="K222" s="61">
        <f>ROUND(SUMIF(Consumo!$O$4:$O$143,"#"&amp;$A222,Consumo!M$4:M$143),4)</f>
        <v/>
      </c>
      <c r="L222" s="61">
        <f>ROUND(SUMIF(Consumo!$O$4:$O$143,"#"&amp;$A222,Consumo!N$4:N$143),4)</f>
        <v/>
      </c>
      <c r="M222" s="62" t="n"/>
    </row>
    <row r="223">
      <c r="C223" s="59" t="inlineStr">
        <is>
          <t>Recepciones programadas (ya pedido)</t>
        </is>
      </c>
      <c r="D223" s="60" t="n"/>
      <c r="E223" s="61">
        <f>SUMIF(Inventario!$M$5:$M$87,"#"&amp;$A222,Inventario!E$5:E$87)</f>
        <v/>
      </c>
      <c r="F223" s="61">
        <f>SUMIF(Inventario!$M$5:$M$87,"#"&amp;$A222,Inventario!F$5:F$87)</f>
        <v/>
      </c>
      <c r="G223" s="61">
        <f>SUMIF(Inventario!$M$5:$M$87,"#"&amp;$A222,Inventario!G$5:G$87)</f>
        <v/>
      </c>
      <c r="H223" s="61">
        <f>SUMIF(Inventario!$M$5:$M$87,"#"&amp;$A222,Inventario!H$5:H$87)</f>
        <v/>
      </c>
      <c r="I223" s="61">
        <f>SUMIF(Inventario!$M$5:$M$87,"#"&amp;$A222,Inventario!I$5:I$87)</f>
        <v/>
      </c>
      <c r="J223" s="61">
        <f>SUMIF(Inventario!$M$5:$M$87,"#"&amp;$A222,Inventario!J$5:J$87)</f>
        <v/>
      </c>
      <c r="K223" s="61">
        <f>SUMIF(Inventario!$M$5:$M$87,"#"&amp;$A222,Inventario!K$5:K$87)</f>
        <v/>
      </c>
      <c r="L223" s="61">
        <f>SUMIF(Inventario!$M$5:$M$87,"#"&amp;$A222,Inventario!L$5:L$87)</f>
        <v/>
      </c>
      <c r="M223" s="62" t="n"/>
    </row>
    <row r="224">
      <c r="C224" s="59" t="inlineStr">
        <is>
          <t>Stock proyectado disponible</t>
        </is>
      </c>
      <c r="D224" s="63">
        <f>SUMIF(Inventario!$M$5:$M$87,"#"&amp;$A222,Inventario!$C$5:$C$87)</f>
        <v/>
      </c>
      <c r="E224" s="64">
        <f>D224+E223+E226-E222</f>
        <v/>
      </c>
      <c r="F224" s="64">
        <f>E224+F223+F226-F222</f>
        <v/>
      </c>
      <c r="G224" s="64">
        <f>F224+G223+G226-G222</f>
        <v/>
      </c>
      <c r="H224" s="64">
        <f>G224+H223+H226-H222</f>
        <v/>
      </c>
      <c r="I224" s="64">
        <f>H224+I223+I226-I222</f>
        <v/>
      </c>
      <c r="J224" s="64">
        <f>I224+J223+J226-J222</f>
        <v/>
      </c>
      <c r="K224" s="64">
        <f>J224+K223+K226-K222</f>
        <v/>
      </c>
      <c r="L224" s="64">
        <f>K224+L223+L226-L222</f>
        <v/>
      </c>
      <c r="M224" s="62" t="n"/>
    </row>
    <row r="225">
      <c r="C225" s="59" t="inlineStr">
        <is>
          <t>Necesidad neta</t>
        </is>
      </c>
      <c r="D225" s="60" t="n"/>
      <c r="E225" s="65">
        <f>MAX(0,ROUND(E222+Materiales!$H$35-D224-E223,4))</f>
        <v/>
      </c>
      <c r="F225" s="65">
        <f>MAX(0,ROUND(F222+Materiales!$H$35-E224-F223,4))</f>
        <v/>
      </c>
      <c r="G225" s="65">
        <f>MAX(0,ROUND(G222+Materiales!$H$35-F224-G223,4))</f>
        <v/>
      </c>
      <c r="H225" s="65">
        <f>MAX(0,ROUND(H222+Materiales!$H$35-G224-H223,4))</f>
        <v/>
      </c>
      <c r="I225" s="65">
        <f>MAX(0,ROUND(I222+Materiales!$H$35-H224-I223,4))</f>
        <v/>
      </c>
      <c r="J225" s="65">
        <f>MAX(0,ROUND(J222+Materiales!$H$35-I224-J223,4))</f>
        <v/>
      </c>
      <c r="K225" s="65">
        <f>MAX(0,ROUND(K222+Materiales!$H$35-J224-K223,4))</f>
        <v/>
      </c>
      <c r="L225" s="65">
        <f>MAX(0,ROUND(L222+Materiales!$H$35-K224-L223,4))</f>
        <v/>
      </c>
      <c r="M225" s="62" t="n"/>
    </row>
    <row r="226">
      <c r="C226" s="59" t="inlineStr">
        <is>
          <t>Recepcion de orden planificada</t>
        </is>
      </c>
      <c r="D226" s="60" t="n"/>
      <c r="E226" s="61">
        <f>IF(E225&lt;=0,0,IF(Materiales!$G$35&lt;=0,E225,ROUNDUP(E225/Materiales!$G$35,0)*Materiales!$G$35))</f>
        <v/>
      </c>
      <c r="F226" s="61">
        <f>IF(F225&lt;=0,0,IF(Materiales!$G$35&lt;=0,F225,ROUNDUP(F225/Materiales!$G$35,0)*Materiales!$G$35))</f>
        <v/>
      </c>
      <c r="G226" s="61">
        <f>IF(G225&lt;=0,0,IF(Materiales!$G$35&lt;=0,G225,ROUNDUP(G225/Materiales!$G$35,0)*Materiales!$G$35))</f>
        <v/>
      </c>
      <c r="H226" s="61">
        <f>IF(H225&lt;=0,0,IF(Materiales!$G$35&lt;=0,H225,ROUNDUP(H225/Materiales!$G$35,0)*Materiales!$G$35))</f>
        <v/>
      </c>
      <c r="I226" s="61">
        <f>IF(I225&lt;=0,0,IF(Materiales!$G$35&lt;=0,I225,ROUNDUP(I225/Materiales!$G$35,0)*Materiales!$G$35))</f>
        <v/>
      </c>
      <c r="J226" s="61">
        <f>IF(J225&lt;=0,0,IF(Materiales!$G$35&lt;=0,J225,ROUNDUP(J225/Materiales!$G$35,0)*Materiales!$G$35))</f>
        <v/>
      </c>
      <c r="K226" s="61">
        <f>IF(K225&lt;=0,0,IF(Materiales!$G$35&lt;=0,K225,ROUNDUP(K225/Materiales!$G$35,0)*Materiales!$G$35))</f>
        <v/>
      </c>
      <c r="L226" s="61">
        <f>IF(L225&lt;=0,0,IF(Materiales!$G$35&lt;=0,L225,ROUNDUP(L225/Materiales!$G$35,0)*Materiales!$G$35))</f>
        <v/>
      </c>
      <c r="M226" s="62" t="n"/>
    </row>
    <row r="227">
      <c r="C227" s="66" t="inlineStr">
        <is>
          <t>LANZAMIENTO DE ORDEN — pedir esta semana</t>
        </is>
      </c>
      <c r="D227" s="60" t="n"/>
      <c r="E227" s="70">
        <f>IF(1+Materiales!$F$35&gt;8,0,INDEX($E$226:$L$226,1,1+Materiales!$F$35))</f>
        <v/>
      </c>
      <c r="F227" s="70">
        <f>IF(2+Materiales!$F$35&gt;8,0,INDEX($E$226:$L$226,1,2+Materiales!$F$35))</f>
        <v/>
      </c>
      <c r="G227" s="70">
        <f>IF(3+Materiales!$F$35&gt;8,0,INDEX($E$226:$L$226,1,3+Materiales!$F$35))</f>
        <v/>
      </c>
      <c r="H227" s="70">
        <f>IF(4+Materiales!$F$35&gt;8,0,INDEX($E$226:$L$226,1,4+Materiales!$F$35))</f>
        <v/>
      </c>
      <c r="I227" s="70">
        <f>IF(5+Materiales!$F$35&gt;8,0,INDEX($E$226:$L$226,1,5+Materiales!$F$35))</f>
        <v/>
      </c>
      <c r="J227" s="70">
        <f>IF(6+Materiales!$F$35&gt;8,0,INDEX($E$226:$L$226,1,6+Materiales!$F$35))</f>
        <v/>
      </c>
      <c r="K227" s="70">
        <f>IF(7+Materiales!$F$35&gt;8,0,INDEX($E$226:$L$226,1,7+Materiales!$F$35))</f>
        <v/>
      </c>
      <c r="L227" s="70">
        <f>IF(8+Materiales!$F$35&gt;8,0,INDEX($E$226:$L$226,1,8+Materiales!$F$35))</f>
        <v/>
      </c>
      <c r="M227" s="68">
        <f>IF($A222="","",IF(SUMPRODUCT((COLUMN($E$226:$L$226)-4&lt;=Materiales!$F$35)*$E$226:$L$226)&gt;0,"PEDIR YA (atrasado)","OK"))</f>
        <v/>
      </c>
    </row>
    <row r="228" ht="6" customHeight="1"/>
    <row r="229">
      <c r="A229" s="58">
        <f>IF(Materiales!$A$36="","",Materiales!$A$36)</f>
        <v/>
      </c>
      <c r="B229" s="58">
        <f>IF(Materiales!$B$36="","",Materiales!$B$36)</f>
        <v/>
      </c>
      <c r="C229" s="59" t="inlineStr">
        <is>
          <t>Necesidad bruta</t>
        </is>
      </c>
      <c r="D229" s="60" t="n"/>
      <c r="E229" s="61">
        <f>ROUND(SUMIF(Consumo!$O$4:$O$143,"#"&amp;$A229,Consumo!G$4:G$143),4)</f>
        <v/>
      </c>
      <c r="F229" s="61">
        <f>ROUND(SUMIF(Consumo!$O$4:$O$143,"#"&amp;$A229,Consumo!H$4:H$143),4)</f>
        <v/>
      </c>
      <c r="G229" s="61">
        <f>ROUND(SUMIF(Consumo!$O$4:$O$143,"#"&amp;$A229,Consumo!I$4:I$143),4)</f>
        <v/>
      </c>
      <c r="H229" s="61">
        <f>ROUND(SUMIF(Consumo!$O$4:$O$143,"#"&amp;$A229,Consumo!J$4:J$143),4)</f>
        <v/>
      </c>
      <c r="I229" s="61">
        <f>ROUND(SUMIF(Consumo!$O$4:$O$143,"#"&amp;$A229,Consumo!K$4:K$143),4)</f>
        <v/>
      </c>
      <c r="J229" s="61">
        <f>ROUND(SUMIF(Consumo!$O$4:$O$143,"#"&amp;$A229,Consumo!L$4:L$143),4)</f>
        <v/>
      </c>
      <c r="K229" s="61">
        <f>ROUND(SUMIF(Consumo!$O$4:$O$143,"#"&amp;$A229,Consumo!M$4:M$143),4)</f>
        <v/>
      </c>
      <c r="L229" s="61">
        <f>ROUND(SUMIF(Consumo!$O$4:$O$143,"#"&amp;$A229,Consumo!N$4:N$143),4)</f>
        <v/>
      </c>
      <c r="M229" s="62" t="n"/>
    </row>
    <row r="230">
      <c r="C230" s="59" t="inlineStr">
        <is>
          <t>Recepciones programadas (ya pedido)</t>
        </is>
      </c>
      <c r="D230" s="60" t="n"/>
      <c r="E230" s="61">
        <f>SUMIF(Inventario!$M$5:$M$87,"#"&amp;$A229,Inventario!E$5:E$87)</f>
        <v/>
      </c>
      <c r="F230" s="61">
        <f>SUMIF(Inventario!$M$5:$M$87,"#"&amp;$A229,Inventario!F$5:F$87)</f>
        <v/>
      </c>
      <c r="G230" s="61">
        <f>SUMIF(Inventario!$M$5:$M$87,"#"&amp;$A229,Inventario!G$5:G$87)</f>
        <v/>
      </c>
      <c r="H230" s="61">
        <f>SUMIF(Inventario!$M$5:$M$87,"#"&amp;$A229,Inventario!H$5:H$87)</f>
        <v/>
      </c>
      <c r="I230" s="61">
        <f>SUMIF(Inventario!$M$5:$M$87,"#"&amp;$A229,Inventario!I$5:I$87)</f>
        <v/>
      </c>
      <c r="J230" s="61">
        <f>SUMIF(Inventario!$M$5:$M$87,"#"&amp;$A229,Inventario!J$5:J$87)</f>
        <v/>
      </c>
      <c r="K230" s="61">
        <f>SUMIF(Inventario!$M$5:$M$87,"#"&amp;$A229,Inventario!K$5:K$87)</f>
        <v/>
      </c>
      <c r="L230" s="61">
        <f>SUMIF(Inventario!$M$5:$M$87,"#"&amp;$A229,Inventario!L$5:L$87)</f>
        <v/>
      </c>
      <c r="M230" s="62" t="n"/>
    </row>
    <row r="231">
      <c r="C231" s="59" t="inlineStr">
        <is>
          <t>Stock proyectado disponible</t>
        </is>
      </c>
      <c r="D231" s="63">
        <f>SUMIF(Inventario!$M$5:$M$87,"#"&amp;$A229,Inventario!$C$5:$C$87)</f>
        <v/>
      </c>
      <c r="E231" s="64">
        <f>D231+E230+E233-E229</f>
        <v/>
      </c>
      <c r="F231" s="64">
        <f>E231+F230+F233-F229</f>
        <v/>
      </c>
      <c r="G231" s="64">
        <f>F231+G230+G233-G229</f>
        <v/>
      </c>
      <c r="H231" s="64">
        <f>G231+H230+H233-H229</f>
        <v/>
      </c>
      <c r="I231" s="64">
        <f>H231+I230+I233-I229</f>
        <v/>
      </c>
      <c r="J231" s="64">
        <f>I231+J230+J233-J229</f>
        <v/>
      </c>
      <c r="K231" s="64">
        <f>J231+K230+K233-K229</f>
        <v/>
      </c>
      <c r="L231" s="64">
        <f>K231+L230+L233-L229</f>
        <v/>
      </c>
      <c r="M231" s="62" t="n"/>
    </row>
    <row r="232">
      <c r="C232" s="59" t="inlineStr">
        <is>
          <t>Necesidad neta</t>
        </is>
      </c>
      <c r="D232" s="60" t="n"/>
      <c r="E232" s="65">
        <f>MAX(0,ROUND(E229+Materiales!$H$36-D231-E230,4))</f>
        <v/>
      </c>
      <c r="F232" s="65">
        <f>MAX(0,ROUND(F229+Materiales!$H$36-E231-F230,4))</f>
        <v/>
      </c>
      <c r="G232" s="65">
        <f>MAX(0,ROUND(G229+Materiales!$H$36-F231-G230,4))</f>
        <v/>
      </c>
      <c r="H232" s="65">
        <f>MAX(0,ROUND(H229+Materiales!$H$36-G231-H230,4))</f>
        <v/>
      </c>
      <c r="I232" s="65">
        <f>MAX(0,ROUND(I229+Materiales!$H$36-H231-I230,4))</f>
        <v/>
      </c>
      <c r="J232" s="65">
        <f>MAX(0,ROUND(J229+Materiales!$H$36-I231-J230,4))</f>
        <v/>
      </c>
      <c r="K232" s="65">
        <f>MAX(0,ROUND(K229+Materiales!$H$36-J231-K230,4))</f>
        <v/>
      </c>
      <c r="L232" s="65">
        <f>MAX(0,ROUND(L229+Materiales!$H$36-K231-L230,4))</f>
        <v/>
      </c>
      <c r="M232" s="62" t="n"/>
    </row>
    <row r="233">
      <c r="C233" s="59" t="inlineStr">
        <is>
          <t>Recepcion de orden planificada</t>
        </is>
      </c>
      <c r="D233" s="60" t="n"/>
      <c r="E233" s="61">
        <f>IF(E232&lt;=0,0,IF(Materiales!$G$36&lt;=0,E232,ROUNDUP(E232/Materiales!$G$36,0)*Materiales!$G$36))</f>
        <v/>
      </c>
      <c r="F233" s="61">
        <f>IF(F232&lt;=0,0,IF(Materiales!$G$36&lt;=0,F232,ROUNDUP(F232/Materiales!$G$36,0)*Materiales!$G$36))</f>
        <v/>
      </c>
      <c r="G233" s="61">
        <f>IF(G232&lt;=0,0,IF(Materiales!$G$36&lt;=0,G232,ROUNDUP(G232/Materiales!$G$36,0)*Materiales!$G$36))</f>
        <v/>
      </c>
      <c r="H233" s="61">
        <f>IF(H232&lt;=0,0,IF(Materiales!$G$36&lt;=0,H232,ROUNDUP(H232/Materiales!$G$36,0)*Materiales!$G$36))</f>
        <v/>
      </c>
      <c r="I233" s="61">
        <f>IF(I232&lt;=0,0,IF(Materiales!$G$36&lt;=0,I232,ROUNDUP(I232/Materiales!$G$36,0)*Materiales!$G$36))</f>
        <v/>
      </c>
      <c r="J233" s="61">
        <f>IF(J232&lt;=0,0,IF(Materiales!$G$36&lt;=0,J232,ROUNDUP(J232/Materiales!$G$36,0)*Materiales!$G$36))</f>
        <v/>
      </c>
      <c r="K233" s="61">
        <f>IF(K232&lt;=0,0,IF(Materiales!$G$36&lt;=0,K232,ROUNDUP(K232/Materiales!$G$36,0)*Materiales!$G$36))</f>
        <v/>
      </c>
      <c r="L233" s="61">
        <f>IF(L232&lt;=0,0,IF(Materiales!$G$36&lt;=0,L232,ROUNDUP(L232/Materiales!$G$36,0)*Materiales!$G$36))</f>
        <v/>
      </c>
      <c r="M233" s="62" t="n"/>
    </row>
    <row r="234">
      <c r="C234" s="66" t="inlineStr">
        <is>
          <t>LANZAMIENTO DE ORDEN — pedir esta semana</t>
        </is>
      </c>
      <c r="D234" s="60" t="n"/>
      <c r="E234" s="70">
        <f>IF(1+Materiales!$F$36&gt;8,0,INDEX($E$233:$L$233,1,1+Materiales!$F$36))</f>
        <v/>
      </c>
      <c r="F234" s="70">
        <f>IF(2+Materiales!$F$36&gt;8,0,INDEX($E$233:$L$233,1,2+Materiales!$F$36))</f>
        <v/>
      </c>
      <c r="G234" s="70">
        <f>IF(3+Materiales!$F$36&gt;8,0,INDEX($E$233:$L$233,1,3+Materiales!$F$36))</f>
        <v/>
      </c>
      <c r="H234" s="70">
        <f>IF(4+Materiales!$F$36&gt;8,0,INDEX($E$233:$L$233,1,4+Materiales!$F$36))</f>
        <v/>
      </c>
      <c r="I234" s="70">
        <f>IF(5+Materiales!$F$36&gt;8,0,INDEX($E$233:$L$233,1,5+Materiales!$F$36))</f>
        <v/>
      </c>
      <c r="J234" s="70">
        <f>IF(6+Materiales!$F$36&gt;8,0,INDEX($E$233:$L$233,1,6+Materiales!$F$36))</f>
        <v/>
      </c>
      <c r="K234" s="70">
        <f>IF(7+Materiales!$F$36&gt;8,0,INDEX($E$233:$L$233,1,7+Materiales!$F$36))</f>
        <v/>
      </c>
      <c r="L234" s="70">
        <f>IF(8+Materiales!$F$36&gt;8,0,INDEX($E$233:$L$233,1,8+Materiales!$F$36))</f>
        <v/>
      </c>
      <c r="M234" s="68">
        <f>IF($A229="","",IF(SUMPRODUCT((COLUMN($E$233:$L$233)-4&lt;=Materiales!$F$36)*$E$233:$L$233)&gt;0,"PEDIR YA (atrasado)","OK"))</f>
        <v/>
      </c>
    </row>
    <row r="235" ht="6" customHeight="1"/>
    <row r="236">
      <c r="A236" s="58">
        <f>IF(Materiales!$A$37="","",Materiales!$A$37)</f>
        <v/>
      </c>
      <c r="B236" s="58">
        <f>IF(Materiales!$B$37="","",Materiales!$B$37)</f>
        <v/>
      </c>
      <c r="C236" s="59" t="inlineStr">
        <is>
          <t>Necesidad bruta</t>
        </is>
      </c>
      <c r="D236" s="60" t="n"/>
      <c r="E236" s="61">
        <f>ROUND(SUMIF(Consumo!$O$4:$O$143,"#"&amp;$A236,Consumo!G$4:G$143),4)</f>
        <v/>
      </c>
      <c r="F236" s="61">
        <f>ROUND(SUMIF(Consumo!$O$4:$O$143,"#"&amp;$A236,Consumo!H$4:H$143),4)</f>
        <v/>
      </c>
      <c r="G236" s="61">
        <f>ROUND(SUMIF(Consumo!$O$4:$O$143,"#"&amp;$A236,Consumo!I$4:I$143),4)</f>
        <v/>
      </c>
      <c r="H236" s="61">
        <f>ROUND(SUMIF(Consumo!$O$4:$O$143,"#"&amp;$A236,Consumo!J$4:J$143),4)</f>
        <v/>
      </c>
      <c r="I236" s="61">
        <f>ROUND(SUMIF(Consumo!$O$4:$O$143,"#"&amp;$A236,Consumo!K$4:K$143),4)</f>
        <v/>
      </c>
      <c r="J236" s="61">
        <f>ROUND(SUMIF(Consumo!$O$4:$O$143,"#"&amp;$A236,Consumo!L$4:L$143),4)</f>
        <v/>
      </c>
      <c r="K236" s="61">
        <f>ROUND(SUMIF(Consumo!$O$4:$O$143,"#"&amp;$A236,Consumo!M$4:M$143),4)</f>
        <v/>
      </c>
      <c r="L236" s="61">
        <f>ROUND(SUMIF(Consumo!$O$4:$O$143,"#"&amp;$A236,Consumo!N$4:N$143),4)</f>
        <v/>
      </c>
      <c r="M236" s="62" t="n"/>
    </row>
    <row r="237">
      <c r="C237" s="59" t="inlineStr">
        <is>
          <t>Recepciones programadas (ya pedido)</t>
        </is>
      </c>
      <c r="D237" s="60" t="n"/>
      <c r="E237" s="61">
        <f>SUMIF(Inventario!$M$5:$M$87,"#"&amp;$A236,Inventario!E$5:E$87)</f>
        <v/>
      </c>
      <c r="F237" s="61">
        <f>SUMIF(Inventario!$M$5:$M$87,"#"&amp;$A236,Inventario!F$5:F$87)</f>
        <v/>
      </c>
      <c r="G237" s="61">
        <f>SUMIF(Inventario!$M$5:$M$87,"#"&amp;$A236,Inventario!G$5:G$87)</f>
        <v/>
      </c>
      <c r="H237" s="61">
        <f>SUMIF(Inventario!$M$5:$M$87,"#"&amp;$A236,Inventario!H$5:H$87)</f>
        <v/>
      </c>
      <c r="I237" s="61">
        <f>SUMIF(Inventario!$M$5:$M$87,"#"&amp;$A236,Inventario!I$5:I$87)</f>
        <v/>
      </c>
      <c r="J237" s="61">
        <f>SUMIF(Inventario!$M$5:$M$87,"#"&amp;$A236,Inventario!J$5:J$87)</f>
        <v/>
      </c>
      <c r="K237" s="61">
        <f>SUMIF(Inventario!$M$5:$M$87,"#"&amp;$A236,Inventario!K$5:K$87)</f>
        <v/>
      </c>
      <c r="L237" s="61">
        <f>SUMIF(Inventario!$M$5:$M$87,"#"&amp;$A236,Inventario!L$5:L$87)</f>
        <v/>
      </c>
      <c r="M237" s="62" t="n"/>
    </row>
    <row r="238">
      <c r="C238" s="59" t="inlineStr">
        <is>
          <t>Stock proyectado disponible</t>
        </is>
      </c>
      <c r="D238" s="63">
        <f>SUMIF(Inventario!$M$5:$M$87,"#"&amp;$A236,Inventario!$C$5:$C$87)</f>
        <v/>
      </c>
      <c r="E238" s="64">
        <f>D238+E237+E240-E236</f>
        <v/>
      </c>
      <c r="F238" s="64">
        <f>E238+F237+F240-F236</f>
        <v/>
      </c>
      <c r="G238" s="64">
        <f>F238+G237+G240-G236</f>
        <v/>
      </c>
      <c r="H238" s="64">
        <f>G238+H237+H240-H236</f>
        <v/>
      </c>
      <c r="I238" s="64">
        <f>H238+I237+I240-I236</f>
        <v/>
      </c>
      <c r="J238" s="64">
        <f>I238+J237+J240-J236</f>
        <v/>
      </c>
      <c r="K238" s="64">
        <f>J238+K237+K240-K236</f>
        <v/>
      </c>
      <c r="L238" s="64">
        <f>K238+L237+L240-L236</f>
        <v/>
      </c>
      <c r="M238" s="62" t="n"/>
    </row>
    <row r="239">
      <c r="C239" s="59" t="inlineStr">
        <is>
          <t>Necesidad neta</t>
        </is>
      </c>
      <c r="D239" s="60" t="n"/>
      <c r="E239" s="65">
        <f>MAX(0,ROUND(E236+Materiales!$H$37-D238-E237,4))</f>
        <v/>
      </c>
      <c r="F239" s="65">
        <f>MAX(0,ROUND(F236+Materiales!$H$37-E238-F237,4))</f>
        <v/>
      </c>
      <c r="G239" s="65">
        <f>MAX(0,ROUND(G236+Materiales!$H$37-F238-G237,4))</f>
        <v/>
      </c>
      <c r="H239" s="65">
        <f>MAX(0,ROUND(H236+Materiales!$H$37-G238-H237,4))</f>
        <v/>
      </c>
      <c r="I239" s="65">
        <f>MAX(0,ROUND(I236+Materiales!$H$37-H238-I237,4))</f>
        <v/>
      </c>
      <c r="J239" s="65">
        <f>MAX(0,ROUND(J236+Materiales!$H$37-I238-J237,4))</f>
        <v/>
      </c>
      <c r="K239" s="65">
        <f>MAX(0,ROUND(K236+Materiales!$H$37-J238-K237,4))</f>
        <v/>
      </c>
      <c r="L239" s="65">
        <f>MAX(0,ROUND(L236+Materiales!$H$37-K238-L237,4))</f>
        <v/>
      </c>
      <c r="M239" s="62" t="n"/>
    </row>
    <row r="240">
      <c r="C240" s="59" t="inlineStr">
        <is>
          <t>Recepcion de orden planificada</t>
        </is>
      </c>
      <c r="D240" s="60" t="n"/>
      <c r="E240" s="61">
        <f>IF(E239&lt;=0,0,IF(Materiales!$G$37&lt;=0,E239,ROUNDUP(E239/Materiales!$G$37,0)*Materiales!$G$37))</f>
        <v/>
      </c>
      <c r="F240" s="61">
        <f>IF(F239&lt;=0,0,IF(Materiales!$G$37&lt;=0,F239,ROUNDUP(F239/Materiales!$G$37,0)*Materiales!$G$37))</f>
        <v/>
      </c>
      <c r="G240" s="61">
        <f>IF(G239&lt;=0,0,IF(Materiales!$G$37&lt;=0,G239,ROUNDUP(G239/Materiales!$G$37,0)*Materiales!$G$37))</f>
        <v/>
      </c>
      <c r="H240" s="61">
        <f>IF(H239&lt;=0,0,IF(Materiales!$G$37&lt;=0,H239,ROUNDUP(H239/Materiales!$G$37,0)*Materiales!$G$37))</f>
        <v/>
      </c>
      <c r="I240" s="61">
        <f>IF(I239&lt;=0,0,IF(Materiales!$G$37&lt;=0,I239,ROUNDUP(I239/Materiales!$G$37,0)*Materiales!$G$37))</f>
        <v/>
      </c>
      <c r="J240" s="61">
        <f>IF(J239&lt;=0,0,IF(Materiales!$G$37&lt;=0,J239,ROUNDUP(J239/Materiales!$G$37,0)*Materiales!$G$37))</f>
        <v/>
      </c>
      <c r="K240" s="61">
        <f>IF(K239&lt;=0,0,IF(Materiales!$G$37&lt;=0,K239,ROUNDUP(K239/Materiales!$G$37,0)*Materiales!$G$37))</f>
        <v/>
      </c>
      <c r="L240" s="61">
        <f>IF(L239&lt;=0,0,IF(Materiales!$G$37&lt;=0,L239,ROUNDUP(L239/Materiales!$G$37,0)*Materiales!$G$37))</f>
        <v/>
      </c>
      <c r="M240" s="62" t="n"/>
    </row>
    <row r="241">
      <c r="C241" s="66" t="inlineStr">
        <is>
          <t>LANZAMIENTO DE ORDEN — pedir esta semana</t>
        </is>
      </c>
      <c r="D241" s="60" t="n"/>
      <c r="E241" s="70">
        <f>IF(1+Materiales!$F$37&gt;8,0,INDEX($E$240:$L$240,1,1+Materiales!$F$37))</f>
        <v/>
      </c>
      <c r="F241" s="70">
        <f>IF(2+Materiales!$F$37&gt;8,0,INDEX($E$240:$L$240,1,2+Materiales!$F$37))</f>
        <v/>
      </c>
      <c r="G241" s="70">
        <f>IF(3+Materiales!$F$37&gt;8,0,INDEX($E$240:$L$240,1,3+Materiales!$F$37))</f>
        <v/>
      </c>
      <c r="H241" s="70">
        <f>IF(4+Materiales!$F$37&gt;8,0,INDEX($E$240:$L$240,1,4+Materiales!$F$37))</f>
        <v/>
      </c>
      <c r="I241" s="70">
        <f>IF(5+Materiales!$F$37&gt;8,0,INDEX($E$240:$L$240,1,5+Materiales!$F$37))</f>
        <v/>
      </c>
      <c r="J241" s="70">
        <f>IF(6+Materiales!$F$37&gt;8,0,INDEX($E$240:$L$240,1,6+Materiales!$F$37))</f>
        <v/>
      </c>
      <c r="K241" s="70">
        <f>IF(7+Materiales!$F$37&gt;8,0,INDEX($E$240:$L$240,1,7+Materiales!$F$37))</f>
        <v/>
      </c>
      <c r="L241" s="70">
        <f>IF(8+Materiales!$F$37&gt;8,0,INDEX($E$240:$L$240,1,8+Materiales!$F$37))</f>
        <v/>
      </c>
      <c r="M241" s="68">
        <f>IF($A236="","",IF(SUMPRODUCT((COLUMN($E$240:$L$240)-4&lt;=Materiales!$F$37)*$E$240:$L$240)&gt;0,"PEDIR YA (atrasado)","OK"))</f>
        <v/>
      </c>
    </row>
    <row r="242" ht="6" customHeight="1"/>
    <row r="243">
      <c r="A243" s="58">
        <f>IF(Materiales!$A$38="","",Materiales!$A$38)</f>
        <v/>
      </c>
      <c r="B243" s="58">
        <f>IF(Materiales!$B$38="","",Materiales!$B$38)</f>
        <v/>
      </c>
      <c r="C243" s="59" t="inlineStr">
        <is>
          <t>Necesidad bruta</t>
        </is>
      </c>
      <c r="D243" s="60" t="n"/>
      <c r="E243" s="61">
        <f>ROUND(SUMIF(Consumo!$O$4:$O$143,"#"&amp;$A243,Consumo!G$4:G$143),4)</f>
        <v/>
      </c>
      <c r="F243" s="61">
        <f>ROUND(SUMIF(Consumo!$O$4:$O$143,"#"&amp;$A243,Consumo!H$4:H$143),4)</f>
        <v/>
      </c>
      <c r="G243" s="61">
        <f>ROUND(SUMIF(Consumo!$O$4:$O$143,"#"&amp;$A243,Consumo!I$4:I$143),4)</f>
        <v/>
      </c>
      <c r="H243" s="61">
        <f>ROUND(SUMIF(Consumo!$O$4:$O$143,"#"&amp;$A243,Consumo!J$4:J$143),4)</f>
        <v/>
      </c>
      <c r="I243" s="61">
        <f>ROUND(SUMIF(Consumo!$O$4:$O$143,"#"&amp;$A243,Consumo!K$4:K$143),4)</f>
        <v/>
      </c>
      <c r="J243" s="61">
        <f>ROUND(SUMIF(Consumo!$O$4:$O$143,"#"&amp;$A243,Consumo!L$4:L$143),4)</f>
        <v/>
      </c>
      <c r="K243" s="61">
        <f>ROUND(SUMIF(Consumo!$O$4:$O$143,"#"&amp;$A243,Consumo!M$4:M$143),4)</f>
        <v/>
      </c>
      <c r="L243" s="61">
        <f>ROUND(SUMIF(Consumo!$O$4:$O$143,"#"&amp;$A243,Consumo!N$4:N$143),4)</f>
        <v/>
      </c>
      <c r="M243" s="62" t="n"/>
    </row>
    <row r="244">
      <c r="C244" s="59" t="inlineStr">
        <is>
          <t>Recepciones programadas (ya pedido)</t>
        </is>
      </c>
      <c r="D244" s="60" t="n"/>
      <c r="E244" s="61">
        <f>SUMIF(Inventario!$M$5:$M$87,"#"&amp;$A243,Inventario!E$5:E$87)</f>
        <v/>
      </c>
      <c r="F244" s="61">
        <f>SUMIF(Inventario!$M$5:$M$87,"#"&amp;$A243,Inventario!F$5:F$87)</f>
        <v/>
      </c>
      <c r="G244" s="61">
        <f>SUMIF(Inventario!$M$5:$M$87,"#"&amp;$A243,Inventario!G$5:G$87)</f>
        <v/>
      </c>
      <c r="H244" s="61">
        <f>SUMIF(Inventario!$M$5:$M$87,"#"&amp;$A243,Inventario!H$5:H$87)</f>
        <v/>
      </c>
      <c r="I244" s="61">
        <f>SUMIF(Inventario!$M$5:$M$87,"#"&amp;$A243,Inventario!I$5:I$87)</f>
        <v/>
      </c>
      <c r="J244" s="61">
        <f>SUMIF(Inventario!$M$5:$M$87,"#"&amp;$A243,Inventario!J$5:J$87)</f>
        <v/>
      </c>
      <c r="K244" s="61">
        <f>SUMIF(Inventario!$M$5:$M$87,"#"&amp;$A243,Inventario!K$5:K$87)</f>
        <v/>
      </c>
      <c r="L244" s="61">
        <f>SUMIF(Inventario!$M$5:$M$87,"#"&amp;$A243,Inventario!L$5:L$87)</f>
        <v/>
      </c>
      <c r="M244" s="62" t="n"/>
    </row>
    <row r="245">
      <c r="C245" s="59" t="inlineStr">
        <is>
          <t>Stock proyectado disponible</t>
        </is>
      </c>
      <c r="D245" s="63">
        <f>SUMIF(Inventario!$M$5:$M$87,"#"&amp;$A243,Inventario!$C$5:$C$87)</f>
        <v/>
      </c>
      <c r="E245" s="64">
        <f>D245+E244+E247-E243</f>
        <v/>
      </c>
      <c r="F245" s="64">
        <f>E245+F244+F247-F243</f>
        <v/>
      </c>
      <c r="G245" s="64">
        <f>F245+G244+G247-G243</f>
        <v/>
      </c>
      <c r="H245" s="64">
        <f>G245+H244+H247-H243</f>
        <v/>
      </c>
      <c r="I245" s="64">
        <f>H245+I244+I247-I243</f>
        <v/>
      </c>
      <c r="J245" s="64">
        <f>I245+J244+J247-J243</f>
        <v/>
      </c>
      <c r="K245" s="64">
        <f>J245+K244+K247-K243</f>
        <v/>
      </c>
      <c r="L245" s="64">
        <f>K245+L244+L247-L243</f>
        <v/>
      </c>
      <c r="M245" s="62" t="n"/>
    </row>
    <row r="246">
      <c r="C246" s="59" t="inlineStr">
        <is>
          <t>Necesidad neta</t>
        </is>
      </c>
      <c r="D246" s="60" t="n"/>
      <c r="E246" s="65">
        <f>MAX(0,ROUND(E243+Materiales!$H$38-D245-E244,4))</f>
        <v/>
      </c>
      <c r="F246" s="65">
        <f>MAX(0,ROUND(F243+Materiales!$H$38-E245-F244,4))</f>
        <v/>
      </c>
      <c r="G246" s="65">
        <f>MAX(0,ROUND(G243+Materiales!$H$38-F245-G244,4))</f>
        <v/>
      </c>
      <c r="H246" s="65">
        <f>MAX(0,ROUND(H243+Materiales!$H$38-G245-H244,4))</f>
        <v/>
      </c>
      <c r="I246" s="65">
        <f>MAX(0,ROUND(I243+Materiales!$H$38-H245-I244,4))</f>
        <v/>
      </c>
      <c r="J246" s="65">
        <f>MAX(0,ROUND(J243+Materiales!$H$38-I245-J244,4))</f>
        <v/>
      </c>
      <c r="K246" s="65">
        <f>MAX(0,ROUND(K243+Materiales!$H$38-J245-K244,4))</f>
        <v/>
      </c>
      <c r="L246" s="65">
        <f>MAX(0,ROUND(L243+Materiales!$H$38-K245-L244,4))</f>
        <v/>
      </c>
      <c r="M246" s="62" t="n"/>
    </row>
    <row r="247">
      <c r="C247" s="59" t="inlineStr">
        <is>
          <t>Recepcion de orden planificada</t>
        </is>
      </c>
      <c r="D247" s="60" t="n"/>
      <c r="E247" s="61">
        <f>IF(E246&lt;=0,0,IF(Materiales!$G$38&lt;=0,E246,ROUNDUP(E246/Materiales!$G$38,0)*Materiales!$G$38))</f>
        <v/>
      </c>
      <c r="F247" s="61">
        <f>IF(F246&lt;=0,0,IF(Materiales!$G$38&lt;=0,F246,ROUNDUP(F246/Materiales!$G$38,0)*Materiales!$G$38))</f>
        <v/>
      </c>
      <c r="G247" s="61">
        <f>IF(G246&lt;=0,0,IF(Materiales!$G$38&lt;=0,G246,ROUNDUP(G246/Materiales!$G$38,0)*Materiales!$G$38))</f>
        <v/>
      </c>
      <c r="H247" s="61">
        <f>IF(H246&lt;=0,0,IF(Materiales!$G$38&lt;=0,H246,ROUNDUP(H246/Materiales!$G$38,0)*Materiales!$G$38))</f>
        <v/>
      </c>
      <c r="I247" s="61">
        <f>IF(I246&lt;=0,0,IF(Materiales!$G$38&lt;=0,I246,ROUNDUP(I246/Materiales!$G$38,0)*Materiales!$G$38))</f>
        <v/>
      </c>
      <c r="J247" s="61">
        <f>IF(J246&lt;=0,0,IF(Materiales!$G$38&lt;=0,J246,ROUNDUP(J246/Materiales!$G$38,0)*Materiales!$G$38))</f>
        <v/>
      </c>
      <c r="K247" s="61">
        <f>IF(K246&lt;=0,0,IF(Materiales!$G$38&lt;=0,K246,ROUNDUP(K246/Materiales!$G$38,0)*Materiales!$G$38))</f>
        <v/>
      </c>
      <c r="L247" s="61">
        <f>IF(L246&lt;=0,0,IF(Materiales!$G$38&lt;=0,L246,ROUNDUP(L246/Materiales!$G$38,0)*Materiales!$G$38))</f>
        <v/>
      </c>
      <c r="M247" s="62" t="n"/>
    </row>
    <row r="248">
      <c r="C248" s="66" t="inlineStr">
        <is>
          <t>LANZAMIENTO DE ORDEN — pedir esta semana</t>
        </is>
      </c>
      <c r="D248" s="60" t="n"/>
      <c r="E248" s="70">
        <f>IF(1+Materiales!$F$38&gt;8,0,INDEX($E$247:$L$247,1,1+Materiales!$F$38))</f>
        <v/>
      </c>
      <c r="F248" s="70">
        <f>IF(2+Materiales!$F$38&gt;8,0,INDEX($E$247:$L$247,1,2+Materiales!$F$38))</f>
        <v/>
      </c>
      <c r="G248" s="70">
        <f>IF(3+Materiales!$F$38&gt;8,0,INDEX($E$247:$L$247,1,3+Materiales!$F$38))</f>
        <v/>
      </c>
      <c r="H248" s="70">
        <f>IF(4+Materiales!$F$38&gt;8,0,INDEX($E$247:$L$247,1,4+Materiales!$F$38))</f>
        <v/>
      </c>
      <c r="I248" s="70">
        <f>IF(5+Materiales!$F$38&gt;8,0,INDEX($E$247:$L$247,1,5+Materiales!$F$38))</f>
        <v/>
      </c>
      <c r="J248" s="70">
        <f>IF(6+Materiales!$F$38&gt;8,0,INDEX($E$247:$L$247,1,6+Materiales!$F$38))</f>
        <v/>
      </c>
      <c r="K248" s="70">
        <f>IF(7+Materiales!$F$38&gt;8,0,INDEX($E$247:$L$247,1,7+Materiales!$F$38))</f>
        <v/>
      </c>
      <c r="L248" s="70">
        <f>IF(8+Materiales!$F$38&gt;8,0,INDEX($E$247:$L$247,1,8+Materiales!$F$38))</f>
        <v/>
      </c>
      <c r="M248" s="68">
        <f>IF($A243="","",IF(SUMPRODUCT((COLUMN($E$247:$L$247)-4&lt;=Materiales!$F$38)*$E$247:$L$247)&gt;0,"PEDIR YA (atrasado)","OK"))</f>
        <v/>
      </c>
    </row>
    <row r="249" ht="6" customHeight="1"/>
    <row r="250">
      <c r="A250" s="58">
        <f>IF(Materiales!$A$39="","",Materiales!$A$39)</f>
        <v/>
      </c>
      <c r="B250" s="58">
        <f>IF(Materiales!$B$39="","",Materiales!$B$39)</f>
        <v/>
      </c>
      <c r="C250" s="59" t="inlineStr">
        <is>
          <t>Necesidad bruta</t>
        </is>
      </c>
      <c r="D250" s="60" t="n"/>
      <c r="E250" s="61">
        <f>ROUND(SUMIF(Consumo!$O$4:$O$143,"#"&amp;$A250,Consumo!G$4:G$143),4)</f>
        <v/>
      </c>
      <c r="F250" s="61">
        <f>ROUND(SUMIF(Consumo!$O$4:$O$143,"#"&amp;$A250,Consumo!H$4:H$143),4)</f>
        <v/>
      </c>
      <c r="G250" s="61">
        <f>ROUND(SUMIF(Consumo!$O$4:$O$143,"#"&amp;$A250,Consumo!I$4:I$143),4)</f>
        <v/>
      </c>
      <c r="H250" s="61">
        <f>ROUND(SUMIF(Consumo!$O$4:$O$143,"#"&amp;$A250,Consumo!J$4:J$143),4)</f>
        <v/>
      </c>
      <c r="I250" s="61">
        <f>ROUND(SUMIF(Consumo!$O$4:$O$143,"#"&amp;$A250,Consumo!K$4:K$143),4)</f>
        <v/>
      </c>
      <c r="J250" s="61">
        <f>ROUND(SUMIF(Consumo!$O$4:$O$143,"#"&amp;$A250,Consumo!L$4:L$143),4)</f>
        <v/>
      </c>
      <c r="K250" s="61">
        <f>ROUND(SUMIF(Consumo!$O$4:$O$143,"#"&amp;$A250,Consumo!M$4:M$143),4)</f>
        <v/>
      </c>
      <c r="L250" s="61">
        <f>ROUND(SUMIF(Consumo!$O$4:$O$143,"#"&amp;$A250,Consumo!N$4:N$143),4)</f>
        <v/>
      </c>
      <c r="M250" s="62" t="n"/>
    </row>
    <row r="251">
      <c r="C251" s="59" t="inlineStr">
        <is>
          <t>Recepciones programadas (ya pedido)</t>
        </is>
      </c>
      <c r="D251" s="60" t="n"/>
      <c r="E251" s="61">
        <f>SUMIF(Inventario!$M$5:$M$87,"#"&amp;$A250,Inventario!E$5:E$87)</f>
        <v/>
      </c>
      <c r="F251" s="61">
        <f>SUMIF(Inventario!$M$5:$M$87,"#"&amp;$A250,Inventario!F$5:F$87)</f>
        <v/>
      </c>
      <c r="G251" s="61">
        <f>SUMIF(Inventario!$M$5:$M$87,"#"&amp;$A250,Inventario!G$5:G$87)</f>
        <v/>
      </c>
      <c r="H251" s="61">
        <f>SUMIF(Inventario!$M$5:$M$87,"#"&amp;$A250,Inventario!H$5:H$87)</f>
        <v/>
      </c>
      <c r="I251" s="61">
        <f>SUMIF(Inventario!$M$5:$M$87,"#"&amp;$A250,Inventario!I$5:I$87)</f>
        <v/>
      </c>
      <c r="J251" s="61">
        <f>SUMIF(Inventario!$M$5:$M$87,"#"&amp;$A250,Inventario!J$5:J$87)</f>
        <v/>
      </c>
      <c r="K251" s="61">
        <f>SUMIF(Inventario!$M$5:$M$87,"#"&amp;$A250,Inventario!K$5:K$87)</f>
        <v/>
      </c>
      <c r="L251" s="61">
        <f>SUMIF(Inventario!$M$5:$M$87,"#"&amp;$A250,Inventario!L$5:L$87)</f>
        <v/>
      </c>
      <c r="M251" s="62" t="n"/>
    </row>
    <row r="252">
      <c r="C252" s="59" t="inlineStr">
        <is>
          <t>Stock proyectado disponible</t>
        </is>
      </c>
      <c r="D252" s="63">
        <f>SUMIF(Inventario!$M$5:$M$87,"#"&amp;$A250,Inventario!$C$5:$C$87)</f>
        <v/>
      </c>
      <c r="E252" s="64">
        <f>D252+E251+E254-E250</f>
        <v/>
      </c>
      <c r="F252" s="64">
        <f>E252+F251+F254-F250</f>
        <v/>
      </c>
      <c r="G252" s="64">
        <f>F252+G251+G254-G250</f>
        <v/>
      </c>
      <c r="H252" s="64">
        <f>G252+H251+H254-H250</f>
        <v/>
      </c>
      <c r="I252" s="64">
        <f>H252+I251+I254-I250</f>
        <v/>
      </c>
      <c r="J252" s="64">
        <f>I252+J251+J254-J250</f>
        <v/>
      </c>
      <c r="K252" s="64">
        <f>J252+K251+K254-K250</f>
        <v/>
      </c>
      <c r="L252" s="64">
        <f>K252+L251+L254-L250</f>
        <v/>
      </c>
      <c r="M252" s="62" t="n"/>
    </row>
    <row r="253">
      <c r="C253" s="59" t="inlineStr">
        <is>
          <t>Necesidad neta</t>
        </is>
      </c>
      <c r="D253" s="60" t="n"/>
      <c r="E253" s="65">
        <f>MAX(0,ROUND(E250+Materiales!$H$39-D252-E251,4))</f>
        <v/>
      </c>
      <c r="F253" s="65">
        <f>MAX(0,ROUND(F250+Materiales!$H$39-E252-F251,4))</f>
        <v/>
      </c>
      <c r="G253" s="65">
        <f>MAX(0,ROUND(G250+Materiales!$H$39-F252-G251,4))</f>
        <v/>
      </c>
      <c r="H253" s="65">
        <f>MAX(0,ROUND(H250+Materiales!$H$39-G252-H251,4))</f>
        <v/>
      </c>
      <c r="I253" s="65">
        <f>MAX(0,ROUND(I250+Materiales!$H$39-H252-I251,4))</f>
        <v/>
      </c>
      <c r="J253" s="65">
        <f>MAX(0,ROUND(J250+Materiales!$H$39-I252-J251,4))</f>
        <v/>
      </c>
      <c r="K253" s="65">
        <f>MAX(0,ROUND(K250+Materiales!$H$39-J252-K251,4))</f>
        <v/>
      </c>
      <c r="L253" s="65">
        <f>MAX(0,ROUND(L250+Materiales!$H$39-K252-L251,4))</f>
        <v/>
      </c>
      <c r="M253" s="62" t="n"/>
    </row>
    <row r="254">
      <c r="C254" s="59" t="inlineStr">
        <is>
          <t>Recepcion de orden planificada</t>
        </is>
      </c>
      <c r="D254" s="60" t="n"/>
      <c r="E254" s="61">
        <f>IF(E253&lt;=0,0,IF(Materiales!$G$39&lt;=0,E253,ROUNDUP(E253/Materiales!$G$39,0)*Materiales!$G$39))</f>
        <v/>
      </c>
      <c r="F254" s="61">
        <f>IF(F253&lt;=0,0,IF(Materiales!$G$39&lt;=0,F253,ROUNDUP(F253/Materiales!$G$39,0)*Materiales!$G$39))</f>
        <v/>
      </c>
      <c r="G254" s="61">
        <f>IF(G253&lt;=0,0,IF(Materiales!$G$39&lt;=0,G253,ROUNDUP(G253/Materiales!$G$39,0)*Materiales!$G$39))</f>
        <v/>
      </c>
      <c r="H254" s="61">
        <f>IF(H253&lt;=0,0,IF(Materiales!$G$39&lt;=0,H253,ROUNDUP(H253/Materiales!$G$39,0)*Materiales!$G$39))</f>
        <v/>
      </c>
      <c r="I254" s="61">
        <f>IF(I253&lt;=0,0,IF(Materiales!$G$39&lt;=0,I253,ROUNDUP(I253/Materiales!$G$39,0)*Materiales!$G$39))</f>
        <v/>
      </c>
      <c r="J254" s="61">
        <f>IF(J253&lt;=0,0,IF(Materiales!$G$39&lt;=0,J253,ROUNDUP(J253/Materiales!$G$39,0)*Materiales!$G$39))</f>
        <v/>
      </c>
      <c r="K254" s="61">
        <f>IF(K253&lt;=0,0,IF(Materiales!$G$39&lt;=0,K253,ROUNDUP(K253/Materiales!$G$39,0)*Materiales!$G$39))</f>
        <v/>
      </c>
      <c r="L254" s="61">
        <f>IF(L253&lt;=0,0,IF(Materiales!$G$39&lt;=0,L253,ROUNDUP(L253/Materiales!$G$39,0)*Materiales!$G$39))</f>
        <v/>
      </c>
      <c r="M254" s="62" t="n"/>
    </row>
    <row r="255">
      <c r="C255" s="66" t="inlineStr">
        <is>
          <t>LANZAMIENTO DE ORDEN — pedir esta semana</t>
        </is>
      </c>
      <c r="D255" s="60" t="n"/>
      <c r="E255" s="70">
        <f>IF(1+Materiales!$F$39&gt;8,0,INDEX($E$254:$L$254,1,1+Materiales!$F$39))</f>
        <v/>
      </c>
      <c r="F255" s="70">
        <f>IF(2+Materiales!$F$39&gt;8,0,INDEX($E$254:$L$254,1,2+Materiales!$F$39))</f>
        <v/>
      </c>
      <c r="G255" s="70">
        <f>IF(3+Materiales!$F$39&gt;8,0,INDEX($E$254:$L$254,1,3+Materiales!$F$39))</f>
        <v/>
      </c>
      <c r="H255" s="70">
        <f>IF(4+Materiales!$F$39&gt;8,0,INDEX($E$254:$L$254,1,4+Materiales!$F$39))</f>
        <v/>
      </c>
      <c r="I255" s="70">
        <f>IF(5+Materiales!$F$39&gt;8,0,INDEX($E$254:$L$254,1,5+Materiales!$F$39))</f>
        <v/>
      </c>
      <c r="J255" s="70">
        <f>IF(6+Materiales!$F$39&gt;8,0,INDEX($E$254:$L$254,1,6+Materiales!$F$39))</f>
        <v/>
      </c>
      <c r="K255" s="70">
        <f>IF(7+Materiales!$F$39&gt;8,0,INDEX($E$254:$L$254,1,7+Materiales!$F$39))</f>
        <v/>
      </c>
      <c r="L255" s="70">
        <f>IF(8+Materiales!$F$39&gt;8,0,INDEX($E$254:$L$254,1,8+Materiales!$F$39))</f>
        <v/>
      </c>
      <c r="M255" s="68">
        <f>IF($A250="","",IF(SUMPRODUCT((COLUMN($E$254:$L$254)-4&lt;=Materiales!$F$39)*$E$254:$L$254)&gt;0,"PEDIR YA (atrasado)","OK"))</f>
        <v/>
      </c>
    </row>
    <row r="256" ht="6" customHeight="1"/>
    <row r="257">
      <c r="A257" s="58">
        <f>IF(Materiales!$A$40="","",Materiales!$A$40)</f>
        <v/>
      </c>
      <c r="B257" s="58">
        <f>IF(Materiales!$B$40="","",Materiales!$B$40)</f>
        <v/>
      </c>
      <c r="C257" s="59" t="inlineStr">
        <is>
          <t>Necesidad bruta</t>
        </is>
      </c>
      <c r="D257" s="60" t="n"/>
      <c r="E257" s="61">
        <f>ROUND(SUMIF(Consumo!$O$4:$O$143,"#"&amp;$A257,Consumo!G$4:G$143),4)</f>
        <v/>
      </c>
      <c r="F257" s="61">
        <f>ROUND(SUMIF(Consumo!$O$4:$O$143,"#"&amp;$A257,Consumo!H$4:H$143),4)</f>
        <v/>
      </c>
      <c r="G257" s="61">
        <f>ROUND(SUMIF(Consumo!$O$4:$O$143,"#"&amp;$A257,Consumo!I$4:I$143),4)</f>
        <v/>
      </c>
      <c r="H257" s="61">
        <f>ROUND(SUMIF(Consumo!$O$4:$O$143,"#"&amp;$A257,Consumo!J$4:J$143),4)</f>
        <v/>
      </c>
      <c r="I257" s="61">
        <f>ROUND(SUMIF(Consumo!$O$4:$O$143,"#"&amp;$A257,Consumo!K$4:K$143),4)</f>
        <v/>
      </c>
      <c r="J257" s="61">
        <f>ROUND(SUMIF(Consumo!$O$4:$O$143,"#"&amp;$A257,Consumo!L$4:L$143),4)</f>
        <v/>
      </c>
      <c r="K257" s="61">
        <f>ROUND(SUMIF(Consumo!$O$4:$O$143,"#"&amp;$A257,Consumo!M$4:M$143),4)</f>
        <v/>
      </c>
      <c r="L257" s="61">
        <f>ROUND(SUMIF(Consumo!$O$4:$O$143,"#"&amp;$A257,Consumo!N$4:N$143),4)</f>
        <v/>
      </c>
      <c r="M257" s="62" t="n"/>
    </row>
    <row r="258">
      <c r="C258" s="59" t="inlineStr">
        <is>
          <t>Recepciones programadas (ya pedido)</t>
        </is>
      </c>
      <c r="D258" s="60" t="n"/>
      <c r="E258" s="61">
        <f>SUMIF(Inventario!$M$5:$M$87,"#"&amp;$A257,Inventario!E$5:E$87)</f>
        <v/>
      </c>
      <c r="F258" s="61">
        <f>SUMIF(Inventario!$M$5:$M$87,"#"&amp;$A257,Inventario!F$5:F$87)</f>
        <v/>
      </c>
      <c r="G258" s="61">
        <f>SUMIF(Inventario!$M$5:$M$87,"#"&amp;$A257,Inventario!G$5:G$87)</f>
        <v/>
      </c>
      <c r="H258" s="61">
        <f>SUMIF(Inventario!$M$5:$M$87,"#"&amp;$A257,Inventario!H$5:H$87)</f>
        <v/>
      </c>
      <c r="I258" s="61">
        <f>SUMIF(Inventario!$M$5:$M$87,"#"&amp;$A257,Inventario!I$5:I$87)</f>
        <v/>
      </c>
      <c r="J258" s="61">
        <f>SUMIF(Inventario!$M$5:$M$87,"#"&amp;$A257,Inventario!J$5:J$87)</f>
        <v/>
      </c>
      <c r="K258" s="61">
        <f>SUMIF(Inventario!$M$5:$M$87,"#"&amp;$A257,Inventario!K$5:K$87)</f>
        <v/>
      </c>
      <c r="L258" s="61">
        <f>SUMIF(Inventario!$M$5:$M$87,"#"&amp;$A257,Inventario!L$5:L$87)</f>
        <v/>
      </c>
      <c r="M258" s="62" t="n"/>
    </row>
    <row r="259">
      <c r="C259" s="59" t="inlineStr">
        <is>
          <t>Stock proyectado disponible</t>
        </is>
      </c>
      <c r="D259" s="63">
        <f>SUMIF(Inventario!$M$5:$M$87,"#"&amp;$A257,Inventario!$C$5:$C$87)</f>
        <v/>
      </c>
      <c r="E259" s="64">
        <f>D259+E258+E261-E257</f>
        <v/>
      </c>
      <c r="F259" s="64">
        <f>E259+F258+F261-F257</f>
        <v/>
      </c>
      <c r="G259" s="64">
        <f>F259+G258+G261-G257</f>
        <v/>
      </c>
      <c r="H259" s="64">
        <f>G259+H258+H261-H257</f>
        <v/>
      </c>
      <c r="I259" s="64">
        <f>H259+I258+I261-I257</f>
        <v/>
      </c>
      <c r="J259" s="64">
        <f>I259+J258+J261-J257</f>
        <v/>
      </c>
      <c r="K259" s="64">
        <f>J259+K258+K261-K257</f>
        <v/>
      </c>
      <c r="L259" s="64">
        <f>K259+L258+L261-L257</f>
        <v/>
      </c>
      <c r="M259" s="62" t="n"/>
    </row>
    <row r="260">
      <c r="C260" s="59" t="inlineStr">
        <is>
          <t>Necesidad neta</t>
        </is>
      </c>
      <c r="D260" s="60" t="n"/>
      <c r="E260" s="65">
        <f>MAX(0,ROUND(E257+Materiales!$H$40-D259-E258,4))</f>
        <v/>
      </c>
      <c r="F260" s="65">
        <f>MAX(0,ROUND(F257+Materiales!$H$40-E259-F258,4))</f>
        <v/>
      </c>
      <c r="G260" s="65">
        <f>MAX(0,ROUND(G257+Materiales!$H$40-F259-G258,4))</f>
        <v/>
      </c>
      <c r="H260" s="65">
        <f>MAX(0,ROUND(H257+Materiales!$H$40-G259-H258,4))</f>
        <v/>
      </c>
      <c r="I260" s="65">
        <f>MAX(0,ROUND(I257+Materiales!$H$40-H259-I258,4))</f>
        <v/>
      </c>
      <c r="J260" s="65">
        <f>MAX(0,ROUND(J257+Materiales!$H$40-I259-J258,4))</f>
        <v/>
      </c>
      <c r="K260" s="65">
        <f>MAX(0,ROUND(K257+Materiales!$H$40-J259-K258,4))</f>
        <v/>
      </c>
      <c r="L260" s="65">
        <f>MAX(0,ROUND(L257+Materiales!$H$40-K259-L258,4))</f>
        <v/>
      </c>
      <c r="M260" s="62" t="n"/>
    </row>
    <row r="261">
      <c r="C261" s="59" t="inlineStr">
        <is>
          <t>Recepcion de orden planificada</t>
        </is>
      </c>
      <c r="D261" s="60" t="n"/>
      <c r="E261" s="61">
        <f>IF(E260&lt;=0,0,IF(Materiales!$G$40&lt;=0,E260,ROUNDUP(E260/Materiales!$G$40,0)*Materiales!$G$40))</f>
        <v/>
      </c>
      <c r="F261" s="61">
        <f>IF(F260&lt;=0,0,IF(Materiales!$G$40&lt;=0,F260,ROUNDUP(F260/Materiales!$G$40,0)*Materiales!$G$40))</f>
        <v/>
      </c>
      <c r="G261" s="61">
        <f>IF(G260&lt;=0,0,IF(Materiales!$G$40&lt;=0,G260,ROUNDUP(G260/Materiales!$G$40,0)*Materiales!$G$40))</f>
        <v/>
      </c>
      <c r="H261" s="61">
        <f>IF(H260&lt;=0,0,IF(Materiales!$G$40&lt;=0,H260,ROUNDUP(H260/Materiales!$G$40,0)*Materiales!$G$40))</f>
        <v/>
      </c>
      <c r="I261" s="61">
        <f>IF(I260&lt;=0,0,IF(Materiales!$G$40&lt;=0,I260,ROUNDUP(I260/Materiales!$G$40,0)*Materiales!$G$40))</f>
        <v/>
      </c>
      <c r="J261" s="61">
        <f>IF(J260&lt;=0,0,IF(Materiales!$G$40&lt;=0,J260,ROUNDUP(J260/Materiales!$G$40,0)*Materiales!$G$40))</f>
        <v/>
      </c>
      <c r="K261" s="61">
        <f>IF(K260&lt;=0,0,IF(Materiales!$G$40&lt;=0,K260,ROUNDUP(K260/Materiales!$G$40,0)*Materiales!$G$40))</f>
        <v/>
      </c>
      <c r="L261" s="61">
        <f>IF(L260&lt;=0,0,IF(Materiales!$G$40&lt;=0,L260,ROUNDUP(L260/Materiales!$G$40,0)*Materiales!$G$40))</f>
        <v/>
      </c>
      <c r="M261" s="62" t="n"/>
    </row>
    <row r="262">
      <c r="C262" s="66" t="inlineStr">
        <is>
          <t>LANZAMIENTO DE ORDEN — pedir esta semana</t>
        </is>
      </c>
      <c r="D262" s="60" t="n"/>
      <c r="E262" s="70">
        <f>IF(1+Materiales!$F$40&gt;8,0,INDEX($E$261:$L$261,1,1+Materiales!$F$40))</f>
        <v/>
      </c>
      <c r="F262" s="70">
        <f>IF(2+Materiales!$F$40&gt;8,0,INDEX($E$261:$L$261,1,2+Materiales!$F$40))</f>
        <v/>
      </c>
      <c r="G262" s="70">
        <f>IF(3+Materiales!$F$40&gt;8,0,INDEX($E$261:$L$261,1,3+Materiales!$F$40))</f>
        <v/>
      </c>
      <c r="H262" s="70">
        <f>IF(4+Materiales!$F$40&gt;8,0,INDEX($E$261:$L$261,1,4+Materiales!$F$40))</f>
        <v/>
      </c>
      <c r="I262" s="70">
        <f>IF(5+Materiales!$F$40&gt;8,0,INDEX($E$261:$L$261,1,5+Materiales!$F$40))</f>
        <v/>
      </c>
      <c r="J262" s="70">
        <f>IF(6+Materiales!$F$40&gt;8,0,INDEX($E$261:$L$261,1,6+Materiales!$F$40))</f>
        <v/>
      </c>
      <c r="K262" s="70">
        <f>IF(7+Materiales!$F$40&gt;8,0,INDEX($E$261:$L$261,1,7+Materiales!$F$40))</f>
        <v/>
      </c>
      <c r="L262" s="70">
        <f>IF(8+Materiales!$F$40&gt;8,0,INDEX($E$261:$L$261,1,8+Materiales!$F$40))</f>
        <v/>
      </c>
      <c r="M262" s="68">
        <f>IF($A257="","",IF(SUMPRODUCT((COLUMN($E$261:$L$261)-4&lt;=Materiales!$F$40)*$E$261:$L$261)&gt;0,"PEDIR YA (atrasado)","OK"))</f>
        <v/>
      </c>
    </row>
    <row r="263" ht="6" customHeight="1"/>
    <row r="264">
      <c r="A264" s="58">
        <f>IF(Materiales!$A$41="","",Materiales!$A$41)</f>
        <v/>
      </c>
      <c r="B264" s="58">
        <f>IF(Materiales!$B$41="","",Materiales!$B$41)</f>
        <v/>
      </c>
      <c r="C264" s="59" t="inlineStr">
        <is>
          <t>Necesidad bruta</t>
        </is>
      </c>
      <c r="D264" s="60" t="n"/>
      <c r="E264" s="61">
        <f>ROUND(SUMIF(Consumo!$O$4:$O$143,"#"&amp;$A264,Consumo!G$4:G$143),4)</f>
        <v/>
      </c>
      <c r="F264" s="61">
        <f>ROUND(SUMIF(Consumo!$O$4:$O$143,"#"&amp;$A264,Consumo!H$4:H$143),4)</f>
        <v/>
      </c>
      <c r="G264" s="61">
        <f>ROUND(SUMIF(Consumo!$O$4:$O$143,"#"&amp;$A264,Consumo!I$4:I$143),4)</f>
        <v/>
      </c>
      <c r="H264" s="61">
        <f>ROUND(SUMIF(Consumo!$O$4:$O$143,"#"&amp;$A264,Consumo!J$4:J$143),4)</f>
        <v/>
      </c>
      <c r="I264" s="61">
        <f>ROUND(SUMIF(Consumo!$O$4:$O$143,"#"&amp;$A264,Consumo!K$4:K$143),4)</f>
        <v/>
      </c>
      <c r="J264" s="61">
        <f>ROUND(SUMIF(Consumo!$O$4:$O$143,"#"&amp;$A264,Consumo!L$4:L$143),4)</f>
        <v/>
      </c>
      <c r="K264" s="61">
        <f>ROUND(SUMIF(Consumo!$O$4:$O$143,"#"&amp;$A264,Consumo!M$4:M$143),4)</f>
        <v/>
      </c>
      <c r="L264" s="61">
        <f>ROUND(SUMIF(Consumo!$O$4:$O$143,"#"&amp;$A264,Consumo!N$4:N$143),4)</f>
        <v/>
      </c>
      <c r="M264" s="62" t="n"/>
    </row>
    <row r="265">
      <c r="C265" s="59" t="inlineStr">
        <is>
          <t>Recepciones programadas (ya pedido)</t>
        </is>
      </c>
      <c r="D265" s="60" t="n"/>
      <c r="E265" s="61">
        <f>SUMIF(Inventario!$M$5:$M$87,"#"&amp;$A264,Inventario!E$5:E$87)</f>
        <v/>
      </c>
      <c r="F265" s="61">
        <f>SUMIF(Inventario!$M$5:$M$87,"#"&amp;$A264,Inventario!F$5:F$87)</f>
        <v/>
      </c>
      <c r="G265" s="61">
        <f>SUMIF(Inventario!$M$5:$M$87,"#"&amp;$A264,Inventario!G$5:G$87)</f>
        <v/>
      </c>
      <c r="H265" s="61">
        <f>SUMIF(Inventario!$M$5:$M$87,"#"&amp;$A264,Inventario!H$5:H$87)</f>
        <v/>
      </c>
      <c r="I265" s="61">
        <f>SUMIF(Inventario!$M$5:$M$87,"#"&amp;$A264,Inventario!I$5:I$87)</f>
        <v/>
      </c>
      <c r="J265" s="61">
        <f>SUMIF(Inventario!$M$5:$M$87,"#"&amp;$A264,Inventario!J$5:J$87)</f>
        <v/>
      </c>
      <c r="K265" s="61">
        <f>SUMIF(Inventario!$M$5:$M$87,"#"&amp;$A264,Inventario!K$5:K$87)</f>
        <v/>
      </c>
      <c r="L265" s="61">
        <f>SUMIF(Inventario!$M$5:$M$87,"#"&amp;$A264,Inventario!L$5:L$87)</f>
        <v/>
      </c>
      <c r="M265" s="62" t="n"/>
    </row>
    <row r="266">
      <c r="C266" s="59" t="inlineStr">
        <is>
          <t>Stock proyectado disponible</t>
        </is>
      </c>
      <c r="D266" s="63">
        <f>SUMIF(Inventario!$M$5:$M$87,"#"&amp;$A264,Inventario!$C$5:$C$87)</f>
        <v/>
      </c>
      <c r="E266" s="64">
        <f>D266+E265+E268-E264</f>
        <v/>
      </c>
      <c r="F266" s="64">
        <f>E266+F265+F268-F264</f>
        <v/>
      </c>
      <c r="G266" s="64">
        <f>F266+G265+G268-G264</f>
        <v/>
      </c>
      <c r="H266" s="64">
        <f>G266+H265+H268-H264</f>
        <v/>
      </c>
      <c r="I266" s="64">
        <f>H266+I265+I268-I264</f>
        <v/>
      </c>
      <c r="J266" s="64">
        <f>I266+J265+J268-J264</f>
        <v/>
      </c>
      <c r="K266" s="64">
        <f>J266+K265+K268-K264</f>
        <v/>
      </c>
      <c r="L266" s="64">
        <f>K266+L265+L268-L264</f>
        <v/>
      </c>
      <c r="M266" s="62" t="n"/>
    </row>
    <row r="267">
      <c r="C267" s="59" t="inlineStr">
        <is>
          <t>Necesidad neta</t>
        </is>
      </c>
      <c r="D267" s="60" t="n"/>
      <c r="E267" s="65">
        <f>MAX(0,ROUND(E264+Materiales!$H$41-D266-E265,4))</f>
        <v/>
      </c>
      <c r="F267" s="65">
        <f>MAX(0,ROUND(F264+Materiales!$H$41-E266-F265,4))</f>
        <v/>
      </c>
      <c r="G267" s="65">
        <f>MAX(0,ROUND(G264+Materiales!$H$41-F266-G265,4))</f>
        <v/>
      </c>
      <c r="H267" s="65">
        <f>MAX(0,ROUND(H264+Materiales!$H$41-G266-H265,4))</f>
        <v/>
      </c>
      <c r="I267" s="65">
        <f>MAX(0,ROUND(I264+Materiales!$H$41-H266-I265,4))</f>
        <v/>
      </c>
      <c r="J267" s="65">
        <f>MAX(0,ROUND(J264+Materiales!$H$41-I266-J265,4))</f>
        <v/>
      </c>
      <c r="K267" s="65">
        <f>MAX(0,ROUND(K264+Materiales!$H$41-J266-K265,4))</f>
        <v/>
      </c>
      <c r="L267" s="65">
        <f>MAX(0,ROUND(L264+Materiales!$H$41-K266-L265,4))</f>
        <v/>
      </c>
      <c r="M267" s="62" t="n"/>
    </row>
    <row r="268">
      <c r="C268" s="59" t="inlineStr">
        <is>
          <t>Recepcion de orden planificada</t>
        </is>
      </c>
      <c r="D268" s="60" t="n"/>
      <c r="E268" s="61">
        <f>IF(E267&lt;=0,0,IF(Materiales!$G$41&lt;=0,E267,ROUNDUP(E267/Materiales!$G$41,0)*Materiales!$G$41))</f>
        <v/>
      </c>
      <c r="F268" s="61">
        <f>IF(F267&lt;=0,0,IF(Materiales!$G$41&lt;=0,F267,ROUNDUP(F267/Materiales!$G$41,0)*Materiales!$G$41))</f>
        <v/>
      </c>
      <c r="G268" s="61">
        <f>IF(G267&lt;=0,0,IF(Materiales!$G$41&lt;=0,G267,ROUNDUP(G267/Materiales!$G$41,0)*Materiales!$G$41))</f>
        <v/>
      </c>
      <c r="H268" s="61">
        <f>IF(H267&lt;=0,0,IF(Materiales!$G$41&lt;=0,H267,ROUNDUP(H267/Materiales!$G$41,0)*Materiales!$G$41))</f>
        <v/>
      </c>
      <c r="I268" s="61">
        <f>IF(I267&lt;=0,0,IF(Materiales!$G$41&lt;=0,I267,ROUNDUP(I267/Materiales!$G$41,0)*Materiales!$G$41))</f>
        <v/>
      </c>
      <c r="J268" s="61">
        <f>IF(J267&lt;=0,0,IF(Materiales!$G$41&lt;=0,J267,ROUNDUP(J267/Materiales!$G$41,0)*Materiales!$G$41))</f>
        <v/>
      </c>
      <c r="K268" s="61">
        <f>IF(K267&lt;=0,0,IF(Materiales!$G$41&lt;=0,K267,ROUNDUP(K267/Materiales!$G$41,0)*Materiales!$G$41))</f>
        <v/>
      </c>
      <c r="L268" s="61">
        <f>IF(L267&lt;=0,0,IF(Materiales!$G$41&lt;=0,L267,ROUNDUP(L267/Materiales!$G$41,0)*Materiales!$G$41))</f>
        <v/>
      </c>
      <c r="M268" s="62" t="n"/>
    </row>
    <row r="269">
      <c r="C269" s="66" t="inlineStr">
        <is>
          <t>LANZAMIENTO DE ORDEN — pedir esta semana</t>
        </is>
      </c>
      <c r="D269" s="60" t="n"/>
      <c r="E269" s="70">
        <f>IF(1+Materiales!$F$41&gt;8,0,INDEX($E$268:$L$268,1,1+Materiales!$F$41))</f>
        <v/>
      </c>
      <c r="F269" s="70">
        <f>IF(2+Materiales!$F$41&gt;8,0,INDEX($E$268:$L$268,1,2+Materiales!$F$41))</f>
        <v/>
      </c>
      <c r="G269" s="70">
        <f>IF(3+Materiales!$F$41&gt;8,0,INDEX($E$268:$L$268,1,3+Materiales!$F$41))</f>
        <v/>
      </c>
      <c r="H269" s="70">
        <f>IF(4+Materiales!$F$41&gt;8,0,INDEX($E$268:$L$268,1,4+Materiales!$F$41))</f>
        <v/>
      </c>
      <c r="I269" s="70">
        <f>IF(5+Materiales!$F$41&gt;8,0,INDEX($E$268:$L$268,1,5+Materiales!$F$41))</f>
        <v/>
      </c>
      <c r="J269" s="70">
        <f>IF(6+Materiales!$F$41&gt;8,0,INDEX($E$268:$L$268,1,6+Materiales!$F$41))</f>
        <v/>
      </c>
      <c r="K269" s="70">
        <f>IF(7+Materiales!$F$41&gt;8,0,INDEX($E$268:$L$268,1,7+Materiales!$F$41))</f>
        <v/>
      </c>
      <c r="L269" s="70">
        <f>IF(8+Materiales!$F$41&gt;8,0,INDEX($E$268:$L$268,1,8+Materiales!$F$41))</f>
        <v/>
      </c>
      <c r="M269" s="68">
        <f>IF($A264="","",IF(SUMPRODUCT((COLUMN($E$268:$L$268)-4&lt;=Materiales!$F$41)*$E$268:$L$268)&gt;0,"PEDIR YA (atrasado)","OK"))</f>
        <v/>
      </c>
    </row>
    <row r="270" ht="6" customHeight="1"/>
    <row r="271">
      <c r="A271" s="58">
        <f>IF(Materiales!$A$42="","",Materiales!$A$42)</f>
        <v/>
      </c>
      <c r="B271" s="58">
        <f>IF(Materiales!$B$42="","",Materiales!$B$42)</f>
        <v/>
      </c>
      <c r="C271" s="59" t="inlineStr">
        <is>
          <t>Necesidad bruta</t>
        </is>
      </c>
      <c r="D271" s="60" t="n"/>
      <c r="E271" s="61">
        <f>ROUND(SUMIF(Consumo!$O$4:$O$143,"#"&amp;$A271,Consumo!G$4:G$143),4)</f>
        <v/>
      </c>
      <c r="F271" s="61">
        <f>ROUND(SUMIF(Consumo!$O$4:$O$143,"#"&amp;$A271,Consumo!H$4:H$143),4)</f>
        <v/>
      </c>
      <c r="G271" s="61">
        <f>ROUND(SUMIF(Consumo!$O$4:$O$143,"#"&amp;$A271,Consumo!I$4:I$143),4)</f>
        <v/>
      </c>
      <c r="H271" s="61">
        <f>ROUND(SUMIF(Consumo!$O$4:$O$143,"#"&amp;$A271,Consumo!J$4:J$143),4)</f>
        <v/>
      </c>
      <c r="I271" s="61">
        <f>ROUND(SUMIF(Consumo!$O$4:$O$143,"#"&amp;$A271,Consumo!K$4:K$143),4)</f>
        <v/>
      </c>
      <c r="J271" s="61">
        <f>ROUND(SUMIF(Consumo!$O$4:$O$143,"#"&amp;$A271,Consumo!L$4:L$143),4)</f>
        <v/>
      </c>
      <c r="K271" s="61">
        <f>ROUND(SUMIF(Consumo!$O$4:$O$143,"#"&amp;$A271,Consumo!M$4:M$143),4)</f>
        <v/>
      </c>
      <c r="L271" s="61">
        <f>ROUND(SUMIF(Consumo!$O$4:$O$143,"#"&amp;$A271,Consumo!N$4:N$143),4)</f>
        <v/>
      </c>
      <c r="M271" s="62" t="n"/>
    </row>
    <row r="272">
      <c r="C272" s="59" t="inlineStr">
        <is>
          <t>Recepciones programadas (ya pedido)</t>
        </is>
      </c>
      <c r="D272" s="60" t="n"/>
      <c r="E272" s="61">
        <f>SUMIF(Inventario!$M$5:$M$87,"#"&amp;$A271,Inventario!E$5:E$87)</f>
        <v/>
      </c>
      <c r="F272" s="61">
        <f>SUMIF(Inventario!$M$5:$M$87,"#"&amp;$A271,Inventario!F$5:F$87)</f>
        <v/>
      </c>
      <c r="G272" s="61">
        <f>SUMIF(Inventario!$M$5:$M$87,"#"&amp;$A271,Inventario!G$5:G$87)</f>
        <v/>
      </c>
      <c r="H272" s="61">
        <f>SUMIF(Inventario!$M$5:$M$87,"#"&amp;$A271,Inventario!H$5:H$87)</f>
        <v/>
      </c>
      <c r="I272" s="61">
        <f>SUMIF(Inventario!$M$5:$M$87,"#"&amp;$A271,Inventario!I$5:I$87)</f>
        <v/>
      </c>
      <c r="J272" s="61">
        <f>SUMIF(Inventario!$M$5:$M$87,"#"&amp;$A271,Inventario!J$5:J$87)</f>
        <v/>
      </c>
      <c r="K272" s="61">
        <f>SUMIF(Inventario!$M$5:$M$87,"#"&amp;$A271,Inventario!K$5:K$87)</f>
        <v/>
      </c>
      <c r="L272" s="61">
        <f>SUMIF(Inventario!$M$5:$M$87,"#"&amp;$A271,Inventario!L$5:L$87)</f>
        <v/>
      </c>
      <c r="M272" s="62" t="n"/>
    </row>
    <row r="273">
      <c r="C273" s="59" t="inlineStr">
        <is>
          <t>Stock proyectado disponible</t>
        </is>
      </c>
      <c r="D273" s="63">
        <f>SUMIF(Inventario!$M$5:$M$87,"#"&amp;$A271,Inventario!$C$5:$C$87)</f>
        <v/>
      </c>
      <c r="E273" s="64">
        <f>D273+E272+E275-E271</f>
        <v/>
      </c>
      <c r="F273" s="64">
        <f>E273+F272+F275-F271</f>
        <v/>
      </c>
      <c r="G273" s="64">
        <f>F273+G272+G275-G271</f>
        <v/>
      </c>
      <c r="H273" s="64">
        <f>G273+H272+H275-H271</f>
        <v/>
      </c>
      <c r="I273" s="64">
        <f>H273+I272+I275-I271</f>
        <v/>
      </c>
      <c r="J273" s="64">
        <f>I273+J272+J275-J271</f>
        <v/>
      </c>
      <c r="K273" s="64">
        <f>J273+K272+K275-K271</f>
        <v/>
      </c>
      <c r="L273" s="64">
        <f>K273+L272+L275-L271</f>
        <v/>
      </c>
      <c r="M273" s="62" t="n"/>
    </row>
    <row r="274">
      <c r="C274" s="59" t="inlineStr">
        <is>
          <t>Necesidad neta</t>
        </is>
      </c>
      <c r="D274" s="60" t="n"/>
      <c r="E274" s="65">
        <f>MAX(0,ROUND(E271+Materiales!$H$42-D273-E272,4))</f>
        <v/>
      </c>
      <c r="F274" s="65">
        <f>MAX(0,ROUND(F271+Materiales!$H$42-E273-F272,4))</f>
        <v/>
      </c>
      <c r="G274" s="65">
        <f>MAX(0,ROUND(G271+Materiales!$H$42-F273-G272,4))</f>
        <v/>
      </c>
      <c r="H274" s="65">
        <f>MAX(0,ROUND(H271+Materiales!$H$42-G273-H272,4))</f>
        <v/>
      </c>
      <c r="I274" s="65">
        <f>MAX(0,ROUND(I271+Materiales!$H$42-H273-I272,4))</f>
        <v/>
      </c>
      <c r="J274" s="65">
        <f>MAX(0,ROUND(J271+Materiales!$H$42-I273-J272,4))</f>
        <v/>
      </c>
      <c r="K274" s="65">
        <f>MAX(0,ROUND(K271+Materiales!$H$42-J273-K272,4))</f>
        <v/>
      </c>
      <c r="L274" s="65">
        <f>MAX(0,ROUND(L271+Materiales!$H$42-K273-L272,4))</f>
        <v/>
      </c>
      <c r="M274" s="62" t="n"/>
    </row>
    <row r="275">
      <c r="C275" s="59" t="inlineStr">
        <is>
          <t>Recepcion de orden planificada</t>
        </is>
      </c>
      <c r="D275" s="60" t="n"/>
      <c r="E275" s="61">
        <f>IF(E274&lt;=0,0,IF(Materiales!$G$42&lt;=0,E274,ROUNDUP(E274/Materiales!$G$42,0)*Materiales!$G$42))</f>
        <v/>
      </c>
      <c r="F275" s="61">
        <f>IF(F274&lt;=0,0,IF(Materiales!$G$42&lt;=0,F274,ROUNDUP(F274/Materiales!$G$42,0)*Materiales!$G$42))</f>
        <v/>
      </c>
      <c r="G275" s="61">
        <f>IF(G274&lt;=0,0,IF(Materiales!$G$42&lt;=0,G274,ROUNDUP(G274/Materiales!$G$42,0)*Materiales!$G$42))</f>
        <v/>
      </c>
      <c r="H275" s="61">
        <f>IF(H274&lt;=0,0,IF(Materiales!$G$42&lt;=0,H274,ROUNDUP(H274/Materiales!$G$42,0)*Materiales!$G$42))</f>
        <v/>
      </c>
      <c r="I275" s="61">
        <f>IF(I274&lt;=0,0,IF(Materiales!$G$42&lt;=0,I274,ROUNDUP(I274/Materiales!$G$42,0)*Materiales!$G$42))</f>
        <v/>
      </c>
      <c r="J275" s="61">
        <f>IF(J274&lt;=0,0,IF(Materiales!$G$42&lt;=0,J274,ROUNDUP(J274/Materiales!$G$42,0)*Materiales!$G$42))</f>
        <v/>
      </c>
      <c r="K275" s="61">
        <f>IF(K274&lt;=0,0,IF(Materiales!$G$42&lt;=0,K274,ROUNDUP(K274/Materiales!$G$42,0)*Materiales!$G$42))</f>
        <v/>
      </c>
      <c r="L275" s="61">
        <f>IF(L274&lt;=0,0,IF(Materiales!$G$42&lt;=0,L274,ROUNDUP(L274/Materiales!$G$42,0)*Materiales!$G$42))</f>
        <v/>
      </c>
      <c r="M275" s="62" t="n"/>
    </row>
    <row r="276">
      <c r="C276" s="66" t="inlineStr">
        <is>
          <t>LANZAMIENTO DE ORDEN — pedir esta semana</t>
        </is>
      </c>
      <c r="D276" s="60" t="n"/>
      <c r="E276" s="70">
        <f>IF(1+Materiales!$F$42&gt;8,0,INDEX($E$275:$L$275,1,1+Materiales!$F$42))</f>
        <v/>
      </c>
      <c r="F276" s="70">
        <f>IF(2+Materiales!$F$42&gt;8,0,INDEX($E$275:$L$275,1,2+Materiales!$F$42))</f>
        <v/>
      </c>
      <c r="G276" s="70">
        <f>IF(3+Materiales!$F$42&gt;8,0,INDEX($E$275:$L$275,1,3+Materiales!$F$42))</f>
        <v/>
      </c>
      <c r="H276" s="70">
        <f>IF(4+Materiales!$F$42&gt;8,0,INDEX($E$275:$L$275,1,4+Materiales!$F$42))</f>
        <v/>
      </c>
      <c r="I276" s="70">
        <f>IF(5+Materiales!$F$42&gt;8,0,INDEX($E$275:$L$275,1,5+Materiales!$F$42))</f>
        <v/>
      </c>
      <c r="J276" s="70">
        <f>IF(6+Materiales!$F$42&gt;8,0,INDEX($E$275:$L$275,1,6+Materiales!$F$42))</f>
        <v/>
      </c>
      <c r="K276" s="70">
        <f>IF(7+Materiales!$F$42&gt;8,0,INDEX($E$275:$L$275,1,7+Materiales!$F$42))</f>
        <v/>
      </c>
      <c r="L276" s="70">
        <f>IF(8+Materiales!$F$42&gt;8,0,INDEX($E$275:$L$275,1,8+Materiales!$F$42))</f>
        <v/>
      </c>
      <c r="M276" s="68">
        <f>IF($A271="","",IF(SUMPRODUCT((COLUMN($E$275:$L$275)-4&lt;=Materiales!$F$42)*$E$275:$L$275)&gt;0,"PEDIR YA (atrasado)","OK"))</f>
        <v/>
      </c>
    </row>
    <row r="277" ht="6" customHeight="1"/>
    <row r="278">
      <c r="A278" s="58">
        <f>IF(Materiales!$A$43="","",Materiales!$A$43)</f>
        <v/>
      </c>
      <c r="B278" s="58">
        <f>IF(Materiales!$B$43="","",Materiales!$B$43)</f>
        <v/>
      </c>
      <c r="C278" s="59" t="inlineStr">
        <is>
          <t>Necesidad bruta</t>
        </is>
      </c>
      <c r="D278" s="60" t="n"/>
      <c r="E278" s="61">
        <f>ROUND(SUMIF(Consumo!$O$4:$O$143,"#"&amp;$A278,Consumo!G$4:G$143),4)</f>
        <v/>
      </c>
      <c r="F278" s="61">
        <f>ROUND(SUMIF(Consumo!$O$4:$O$143,"#"&amp;$A278,Consumo!H$4:H$143),4)</f>
        <v/>
      </c>
      <c r="G278" s="61">
        <f>ROUND(SUMIF(Consumo!$O$4:$O$143,"#"&amp;$A278,Consumo!I$4:I$143),4)</f>
        <v/>
      </c>
      <c r="H278" s="61">
        <f>ROUND(SUMIF(Consumo!$O$4:$O$143,"#"&amp;$A278,Consumo!J$4:J$143),4)</f>
        <v/>
      </c>
      <c r="I278" s="61">
        <f>ROUND(SUMIF(Consumo!$O$4:$O$143,"#"&amp;$A278,Consumo!K$4:K$143),4)</f>
        <v/>
      </c>
      <c r="J278" s="61">
        <f>ROUND(SUMIF(Consumo!$O$4:$O$143,"#"&amp;$A278,Consumo!L$4:L$143),4)</f>
        <v/>
      </c>
      <c r="K278" s="61">
        <f>ROUND(SUMIF(Consumo!$O$4:$O$143,"#"&amp;$A278,Consumo!M$4:M$143),4)</f>
        <v/>
      </c>
      <c r="L278" s="61">
        <f>ROUND(SUMIF(Consumo!$O$4:$O$143,"#"&amp;$A278,Consumo!N$4:N$143),4)</f>
        <v/>
      </c>
      <c r="M278" s="62" t="n"/>
    </row>
    <row r="279">
      <c r="C279" s="59" t="inlineStr">
        <is>
          <t>Recepciones programadas (ya pedido)</t>
        </is>
      </c>
      <c r="D279" s="60" t="n"/>
      <c r="E279" s="61">
        <f>SUMIF(Inventario!$M$5:$M$87,"#"&amp;$A278,Inventario!E$5:E$87)</f>
        <v/>
      </c>
      <c r="F279" s="61">
        <f>SUMIF(Inventario!$M$5:$M$87,"#"&amp;$A278,Inventario!F$5:F$87)</f>
        <v/>
      </c>
      <c r="G279" s="61">
        <f>SUMIF(Inventario!$M$5:$M$87,"#"&amp;$A278,Inventario!G$5:G$87)</f>
        <v/>
      </c>
      <c r="H279" s="61">
        <f>SUMIF(Inventario!$M$5:$M$87,"#"&amp;$A278,Inventario!H$5:H$87)</f>
        <v/>
      </c>
      <c r="I279" s="61">
        <f>SUMIF(Inventario!$M$5:$M$87,"#"&amp;$A278,Inventario!I$5:I$87)</f>
        <v/>
      </c>
      <c r="J279" s="61">
        <f>SUMIF(Inventario!$M$5:$M$87,"#"&amp;$A278,Inventario!J$5:J$87)</f>
        <v/>
      </c>
      <c r="K279" s="61">
        <f>SUMIF(Inventario!$M$5:$M$87,"#"&amp;$A278,Inventario!K$5:K$87)</f>
        <v/>
      </c>
      <c r="L279" s="61">
        <f>SUMIF(Inventario!$M$5:$M$87,"#"&amp;$A278,Inventario!L$5:L$87)</f>
        <v/>
      </c>
      <c r="M279" s="62" t="n"/>
    </row>
    <row r="280">
      <c r="C280" s="59" t="inlineStr">
        <is>
          <t>Stock proyectado disponible</t>
        </is>
      </c>
      <c r="D280" s="63">
        <f>SUMIF(Inventario!$M$5:$M$87,"#"&amp;$A278,Inventario!$C$5:$C$87)</f>
        <v/>
      </c>
      <c r="E280" s="64">
        <f>D280+E279+E282-E278</f>
        <v/>
      </c>
      <c r="F280" s="64">
        <f>E280+F279+F282-F278</f>
        <v/>
      </c>
      <c r="G280" s="64">
        <f>F280+G279+G282-G278</f>
        <v/>
      </c>
      <c r="H280" s="64">
        <f>G280+H279+H282-H278</f>
        <v/>
      </c>
      <c r="I280" s="64">
        <f>H280+I279+I282-I278</f>
        <v/>
      </c>
      <c r="J280" s="64">
        <f>I280+J279+J282-J278</f>
        <v/>
      </c>
      <c r="K280" s="64">
        <f>J280+K279+K282-K278</f>
        <v/>
      </c>
      <c r="L280" s="64">
        <f>K280+L279+L282-L278</f>
        <v/>
      </c>
      <c r="M280" s="62" t="n"/>
    </row>
    <row r="281">
      <c r="C281" s="59" t="inlineStr">
        <is>
          <t>Necesidad neta</t>
        </is>
      </c>
      <c r="D281" s="60" t="n"/>
      <c r="E281" s="65">
        <f>MAX(0,ROUND(E278+Materiales!$H$43-D280-E279,4))</f>
        <v/>
      </c>
      <c r="F281" s="65">
        <f>MAX(0,ROUND(F278+Materiales!$H$43-E280-F279,4))</f>
        <v/>
      </c>
      <c r="G281" s="65">
        <f>MAX(0,ROUND(G278+Materiales!$H$43-F280-G279,4))</f>
        <v/>
      </c>
      <c r="H281" s="65">
        <f>MAX(0,ROUND(H278+Materiales!$H$43-G280-H279,4))</f>
        <v/>
      </c>
      <c r="I281" s="65">
        <f>MAX(0,ROUND(I278+Materiales!$H$43-H280-I279,4))</f>
        <v/>
      </c>
      <c r="J281" s="65">
        <f>MAX(0,ROUND(J278+Materiales!$H$43-I280-J279,4))</f>
        <v/>
      </c>
      <c r="K281" s="65">
        <f>MAX(0,ROUND(K278+Materiales!$H$43-J280-K279,4))</f>
        <v/>
      </c>
      <c r="L281" s="65">
        <f>MAX(0,ROUND(L278+Materiales!$H$43-K280-L279,4))</f>
        <v/>
      </c>
      <c r="M281" s="62" t="n"/>
    </row>
    <row r="282">
      <c r="C282" s="59" t="inlineStr">
        <is>
          <t>Recepcion de orden planificada</t>
        </is>
      </c>
      <c r="D282" s="60" t="n"/>
      <c r="E282" s="61">
        <f>IF(E281&lt;=0,0,IF(Materiales!$G$43&lt;=0,E281,ROUNDUP(E281/Materiales!$G$43,0)*Materiales!$G$43))</f>
        <v/>
      </c>
      <c r="F282" s="61">
        <f>IF(F281&lt;=0,0,IF(Materiales!$G$43&lt;=0,F281,ROUNDUP(F281/Materiales!$G$43,0)*Materiales!$G$43))</f>
        <v/>
      </c>
      <c r="G282" s="61">
        <f>IF(G281&lt;=0,0,IF(Materiales!$G$43&lt;=0,G281,ROUNDUP(G281/Materiales!$G$43,0)*Materiales!$G$43))</f>
        <v/>
      </c>
      <c r="H282" s="61">
        <f>IF(H281&lt;=0,0,IF(Materiales!$G$43&lt;=0,H281,ROUNDUP(H281/Materiales!$G$43,0)*Materiales!$G$43))</f>
        <v/>
      </c>
      <c r="I282" s="61">
        <f>IF(I281&lt;=0,0,IF(Materiales!$G$43&lt;=0,I281,ROUNDUP(I281/Materiales!$G$43,0)*Materiales!$G$43))</f>
        <v/>
      </c>
      <c r="J282" s="61">
        <f>IF(J281&lt;=0,0,IF(Materiales!$G$43&lt;=0,J281,ROUNDUP(J281/Materiales!$G$43,0)*Materiales!$G$43))</f>
        <v/>
      </c>
      <c r="K282" s="61">
        <f>IF(K281&lt;=0,0,IF(Materiales!$G$43&lt;=0,K281,ROUNDUP(K281/Materiales!$G$43,0)*Materiales!$G$43))</f>
        <v/>
      </c>
      <c r="L282" s="61">
        <f>IF(L281&lt;=0,0,IF(Materiales!$G$43&lt;=0,L281,ROUNDUP(L281/Materiales!$G$43,0)*Materiales!$G$43))</f>
        <v/>
      </c>
      <c r="M282" s="62" t="n"/>
    </row>
    <row r="283">
      <c r="C283" s="66" t="inlineStr">
        <is>
          <t>LANZAMIENTO DE ORDEN — pedir esta semana</t>
        </is>
      </c>
      <c r="D283" s="60" t="n"/>
      <c r="E283" s="70">
        <f>IF(1+Materiales!$F$43&gt;8,0,INDEX($E$282:$L$282,1,1+Materiales!$F$43))</f>
        <v/>
      </c>
      <c r="F283" s="70">
        <f>IF(2+Materiales!$F$43&gt;8,0,INDEX($E$282:$L$282,1,2+Materiales!$F$43))</f>
        <v/>
      </c>
      <c r="G283" s="70">
        <f>IF(3+Materiales!$F$43&gt;8,0,INDEX($E$282:$L$282,1,3+Materiales!$F$43))</f>
        <v/>
      </c>
      <c r="H283" s="70">
        <f>IF(4+Materiales!$F$43&gt;8,0,INDEX($E$282:$L$282,1,4+Materiales!$F$43))</f>
        <v/>
      </c>
      <c r="I283" s="70">
        <f>IF(5+Materiales!$F$43&gt;8,0,INDEX($E$282:$L$282,1,5+Materiales!$F$43))</f>
        <v/>
      </c>
      <c r="J283" s="70">
        <f>IF(6+Materiales!$F$43&gt;8,0,INDEX($E$282:$L$282,1,6+Materiales!$F$43))</f>
        <v/>
      </c>
      <c r="K283" s="70">
        <f>IF(7+Materiales!$F$43&gt;8,0,INDEX($E$282:$L$282,1,7+Materiales!$F$43))</f>
        <v/>
      </c>
      <c r="L283" s="70">
        <f>IF(8+Materiales!$F$43&gt;8,0,INDEX($E$282:$L$282,1,8+Materiales!$F$43))</f>
        <v/>
      </c>
      <c r="M283" s="68">
        <f>IF($A278="","",IF(SUMPRODUCT((COLUMN($E$282:$L$282)-4&lt;=Materiales!$F$43)*$E$282:$L$282)&gt;0,"PEDIR YA (atrasado)","OK"))</f>
        <v/>
      </c>
    </row>
    <row r="284" ht="6" customHeight="1"/>
    <row r="285">
      <c r="A285" s="58">
        <f>IF(Materiales!$A$44="","",Materiales!$A$44)</f>
        <v/>
      </c>
      <c r="B285" s="58">
        <f>IF(Materiales!$B$44="","",Materiales!$B$44)</f>
        <v/>
      </c>
      <c r="C285" s="59" t="inlineStr">
        <is>
          <t>Necesidad bruta</t>
        </is>
      </c>
      <c r="D285" s="60" t="n"/>
      <c r="E285" s="61">
        <f>ROUND(SUMIF(Consumo!$O$4:$O$143,"#"&amp;$A285,Consumo!G$4:G$143),4)</f>
        <v/>
      </c>
      <c r="F285" s="61">
        <f>ROUND(SUMIF(Consumo!$O$4:$O$143,"#"&amp;$A285,Consumo!H$4:H$143),4)</f>
        <v/>
      </c>
      <c r="G285" s="61">
        <f>ROUND(SUMIF(Consumo!$O$4:$O$143,"#"&amp;$A285,Consumo!I$4:I$143),4)</f>
        <v/>
      </c>
      <c r="H285" s="61">
        <f>ROUND(SUMIF(Consumo!$O$4:$O$143,"#"&amp;$A285,Consumo!J$4:J$143),4)</f>
        <v/>
      </c>
      <c r="I285" s="61">
        <f>ROUND(SUMIF(Consumo!$O$4:$O$143,"#"&amp;$A285,Consumo!K$4:K$143),4)</f>
        <v/>
      </c>
      <c r="J285" s="61">
        <f>ROUND(SUMIF(Consumo!$O$4:$O$143,"#"&amp;$A285,Consumo!L$4:L$143),4)</f>
        <v/>
      </c>
      <c r="K285" s="61">
        <f>ROUND(SUMIF(Consumo!$O$4:$O$143,"#"&amp;$A285,Consumo!M$4:M$143),4)</f>
        <v/>
      </c>
      <c r="L285" s="61">
        <f>ROUND(SUMIF(Consumo!$O$4:$O$143,"#"&amp;$A285,Consumo!N$4:N$143),4)</f>
        <v/>
      </c>
      <c r="M285" s="62" t="n"/>
    </row>
    <row r="286">
      <c r="C286" s="59" t="inlineStr">
        <is>
          <t>Recepciones programadas (ya pedido)</t>
        </is>
      </c>
      <c r="D286" s="60" t="n"/>
      <c r="E286" s="61">
        <f>SUMIF(Inventario!$M$5:$M$87,"#"&amp;$A285,Inventario!E$5:E$87)</f>
        <v/>
      </c>
      <c r="F286" s="61">
        <f>SUMIF(Inventario!$M$5:$M$87,"#"&amp;$A285,Inventario!F$5:F$87)</f>
        <v/>
      </c>
      <c r="G286" s="61">
        <f>SUMIF(Inventario!$M$5:$M$87,"#"&amp;$A285,Inventario!G$5:G$87)</f>
        <v/>
      </c>
      <c r="H286" s="61">
        <f>SUMIF(Inventario!$M$5:$M$87,"#"&amp;$A285,Inventario!H$5:H$87)</f>
        <v/>
      </c>
      <c r="I286" s="61">
        <f>SUMIF(Inventario!$M$5:$M$87,"#"&amp;$A285,Inventario!I$5:I$87)</f>
        <v/>
      </c>
      <c r="J286" s="61">
        <f>SUMIF(Inventario!$M$5:$M$87,"#"&amp;$A285,Inventario!J$5:J$87)</f>
        <v/>
      </c>
      <c r="K286" s="61">
        <f>SUMIF(Inventario!$M$5:$M$87,"#"&amp;$A285,Inventario!K$5:K$87)</f>
        <v/>
      </c>
      <c r="L286" s="61">
        <f>SUMIF(Inventario!$M$5:$M$87,"#"&amp;$A285,Inventario!L$5:L$87)</f>
        <v/>
      </c>
      <c r="M286" s="62" t="n"/>
    </row>
    <row r="287">
      <c r="C287" s="59" t="inlineStr">
        <is>
          <t>Stock proyectado disponible</t>
        </is>
      </c>
      <c r="D287" s="63">
        <f>SUMIF(Inventario!$M$5:$M$87,"#"&amp;$A285,Inventario!$C$5:$C$87)</f>
        <v/>
      </c>
      <c r="E287" s="64">
        <f>D287+E286+E289-E285</f>
        <v/>
      </c>
      <c r="F287" s="64">
        <f>E287+F286+F289-F285</f>
        <v/>
      </c>
      <c r="G287" s="64">
        <f>F287+G286+G289-G285</f>
        <v/>
      </c>
      <c r="H287" s="64">
        <f>G287+H286+H289-H285</f>
        <v/>
      </c>
      <c r="I287" s="64">
        <f>H287+I286+I289-I285</f>
        <v/>
      </c>
      <c r="J287" s="64">
        <f>I287+J286+J289-J285</f>
        <v/>
      </c>
      <c r="K287" s="64">
        <f>J287+K286+K289-K285</f>
        <v/>
      </c>
      <c r="L287" s="64">
        <f>K287+L286+L289-L285</f>
        <v/>
      </c>
      <c r="M287" s="62" t="n"/>
    </row>
    <row r="288">
      <c r="C288" s="59" t="inlineStr">
        <is>
          <t>Necesidad neta</t>
        </is>
      </c>
      <c r="D288" s="60" t="n"/>
      <c r="E288" s="65">
        <f>MAX(0,ROUND(E285+Materiales!$H$44-D287-E286,4))</f>
        <v/>
      </c>
      <c r="F288" s="65">
        <f>MAX(0,ROUND(F285+Materiales!$H$44-E287-F286,4))</f>
        <v/>
      </c>
      <c r="G288" s="65">
        <f>MAX(0,ROUND(G285+Materiales!$H$44-F287-G286,4))</f>
        <v/>
      </c>
      <c r="H288" s="65">
        <f>MAX(0,ROUND(H285+Materiales!$H$44-G287-H286,4))</f>
        <v/>
      </c>
      <c r="I288" s="65">
        <f>MAX(0,ROUND(I285+Materiales!$H$44-H287-I286,4))</f>
        <v/>
      </c>
      <c r="J288" s="65">
        <f>MAX(0,ROUND(J285+Materiales!$H$44-I287-J286,4))</f>
        <v/>
      </c>
      <c r="K288" s="65">
        <f>MAX(0,ROUND(K285+Materiales!$H$44-J287-K286,4))</f>
        <v/>
      </c>
      <c r="L288" s="65">
        <f>MAX(0,ROUND(L285+Materiales!$H$44-K287-L286,4))</f>
        <v/>
      </c>
      <c r="M288" s="62" t="n"/>
    </row>
    <row r="289">
      <c r="C289" s="59" t="inlineStr">
        <is>
          <t>Recepcion de orden planificada</t>
        </is>
      </c>
      <c r="D289" s="60" t="n"/>
      <c r="E289" s="61">
        <f>IF(E288&lt;=0,0,IF(Materiales!$G$44&lt;=0,E288,ROUNDUP(E288/Materiales!$G$44,0)*Materiales!$G$44))</f>
        <v/>
      </c>
      <c r="F289" s="61">
        <f>IF(F288&lt;=0,0,IF(Materiales!$G$44&lt;=0,F288,ROUNDUP(F288/Materiales!$G$44,0)*Materiales!$G$44))</f>
        <v/>
      </c>
      <c r="G289" s="61">
        <f>IF(G288&lt;=0,0,IF(Materiales!$G$44&lt;=0,G288,ROUNDUP(G288/Materiales!$G$44,0)*Materiales!$G$44))</f>
        <v/>
      </c>
      <c r="H289" s="61">
        <f>IF(H288&lt;=0,0,IF(Materiales!$G$44&lt;=0,H288,ROUNDUP(H288/Materiales!$G$44,0)*Materiales!$G$44))</f>
        <v/>
      </c>
      <c r="I289" s="61">
        <f>IF(I288&lt;=0,0,IF(Materiales!$G$44&lt;=0,I288,ROUNDUP(I288/Materiales!$G$44,0)*Materiales!$G$44))</f>
        <v/>
      </c>
      <c r="J289" s="61">
        <f>IF(J288&lt;=0,0,IF(Materiales!$G$44&lt;=0,J288,ROUNDUP(J288/Materiales!$G$44,0)*Materiales!$G$44))</f>
        <v/>
      </c>
      <c r="K289" s="61">
        <f>IF(K288&lt;=0,0,IF(Materiales!$G$44&lt;=0,K288,ROUNDUP(K288/Materiales!$G$44,0)*Materiales!$G$44))</f>
        <v/>
      </c>
      <c r="L289" s="61">
        <f>IF(L288&lt;=0,0,IF(Materiales!$G$44&lt;=0,L288,ROUNDUP(L288/Materiales!$G$44,0)*Materiales!$G$44))</f>
        <v/>
      </c>
      <c r="M289" s="62" t="n"/>
    </row>
    <row r="290">
      <c r="C290" s="66" t="inlineStr">
        <is>
          <t>LANZAMIENTO DE ORDEN — pedir esta semana</t>
        </is>
      </c>
      <c r="D290" s="60" t="n"/>
      <c r="E290" s="70">
        <f>IF(1+Materiales!$F$44&gt;8,0,INDEX($E$289:$L$289,1,1+Materiales!$F$44))</f>
        <v/>
      </c>
      <c r="F290" s="70">
        <f>IF(2+Materiales!$F$44&gt;8,0,INDEX($E$289:$L$289,1,2+Materiales!$F$44))</f>
        <v/>
      </c>
      <c r="G290" s="70">
        <f>IF(3+Materiales!$F$44&gt;8,0,INDEX($E$289:$L$289,1,3+Materiales!$F$44))</f>
        <v/>
      </c>
      <c r="H290" s="70">
        <f>IF(4+Materiales!$F$44&gt;8,0,INDEX($E$289:$L$289,1,4+Materiales!$F$44))</f>
        <v/>
      </c>
      <c r="I290" s="70">
        <f>IF(5+Materiales!$F$44&gt;8,0,INDEX($E$289:$L$289,1,5+Materiales!$F$44))</f>
        <v/>
      </c>
      <c r="J290" s="70">
        <f>IF(6+Materiales!$F$44&gt;8,0,INDEX($E$289:$L$289,1,6+Materiales!$F$44))</f>
        <v/>
      </c>
      <c r="K290" s="70">
        <f>IF(7+Materiales!$F$44&gt;8,0,INDEX($E$289:$L$289,1,7+Materiales!$F$44))</f>
        <v/>
      </c>
      <c r="L290" s="70">
        <f>IF(8+Materiales!$F$44&gt;8,0,INDEX($E$289:$L$289,1,8+Materiales!$F$44))</f>
        <v/>
      </c>
      <c r="M290" s="68">
        <f>IF($A285="","",IF(SUMPRODUCT((COLUMN($E$289:$L$289)-4&lt;=Materiales!$F$44)*$E$289:$L$289)&gt;0,"PEDIR YA (atrasado)","OK"))</f>
        <v/>
      </c>
    </row>
    <row r="291" ht="6" customHeight="1"/>
    <row r="292">
      <c r="A292" s="58">
        <f>IF(Materiales!$A$45="","",Materiales!$A$45)</f>
        <v/>
      </c>
      <c r="B292" s="58">
        <f>IF(Materiales!$B$45="","",Materiales!$B$45)</f>
        <v/>
      </c>
      <c r="C292" s="59" t="inlineStr">
        <is>
          <t>Necesidad bruta</t>
        </is>
      </c>
      <c r="D292" s="60" t="n"/>
      <c r="E292" s="61">
        <f>ROUND(SUMIF(Consumo!$O$4:$O$143,"#"&amp;$A292,Consumo!G$4:G$143),4)</f>
        <v/>
      </c>
      <c r="F292" s="61">
        <f>ROUND(SUMIF(Consumo!$O$4:$O$143,"#"&amp;$A292,Consumo!H$4:H$143),4)</f>
        <v/>
      </c>
      <c r="G292" s="61">
        <f>ROUND(SUMIF(Consumo!$O$4:$O$143,"#"&amp;$A292,Consumo!I$4:I$143),4)</f>
        <v/>
      </c>
      <c r="H292" s="61">
        <f>ROUND(SUMIF(Consumo!$O$4:$O$143,"#"&amp;$A292,Consumo!J$4:J$143),4)</f>
        <v/>
      </c>
      <c r="I292" s="61">
        <f>ROUND(SUMIF(Consumo!$O$4:$O$143,"#"&amp;$A292,Consumo!K$4:K$143),4)</f>
        <v/>
      </c>
      <c r="J292" s="61">
        <f>ROUND(SUMIF(Consumo!$O$4:$O$143,"#"&amp;$A292,Consumo!L$4:L$143),4)</f>
        <v/>
      </c>
      <c r="K292" s="61">
        <f>ROUND(SUMIF(Consumo!$O$4:$O$143,"#"&amp;$A292,Consumo!M$4:M$143),4)</f>
        <v/>
      </c>
      <c r="L292" s="61">
        <f>ROUND(SUMIF(Consumo!$O$4:$O$143,"#"&amp;$A292,Consumo!N$4:N$143),4)</f>
        <v/>
      </c>
      <c r="M292" s="62" t="n"/>
    </row>
    <row r="293">
      <c r="C293" s="59" t="inlineStr">
        <is>
          <t>Recepciones programadas (ya pedido)</t>
        </is>
      </c>
      <c r="D293" s="60" t="n"/>
      <c r="E293" s="61">
        <f>SUMIF(Inventario!$M$5:$M$87,"#"&amp;$A292,Inventario!E$5:E$87)</f>
        <v/>
      </c>
      <c r="F293" s="61">
        <f>SUMIF(Inventario!$M$5:$M$87,"#"&amp;$A292,Inventario!F$5:F$87)</f>
        <v/>
      </c>
      <c r="G293" s="61">
        <f>SUMIF(Inventario!$M$5:$M$87,"#"&amp;$A292,Inventario!G$5:G$87)</f>
        <v/>
      </c>
      <c r="H293" s="61">
        <f>SUMIF(Inventario!$M$5:$M$87,"#"&amp;$A292,Inventario!H$5:H$87)</f>
        <v/>
      </c>
      <c r="I293" s="61">
        <f>SUMIF(Inventario!$M$5:$M$87,"#"&amp;$A292,Inventario!I$5:I$87)</f>
        <v/>
      </c>
      <c r="J293" s="61">
        <f>SUMIF(Inventario!$M$5:$M$87,"#"&amp;$A292,Inventario!J$5:J$87)</f>
        <v/>
      </c>
      <c r="K293" s="61">
        <f>SUMIF(Inventario!$M$5:$M$87,"#"&amp;$A292,Inventario!K$5:K$87)</f>
        <v/>
      </c>
      <c r="L293" s="61">
        <f>SUMIF(Inventario!$M$5:$M$87,"#"&amp;$A292,Inventario!L$5:L$87)</f>
        <v/>
      </c>
      <c r="M293" s="62" t="n"/>
    </row>
    <row r="294">
      <c r="C294" s="59" t="inlineStr">
        <is>
          <t>Stock proyectado disponible</t>
        </is>
      </c>
      <c r="D294" s="63">
        <f>SUMIF(Inventario!$M$5:$M$87,"#"&amp;$A292,Inventario!$C$5:$C$87)</f>
        <v/>
      </c>
      <c r="E294" s="64">
        <f>D294+E293+E296-E292</f>
        <v/>
      </c>
      <c r="F294" s="64">
        <f>E294+F293+F296-F292</f>
        <v/>
      </c>
      <c r="G294" s="64">
        <f>F294+G293+G296-G292</f>
        <v/>
      </c>
      <c r="H294" s="64">
        <f>G294+H293+H296-H292</f>
        <v/>
      </c>
      <c r="I294" s="64">
        <f>H294+I293+I296-I292</f>
        <v/>
      </c>
      <c r="J294" s="64">
        <f>I294+J293+J296-J292</f>
        <v/>
      </c>
      <c r="K294" s="64">
        <f>J294+K293+K296-K292</f>
        <v/>
      </c>
      <c r="L294" s="64">
        <f>K294+L293+L296-L292</f>
        <v/>
      </c>
      <c r="M294" s="62" t="n"/>
    </row>
    <row r="295">
      <c r="C295" s="59" t="inlineStr">
        <is>
          <t>Necesidad neta</t>
        </is>
      </c>
      <c r="D295" s="60" t="n"/>
      <c r="E295" s="65">
        <f>MAX(0,ROUND(E292+Materiales!$H$45-D294-E293,4))</f>
        <v/>
      </c>
      <c r="F295" s="65">
        <f>MAX(0,ROUND(F292+Materiales!$H$45-E294-F293,4))</f>
        <v/>
      </c>
      <c r="G295" s="65">
        <f>MAX(0,ROUND(G292+Materiales!$H$45-F294-G293,4))</f>
        <v/>
      </c>
      <c r="H295" s="65">
        <f>MAX(0,ROUND(H292+Materiales!$H$45-G294-H293,4))</f>
        <v/>
      </c>
      <c r="I295" s="65">
        <f>MAX(0,ROUND(I292+Materiales!$H$45-H294-I293,4))</f>
        <v/>
      </c>
      <c r="J295" s="65">
        <f>MAX(0,ROUND(J292+Materiales!$H$45-I294-J293,4))</f>
        <v/>
      </c>
      <c r="K295" s="65">
        <f>MAX(0,ROUND(K292+Materiales!$H$45-J294-K293,4))</f>
        <v/>
      </c>
      <c r="L295" s="65">
        <f>MAX(0,ROUND(L292+Materiales!$H$45-K294-L293,4))</f>
        <v/>
      </c>
      <c r="M295" s="62" t="n"/>
    </row>
    <row r="296">
      <c r="C296" s="59" t="inlineStr">
        <is>
          <t>Recepcion de orden planificada</t>
        </is>
      </c>
      <c r="D296" s="60" t="n"/>
      <c r="E296" s="61">
        <f>IF(E295&lt;=0,0,IF(Materiales!$G$45&lt;=0,E295,ROUNDUP(E295/Materiales!$G$45,0)*Materiales!$G$45))</f>
        <v/>
      </c>
      <c r="F296" s="61">
        <f>IF(F295&lt;=0,0,IF(Materiales!$G$45&lt;=0,F295,ROUNDUP(F295/Materiales!$G$45,0)*Materiales!$G$45))</f>
        <v/>
      </c>
      <c r="G296" s="61">
        <f>IF(G295&lt;=0,0,IF(Materiales!$G$45&lt;=0,G295,ROUNDUP(G295/Materiales!$G$45,0)*Materiales!$G$45))</f>
        <v/>
      </c>
      <c r="H296" s="61">
        <f>IF(H295&lt;=0,0,IF(Materiales!$G$45&lt;=0,H295,ROUNDUP(H295/Materiales!$G$45,0)*Materiales!$G$45))</f>
        <v/>
      </c>
      <c r="I296" s="61">
        <f>IF(I295&lt;=0,0,IF(Materiales!$G$45&lt;=0,I295,ROUNDUP(I295/Materiales!$G$45,0)*Materiales!$G$45))</f>
        <v/>
      </c>
      <c r="J296" s="61">
        <f>IF(J295&lt;=0,0,IF(Materiales!$G$45&lt;=0,J295,ROUNDUP(J295/Materiales!$G$45,0)*Materiales!$G$45))</f>
        <v/>
      </c>
      <c r="K296" s="61">
        <f>IF(K295&lt;=0,0,IF(Materiales!$G$45&lt;=0,K295,ROUNDUP(K295/Materiales!$G$45,0)*Materiales!$G$45))</f>
        <v/>
      </c>
      <c r="L296" s="61">
        <f>IF(L295&lt;=0,0,IF(Materiales!$G$45&lt;=0,L295,ROUNDUP(L295/Materiales!$G$45,0)*Materiales!$G$45))</f>
        <v/>
      </c>
      <c r="M296" s="62" t="n"/>
    </row>
    <row r="297">
      <c r="C297" s="66" t="inlineStr">
        <is>
          <t>LANZAMIENTO DE ORDEN — pedir esta semana</t>
        </is>
      </c>
      <c r="D297" s="60" t="n"/>
      <c r="E297" s="70">
        <f>IF(1+Materiales!$F$45&gt;8,0,INDEX($E$296:$L$296,1,1+Materiales!$F$45))</f>
        <v/>
      </c>
      <c r="F297" s="70">
        <f>IF(2+Materiales!$F$45&gt;8,0,INDEX($E$296:$L$296,1,2+Materiales!$F$45))</f>
        <v/>
      </c>
      <c r="G297" s="70">
        <f>IF(3+Materiales!$F$45&gt;8,0,INDEX($E$296:$L$296,1,3+Materiales!$F$45))</f>
        <v/>
      </c>
      <c r="H297" s="70">
        <f>IF(4+Materiales!$F$45&gt;8,0,INDEX($E$296:$L$296,1,4+Materiales!$F$45))</f>
        <v/>
      </c>
      <c r="I297" s="70">
        <f>IF(5+Materiales!$F$45&gt;8,0,INDEX($E$296:$L$296,1,5+Materiales!$F$45))</f>
        <v/>
      </c>
      <c r="J297" s="70">
        <f>IF(6+Materiales!$F$45&gt;8,0,INDEX($E$296:$L$296,1,6+Materiales!$F$45))</f>
        <v/>
      </c>
      <c r="K297" s="70">
        <f>IF(7+Materiales!$F$45&gt;8,0,INDEX($E$296:$L$296,1,7+Materiales!$F$45))</f>
        <v/>
      </c>
      <c r="L297" s="70">
        <f>IF(8+Materiales!$F$45&gt;8,0,INDEX($E$296:$L$296,1,8+Materiales!$F$45))</f>
        <v/>
      </c>
      <c r="M297" s="68">
        <f>IF($A292="","",IF(SUMPRODUCT((COLUMN($E$296:$L$296)-4&lt;=Materiales!$F$45)*$E$296:$L$296)&gt;0,"PEDIR YA (atrasado)","OK"))</f>
        <v/>
      </c>
    </row>
    <row r="298" ht="6" customHeight="1"/>
    <row r="299">
      <c r="A299" s="58">
        <f>IF(Materiales!$A$46="","",Materiales!$A$46)</f>
        <v/>
      </c>
      <c r="B299" s="58">
        <f>IF(Materiales!$B$46="","",Materiales!$B$46)</f>
        <v/>
      </c>
      <c r="C299" s="59" t="inlineStr">
        <is>
          <t>Necesidad bruta</t>
        </is>
      </c>
      <c r="D299" s="60" t="n"/>
      <c r="E299" s="61">
        <f>ROUND(SUMIF(Consumo!$O$4:$O$143,"#"&amp;$A299,Consumo!G$4:G$143),4)</f>
        <v/>
      </c>
      <c r="F299" s="61">
        <f>ROUND(SUMIF(Consumo!$O$4:$O$143,"#"&amp;$A299,Consumo!H$4:H$143),4)</f>
        <v/>
      </c>
      <c r="G299" s="61">
        <f>ROUND(SUMIF(Consumo!$O$4:$O$143,"#"&amp;$A299,Consumo!I$4:I$143),4)</f>
        <v/>
      </c>
      <c r="H299" s="61">
        <f>ROUND(SUMIF(Consumo!$O$4:$O$143,"#"&amp;$A299,Consumo!J$4:J$143),4)</f>
        <v/>
      </c>
      <c r="I299" s="61">
        <f>ROUND(SUMIF(Consumo!$O$4:$O$143,"#"&amp;$A299,Consumo!K$4:K$143),4)</f>
        <v/>
      </c>
      <c r="J299" s="61">
        <f>ROUND(SUMIF(Consumo!$O$4:$O$143,"#"&amp;$A299,Consumo!L$4:L$143),4)</f>
        <v/>
      </c>
      <c r="K299" s="61">
        <f>ROUND(SUMIF(Consumo!$O$4:$O$143,"#"&amp;$A299,Consumo!M$4:M$143),4)</f>
        <v/>
      </c>
      <c r="L299" s="61">
        <f>ROUND(SUMIF(Consumo!$O$4:$O$143,"#"&amp;$A299,Consumo!N$4:N$143),4)</f>
        <v/>
      </c>
      <c r="M299" s="62" t="n"/>
    </row>
    <row r="300">
      <c r="C300" s="59" t="inlineStr">
        <is>
          <t>Recepciones programadas (ya pedido)</t>
        </is>
      </c>
      <c r="D300" s="60" t="n"/>
      <c r="E300" s="61">
        <f>SUMIF(Inventario!$M$5:$M$87,"#"&amp;$A299,Inventario!E$5:E$87)</f>
        <v/>
      </c>
      <c r="F300" s="61">
        <f>SUMIF(Inventario!$M$5:$M$87,"#"&amp;$A299,Inventario!F$5:F$87)</f>
        <v/>
      </c>
      <c r="G300" s="61">
        <f>SUMIF(Inventario!$M$5:$M$87,"#"&amp;$A299,Inventario!G$5:G$87)</f>
        <v/>
      </c>
      <c r="H300" s="61">
        <f>SUMIF(Inventario!$M$5:$M$87,"#"&amp;$A299,Inventario!H$5:H$87)</f>
        <v/>
      </c>
      <c r="I300" s="61">
        <f>SUMIF(Inventario!$M$5:$M$87,"#"&amp;$A299,Inventario!I$5:I$87)</f>
        <v/>
      </c>
      <c r="J300" s="61">
        <f>SUMIF(Inventario!$M$5:$M$87,"#"&amp;$A299,Inventario!J$5:J$87)</f>
        <v/>
      </c>
      <c r="K300" s="61">
        <f>SUMIF(Inventario!$M$5:$M$87,"#"&amp;$A299,Inventario!K$5:K$87)</f>
        <v/>
      </c>
      <c r="L300" s="61">
        <f>SUMIF(Inventario!$M$5:$M$87,"#"&amp;$A299,Inventario!L$5:L$87)</f>
        <v/>
      </c>
      <c r="M300" s="62" t="n"/>
    </row>
    <row r="301">
      <c r="C301" s="59" t="inlineStr">
        <is>
          <t>Stock proyectado disponible</t>
        </is>
      </c>
      <c r="D301" s="63">
        <f>SUMIF(Inventario!$M$5:$M$87,"#"&amp;$A299,Inventario!$C$5:$C$87)</f>
        <v/>
      </c>
      <c r="E301" s="64">
        <f>D301+E300+E303-E299</f>
        <v/>
      </c>
      <c r="F301" s="64">
        <f>E301+F300+F303-F299</f>
        <v/>
      </c>
      <c r="G301" s="64">
        <f>F301+G300+G303-G299</f>
        <v/>
      </c>
      <c r="H301" s="64">
        <f>G301+H300+H303-H299</f>
        <v/>
      </c>
      <c r="I301" s="64">
        <f>H301+I300+I303-I299</f>
        <v/>
      </c>
      <c r="J301" s="64">
        <f>I301+J300+J303-J299</f>
        <v/>
      </c>
      <c r="K301" s="64">
        <f>J301+K300+K303-K299</f>
        <v/>
      </c>
      <c r="L301" s="64">
        <f>K301+L300+L303-L299</f>
        <v/>
      </c>
      <c r="M301" s="62" t="n"/>
    </row>
    <row r="302">
      <c r="C302" s="59" t="inlineStr">
        <is>
          <t>Necesidad neta</t>
        </is>
      </c>
      <c r="D302" s="60" t="n"/>
      <c r="E302" s="65">
        <f>MAX(0,ROUND(E299+Materiales!$H$46-D301-E300,4))</f>
        <v/>
      </c>
      <c r="F302" s="65">
        <f>MAX(0,ROUND(F299+Materiales!$H$46-E301-F300,4))</f>
        <v/>
      </c>
      <c r="G302" s="65">
        <f>MAX(0,ROUND(G299+Materiales!$H$46-F301-G300,4))</f>
        <v/>
      </c>
      <c r="H302" s="65">
        <f>MAX(0,ROUND(H299+Materiales!$H$46-G301-H300,4))</f>
        <v/>
      </c>
      <c r="I302" s="65">
        <f>MAX(0,ROUND(I299+Materiales!$H$46-H301-I300,4))</f>
        <v/>
      </c>
      <c r="J302" s="65">
        <f>MAX(0,ROUND(J299+Materiales!$H$46-I301-J300,4))</f>
        <v/>
      </c>
      <c r="K302" s="65">
        <f>MAX(0,ROUND(K299+Materiales!$H$46-J301-K300,4))</f>
        <v/>
      </c>
      <c r="L302" s="65">
        <f>MAX(0,ROUND(L299+Materiales!$H$46-K301-L300,4))</f>
        <v/>
      </c>
      <c r="M302" s="62" t="n"/>
    </row>
    <row r="303">
      <c r="C303" s="59" t="inlineStr">
        <is>
          <t>Recepcion de orden planificada</t>
        </is>
      </c>
      <c r="D303" s="60" t="n"/>
      <c r="E303" s="61">
        <f>IF(E302&lt;=0,0,IF(Materiales!$G$46&lt;=0,E302,ROUNDUP(E302/Materiales!$G$46,0)*Materiales!$G$46))</f>
        <v/>
      </c>
      <c r="F303" s="61">
        <f>IF(F302&lt;=0,0,IF(Materiales!$G$46&lt;=0,F302,ROUNDUP(F302/Materiales!$G$46,0)*Materiales!$G$46))</f>
        <v/>
      </c>
      <c r="G303" s="61">
        <f>IF(G302&lt;=0,0,IF(Materiales!$G$46&lt;=0,G302,ROUNDUP(G302/Materiales!$G$46,0)*Materiales!$G$46))</f>
        <v/>
      </c>
      <c r="H303" s="61">
        <f>IF(H302&lt;=0,0,IF(Materiales!$G$46&lt;=0,H302,ROUNDUP(H302/Materiales!$G$46,0)*Materiales!$G$46))</f>
        <v/>
      </c>
      <c r="I303" s="61">
        <f>IF(I302&lt;=0,0,IF(Materiales!$G$46&lt;=0,I302,ROUNDUP(I302/Materiales!$G$46,0)*Materiales!$G$46))</f>
        <v/>
      </c>
      <c r="J303" s="61">
        <f>IF(J302&lt;=0,0,IF(Materiales!$G$46&lt;=0,J302,ROUNDUP(J302/Materiales!$G$46,0)*Materiales!$G$46))</f>
        <v/>
      </c>
      <c r="K303" s="61">
        <f>IF(K302&lt;=0,0,IF(Materiales!$G$46&lt;=0,K302,ROUNDUP(K302/Materiales!$G$46,0)*Materiales!$G$46))</f>
        <v/>
      </c>
      <c r="L303" s="61">
        <f>IF(L302&lt;=0,0,IF(Materiales!$G$46&lt;=0,L302,ROUNDUP(L302/Materiales!$G$46,0)*Materiales!$G$46))</f>
        <v/>
      </c>
      <c r="M303" s="62" t="n"/>
    </row>
    <row r="304">
      <c r="C304" s="66" t="inlineStr">
        <is>
          <t>LANZAMIENTO DE ORDEN — pedir esta semana</t>
        </is>
      </c>
      <c r="D304" s="60" t="n"/>
      <c r="E304" s="70">
        <f>IF(1+Materiales!$F$46&gt;8,0,INDEX($E$303:$L$303,1,1+Materiales!$F$46))</f>
        <v/>
      </c>
      <c r="F304" s="70">
        <f>IF(2+Materiales!$F$46&gt;8,0,INDEX($E$303:$L$303,1,2+Materiales!$F$46))</f>
        <v/>
      </c>
      <c r="G304" s="70">
        <f>IF(3+Materiales!$F$46&gt;8,0,INDEX($E$303:$L$303,1,3+Materiales!$F$46))</f>
        <v/>
      </c>
      <c r="H304" s="70">
        <f>IF(4+Materiales!$F$46&gt;8,0,INDEX($E$303:$L$303,1,4+Materiales!$F$46))</f>
        <v/>
      </c>
      <c r="I304" s="70">
        <f>IF(5+Materiales!$F$46&gt;8,0,INDEX($E$303:$L$303,1,5+Materiales!$F$46))</f>
        <v/>
      </c>
      <c r="J304" s="70">
        <f>IF(6+Materiales!$F$46&gt;8,0,INDEX($E$303:$L$303,1,6+Materiales!$F$46))</f>
        <v/>
      </c>
      <c r="K304" s="70">
        <f>IF(7+Materiales!$F$46&gt;8,0,INDEX($E$303:$L$303,1,7+Materiales!$F$46))</f>
        <v/>
      </c>
      <c r="L304" s="70">
        <f>IF(8+Materiales!$F$46&gt;8,0,INDEX($E$303:$L$303,1,8+Materiales!$F$46))</f>
        <v/>
      </c>
      <c r="M304" s="68">
        <f>IF($A299="","",IF(SUMPRODUCT((COLUMN($E$303:$L$303)-4&lt;=Materiales!$F$46)*$E$303:$L$303)&gt;0,"PEDIR YA (atrasado)","OK"))</f>
        <v/>
      </c>
    </row>
    <row r="305" ht="6" customHeight="1"/>
    <row r="306">
      <c r="A306" s="58">
        <f>IF(Materiales!$A$47="","",Materiales!$A$47)</f>
        <v/>
      </c>
      <c r="B306" s="58">
        <f>IF(Materiales!$B$47="","",Materiales!$B$47)</f>
        <v/>
      </c>
      <c r="C306" s="59" t="inlineStr">
        <is>
          <t>Necesidad bruta</t>
        </is>
      </c>
      <c r="D306" s="60" t="n"/>
      <c r="E306" s="61">
        <f>ROUND(SUMIF(Consumo!$O$4:$O$143,"#"&amp;$A306,Consumo!G$4:G$143),4)</f>
        <v/>
      </c>
      <c r="F306" s="61">
        <f>ROUND(SUMIF(Consumo!$O$4:$O$143,"#"&amp;$A306,Consumo!H$4:H$143),4)</f>
        <v/>
      </c>
      <c r="G306" s="61">
        <f>ROUND(SUMIF(Consumo!$O$4:$O$143,"#"&amp;$A306,Consumo!I$4:I$143),4)</f>
        <v/>
      </c>
      <c r="H306" s="61">
        <f>ROUND(SUMIF(Consumo!$O$4:$O$143,"#"&amp;$A306,Consumo!J$4:J$143),4)</f>
        <v/>
      </c>
      <c r="I306" s="61">
        <f>ROUND(SUMIF(Consumo!$O$4:$O$143,"#"&amp;$A306,Consumo!K$4:K$143),4)</f>
        <v/>
      </c>
      <c r="J306" s="61">
        <f>ROUND(SUMIF(Consumo!$O$4:$O$143,"#"&amp;$A306,Consumo!L$4:L$143),4)</f>
        <v/>
      </c>
      <c r="K306" s="61">
        <f>ROUND(SUMIF(Consumo!$O$4:$O$143,"#"&amp;$A306,Consumo!M$4:M$143),4)</f>
        <v/>
      </c>
      <c r="L306" s="61">
        <f>ROUND(SUMIF(Consumo!$O$4:$O$143,"#"&amp;$A306,Consumo!N$4:N$143),4)</f>
        <v/>
      </c>
      <c r="M306" s="62" t="n"/>
    </row>
    <row r="307">
      <c r="C307" s="59" t="inlineStr">
        <is>
          <t>Recepciones programadas (ya pedido)</t>
        </is>
      </c>
      <c r="D307" s="60" t="n"/>
      <c r="E307" s="61">
        <f>SUMIF(Inventario!$M$5:$M$87,"#"&amp;$A306,Inventario!E$5:E$87)</f>
        <v/>
      </c>
      <c r="F307" s="61">
        <f>SUMIF(Inventario!$M$5:$M$87,"#"&amp;$A306,Inventario!F$5:F$87)</f>
        <v/>
      </c>
      <c r="G307" s="61">
        <f>SUMIF(Inventario!$M$5:$M$87,"#"&amp;$A306,Inventario!G$5:G$87)</f>
        <v/>
      </c>
      <c r="H307" s="61">
        <f>SUMIF(Inventario!$M$5:$M$87,"#"&amp;$A306,Inventario!H$5:H$87)</f>
        <v/>
      </c>
      <c r="I307" s="61">
        <f>SUMIF(Inventario!$M$5:$M$87,"#"&amp;$A306,Inventario!I$5:I$87)</f>
        <v/>
      </c>
      <c r="J307" s="61">
        <f>SUMIF(Inventario!$M$5:$M$87,"#"&amp;$A306,Inventario!J$5:J$87)</f>
        <v/>
      </c>
      <c r="K307" s="61">
        <f>SUMIF(Inventario!$M$5:$M$87,"#"&amp;$A306,Inventario!K$5:K$87)</f>
        <v/>
      </c>
      <c r="L307" s="61">
        <f>SUMIF(Inventario!$M$5:$M$87,"#"&amp;$A306,Inventario!L$5:L$87)</f>
        <v/>
      </c>
      <c r="M307" s="62" t="n"/>
    </row>
    <row r="308">
      <c r="C308" s="59" t="inlineStr">
        <is>
          <t>Stock proyectado disponible</t>
        </is>
      </c>
      <c r="D308" s="63">
        <f>SUMIF(Inventario!$M$5:$M$87,"#"&amp;$A306,Inventario!$C$5:$C$87)</f>
        <v/>
      </c>
      <c r="E308" s="64">
        <f>D308+E307+E310-E306</f>
        <v/>
      </c>
      <c r="F308" s="64">
        <f>E308+F307+F310-F306</f>
        <v/>
      </c>
      <c r="G308" s="64">
        <f>F308+G307+G310-G306</f>
        <v/>
      </c>
      <c r="H308" s="64">
        <f>G308+H307+H310-H306</f>
        <v/>
      </c>
      <c r="I308" s="64">
        <f>H308+I307+I310-I306</f>
        <v/>
      </c>
      <c r="J308" s="64">
        <f>I308+J307+J310-J306</f>
        <v/>
      </c>
      <c r="K308" s="64">
        <f>J308+K307+K310-K306</f>
        <v/>
      </c>
      <c r="L308" s="64">
        <f>K308+L307+L310-L306</f>
        <v/>
      </c>
      <c r="M308" s="62" t="n"/>
    </row>
    <row r="309">
      <c r="C309" s="59" t="inlineStr">
        <is>
          <t>Necesidad neta</t>
        </is>
      </c>
      <c r="D309" s="60" t="n"/>
      <c r="E309" s="65">
        <f>MAX(0,ROUND(E306+Materiales!$H$47-D308-E307,4))</f>
        <v/>
      </c>
      <c r="F309" s="65">
        <f>MAX(0,ROUND(F306+Materiales!$H$47-E308-F307,4))</f>
        <v/>
      </c>
      <c r="G309" s="65">
        <f>MAX(0,ROUND(G306+Materiales!$H$47-F308-G307,4))</f>
        <v/>
      </c>
      <c r="H309" s="65">
        <f>MAX(0,ROUND(H306+Materiales!$H$47-G308-H307,4))</f>
        <v/>
      </c>
      <c r="I309" s="65">
        <f>MAX(0,ROUND(I306+Materiales!$H$47-H308-I307,4))</f>
        <v/>
      </c>
      <c r="J309" s="65">
        <f>MAX(0,ROUND(J306+Materiales!$H$47-I308-J307,4))</f>
        <v/>
      </c>
      <c r="K309" s="65">
        <f>MAX(0,ROUND(K306+Materiales!$H$47-J308-K307,4))</f>
        <v/>
      </c>
      <c r="L309" s="65">
        <f>MAX(0,ROUND(L306+Materiales!$H$47-K308-L307,4))</f>
        <v/>
      </c>
      <c r="M309" s="62" t="n"/>
    </row>
    <row r="310">
      <c r="C310" s="59" t="inlineStr">
        <is>
          <t>Recepcion de orden planificada</t>
        </is>
      </c>
      <c r="D310" s="60" t="n"/>
      <c r="E310" s="61">
        <f>IF(E309&lt;=0,0,IF(Materiales!$G$47&lt;=0,E309,ROUNDUP(E309/Materiales!$G$47,0)*Materiales!$G$47))</f>
        <v/>
      </c>
      <c r="F310" s="61">
        <f>IF(F309&lt;=0,0,IF(Materiales!$G$47&lt;=0,F309,ROUNDUP(F309/Materiales!$G$47,0)*Materiales!$G$47))</f>
        <v/>
      </c>
      <c r="G310" s="61">
        <f>IF(G309&lt;=0,0,IF(Materiales!$G$47&lt;=0,G309,ROUNDUP(G309/Materiales!$G$47,0)*Materiales!$G$47))</f>
        <v/>
      </c>
      <c r="H310" s="61">
        <f>IF(H309&lt;=0,0,IF(Materiales!$G$47&lt;=0,H309,ROUNDUP(H309/Materiales!$G$47,0)*Materiales!$G$47))</f>
        <v/>
      </c>
      <c r="I310" s="61">
        <f>IF(I309&lt;=0,0,IF(Materiales!$G$47&lt;=0,I309,ROUNDUP(I309/Materiales!$G$47,0)*Materiales!$G$47))</f>
        <v/>
      </c>
      <c r="J310" s="61">
        <f>IF(J309&lt;=0,0,IF(Materiales!$G$47&lt;=0,J309,ROUNDUP(J309/Materiales!$G$47,0)*Materiales!$G$47))</f>
        <v/>
      </c>
      <c r="K310" s="61">
        <f>IF(K309&lt;=0,0,IF(Materiales!$G$47&lt;=0,K309,ROUNDUP(K309/Materiales!$G$47,0)*Materiales!$G$47))</f>
        <v/>
      </c>
      <c r="L310" s="61">
        <f>IF(L309&lt;=0,0,IF(Materiales!$G$47&lt;=0,L309,ROUNDUP(L309/Materiales!$G$47,0)*Materiales!$G$47))</f>
        <v/>
      </c>
      <c r="M310" s="62" t="n"/>
    </row>
    <row r="311">
      <c r="C311" s="66" t="inlineStr">
        <is>
          <t>LANZAMIENTO DE ORDEN — pedir esta semana</t>
        </is>
      </c>
      <c r="D311" s="60" t="n"/>
      <c r="E311" s="70">
        <f>IF(1+Materiales!$F$47&gt;8,0,INDEX($E$310:$L$310,1,1+Materiales!$F$47))</f>
        <v/>
      </c>
      <c r="F311" s="70">
        <f>IF(2+Materiales!$F$47&gt;8,0,INDEX($E$310:$L$310,1,2+Materiales!$F$47))</f>
        <v/>
      </c>
      <c r="G311" s="70">
        <f>IF(3+Materiales!$F$47&gt;8,0,INDEX($E$310:$L$310,1,3+Materiales!$F$47))</f>
        <v/>
      </c>
      <c r="H311" s="70">
        <f>IF(4+Materiales!$F$47&gt;8,0,INDEX($E$310:$L$310,1,4+Materiales!$F$47))</f>
        <v/>
      </c>
      <c r="I311" s="70">
        <f>IF(5+Materiales!$F$47&gt;8,0,INDEX($E$310:$L$310,1,5+Materiales!$F$47))</f>
        <v/>
      </c>
      <c r="J311" s="70">
        <f>IF(6+Materiales!$F$47&gt;8,0,INDEX($E$310:$L$310,1,6+Materiales!$F$47))</f>
        <v/>
      </c>
      <c r="K311" s="70">
        <f>IF(7+Materiales!$F$47&gt;8,0,INDEX($E$310:$L$310,1,7+Materiales!$F$47))</f>
        <v/>
      </c>
      <c r="L311" s="70">
        <f>IF(8+Materiales!$F$47&gt;8,0,INDEX($E$310:$L$310,1,8+Materiales!$F$47))</f>
        <v/>
      </c>
      <c r="M311" s="68">
        <f>IF($A306="","",IF(SUMPRODUCT((COLUMN($E$310:$L$310)-4&lt;=Materiales!$F$47)*$E$310:$L$310)&gt;0,"PEDIR YA (atrasado)","OK"))</f>
        <v/>
      </c>
    </row>
    <row r="312" ht="6" customHeight="1"/>
    <row r="313">
      <c r="A313" s="58">
        <f>IF(Materiales!$A$48="","",Materiales!$A$48)</f>
        <v/>
      </c>
      <c r="B313" s="58">
        <f>IF(Materiales!$B$48="","",Materiales!$B$48)</f>
        <v/>
      </c>
      <c r="C313" s="59" t="inlineStr">
        <is>
          <t>Necesidad bruta</t>
        </is>
      </c>
      <c r="D313" s="60" t="n"/>
      <c r="E313" s="61">
        <f>ROUND(SUMIF(Consumo!$O$4:$O$143,"#"&amp;$A313,Consumo!G$4:G$143),4)</f>
        <v/>
      </c>
      <c r="F313" s="61">
        <f>ROUND(SUMIF(Consumo!$O$4:$O$143,"#"&amp;$A313,Consumo!H$4:H$143),4)</f>
        <v/>
      </c>
      <c r="G313" s="61">
        <f>ROUND(SUMIF(Consumo!$O$4:$O$143,"#"&amp;$A313,Consumo!I$4:I$143),4)</f>
        <v/>
      </c>
      <c r="H313" s="61">
        <f>ROUND(SUMIF(Consumo!$O$4:$O$143,"#"&amp;$A313,Consumo!J$4:J$143),4)</f>
        <v/>
      </c>
      <c r="I313" s="61">
        <f>ROUND(SUMIF(Consumo!$O$4:$O$143,"#"&amp;$A313,Consumo!K$4:K$143),4)</f>
        <v/>
      </c>
      <c r="J313" s="61">
        <f>ROUND(SUMIF(Consumo!$O$4:$O$143,"#"&amp;$A313,Consumo!L$4:L$143),4)</f>
        <v/>
      </c>
      <c r="K313" s="61">
        <f>ROUND(SUMIF(Consumo!$O$4:$O$143,"#"&amp;$A313,Consumo!M$4:M$143),4)</f>
        <v/>
      </c>
      <c r="L313" s="61">
        <f>ROUND(SUMIF(Consumo!$O$4:$O$143,"#"&amp;$A313,Consumo!N$4:N$143),4)</f>
        <v/>
      </c>
      <c r="M313" s="62" t="n"/>
    </row>
    <row r="314">
      <c r="C314" s="59" t="inlineStr">
        <is>
          <t>Recepciones programadas (ya pedido)</t>
        </is>
      </c>
      <c r="D314" s="60" t="n"/>
      <c r="E314" s="61">
        <f>SUMIF(Inventario!$M$5:$M$87,"#"&amp;$A313,Inventario!E$5:E$87)</f>
        <v/>
      </c>
      <c r="F314" s="61">
        <f>SUMIF(Inventario!$M$5:$M$87,"#"&amp;$A313,Inventario!F$5:F$87)</f>
        <v/>
      </c>
      <c r="G314" s="61">
        <f>SUMIF(Inventario!$M$5:$M$87,"#"&amp;$A313,Inventario!G$5:G$87)</f>
        <v/>
      </c>
      <c r="H314" s="61">
        <f>SUMIF(Inventario!$M$5:$M$87,"#"&amp;$A313,Inventario!H$5:H$87)</f>
        <v/>
      </c>
      <c r="I314" s="61">
        <f>SUMIF(Inventario!$M$5:$M$87,"#"&amp;$A313,Inventario!I$5:I$87)</f>
        <v/>
      </c>
      <c r="J314" s="61">
        <f>SUMIF(Inventario!$M$5:$M$87,"#"&amp;$A313,Inventario!J$5:J$87)</f>
        <v/>
      </c>
      <c r="K314" s="61">
        <f>SUMIF(Inventario!$M$5:$M$87,"#"&amp;$A313,Inventario!K$5:K$87)</f>
        <v/>
      </c>
      <c r="L314" s="61">
        <f>SUMIF(Inventario!$M$5:$M$87,"#"&amp;$A313,Inventario!L$5:L$87)</f>
        <v/>
      </c>
      <c r="M314" s="62" t="n"/>
    </row>
    <row r="315">
      <c r="C315" s="59" t="inlineStr">
        <is>
          <t>Stock proyectado disponible</t>
        </is>
      </c>
      <c r="D315" s="63">
        <f>SUMIF(Inventario!$M$5:$M$87,"#"&amp;$A313,Inventario!$C$5:$C$87)</f>
        <v/>
      </c>
      <c r="E315" s="64">
        <f>D315+E314+E317-E313</f>
        <v/>
      </c>
      <c r="F315" s="64">
        <f>E315+F314+F317-F313</f>
        <v/>
      </c>
      <c r="G315" s="64">
        <f>F315+G314+G317-G313</f>
        <v/>
      </c>
      <c r="H315" s="64">
        <f>G315+H314+H317-H313</f>
        <v/>
      </c>
      <c r="I315" s="64">
        <f>H315+I314+I317-I313</f>
        <v/>
      </c>
      <c r="J315" s="64">
        <f>I315+J314+J317-J313</f>
        <v/>
      </c>
      <c r="K315" s="64">
        <f>J315+K314+K317-K313</f>
        <v/>
      </c>
      <c r="L315" s="64">
        <f>K315+L314+L317-L313</f>
        <v/>
      </c>
      <c r="M315" s="62" t="n"/>
    </row>
    <row r="316">
      <c r="C316" s="59" t="inlineStr">
        <is>
          <t>Necesidad neta</t>
        </is>
      </c>
      <c r="D316" s="60" t="n"/>
      <c r="E316" s="65">
        <f>MAX(0,ROUND(E313+Materiales!$H$48-D315-E314,4))</f>
        <v/>
      </c>
      <c r="F316" s="65">
        <f>MAX(0,ROUND(F313+Materiales!$H$48-E315-F314,4))</f>
        <v/>
      </c>
      <c r="G316" s="65">
        <f>MAX(0,ROUND(G313+Materiales!$H$48-F315-G314,4))</f>
        <v/>
      </c>
      <c r="H316" s="65">
        <f>MAX(0,ROUND(H313+Materiales!$H$48-G315-H314,4))</f>
        <v/>
      </c>
      <c r="I316" s="65">
        <f>MAX(0,ROUND(I313+Materiales!$H$48-H315-I314,4))</f>
        <v/>
      </c>
      <c r="J316" s="65">
        <f>MAX(0,ROUND(J313+Materiales!$H$48-I315-J314,4))</f>
        <v/>
      </c>
      <c r="K316" s="65">
        <f>MAX(0,ROUND(K313+Materiales!$H$48-J315-K314,4))</f>
        <v/>
      </c>
      <c r="L316" s="65">
        <f>MAX(0,ROUND(L313+Materiales!$H$48-K315-L314,4))</f>
        <v/>
      </c>
      <c r="M316" s="62" t="n"/>
    </row>
    <row r="317">
      <c r="C317" s="59" t="inlineStr">
        <is>
          <t>Recepcion de orden planificada</t>
        </is>
      </c>
      <c r="D317" s="60" t="n"/>
      <c r="E317" s="61">
        <f>IF(E316&lt;=0,0,IF(Materiales!$G$48&lt;=0,E316,ROUNDUP(E316/Materiales!$G$48,0)*Materiales!$G$48))</f>
        <v/>
      </c>
      <c r="F317" s="61">
        <f>IF(F316&lt;=0,0,IF(Materiales!$G$48&lt;=0,F316,ROUNDUP(F316/Materiales!$G$48,0)*Materiales!$G$48))</f>
        <v/>
      </c>
      <c r="G317" s="61">
        <f>IF(G316&lt;=0,0,IF(Materiales!$G$48&lt;=0,G316,ROUNDUP(G316/Materiales!$G$48,0)*Materiales!$G$48))</f>
        <v/>
      </c>
      <c r="H317" s="61">
        <f>IF(H316&lt;=0,0,IF(Materiales!$G$48&lt;=0,H316,ROUNDUP(H316/Materiales!$G$48,0)*Materiales!$G$48))</f>
        <v/>
      </c>
      <c r="I317" s="61">
        <f>IF(I316&lt;=0,0,IF(Materiales!$G$48&lt;=0,I316,ROUNDUP(I316/Materiales!$G$48,0)*Materiales!$G$48))</f>
        <v/>
      </c>
      <c r="J317" s="61">
        <f>IF(J316&lt;=0,0,IF(Materiales!$G$48&lt;=0,J316,ROUNDUP(J316/Materiales!$G$48,0)*Materiales!$G$48))</f>
        <v/>
      </c>
      <c r="K317" s="61">
        <f>IF(K316&lt;=0,0,IF(Materiales!$G$48&lt;=0,K316,ROUNDUP(K316/Materiales!$G$48,0)*Materiales!$G$48))</f>
        <v/>
      </c>
      <c r="L317" s="61">
        <f>IF(L316&lt;=0,0,IF(Materiales!$G$48&lt;=0,L316,ROUNDUP(L316/Materiales!$G$48,0)*Materiales!$G$48))</f>
        <v/>
      </c>
      <c r="M317" s="62" t="n"/>
    </row>
    <row r="318">
      <c r="C318" s="66" t="inlineStr">
        <is>
          <t>LANZAMIENTO DE ORDEN — pedir esta semana</t>
        </is>
      </c>
      <c r="D318" s="60" t="n"/>
      <c r="E318" s="70">
        <f>IF(1+Materiales!$F$48&gt;8,0,INDEX($E$317:$L$317,1,1+Materiales!$F$48))</f>
        <v/>
      </c>
      <c r="F318" s="70">
        <f>IF(2+Materiales!$F$48&gt;8,0,INDEX($E$317:$L$317,1,2+Materiales!$F$48))</f>
        <v/>
      </c>
      <c r="G318" s="70">
        <f>IF(3+Materiales!$F$48&gt;8,0,INDEX($E$317:$L$317,1,3+Materiales!$F$48))</f>
        <v/>
      </c>
      <c r="H318" s="70">
        <f>IF(4+Materiales!$F$48&gt;8,0,INDEX($E$317:$L$317,1,4+Materiales!$F$48))</f>
        <v/>
      </c>
      <c r="I318" s="70">
        <f>IF(5+Materiales!$F$48&gt;8,0,INDEX($E$317:$L$317,1,5+Materiales!$F$48))</f>
        <v/>
      </c>
      <c r="J318" s="70">
        <f>IF(6+Materiales!$F$48&gt;8,0,INDEX($E$317:$L$317,1,6+Materiales!$F$48))</f>
        <v/>
      </c>
      <c r="K318" s="70">
        <f>IF(7+Materiales!$F$48&gt;8,0,INDEX($E$317:$L$317,1,7+Materiales!$F$48))</f>
        <v/>
      </c>
      <c r="L318" s="70">
        <f>IF(8+Materiales!$F$48&gt;8,0,INDEX($E$317:$L$317,1,8+Materiales!$F$48))</f>
        <v/>
      </c>
      <c r="M318" s="68">
        <f>IF($A313="","",IF(SUMPRODUCT((COLUMN($E$317:$L$317)-4&lt;=Materiales!$F$48)*$E$317:$L$317)&gt;0,"PEDIR YA (atrasado)","OK"))</f>
        <v/>
      </c>
    </row>
    <row r="319" ht="6" customHeight="1"/>
    <row r="320">
      <c r="A320" s="58">
        <f>IF(Materiales!$A$49="","",Materiales!$A$49)</f>
        <v/>
      </c>
      <c r="B320" s="58">
        <f>IF(Materiales!$B$49="","",Materiales!$B$49)</f>
        <v/>
      </c>
      <c r="C320" s="59" t="inlineStr">
        <is>
          <t>Necesidad bruta</t>
        </is>
      </c>
      <c r="D320" s="60" t="n"/>
      <c r="E320" s="61">
        <f>ROUND(SUMIF(Consumo!$O$4:$O$143,"#"&amp;$A320,Consumo!G$4:G$143),4)</f>
        <v/>
      </c>
      <c r="F320" s="61">
        <f>ROUND(SUMIF(Consumo!$O$4:$O$143,"#"&amp;$A320,Consumo!H$4:H$143),4)</f>
        <v/>
      </c>
      <c r="G320" s="61">
        <f>ROUND(SUMIF(Consumo!$O$4:$O$143,"#"&amp;$A320,Consumo!I$4:I$143),4)</f>
        <v/>
      </c>
      <c r="H320" s="61">
        <f>ROUND(SUMIF(Consumo!$O$4:$O$143,"#"&amp;$A320,Consumo!J$4:J$143),4)</f>
        <v/>
      </c>
      <c r="I320" s="61">
        <f>ROUND(SUMIF(Consumo!$O$4:$O$143,"#"&amp;$A320,Consumo!K$4:K$143),4)</f>
        <v/>
      </c>
      <c r="J320" s="61">
        <f>ROUND(SUMIF(Consumo!$O$4:$O$143,"#"&amp;$A320,Consumo!L$4:L$143),4)</f>
        <v/>
      </c>
      <c r="K320" s="61">
        <f>ROUND(SUMIF(Consumo!$O$4:$O$143,"#"&amp;$A320,Consumo!M$4:M$143),4)</f>
        <v/>
      </c>
      <c r="L320" s="61">
        <f>ROUND(SUMIF(Consumo!$O$4:$O$143,"#"&amp;$A320,Consumo!N$4:N$143),4)</f>
        <v/>
      </c>
      <c r="M320" s="62" t="n"/>
    </row>
    <row r="321">
      <c r="C321" s="59" t="inlineStr">
        <is>
          <t>Recepciones programadas (ya pedido)</t>
        </is>
      </c>
      <c r="D321" s="60" t="n"/>
      <c r="E321" s="61">
        <f>SUMIF(Inventario!$M$5:$M$87,"#"&amp;$A320,Inventario!E$5:E$87)</f>
        <v/>
      </c>
      <c r="F321" s="61">
        <f>SUMIF(Inventario!$M$5:$M$87,"#"&amp;$A320,Inventario!F$5:F$87)</f>
        <v/>
      </c>
      <c r="G321" s="61">
        <f>SUMIF(Inventario!$M$5:$M$87,"#"&amp;$A320,Inventario!G$5:G$87)</f>
        <v/>
      </c>
      <c r="H321" s="61">
        <f>SUMIF(Inventario!$M$5:$M$87,"#"&amp;$A320,Inventario!H$5:H$87)</f>
        <v/>
      </c>
      <c r="I321" s="61">
        <f>SUMIF(Inventario!$M$5:$M$87,"#"&amp;$A320,Inventario!I$5:I$87)</f>
        <v/>
      </c>
      <c r="J321" s="61">
        <f>SUMIF(Inventario!$M$5:$M$87,"#"&amp;$A320,Inventario!J$5:J$87)</f>
        <v/>
      </c>
      <c r="K321" s="61">
        <f>SUMIF(Inventario!$M$5:$M$87,"#"&amp;$A320,Inventario!K$5:K$87)</f>
        <v/>
      </c>
      <c r="L321" s="61">
        <f>SUMIF(Inventario!$M$5:$M$87,"#"&amp;$A320,Inventario!L$5:L$87)</f>
        <v/>
      </c>
      <c r="M321" s="62" t="n"/>
    </row>
    <row r="322">
      <c r="C322" s="59" t="inlineStr">
        <is>
          <t>Stock proyectado disponible</t>
        </is>
      </c>
      <c r="D322" s="63">
        <f>SUMIF(Inventario!$M$5:$M$87,"#"&amp;$A320,Inventario!$C$5:$C$87)</f>
        <v/>
      </c>
      <c r="E322" s="64">
        <f>D322+E321+E324-E320</f>
        <v/>
      </c>
      <c r="F322" s="64">
        <f>E322+F321+F324-F320</f>
        <v/>
      </c>
      <c r="G322" s="64">
        <f>F322+G321+G324-G320</f>
        <v/>
      </c>
      <c r="H322" s="64">
        <f>G322+H321+H324-H320</f>
        <v/>
      </c>
      <c r="I322" s="64">
        <f>H322+I321+I324-I320</f>
        <v/>
      </c>
      <c r="J322" s="64">
        <f>I322+J321+J324-J320</f>
        <v/>
      </c>
      <c r="K322" s="64">
        <f>J322+K321+K324-K320</f>
        <v/>
      </c>
      <c r="L322" s="64">
        <f>K322+L321+L324-L320</f>
        <v/>
      </c>
      <c r="M322" s="62" t="n"/>
    </row>
    <row r="323">
      <c r="C323" s="59" t="inlineStr">
        <is>
          <t>Necesidad neta</t>
        </is>
      </c>
      <c r="D323" s="60" t="n"/>
      <c r="E323" s="65">
        <f>MAX(0,ROUND(E320+Materiales!$H$49-D322-E321,4))</f>
        <v/>
      </c>
      <c r="F323" s="65">
        <f>MAX(0,ROUND(F320+Materiales!$H$49-E322-F321,4))</f>
        <v/>
      </c>
      <c r="G323" s="65">
        <f>MAX(0,ROUND(G320+Materiales!$H$49-F322-G321,4))</f>
        <v/>
      </c>
      <c r="H323" s="65">
        <f>MAX(0,ROUND(H320+Materiales!$H$49-G322-H321,4))</f>
        <v/>
      </c>
      <c r="I323" s="65">
        <f>MAX(0,ROUND(I320+Materiales!$H$49-H322-I321,4))</f>
        <v/>
      </c>
      <c r="J323" s="65">
        <f>MAX(0,ROUND(J320+Materiales!$H$49-I322-J321,4))</f>
        <v/>
      </c>
      <c r="K323" s="65">
        <f>MAX(0,ROUND(K320+Materiales!$H$49-J322-K321,4))</f>
        <v/>
      </c>
      <c r="L323" s="65">
        <f>MAX(0,ROUND(L320+Materiales!$H$49-K322-L321,4))</f>
        <v/>
      </c>
      <c r="M323" s="62" t="n"/>
    </row>
    <row r="324">
      <c r="C324" s="59" t="inlineStr">
        <is>
          <t>Recepcion de orden planificada</t>
        </is>
      </c>
      <c r="D324" s="60" t="n"/>
      <c r="E324" s="61">
        <f>IF(E323&lt;=0,0,IF(Materiales!$G$49&lt;=0,E323,ROUNDUP(E323/Materiales!$G$49,0)*Materiales!$G$49))</f>
        <v/>
      </c>
      <c r="F324" s="61">
        <f>IF(F323&lt;=0,0,IF(Materiales!$G$49&lt;=0,F323,ROUNDUP(F323/Materiales!$G$49,0)*Materiales!$G$49))</f>
        <v/>
      </c>
      <c r="G324" s="61">
        <f>IF(G323&lt;=0,0,IF(Materiales!$G$49&lt;=0,G323,ROUNDUP(G323/Materiales!$G$49,0)*Materiales!$G$49))</f>
        <v/>
      </c>
      <c r="H324" s="61">
        <f>IF(H323&lt;=0,0,IF(Materiales!$G$49&lt;=0,H323,ROUNDUP(H323/Materiales!$G$49,0)*Materiales!$G$49))</f>
        <v/>
      </c>
      <c r="I324" s="61">
        <f>IF(I323&lt;=0,0,IF(Materiales!$G$49&lt;=0,I323,ROUNDUP(I323/Materiales!$G$49,0)*Materiales!$G$49))</f>
        <v/>
      </c>
      <c r="J324" s="61">
        <f>IF(J323&lt;=0,0,IF(Materiales!$G$49&lt;=0,J323,ROUNDUP(J323/Materiales!$G$49,0)*Materiales!$G$49))</f>
        <v/>
      </c>
      <c r="K324" s="61">
        <f>IF(K323&lt;=0,0,IF(Materiales!$G$49&lt;=0,K323,ROUNDUP(K323/Materiales!$G$49,0)*Materiales!$G$49))</f>
        <v/>
      </c>
      <c r="L324" s="61">
        <f>IF(L323&lt;=0,0,IF(Materiales!$G$49&lt;=0,L323,ROUNDUP(L323/Materiales!$G$49,0)*Materiales!$G$49))</f>
        <v/>
      </c>
      <c r="M324" s="62" t="n"/>
    </row>
    <row r="325">
      <c r="C325" s="66" t="inlineStr">
        <is>
          <t>LANZAMIENTO DE ORDEN — pedir esta semana</t>
        </is>
      </c>
      <c r="D325" s="60" t="n"/>
      <c r="E325" s="70">
        <f>IF(1+Materiales!$F$49&gt;8,0,INDEX($E$324:$L$324,1,1+Materiales!$F$49))</f>
        <v/>
      </c>
      <c r="F325" s="70">
        <f>IF(2+Materiales!$F$49&gt;8,0,INDEX($E$324:$L$324,1,2+Materiales!$F$49))</f>
        <v/>
      </c>
      <c r="G325" s="70">
        <f>IF(3+Materiales!$F$49&gt;8,0,INDEX($E$324:$L$324,1,3+Materiales!$F$49))</f>
        <v/>
      </c>
      <c r="H325" s="70">
        <f>IF(4+Materiales!$F$49&gt;8,0,INDEX($E$324:$L$324,1,4+Materiales!$F$49))</f>
        <v/>
      </c>
      <c r="I325" s="70">
        <f>IF(5+Materiales!$F$49&gt;8,0,INDEX($E$324:$L$324,1,5+Materiales!$F$49))</f>
        <v/>
      </c>
      <c r="J325" s="70">
        <f>IF(6+Materiales!$F$49&gt;8,0,INDEX($E$324:$L$324,1,6+Materiales!$F$49))</f>
        <v/>
      </c>
      <c r="K325" s="70">
        <f>IF(7+Materiales!$F$49&gt;8,0,INDEX($E$324:$L$324,1,7+Materiales!$F$49))</f>
        <v/>
      </c>
      <c r="L325" s="70">
        <f>IF(8+Materiales!$F$49&gt;8,0,INDEX($E$324:$L$324,1,8+Materiales!$F$49))</f>
        <v/>
      </c>
      <c r="M325" s="68">
        <f>IF($A320="","",IF(SUMPRODUCT((COLUMN($E$324:$L$324)-4&lt;=Materiales!$F$49)*$E$324:$L$324)&gt;0,"PEDIR YA (atrasado)","OK"))</f>
        <v/>
      </c>
    </row>
    <row r="326" ht="6" customHeight="1"/>
    <row r="327">
      <c r="A327" s="58">
        <f>IF(Materiales!$A$50="","",Materiales!$A$50)</f>
        <v/>
      </c>
      <c r="B327" s="58">
        <f>IF(Materiales!$B$50="","",Materiales!$B$50)</f>
        <v/>
      </c>
      <c r="C327" s="59" t="inlineStr">
        <is>
          <t>Necesidad bruta</t>
        </is>
      </c>
      <c r="D327" s="60" t="n"/>
      <c r="E327" s="61">
        <f>ROUND(SUMIF(Consumo!$O$4:$O$143,"#"&amp;$A327,Consumo!G$4:G$143),4)</f>
        <v/>
      </c>
      <c r="F327" s="61">
        <f>ROUND(SUMIF(Consumo!$O$4:$O$143,"#"&amp;$A327,Consumo!H$4:H$143),4)</f>
        <v/>
      </c>
      <c r="G327" s="61">
        <f>ROUND(SUMIF(Consumo!$O$4:$O$143,"#"&amp;$A327,Consumo!I$4:I$143),4)</f>
        <v/>
      </c>
      <c r="H327" s="61">
        <f>ROUND(SUMIF(Consumo!$O$4:$O$143,"#"&amp;$A327,Consumo!J$4:J$143),4)</f>
        <v/>
      </c>
      <c r="I327" s="61">
        <f>ROUND(SUMIF(Consumo!$O$4:$O$143,"#"&amp;$A327,Consumo!K$4:K$143),4)</f>
        <v/>
      </c>
      <c r="J327" s="61">
        <f>ROUND(SUMIF(Consumo!$O$4:$O$143,"#"&amp;$A327,Consumo!L$4:L$143),4)</f>
        <v/>
      </c>
      <c r="K327" s="61">
        <f>ROUND(SUMIF(Consumo!$O$4:$O$143,"#"&amp;$A327,Consumo!M$4:M$143),4)</f>
        <v/>
      </c>
      <c r="L327" s="61">
        <f>ROUND(SUMIF(Consumo!$O$4:$O$143,"#"&amp;$A327,Consumo!N$4:N$143),4)</f>
        <v/>
      </c>
      <c r="M327" s="62" t="n"/>
    </row>
    <row r="328">
      <c r="C328" s="59" t="inlineStr">
        <is>
          <t>Recepciones programadas (ya pedido)</t>
        </is>
      </c>
      <c r="D328" s="60" t="n"/>
      <c r="E328" s="61">
        <f>SUMIF(Inventario!$M$5:$M$87,"#"&amp;$A327,Inventario!E$5:E$87)</f>
        <v/>
      </c>
      <c r="F328" s="61">
        <f>SUMIF(Inventario!$M$5:$M$87,"#"&amp;$A327,Inventario!F$5:F$87)</f>
        <v/>
      </c>
      <c r="G328" s="61">
        <f>SUMIF(Inventario!$M$5:$M$87,"#"&amp;$A327,Inventario!G$5:G$87)</f>
        <v/>
      </c>
      <c r="H328" s="61">
        <f>SUMIF(Inventario!$M$5:$M$87,"#"&amp;$A327,Inventario!H$5:H$87)</f>
        <v/>
      </c>
      <c r="I328" s="61">
        <f>SUMIF(Inventario!$M$5:$M$87,"#"&amp;$A327,Inventario!I$5:I$87)</f>
        <v/>
      </c>
      <c r="J328" s="61">
        <f>SUMIF(Inventario!$M$5:$M$87,"#"&amp;$A327,Inventario!J$5:J$87)</f>
        <v/>
      </c>
      <c r="K328" s="61">
        <f>SUMIF(Inventario!$M$5:$M$87,"#"&amp;$A327,Inventario!K$5:K$87)</f>
        <v/>
      </c>
      <c r="L328" s="61">
        <f>SUMIF(Inventario!$M$5:$M$87,"#"&amp;$A327,Inventario!L$5:L$87)</f>
        <v/>
      </c>
      <c r="M328" s="62" t="n"/>
    </row>
    <row r="329">
      <c r="C329" s="59" t="inlineStr">
        <is>
          <t>Stock proyectado disponible</t>
        </is>
      </c>
      <c r="D329" s="63">
        <f>SUMIF(Inventario!$M$5:$M$87,"#"&amp;$A327,Inventario!$C$5:$C$87)</f>
        <v/>
      </c>
      <c r="E329" s="64">
        <f>D329+E328+E331-E327</f>
        <v/>
      </c>
      <c r="F329" s="64">
        <f>E329+F328+F331-F327</f>
        <v/>
      </c>
      <c r="G329" s="64">
        <f>F329+G328+G331-G327</f>
        <v/>
      </c>
      <c r="H329" s="64">
        <f>G329+H328+H331-H327</f>
        <v/>
      </c>
      <c r="I329" s="64">
        <f>H329+I328+I331-I327</f>
        <v/>
      </c>
      <c r="J329" s="64">
        <f>I329+J328+J331-J327</f>
        <v/>
      </c>
      <c r="K329" s="64">
        <f>J329+K328+K331-K327</f>
        <v/>
      </c>
      <c r="L329" s="64">
        <f>K329+L328+L331-L327</f>
        <v/>
      </c>
      <c r="M329" s="62" t="n"/>
    </row>
    <row r="330">
      <c r="C330" s="59" t="inlineStr">
        <is>
          <t>Necesidad neta</t>
        </is>
      </c>
      <c r="D330" s="60" t="n"/>
      <c r="E330" s="65">
        <f>MAX(0,ROUND(E327+Materiales!$H$50-D329-E328,4))</f>
        <v/>
      </c>
      <c r="F330" s="65">
        <f>MAX(0,ROUND(F327+Materiales!$H$50-E329-F328,4))</f>
        <v/>
      </c>
      <c r="G330" s="65">
        <f>MAX(0,ROUND(G327+Materiales!$H$50-F329-G328,4))</f>
        <v/>
      </c>
      <c r="H330" s="65">
        <f>MAX(0,ROUND(H327+Materiales!$H$50-G329-H328,4))</f>
        <v/>
      </c>
      <c r="I330" s="65">
        <f>MAX(0,ROUND(I327+Materiales!$H$50-H329-I328,4))</f>
        <v/>
      </c>
      <c r="J330" s="65">
        <f>MAX(0,ROUND(J327+Materiales!$H$50-I329-J328,4))</f>
        <v/>
      </c>
      <c r="K330" s="65">
        <f>MAX(0,ROUND(K327+Materiales!$H$50-J329-K328,4))</f>
        <v/>
      </c>
      <c r="L330" s="65">
        <f>MAX(0,ROUND(L327+Materiales!$H$50-K329-L328,4))</f>
        <v/>
      </c>
      <c r="M330" s="62" t="n"/>
    </row>
    <row r="331">
      <c r="C331" s="59" t="inlineStr">
        <is>
          <t>Recepcion de orden planificada</t>
        </is>
      </c>
      <c r="D331" s="60" t="n"/>
      <c r="E331" s="61">
        <f>IF(E330&lt;=0,0,IF(Materiales!$G$50&lt;=0,E330,ROUNDUP(E330/Materiales!$G$50,0)*Materiales!$G$50))</f>
        <v/>
      </c>
      <c r="F331" s="61">
        <f>IF(F330&lt;=0,0,IF(Materiales!$G$50&lt;=0,F330,ROUNDUP(F330/Materiales!$G$50,0)*Materiales!$G$50))</f>
        <v/>
      </c>
      <c r="G331" s="61">
        <f>IF(G330&lt;=0,0,IF(Materiales!$G$50&lt;=0,G330,ROUNDUP(G330/Materiales!$G$50,0)*Materiales!$G$50))</f>
        <v/>
      </c>
      <c r="H331" s="61">
        <f>IF(H330&lt;=0,0,IF(Materiales!$G$50&lt;=0,H330,ROUNDUP(H330/Materiales!$G$50,0)*Materiales!$G$50))</f>
        <v/>
      </c>
      <c r="I331" s="61">
        <f>IF(I330&lt;=0,0,IF(Materiales!$G$50&lt;=0,I330,ROUNDUP(I330/Materiales!$G$50,0)*Materiales!$G$50))</f>
        <v/>
      </c>
      <c r="J331" s="61">
        <f>IF(J330&lt;=0,0,IF(Materiales!$G$50&lt;=0,J330,ROUNDUP(J330/Materiales!$G$50,0)*Materiales!$G$50))</f>
        <v/>
      </c>
      <c r="K331" s="61">
        <f>IF(K330&lt;=0,0,IF(Materiales!$G$50&lt;=0,K330,ROUNDUP(K330/Materiales!$G$50,0)*Materiales!$G$50))</f>
        <v/>
      </c>
      <c r="L331" s="61">
        <f>IF(L330&lt;=0,0,IF(Materiales!$G$50&lt;=0,L330,ROUNDUP(L330/Materiales!$G$50,0)*Materiales!$G$50))</f>
        <v/>
      </c>
      <c r="M331" s="62" t="n"/>
    </row>
    <row r="332">
      <c r="C332" s="66" t="inlineStr">
        <is>
          <t>LANZAMIENTO DE ORDEN — pedir esta semana</t>
        </is>
      </c>
      <c r="D332" s="60" t="n"/>
      <c r="E332" s="70">
        <f>IF(1+Materiales!$F$50&gt;8,0,INDEX($E$331:$L$331,1,1+Materiales!$F$50))</f>
        <v/>
      </c>
      <c r="F332" s="70">
        <f>IF(2+Materiales!$F$50&gt;8,0,INDEX($E$331:$L$331,1,2+Materiales!$F$50))</f>
        <v/>
      </c>
      <c r="G332" s="70">
        <f>IF(3+Materiales!$F$50&gt;8,0,INDEX($E$331:$L$331,1,3+Materiales!$F$50))</f>
        <v/>
      </c>
      <c r="H332" s="70">
        <f>IF(4+Materiales!$F$50&gt;8,0,INDEX($E$331:$L$331,1,4+Materiales!$F$50))</f>
        <v/>
      </c>
      <c r="I332" s="70">
        <f>IF(5+Materiales!$F$50&gt;8,0,INDEX($E$331:$L$331,1,5+Materiales!$F$50))</f>
        <v/>
      </c>
      <c r="J332" s="70">
        <f>IF(6+Materiales!$F$50&gt;8,0,INDEX($E$331:$L$331,1,6+Materiales!$F$50))</f>
        <v/>
      </c>
      <c r="K332" s="70">
        <f>IF(7+Materiales!$F$50&gt;8,0,INDEX($E$331:$L$331,1,7+Materiales!$F$50))</f>
        <v/>
      </c>
      <c r="L332" s="70">
        <f>IF(8+Materiales!$F$50&gt;8,0,INDEX($E$331:$L$331,1,8+Materiales!$F$50))</f>
        <v/>
      </c>
      <c r="M332" s="68">
        <f>IF($A327="","",IF(SUMPRODUCT((COLUMN($E$331:$L$331)-4&lt;=Materiales!$F$50)*$E$331:$L$331)&gt;0,"PEDIR YA (atrasado)","OK"))</f>
        <v/>
      </c>
    </row>
    <row r="333" ht="6" customHeight="1"/>
    <row r="334">
      <c r="A334" s="58">
        <f>IF(Materiales!$A$51="","",Materiales!$A$51)</f>
        <v/>
      </c>
      <c r="B334" s="58">
        <f>IF(Materiales!$B$51="","",Materiales!$B$51)</f>
        <v/>
      </c>
      <c r="C334" s="59" t="inlineStr">
        <is>
          <t>Necesidad bruta</t>
        </is>
      </c>
      <c r="D334" s="60" t="n"/>
      <c r="E334" s="61">
        <f>ROUND(SUMIF(Consumo!$O$4:$O$143,"#"&amp;$A334,Consumo!G$4:G$143),4)</f>
        <v/>
      </c>
      <c r="F334" s="61">
        <f>ROUND(SUMIF(Consumo!$O$4:$O$143,"#"&amp;$A334,Consumo!H$4:H$143),4)</f>
        <v/>
      </c>
      <c r="G334" s="61">
        <f>ROUND(SUMIF(Consumo!$O$4:$O$143,"#"&amp;$A334,Consumo!I$4:I$143),4)</f>
        <v/>
      </c>
      <c r="H334" s="61">
        <f>ROUND(SUMIF(Consumo!$O$4:$O$143,"#"&amp;$A334,Consumo!J$4:J$143),4)</f>
        <v/>
      </c>
      <c r="I334" s="61">
        <f>ROUND(SUMIF(Consumo!$O$4:$O$143,"#"&amp;$A334,Consumo!K$4:K$143),4)</f>
        <v/>
      </c>
      <c r="J334" s="61">
        <f>ROUND(SUMIF(Consumo!$O$4:$O$143,"#"&amp;$A334,Consumo!L$4:L$143),4)</f>
        <v/>
      </c>
      <c r="K334" s="61">
        <f>ROUND(SUMIF(Consumo!$O$4:$O$143,"#"&amp;$A334,Consumo!M$4:M$143),4)</f>
        <v/>
      </c>
      <c r="L334" s="61">
        <f>ROUND(SUMIF(Consumo!$O$4:$O$143,"#"&amp;$A334,Consumo!N$4:N$143),4)</f>
        <v/>
      </c>
      <c r="M334" s="62" t="n"/>
    </row>
    <row r="335">
      <c r="C335" s="59" t="inlineStr">
        <is>
          <t>Recepciones programadas (ya pedido)</t>
        </is>
      </c>
      <c r="D335" s="60" t="n"/>
      <c r="E335" s="61">
        <f>SUMIF(Inventario!$M$5:$M$87,"#"&amp;$A334,Inventario!E$5:E$87)</f>
        <v/>
      </c>
      <c r="F335" s="61">
        <f>SUMIF(Inventario!$M$5:$M$87,"#"&amp;$A334,Inventario!F$5:F$87)</f>
        <v/>
      </c>
      <c r="G335" s="61">
        <f>SUMIF(Inventario!$M$5:$M$87,"#"&amp;$A334,Inventario!G$5:G$87)</f>
        <v/>
      </c>
      <c r="H335" s="61">
        <f>SUMIF(Inventario!$M$5:$M$87,"#"&amp;$A334,Inventario!H$5:H$87)</f>
        <v/>
      </c>
      <c r="I335" s="61">
        <f>SUMIF(Inventario!$M$5:$M$87,"#"&amp;$A334,Inventario!I$5:I$87)</f>
        <v/>
      </c>
      <c r="J335" s="61">
        <f>SUMIF(Inventario!$M$5:$M$87,"#"&amp;$A334,Inventario!J$5:J$87)</f>
        <v/>
      </c>
      <c r="K335" s="61">
        <f>SUMIF(Inventario!$M$5:$M$87,"#"&amp;$A334,Inventario!K$5:K$87)</f>
        <v/>
      </c>
      <c r="L335" s="61">
        <f>SUMIF(Inventario!$M$5:$M$87,"#"&amp;$A334,Inventario!L$5:L$87)</f>
        <v/>
      </c>
      <c r="M335" s="62" t="n"/>
    </row>
    <row r="336">
      <c r="C336" s="59" t="inlineStr">
        <is>
          <t>Stock proyectado disponible</t>
        </is>
      </c>
      <c r="D336" s="63">
        <f>SUMIF(Inventario!$M$5:$M$87,"#"&amp;$A334,Inventario!$C$5:$C$87)</f>
        <v/>
      </c>
      <c r="E336" s="64">
        <f>D336+E335+E338-E334</f>
        <v/>
      </c>
      <c r="F336" s="64">
        <f>E336+F335+F338-F334</f>
        <v/>
      </c>
      <c r="G336" s="64">
        <f>F336+G335+G338-G334</f>
        <v/>
      </c>
      <c r="H336" s="64">
        <f>G336+H335+H338-H334</f>
        <v/>
      </c>
      <c r="I336" s="64">
        <f>H336+I335+I338-I334</f>
        <v/>
      </c>
      <c r="J336" s="64">
        <f>I336+J335+J338-J334</f>
        <v/>
      </c>
      <c r="K336" s="64">
        <f>J336+K335+K338-K334</f>
        <v/>
      </c>
      <c r="L336" s="64">
        <f>K336+L335+L338-L334</f>
        <v/>
      </c>
      <c r="M336" s="62" t="n"/>
    </row>
    <row r="337">
      <c r="C337" s="59" t="inlineStr">
        <is>
          <t>Necesidad neta</t>
        </is>
      </c>
      <c r="D337" s="60" t="n"/>
      <c r="E337" s="65">
        <f>MAX(0,ROUND(E334+Materiales!$H$51-D336-E335,4))</f>
        <v/>
      </c>
      <c r="F337" s="65">
        <f>MAX(0,ROUND(F334+Materiales!$H$51-E336-F335,4))</f>
        <v/>
      </c>
      <c r="G337" s="65">
        <f>MAX(0,ROUND(G334+Materiales!$H$51-F336-G335,4))</f>
        <v/>
      </c>
      <c r="H337" s="65">
        <f>MAX(0,ROUND(H334+Materiales!$H$51-G336-H335,4))</f>
        <v/>
      </c>
      <c r="I337" s="65">
        <f>MAX(0,ROUND(I334+Materiales!$H$51-H336-I335,4))</f>
        <v/>
      </c>
      <c r="J337" s="65">
        <f>MAX(0,ROUND(J334+Materiales!$H$51-I336-J335,4))</f>
        <v/>
      </c>
      <c r="K337" s="65">
        <f>MAX(0,ROUND(K334+Materiales!$H$51-J336-K335,4))</f>
        <v/>
      </c>
      <c r="L337" s="65">
        <f>MAX(0,ROUND(L334+Materiales!$H$51-K336-L335,4))</f>
        <v/>
      </c>
      <c r="M337" s="62" t="n"/>
    </row>
    <row r="338">
      <c r="C338" s="59" t="inlineStr">
        <is>
          <t>Recepcion de orden planificada</t>
        </is>
      </c>
      <c r="D338" s="60" t="n"/>
      <c r="E338" s="61">
        <f>IF(E337&lt;=0,0,IF(Materiales!$G$51&lt;=0,E337,ROUNDUP(E337/Materiales!$G$51,0)*Materiales!$G$51))</f>
        <v/>
      </c>
      <c r="F338" s="61">
        <f>IF(F337&lt;=0,0,IF(Materiales!$G$51&lt;=0,F337,ROUNDUP(F337/Materiales!$G$51,0)*Materiales!$G$51))</f>
        <v/>
      </c>
      <c r="G338" s="61">
        <f>IF(G337&lt;=0,0,IF(Materiales!$G$51&lt;=0,G337,ROUNDUP(G337/Materiales!$G$51,0)*Materiales!$G$51))</f>
        <v/>
      </c>
      <c r="H338" s="61">
        <f>IF(H337&lt;=0,0,IF(Materiales!$G$51&lt;=0,H337,ROUNDUP(H337/Materiales!$G$51,0)*Materiales!$G$51))</f>
        <v/>
      </c>
      <c r="I338" s="61">
        <f>IF(I337&lt;=0,0,IF(Materiales!$G$51&lt;=0,I337,ROUNDUP(I337/Materiales!$G$51,0)*Materiales!$G$51))</f>
        <v/>
      </c>
      <c r="J338" s="61">
        <f>IF(J337&lt;=0,0,IF(Materiales!$G$51&lt;=0,J337,ROUNDUP(J337/Materiales!$G$51,0)*Materiales!$G$51))</f>
        <v/>
      </c>
      <c r="K338" s="61">
        <f>IF(K337&lt;=0,0,IF(Materiales!$G$51&lt;=0,K337,ROUNDUP(K337/Materiales!$G$51,0)*Materiales!$G$51))</f>
        <v/>
      </c>
      <c r="L338" s="61">
        <f>IF(L337&lt;=0,0,IF(Materiales!$G$51&lt;=0,L337,ROUNDUP(L337/Materiales!$G$51,0)*Materiales!$G$51))</f>
        <v/>
      </c>
      <c r="M338" s="62" t="n"/>
    </row>
    <row r="339">
      <c r="C339" s="66" t="inlineStr">
        <is>
          <t>LANZAMIENTO DE ORDEN — pedir esta semana</t>
        </is>
      </c>
      <c r="D339" s="60" t="n"/>
      <c r="E339" s="70">
        <f>IF(1+Materiales!$F$51&gt;8,0,INDEX($E$338:$L$338,1,1+Materiales!$F$51))</f>
        <v/>
      </c>
      <c r="F339" s="70">
        <f>IF(2+Materiales!$F$51&gt;8,0,INDEX($E$338:$L$338,1,2+Materiales!$F$51))</f>
        <v/>
      </c>
      <c r="G339" s="70">
        <f>IF(3+Materiales!$F$51&gt;8,0,INDEX($E$338:$L$338,1,3+Materiales!$F$51))</f>
        <v/>
      </c>
      <c r="H339" s="70">
        <f>IF(4+Materiales!$F$51&gt;8,0,INDEX($E$338:$L$338,1,4+Materiales!$F$51))</f>
        <v/>
      </c>
      <c r="I339" s="70">
        <f>IF(5+Materiales!$F$51&gt;8,0,INDEX($E$338:$L$338,1,5+Materiales!$F$51))</f>
        <v/>
      </c>
      <c r="J339" s="70">
        <f>IF(6+Materiales!$F$51&gt;8,0,INDEX($E$338:$L$338,1,6+Materiales!$F$51))</f>
        <v/>
      </c>
      <c r="K339" s="70">
        <f>IF(7+Materiales!$F$51&gt;8,0,INDEX($E$338:$L$338,1,7+Materiales!$F$51))</f>
        <v/>
      </c>
      <c r="L339" s="70">
        <f>IF(8+Materiales!$F$51&gt;8,0,INDEX($E$338:$L$338,1,8+Materiales!$F$51))</f>
        <v/>
      </c>
      <c r="M339" s="68">
        <f>IF($A334="","",IF(SUMPRODUCT((COLUMN($E$338:$L$338)-4&lt;=Materiales!$F$51)*$E$338:$L$338)&gt;0,"PEDIR YA (atrasado)","OK"))</f>
        <v/>
      </c>
    </row>
    <row r="340" ht="6" customHeight="1"/>
    <row r="341">
      <c r="A341" s="58">
        <f>IF(Materiales!$A$52="","",Materiales!$A$52)</f>
        <v/>
      </c>
      <c r="B341" s="58">
        <f>IF(Materiales!$B$52="","",Materiales!$B$52)</f>
        <v/>
      </c>
      <c r="C341" s="59" t="inlineStr">
        <is>
          <t>Necesidad bruta</t>
        </is>
      </c>
      <c r="D341" s="60" t="n"/>
      <c r="E341" s="61">
        <f>ROUND(SUMIF(Consumo!$O$4:$O$143,"#"&amp;$A341,Consumo!G$4:G$143),4)</f>
        <v/>
      </c>
      <c r="F341" s="61">
        <f>ROUND(SUMIF(Consumo!$O$4:$O$143,"#"&amp;$A341,Consumo!H$4:H$143),4)</f>
        <v/>
      </c>
      <c r="G341" s="61">
        <f>ROUND(SUMIF(Consumo!$O$4:$O$143,"#"&amp;$A341,Consumo!I$4:I$143),4)</f>
        <v/>
      </c>
      <c r="H341" s="61">
        <f>ROUND(SUMIF(Consumo!$O$4:$O$143,"#"&amp;$A341,Consumo!J$4:J$143),4)</f>
        <v/>
      </c>
      <c r="I341" s="61">
        <f>ROUND(SUMIF(Consumo!$O$4:$O$143,"#"&amp;$A341,Consumo!K$4:K$143),4)</f>
        <v/>
      </c>
      <c r="J341" s="61">
        <f>ROUND(SUMIF(Consumo!$O$4:$O$143,"#"&amp;$A341,Consumo!L$4:L$143),4)</f>
        <v/>
      </c>
      <c r="K341" s="61">
        <f>ROUND(SUMIF(Consumo!$O$4:$O$143,"#"&amp;$A341,Consumo!M$4:M$143),4)</f>
        <v/>
      </c>
      <c r="L341" s="61">
        <f>ROUND(SUMIF(Consumo!$O$4:$O$143,"#"&amp;$A341,Consumo!N$4:N$143),4)</f>
        <v/>
      </c>
      <c r="M341" s="62" t="n"/>
    </row>
    <row r="342">
      <c r="C342" s="59" t="inlineStr">
        <is>
          <t>Recepciones programadas (ya pedido)</t>
        </is>
      </c>
      <c r="D342" s="60" t="n"/>
      <c r="E342" s="61">
        <f>SUMIF(Inventario!$M$5:$M$87,"#"&amp;$A341,Inventario!E$5:E$87)</f>
        <v/>
      </c>
      <c r="F342" s="61">
        <f>SUMIF(Inventario!$M$5:$M$87,"#"&amp;$A341,Inventario!F$5:F$87)</f>
        <v/>
      </c>
      <c r="G342" s="61">
        <f>SUMIF(Inventario!$M$5:$M$87,"#"&amp;$A341,Inventario!G$5:G$87)</f>
        <v/>
      </c>
      <c r="H342" s="61">
        <f>SUMIF(Inventario!$M$5:$M$87,"#"&amp;$A341,Inventario!H$5:H$87)</f>
        <v/>
      </c>
      <c r="I342" s="61">
        <f>SUMIF(Inventario!$M$5:$M$87,"#"&amp;$A341,Inventario!I$5:I$87)</f>
        <v/>
      </c>
      <c r="J342" s="61">
        <f>SUMIF(Inventario!$M$5:$M$87,"#"&amp;$A341,Inventario!J$5:J$87)</f>
        <v/>
      </c>
      <c r="K342" s="61">
        <f>SUMIF(Inventario!$M$5:$M$87,"#"&amp;$A341,Inventario!K$5:K$87)</f>
        <v/>
      </c>
      <c r="L342" s="61">
        <f>SUMIF(Inventario!$M$5:$M$87,"#"&amp;$A341,Inventario!L$5:L$87)</f>
        <v/>
      </c>
      <c r="M342" s="62" t="n"/>
    </row>
    <row r="343">
      <c r="C343" s="59" t="inlineStr">
        <is>
          <t>Stock proyectado disponible</t>
        </is>
      </c>
      <c r="D343" s="63">
        <f>SUMIF(Inventario!$M$5:$M$87,"#"&amp;$A341,Inventario!$C$5:$C$87)</f>
        <v/>
      </c>
      <c r="E343" s="64">
        <f>D343+E342+E345-E341</f>
        <v/>
      </c>
      <c r="F343" s="64">
        <f>E343+F342+F345-F341</f>
        <v/>
      </c>
      <c r="G343" s="64">
        <f>F343+G342+G345-G341</f>
        <v/>
      </c>
      <c r="H343" s="64">
        <f>G343+H342+H345-H341</f>
        <v/>
      </c>
      <c r="I343" s="64">
        <f>H343+I342+I345-I341</f>
        <v/>
      </c>
      <c r="J343" s="64">
        <f>I343+J342+J345-J341</f>
        <v/>
      </c>
      <c r="K343" s="64">
        <f>J343+K342+K345-K341</f>
        <v/>
      </c>
      <c r="L343" s="64">
        <f>K343+L342+L345-L341</f>
        <v/>
      </c>
      <c r="M343" s="62" t="n"/>
    </row>
    <row r="344">
      <c r="C344" s="59" t="inlineStr">
        <is>
          <t>Necesidad neta</t>
        </is>
      </c>
      <c r="D344" s="60" t="n"/>
      <c r="E344" s="65">
        <f>MAX(0,ROUND(E341+Materiales!$H$52-D343-E342,4))</f>
        <v/>
      </c>
      <c r="F344" s="65">
        <f>MAX(0,ROUND(F341+Materiales!$H$52-E343-F342,4))</f>
        <v/>
      </c>
      <c r="G344" s="65">
        <f>MAX(0,ROUND(G341+Materiales!$H$52-F343-G342,4))</f>
        <v/>
      </c>
      <c r="H344" s="65">
        <f>MAX(0,ROUND(H341+Materiales!$H$52-G343-H342,4))</f>
        <v/>
      </c>
      <c r="I344" s="65">
        <f>MAX(0,ROUND(I341+Materiales!$H$52-H343-I342,4))</f>
        <v/>
      </c>
      <c r="J344" s="65">
        <f>MAX(0,ROUND(J341+Materiales!$H$52-I343-J342,4))</f>
        <v/>
      </c>
      <c r="K344" s="65">
        <f>MAX(0,ROUND(K341+Materiales!$H$52-J343-K342,4))</f>
        <v/>
      </c>
      <c r="L344" s="65">
        <f>MAX(0,ROUND(L341+Materiales!$H$52-K343-L342,4))</f>
        <v/>
      </c>
      <c r="M344" s="62" t="n"/>
    </row>
    <row r="345">
      <c r="C345" s="59" t="inlineStr">
        <is>
          <t>Recepcion de orden planificada</t>
        </is>
      </c>
      <c r="D345" s="60" t="n"/>
      <c r="E345" s="61">
        <f>IF(E344&lt;=0,0,IF(Materiales!$G$52&lt;=0,E344,ROUNDUP(E344/Materiales!$G$52,0)*Materiales!$G$52))</f>
        <v/>
      </c>
      <c r="F345" s="61">
        <f>IF(F344&lt;=0,0,IF(Materiales!$G$52&lt;=0,F344,ROUNDUP(F344/Materiales!$G$52,0)*Materiales!$G$52))</f>
        <v/>
      </c>
      <c r="G345" s="61">
        <f>IF(G344&lt;=0,0,IF(Materiales!$G$52&lt;=0,G344,ROUNDUP(G344/Materiales!$G$52,0)*Materiales!$G$52))</f>
        <v/>
      </c>
      <c r="H345" s="61">
        <f>IF(H344&lt;=0,0,IF(Materiales!$G$52&lt;=0,H344,ROUNDUP(H344/Materiales!$G$52,0)*Materiales!$G$52))</f>
        <v/>
      </c>
      <c r="I345" s="61">
        <f>IF(I344&lt;=0,0,IF(Materiales!$G$52&lt;=0,I344,ROUNDUP(I344/Materiales!$G$52,0)*Materiales!$G$52))</f>
        <v/>
      </c>
      <c r="J345" s="61">
        <f>IF(J344&lt;=0,0,IF(Materiales!$G$52&lt;=0,J344,ROUNDUP(J344/Materiales!$G$52,0)*Materiales!$G$52))</f>
        <v/>
      </c>
      <c r="K345" s="61">
        <f>IF(K344&lt;=0,0,IF(Materiales!$G$52&lt;=0,K344,ROUNDUP(K344/Materiales!$G$52,0)*Materiales!$G$52))</f>
        <v/>
      </c>
      <c r="L345" s="61">
        <f>IF(L344&lt;=0,0,IF(Materiales!$G$52&lt;=0,L344,ROUNDUP(L344/Materiales!$G$52,0)*Materiales!$G$52))</f>
        <v/>
      </c>
      <c r="M345" s="62" t="n"/>
    </row>
    <row r="346">
      <c r="C346" s="66" t="inlineStr">
        <is>
          <t>LANZAMIENTO DE ORDEN — pedir esta semana</t>
        </is>
      </c>
      <c r="D346" s="60" t="n"/>
      <c r="E346" s="70">
        <f>IF(1+Materiales!$F$52&gt;8,0,INDEX($E$345:$L$345,1,1+Materiales!$F$52))</f>
        <v/>
      </c>
      <c r="F346" s="70">
        <f>IF(2+Materiales!$F$52&gt;8,0,INDEX($E$345:$L$345,1,2+Materiales!$F$52))</f>
        <v/>
      </c>
      <c r="G346" s="70">
        <f>IF(3+Materiales!$F$52&gt;8,0,INDEX($E$345:$L$345,1,3+Materiales!$F$52))</f>
        <v/>
      </c>
      <c r="H346" s="70">
        <f>IF(4+Materiales!$F$52&gt;8,0,INDEX($E$345:$L$345,1,4+Materiales!$F$52))</f>
        <v/>
      </c>
      <c r="I346" s="70">
        <f>IF(5+Materiales!$F$52&gt;8,0,INDEX($E$345:$L$345,1,5+Materiales!$F$52))</f>
        <v/>
      </c>
      <c r="J346" s="70">
        <f>IF(6+Materiales!$F$52&gt;8,0,INDEX($E$345:$L$345,1,6+Materiales!$F$52))</f>
        <v/>
      </c>
      <c r="K346" s="70">
        <f>IF(7+Materiales!$F$52&gt;8,0,INDEX($E$345:$L$345,1,7+Materiales!$F$52))</f>
        <v/>
      </c>
      <c r="L346" s="70">
        <f>IF(8+Materiales!$F$52&gt;8,0,INDEX($E$345:$L$345,1,8+Materiales!$F$52))</f>
        <v/>
      </c>
      <c r="M346" s="68">
        <f>IF($A341="","",IF(SUMPRODUCT((COLUMN($E$345:$L$345)-4&lt;=Materiales!$F$52)*$E$345:$L$345)&gt;0,"PEDIR YA (atrasado)","OK"))</f>
        <v/>
      </c>
    </row>
    <row r="347" ht="6" customHeight="1"/>
    <row r="348">
      <c r="A348" s="58">
        <f>IF(Materiales!$A$53="","",Materiales!$A$53)</f>
        <v/>
      </c>
      <c r="B348" s="58">
        <f>IF(Materiales!$B$53="","",Materiales!$B$53)</f>
        <v/>
      </c>
      <c r="C348" s="59" t="inlineStr">
        <is>
          <t>Necesidad bruta</t>
        </is>
      </c>
      <c r="D348" s="60" t="n"/>
      <c r="E348" s="61">
        <f>ROUND(SUMIF(Consumo!$O$4:$O$143,"#"&amp;$A348,Consumo!G$4:G$143),4)</f>
        <v/>
      </c>
      <c r="F348" s="61">
        <f>ROUND(SUMIF(Consumo!$O$4:$O$143,"#"&amp;$A348,Consumo!H$4:H$143),4)</f>
        <v/>
      </c>
      <c r="G348" s="61">
        <f>ROUND(SUMIF(Consumo!$O$4:$O$143,"#"&amp;$A348,Consumo!I$4:I$143),4)</f>
        <v/>
      </c>
      <c r="H348" s="61">
        <f>ROUND(SUMIF(Consumo!$O$4:$O$143,"#"&amp;$A348,Consumo!J$4:J$143),4)</f>
        <v/>
      </c>
      <c r="I348" s="61">
        <f>ROUND(SUMIF(Consumo!$O$4:$O$143,"#"&amp;$A348,Consumo!K$4:K$143),4)</f>
        <v/>
      </c>
      <c r="J348" s="61">
        <f>ROUND(SUMIF(Consumo!$O$4:$O$143,"#"&amp;$A348,Consumo!L$4:L$143),4)</f>
        <v/>
      </c>
      <c r="K348" s="61">
        <f>ROUND(SUMIF(Consumo!$O$4:$O$143,"#"&amp;$A348,Consumo!M$4:M$143),4)</f>
        <v/>
      </c>
      <c r="L348" s="61">
        <f>ROUND(SUMIF(Consumo!$O$4:$O$143,"#"&amp;$A348,Consumo!N$4:N$143),4)</f>
        <v/>
      </c>
      <c r="M348" s="62" t="n"/>
    </row>
    <row r="349">
      <c r="C349" s="59" t="inlineStr">
        <is>
          <t>Recepciones programadas (ya pedido)</t>
        </is>
      </c>
      <c r="D349" s="60" t="n"/>
      <c r="E349" s="61">
        <f>SUMIF(Inventario!$M$5:$M$87,"#"&amp;$A348,Inventario!E$5:E$87)</f>
        <v/>
      </c>
      <c r="F349" s="61">
        <f>SUMIF(Inventario!$M$5:$M$87,"#"&amp;$A348,Inventario!F$5:F$87)</f>
        <v/>
      </c>
      <c r="G349" s="61">
        <f>SUMIF(Inventario!$M$5:$M$87,"#"&amp;$A348,Inventario!G$5:G$87)</f>
        <v/>
      </c>
      <c r="H349" s="61">
        <f>SUMIF(Inventario!$M$5:$M$87,"#"&amp;$A348,Inventario!H$5:H$87)</f>
        <v/>
      </c>
      <c r="I349" s="61">
        <f>SUMIF(Inventario!$M$5:$M$87,"#"&amp;$A348,Inventario!I$5:I$87)</f>
        <v/>
      </c>
      <c r="J349" s="61">
        <f>SUMIF(Inventario!$M$5:$M$87,"#"&amp;$A348,Inventario!J$5:J$87)</f>
        <v/>
      </c>
      <c r="K349" s="61">
        <f>SUMIF(Inventario!$M$5:$M$87,"#"&amp;$A348,Inventario!K$5:K$87)</f>
        <v/>
      </c>
      <c r="L349" s="61">
        <f>SUMIF(Inventario!$M$5:$M$87,"#"&amp;$A348,Inventario!L$5:L$87)</f>
        <v/>
      </c>
      <c r="M349" s="62" t="n"/>
    </row>
    <row r="350">
      <c r="C350" s="59" t="inlineStr">
        <is>
          <t>Stock proyectado disponible</t>
        </is>
      </c>
      <c r="D350" s="63">
        <f>SUMIF(Inventario!$M$5:$M$87,"#"&amp;$A348,Inventario!$C$5:$C$87)</f>
        <v/>
      </c>
      <c r="E350" s="64">
        <f>D350+E349+E352-E348</f>
        <v/>
      </c>
      <c r="F350" s="64">
        <f>E350+F349+F352-F348</f>
        <v/>
      </c>
      <c r="G350" s="64">
        <f>F350+G349+G352-G348</f>
        <v/>
      </c>
      <c r="H350" s="64">
        <f>G350+H349+H352-H348</f>
        <v/>
      </c>
      <c r="I350" s="64">
        <f>H350+I349+I352-I348</f>
        <v/>
      </c>
      <c r="J350" s="64">
        <f>I350+J349+J352-J348</f>
        <v/>
      </c>
      <c r="K350" s="64">
        <f>J350+K349+K352-K348</f>
        <v/>
      </c>
      <c r="L350" s="64">
        <f>K350+L349+L352-L348</f>
        <v/>
      </c>
      <c r="M350" s="62" t="n"/>
    </row>
    <row r="351">
      <c r="C351" s="59" t="inlineStr">
        <is>
          <t>Necesidad neta</t>
        </is>
      </c>
      <c r="D351" s="60" t="n"/>
      <c r="E351" s="65">
        <f>MAX(0,ROUND(E348+Materiales!$H$53-D350-E349,4))</f>
        <v/>
      </c>
      <c r="F351" s="65">
        <f>MAX(0,ROUND(F348+Materiales!$H$53-E350-F349,4))</f>
        <v/>
      </c>
      <c r="G351" s="65">
        <f>MAX(0,ROUND(G348+Materiales!$H$53-F350-G349,4))</f>
        <v/>
      </c>
      <c r="H351" s="65">
        <f>MAX(0,ROUND(H348+Materiales!$H$53-G350-H349,4))</f>
        <v/>
      </c>
      <c r="I351" s="65">
        <f>MAX(0,ROUND(I348+Materiales!$H$53-H350-I349,4))</f>
        <v/>
      </c>
      <c r="J351" s="65">
        <f>MAX(0,ROUND(J348+Materiales!$H$53-I350-J349,4))</f>
        <v/>
      </c>
      <c r="K351" s="65">
        <f>MAX(0,ROUND(K348+Materiales!$H$53-J350-K349,4))</f>
        <v/>
      </c>
      <c r="L351" s="65">
        <f>MAX(0,ROUND(L348+Materiales!$H$53-K350-L349,4))</f>
        <v/>
      </c>
      <c r="M351" s="62" t="n"/>
    </row>
    <row r="352">
      <c r="C352" s="59" t="inlineStr">
        <is>
          <t>Recepcion de orden planificada</t>
        </is>
      </c>
      <c r="D352" s="60" t="n"/>
      <c r="E352" s="61">
        <f>IF(E351&lt;=0,0,IF(Materiales!$G$53&lt;=0,E351,ROUNDUP(E351/Materiales!$G$53,0)*Materiales!$G$53))</f>
        <v/>
      </c>
      <c r="F352" s="61">
        <f>IF(F351&lt;=0,0,IF(Materiales!$G$53&lt;=0,F351,ROUNDUP(F351/Materiales!$G$53,0)*Materiales!$G$53))</f>
        <v/>
      </c>
      <c r="G352" s="61">
        <f>IF(G351&lt;=0,0,IF(Materiales!$G$53&lt;=0,G351,ROUNDUP(G351/Materiales!$G$53,0)*Materiales!$G$53))</f>
        <v/>
      </c>
      <c r="H352" s="61">
        <f>IF(H351&lt;=0,0,IF(Materiales!$G$53&lt;=0,H351,ROUNDUP(H351/Materiales!$G$53,0)*Materiales!$G$53))</f>
        <v/>
      </c>
      <c r="I352" s="61">
        <f>IF(I351&lt;=0,0,IF(Materiales!$G$53&lt;=0,I351,ROUNDUP(I351/Materiales!$G$53,0)*Materiales!$G$53))</f>
        <v/>
      </c>
      <c r="J352" s="61">
        <f>IF(J351&lt;=0,0,IF(Materiales!$G$53&lt;=0,J351,ROUNDUP(J351/Materiales!$G$53,0)*Materiales!$G$53))</f>
        <v/>
      </c>
      <c r="K352" s="61">
        <f>IF(K351&lt;=0,0,IF(Materiales!$G$53&lt;=0,K351,ROUNDUP(K351/Materiales!$G$53,0)*Materiales!$G$53))</f>
        <v/>
      </c>
      <c r="L352" s="61">
        <f>IF(L351&lt;=0,0,IF(Materiales!$G$53&lt;=0,L351,ROUNDUP(L351/Materiales!$G$53,0)*Materiales!$G$53))</f>
        <v/>
      </c>
      <c r="M352" s="62" t="n"/>
    </row>
    <row r="353">
      <c r="C353" s="66" t="inlineStr">
        <is>
          <t>LANZAMIENTO DE ORDEN — pedir esta semana</t>
        </is>
      </c>
      <c r="D353" s="60" t="n"/>
      <c r="E353" s="70">
        <f>IF(1+Materiales!$F$53&gt;8,0,INDEX($E$352:$L$352,1,1+Materiales!$F$53))</f>
        <v/>
      </c>
      <c r="F353" s="70">
        <f>IF(2+Materiales!$F$53&gt;8,0,INDEX($E$352:$L$352,1,2+Materiales!$F$53))</f>
        <v/>
      </c>
      <c r="G353" s="70">
        <f>IF(3+Materiales!$F$53&gt;8,0,INDEX($E$352:$L$352,1,3+Materiales!$F$53))</f>
        <v/>
      </c>
      <c r="H353" s="70">
        <f>IF(4+Materiales!$F$53&gt;8,0,INDEX($E$352:$L$352,1,4+Materiales!$F$53))</f>
        <v/>
      </c>
      <c r="I353" s="70">
        <f>IF(5+Materiales!$F$53&gt;8,0,INDEX($E$352:$L$352,1,5+Materiales!$F$53))</f>
        <v/>
      </c>
      <c r="J353" s="70">
        <f>IF(6+Materiales!$F$53&gt;8,0,INDEX($E$352:$L$352,1,6+Materiales!$F$53))</f>
        <v/>
      </c>
      <c r="K353" s="70">
        <f>IF(7+Materiales!$F$53&gt;8,0,INDEX($E$352:$L$352,1,7+Materiales!$F$53))</f>
        <v/>
      </c>
      <c r="L353" s="70">
        <f>IF(8+Materiales!$F$53&gt;8,0,INDEX($E$352:$L$352,1,8+Materiales!$F$53))</f>
        <v/>
      </c>
      <c r="M353" s="68">
        <f>IF($A348="","",IF(SUMPRODUCT((COLUMN($E$352:$L$352)-4&lt;=Materiales!$F$53)*$E$352:$L$352)&gt;0,"PEDIR YA (atrasado)","OK"))</f>
        <v/>
      </c>
    </row>
    <row r="354" ht="6" customHeight="1"/>
    <row r="355">
      <c r="A355" s="58">
        <f>IF(Materiales!$A$54="","",Materiales!$A$54)</f>
        <v/>
      </c>
      <c r="B355" s="58">
        <f>IF(Materiales!$B$54="","",Materiales!$B$54)</f>
        <v/>
      </c>
      <c r="C355" s="59" t="inlineStr">
        <is>
          <t>Necesidad bruta</t>
        </is>
      </c>
      <c r="D355" s="60" t="n"/>
      <c r="E355" s="61">
        <f>ROUND(SUMIF(Consumo!$O$4:$O$143,"#"&amp;$A355,Consumo!G$4:G$143),4)</f>
        <v/>
      </c>
      <c r="F355" s="61">
        <f>ROUND(SUMIF(Consumo!$O$4:$O$143,"#"&amp;$A355,Consumo!H$4:H$143),4)</f>
        <v/>
      </c>
      <c r="G355" s="61">
        <f>ROUND(SUMIF(Consumo!$O$4:$O$143,"#"&amp;$A355,Consumo!I$4:I$143),4)</f>
        <v/>
      </c>
      <c r="H355" s="61">
        <f>ROUND(SUMIF(Consumo!$O$4:$O$143,"#"&amp;$A355,Consumo!J$4:J$143),4)</f>
        <v/>
      </c>
      <c r="I355" s="61">
        <f>ROUND(SUMIF(Consumo!$O$4:$O$143,"#"&amp;$A355,Consumo!K$4:K$143),4)</f>
        <v/>
      </c>
      <c r="J355" s="61">
        <f>ROUND(SUMIF(Consumo!$O$4:$O$143,"#"&amp;$A355,Consumo!L$4:L$143),4)</f>
        <v/>
      </c>
      <c r="K355" s="61">
        <f>ROUND(SUMIF(Consumo!$O$4:$O$143,"#"&amp;$A355,Consumo!M$4:M$143),4)</f>
        <v/>
      </c>
      <c r="L355" s="61">
        <f>ROUND(SUMIF(Consumo!$O$4:$O$143,"#"&amp;$A355,Consumo!N$4:N$143),4)</f>
        <v/>
      </c>
      <c r="M355" s="62" t="n"/>
    </row>
    <row r="356">
      <c r="C356" s="59" t="inlineStr">
        <is>
          <t>Recepciones programadas (ya pedido)</t>
        </is>
      </c>
      <c r="D356" s="60" t="n"/>
      <c r="E356" s="61">
        <f>SUMIF(Inventario!$M$5:$M$87,"#"&amp;$A355,Inventario!E$5:E$87)</f>
        <v/>
      </c>
      <c r="F356" s="61">
        <f>SUMIF(Inventario!$M$5:$M$87,"#"&amp;$A355,Inventario!F$5:F$87)</f>
        <v/>
      </c>
      <c r="G356" s="61">
        <f>SUMIF(Inventario!$M$5:$M$87,"#"&amp;$A355,Inventario!G$5:G$87)</f>
        <v/>
      </c>
      <c r="H356" s="61">
        <f>SUMIF(Inventario!$M$5:$M$87,"#"&amp;$A355,Inventario!H$5:H$87)</f>
        <v/>
      </c>
      <c r="I356" s="61">
        <f>SUMIF(Inventario!$M$5:$M$87,"#"&amp;$A355,Inventario!I$5:I$87)</f>
        <v/>
      </c>
      <c r="J356" s="61">
        <f>SUMIF(Inventario!$M$5:$M$87,"#"&amp;$A355,Inventario!J$5:J$87)</f>
        <v/>
      </c>
      <c r="K356" s="61">
        <f>SUMIF(Inventario!$M$5:$M$87,"#"&amp;$A355,Inventario!K$5:K$87)</f>
        <v/>
      </c>
      <c r="L356" s="61">
        <f>SUMIF(Inventario!$M$5:$M$87,"#"&amp;$A355,Inventario!L$5:L$87)</f>
        <v/>
      </c>
      <c r="M356" s="62" t="n"/>
    </row>
    <row r="357">
      <c r="C357" s="59" t="inlineStr">
        <is>
          <t>Stock proyectado disponible</t>
        </is>
      </c>
      <c r="D357" s="63">
        <f>SUMIF(Inventario!$M$5:$M$87,"#"&amp;$A355,Inventario!$C$5:$C$87)</f>
        <v/>
      </c>
      <c r="E357" s="64">
        <f>D357+E356+E359-E355</f>
        <v/>
      </c>
      <c r="F357" s="64">
        <f>E357+F356+F359-F355</f>
        <v/>
      </c>
      <c r="G357" s="64">
        <f>F357+G356+G359-G355</f>
        <v/>
      </c>
      <c r="H357" s="64">
        <f>G357+H356+H359-H355</f>
        <v/>
      </c>
      <c r="I357" s="64">
        <f>H357+I356+I359-I355</f>
        <v/>
      </c>
      <c r="J357" s="64">
        <f>I357+J356+J359-J355</f>
        <v/>
      </c>
      <c r="K357" s="64">
        <f>J357+K356+K359-K355</f>
        <v/>
      </c>
      <c r="L357" s="64">
        <f>K357+L356+L359-L355</f>
        <v/>
      </c>
      <c r="M357" s="62" t="n"/>
    </row>
    <row r="358">
      <c r="C358" s="59" t="inlineStr">
        <is>
          <t>Necesidad neta</t>
        </is>
      </c>
      <c r="D358" s="60" t="n"/>
      <c r="E358" s="65">
        <f>MAX(0,ROUND(E355+Materiales!$H$54-D357-E356,4))</f>
        <v/>
      </c>
      <c r="F358" s="65">
        <f>MAX(0,ROUND(F355+Materiales!$H$54-E357-F356,4))</f>
        <v/>
      </c>
      <c r="G358" s="65">
        <f>MAX(0,ROUND(G355+Materiales!$H$54-F357-G356,4))</f>
        <v/>
      </c>
      <c r="H358" s="65">
        <f>MAX(0,ROUND(H355+Materiales!$H$54-G357-H356,4))</f>
        <v/>
      </c>
      <c r="I358" s="65">
        <f>MAX(0,ROUND(I355+Materiales!$H$54-H357-I356,4))</f>
        <v/>
      </c>
      <c r="J358" s="65">
        <f>MAX(0,ROUND(J355+Materiales!$H$54-I357-J356,4))</f>
        <v/>
      </c>
      <c r="K358" s="65">
        <f>MAX(0,ROUND(K355+Materiales!$H$54-J357-K356,4))</f>
        <v/>
      </c>
      <c r="L358" s="65">
        <f>MAX(0,ROUND(L355+Materiales!$H$54-K357-L356,4))</f>
        <v/>
      </c>
      <c r="M358" s="62" t="n"/>
    </row>
    <row r="359">
      <c r="C359" s="59" t="inlineStr">
        <is>
          <t>Recepcion de orden planificada</t>
        </is>
      </c>
      <c r="D359" s="60" t="n"/>
      <c r="E359" s="61">
        <f>IF(E358&lt;=0,0,IF(Materiales!$G$54&lt;=0,E358,ROUNDUP(E358/Materiales!$G$54,0)*Materiales!$G$54))</f>
        <v/>
      </c>
      <c r="F359" s="61">
        <f>IF(F358&lt;=0,0,IF(Materiales!$G$54&lt;=0,F358,ROUNDUP(F358/Materiales!$G$54,0)*Materiales!$G$54))</f>
        <v/>
      </c>
      <c r="G359" s="61">
        <f>IF(G358&lt;=0,0,IF(Materiales!$G$54&lt;=0,G358,ROUNDUP(G358/Materiales!$G$54,0)*Materiales!$G$54))</f>
        <v/>
      </c>
      <c r="H359" s="61">
        <f>IF(H358&lt;=0,0,IF(Materiales!$G$54&lt;=0,H358,ROUNDUP(H358/Materiales!$G$54,0)*Materiales!$G$54))</f>
        <v/>
      </c>
      <c r="I359" s="61">
        <f>IF(I358&lt;=0,0,IF(Materiales!$G$54&lt;=0,I358,ROUNDUP(I358/Materiales!$G$54,0)*Materiales!$G$54))</f>
        <v/>
      </c>
      <c r="J359" s="61">
        <f>IF(J358&lt;=0,0,IF(Materiales!$G$54&lt;=0,J358,ROUNDUP(J358/Materiales!$G$54,0)*Materiales!$G$54))</f>
        <v/>
      </c>
      <c r="K359" s="61">
        <f>IF(K358&lt;=0,0,IF(Materiales!$G$54&lt;=0,K358,ROUNDUP(K358/Materiales!$G$54,0)*Materiales!$G$54))</f>
        <v/>
      </c>
      <c r="L359" s="61">
        <f>IF(L358&lt;=0,0,IF(Materiales!$G$54&lt;=0,L358,ROUNDUP(L358/Materiales!$G$54,0)*Materiales!$G$54))</f>
        <v/>
      </c>
      <c r="M359" s="62" t="n"/>
    </row>
    <row r="360">
      <c r="C360" s="66" t="inlineStr">
        <is>
          <t>LANZAMIENTO DE ORDEN — pedir esta semana</t>
        </is>
      </c>
      <c r="D360" s="60" t="n"/>
      <c r="E360" s="70">
        <f>IF(1+Materiales!$F$54&gt;8,0,INDEX($E$359:$L$359,1,1+Materiales!$F$54))</f>
        <v/>
      </c>
      <c r="F360" s="70">
        <f>IF(2+Materiales!$F$54&gt;8,0,INDEX($E$359:$L$359,1,2+Materiales!$F$54))</f>
        <v/>
      </c>
      <c r="G360" s="70">
        <f>IF(3+Materiales!$F$54&gt;8,0,INDEX($E$359:$L$359,1,3+Materiales!$F$54))</f>
        <v/>
      </c>
      <c r="H360" s="70">
        <f>IF(4+Materiales!$F$54&gt;8,0,INDEX($E$359:$L$359,1,4+Materiales!$F$54))</f>
        <v/>
      </c>
      <c r="I360" s="70">
        <f>IF(5+Materiales!$F$54&gt;8,0,INDEX($E$359:$L$359,1,5+Materiales!$F$54))</f>
        <v/>
      </c>
      <c r="J360" s="70">
        <f>IF(6+Materiales!$F$54&gt;8,0,INDEX($E$359:$L$359,1,6+Materiales!$F$54))</f>
        <v/>
      </c>
      <c r="K360" s="70">
        <f>IF(7+Materiales!$F$54&gt;8,0,INDEX($E$359:$L$359,1,7+Materiales!$F$54))</f>
        <v/>
      </c>
      <c r="L360" s="70">
        <f>IF(8+Materiales!$F$54&gt;8,0,INDEX($E$359:$L$359,1,8+Materiales!$F$54))</f>
        <v/>
      </c>
      <c r="M360" s="68">
        <f>IF($A355="","",IF(SUMPRODUCT((COLUMN($E$359:$L$359)-4&lt;=Materiales!$F$54)*$E$359:$L$359)&gt;0,"PEDIR YA (atrasado)","OK"))</f>
        <v/>
      </c>
    </row>
    <row r="361" ht="6" customHeight="1"/>
    <row r="362">
      <c r="A362" s="58">
        <f>IF(Materiales!$A$55="","",Materiales!$A$55)</f>
        <v/>
      </c>
      <c r="B362" s="58">
        <f>IF(Materiales!$B$55="","",Materiales!$B$55)</f>
        <v/>
      </c>
      <c r="C362" s="59" t="inlineStr">
        <is>
          <t>Necesidad bruta</t>
        </is>
      </c>
      <c r="D362" s="60" t="n"/>
      <c r="E362" s="61">
        <f>ROUND(SUMIF(Consumo!$O$4:$O$143,"#"&amp;$A362,Consumo!G$4:G$143),4)</f>
        <v/>
      </c>
      <c r="F362" s="61">
        <f>ROUND(SUMIF(Consumo!$O$4:$O$143,"#"&amp;$A362,Consumo!H$4:H$143),4)</f>
        <v/>
      </c>
      <c r="G362" s="61">
        <f>ROUND(SUMIF(Consumo!$O$4:$O$143,"#"&amp;$A362,Consumo!I$4:I$143),4)</f>
        <v/>
      </c>
      <c r="H362" s="61">
        <f>ROUND(SUMIF(Consumo!$O$4:$O$143,"#"&amp;$A362,Consumo!J$4:J$143),4)</f>
        <v/>
      </c>
      <c r="I362" s="61">
        <f>ROUND(SUMIF(Consumo!$O$4:$O$143,"#"&amp;$A362,Consumo!K$4:K$143),4)</f>
        <v/>
      </c>
      <c r="J362" s="61">
        <f>ROUND(SUMIF(Consumo!$O$4:$O$143,"#"&amp;$A362,Consumo!L$4:L$143),4)</f>
        <v/>
      </c>
      <c r="K362" s="61">
        <f>ROUND(SUMIF(Consumo!$O$4:$O$143,"#"&amp;$A362,Consumo!M$4:M$143),4)</f>
        <v/>
      </c>
      <c r="L362" s="61">
        <f>ROUND(SUMIF(Consumo!$O$4:$O$143,"#"&amp;$A362,Consumo!N$4:N$143),4)</f>
        <v/>
      </c>
      <c r="M362" s="62" t="n"/>
    </row>
    <row r="363">
      <c r="C363" s="59" t="inlineStr">
        <is>
          <t>Recepciones programadas (ya pedido)</t>
        </is>
      </c>
      <c r="D363" s="60" t="n"/>
      <c r="E363" s="61">
        <f>SUMIF(Inventario!$M$5:$M$87,"#"&amp;$A362,Inventario!E$5:E$87)</f>
        <v/>
      </c>
      <c r="F363" s="61">
        <f>SUMIF(Inventario!$M$5:$M$87,"#"&amp;$A362,Inventario!F$5:F$87)</f>
        <v/>
      </c>
      <c r="G363" s="61">
        <f>SUMIF(Inventario!$M$5:$M$87,"#"&amp;$A362,Inventario!G$5:G$87)</f>
        <v/>
      </c>
      <c r="H363" s="61">
        <f>SUMIF(Inventario!$M$5:$M$87,"#"&amp;$A362,Inventario!H$5:H$87)</f>
        <v/>
      </c>
      <c r="I363" s="61">
        <f>SUMIF(Inventario!$M$5:$M$87,"#"&amp;$A362,Inventario!I$5:I$87)</f>
        <v/>
      </c>
      <c r="J363" s="61">
        <f>SUMIF(Inventario!$M$5:$M$87,"#"&amp;$A362,Inventario!J$5:J$87)</f>
        <v/>
      </c>
      <c r="K363" s="61">
        <f>SUMIF(Inventario!$M$5:$M$87,"#"&amp;$A362,Inventario!K$5:K$87)</f>
        <v/>
      </c>
      <c r="L363" s="61">
        <f>SUMIF(Inventario!$M$5:$M$87,"#"&amp;$A362,Inventario!L$5:L$87)</f>
        <v/>
      </c>
      <c r="M363" s="62" t="n"/>
    </row>
    <row r="364">
      <c r="C364" s="59" t="inlineStr">
        <is>
          <t>Stock proyectado disponible</t>
        </is>
      </c>
      <c r="D364" s="63">
        <f>SUMIF(Inventario!$M$5:$M$87,"#"&amp;$A362,Inventario!$C$5:$C$87)</f>
        <v/>
      </c>
      <c r="E364" s="64">
        <f>D364+E363+E366-E362</f>
        <v/>
      </c>
      <c r="F364" s="64">
        <f>E364+F363+F366-F362</f>
        <v/>
      </c>
      <c r="G364" s="64">
        <f>F364+G363+G366-G362</f>
        <v/>
      </c>
      <c r="H364" s="64">
        <f>G364+H363+H366-H362</f>
        <v/>
      </c>
      <c r="I364" s="64">
        <f>H364+I363+I366-I362</f>
        <v/>
      </c>
      <c r="J364" s="64">
        <f>I364+J363+J366-J362</f>
        <v/>
      </c>
      <c r="K364" s="64">
        <f>J364+K363+K366-K362</f>
        <v/>
      </c>
      <c r="L364" s="64">
        <f>K364+L363+L366-L362</f>
        <v/>
      </c>
      <c r="M364" s="62" t="n"/>
    </row>
    <row r="365">
      <c r="C365" s="59" t="inlineStr">
        <is>
          <t>Necesidad neta</t>
        </is>
      </c>
      <c r="D365" s="60" t="n"/>
      <c r="E365" s="65">
        <f>MAX(0,ROUND(E362+Materiales!$H$55-D364-E363,4))</f>
        <v/>
      </c>
      <c r="F365" s="65">
        <f>MAX(0,ROUND(F362+Materiales!$H$55-E364-F363,4))</f>
        <v/>
      </c>
      <c r="G365" s="65">
        <f>MAX(0,ROUND(G362+Materiales!$H$55-F364-G363,4))</f>
        <v/>
      </c>
      <c r="H365" s="65">
        <f>MAX(0,ROUND(H362+Materiales!$H$55-G364-H363,4))</f>
        <v/>
      </c>
      <c r="I365" s="65">
        <f>MAX(0,ROUND(I362+Materiales!$H$55-H364-I363,4))</f>
        <v/>
      </c>
      <c r="J365" s="65">
        <f>MAX(0,ROUND(J362+Materiales!$H$55-I364-J363,4))</f>
        <v/>
      </c>
      <c r="K365" s="65">
        <f>MAX(0,ROUND(K362+Materiales!$H$55-J364-K363,4))</f>
        <v/>
      </c>
      <c r="L365" s="65">
        <f>MAX(0,ROUND(L362+Materiales!$H$55-K364-L363,4))</f>
        <v/>
      </c>
      <c r="M365" s="62" t="n"/>
    </row>
    <row r="366">
      <c r="C366" s="59" t="inlineStr">
        <is>
          <t>Recepcion de orden planificada</t>
        </is>
      </c>
      <c r="D366" s="60" t="n"/>
      <c r="E366" s="61">
        <f>IF(E365&lt;=0,0,IF(Materiales!$G$55&lt;=0,E365,ROUNDUP(E365/Materiales!$G$55,0)*Materiales!$G$55))</f>
        <v/>
      </c>
      <c r="F366" s="61">
        <f>IF(F365&lt;=0,0,IF(Materiales!$G$55&lt;=0,F365,ROUNDUP(F365/Materiales!$G$55,0)*Materiales!$G$55))</f>
        <v/>
      </c>
      <c r="G366" s="61">
        <f>IF(G365&lt;=0,0,IF(Materiales!$G$55&lt;=0,G365,ROUNDUP(G365/Materiales!$G$55,0)*Materiales!$G$55))</f>
        <v/>
      </c>
      <c r="H366" s="61">
        <f>IF(H365&lt;=0,0,IF(Materiales!$G$55&lt;=0,H365,ROUNDUP(H365/Materiales!$G$55,0)*Materiales!$G$55))</f>
        <v/>
      </c>
      <c r="I366" s="61">
        <f>IF(I365&lt;=0,0,IF(Materiales!$G$55&lt;=0,I365,ROUNDUP(I365/Materiales!$G$55,0)*Materiales!$G$55))</f>
        <v/>
      </c>
      <c r="J366" s="61">
        <f>IF(J365&lt;=0,0,IF(Materiales!$G$55&lt;=0,J365,ROUNDUP(J365/Materiales!$G$55,0)*Materiales!$G$55))</f>
        <v/>
      </c>
      <c r="K366" s="61">
        <f>IF(K365&lt;=0,0,IF(Materiales!$G$55&lt;=0,K365,ROUNDUP(K365/Materiales!$G$55,0)*Materiales!$G$55))</f>
        <v/>
      </c>
      <c r="L366" s="61">
        <f>IF(L365&lt;=0,0,IF(Materiales!$G$55&lt;=0,L365,ROUNDUP(L365/Materiales!$G$55,0)*Materiales!$G$55))</f>
        <v/>
      </c>
      <c r="M366" s="62" t="n"/>
    </row>
    <row r="367">
      <c r="C367" s="66" t="inlineStr">
        <is>
          <t>LANZAMIENTO DE ORDEN — pedir esta semana</t>
        </is>
      </c>
      <c r="D367" s="60" t="n"/>
      <c r="E367" s="70">
        <f>IF(1+Materiales!$F$55&gt;8,0,INDEX($E$366:$L$366,1,1+Materiales!$F$55))</f>
        <v/>
      </c>
      <c r="F367" s="70">
        <f>IF(2+Materiales!$F$55&gt;8,0,INDEX($E$366:$L$366,1,2+Materiales!$F$55))</f>
        <v/>
      </c>
      <c r="G367" s="70">
        <f>IF(3+Materiales!$F$55&gt;8,0,INDEX($E$366:$L$366,1,3+Materiales!$F$55))</f>
        <v/>
      </c>
      <c r="H367" s="70">
        <f>IF(4+Materiales!$F$55&gt;8,0,INDEX($E$366:$L$366,1,4+Materiales!$F$55))</f>
        <v/>
      </c>
      <c r="I367" s="70">
        <f>IF(5+Materiales!$F$55&gt;8,0,INDEX($E$366:$L$366,1,5+Materiales!$F$55))</f>
        <v/>
      </c>
      <c r="J367" s="70">
        <f>IF(6+Materiales!$F$55&gt;8,0,INDEX($E$366:$L$366,1,6+Materiales!$F$55))</f>
        <v/>
      </c>
      <c r="K367" s="70">
        <f>IF(7+Materiales!$F$55&gt;8,0,INDEX($E$366:$L$366,1,7+Materiales!$F$55))</f>
        <v/>
      </c>
      <c r="L367" s="70">
        <f>IF(8+Materiales!$F$55&gt;8,0,INDEX($E$366:$L$366,1,8+Materiales!$F$55))</f>
        <v/>
      </c>
      <c r="M367" s="68">
        <f>IF($A362="","",IF(SUMPRODUCT((COLUMN($E$366:$L$366)-4&lt;=Materiales!$F$55)*$E$366:$L$366)&gt;0,"PEDIR YA (atrasado)","OK"))</f>
        <v/>
      </c>
    </row>
    <row r="368" ht="6" customHeight="1"/>
    <row r="369">
      <c r="A369" s="58">
        <f>IF(Materiales!$A$56="","",Materiales!$A$56)</f>
        <v/>
      </c>
      <c r="B369" s="58">
        <f>IF(Materiales!$B$56="","",Materiales!$B$56)</f>
        <v/>
      </c>
      <c r="C369" s="59" t="inlineStr">
        <is>
          <t>Necesidad bruta</t>
        </is>
      </c>
      <c r="D369" s="60" t="n"/>
      <c r="E369" s="61">
        <f>ROUND(SUMIF(Consumo!$O$4:$O$143,"#"&amp;$A369,Consumo!G$4:G$143),4)</f>
        <v/>
      </c>
      <c r="F369" s="61">
        <f>ROUND(SUMIF(Consumo!$O$4:$O$143,"#"&amp;$A369,Consumo!H$4:H$143),4)</f>
        <v/>
      </c>
      <c r="G369" s="61">
        <f>ROUND(SUMIF(Consumo!$O$4:$O$143,"#"&amp;$A369,Consumo!I$4:I$143),4)</f>
        <v/>
      </c>
      <c r="H369" s="61">
        <f>ROUND(SUMIF(Consumo!$O$4:$O$143,"#"&amp;$A369,Consumo!J$4:J$143),4)</f>
        <v/>
      </c>
      <c r="I369" s="61">
        <f>ROUND(SUMIF(Consumo!$O$4:$O$143,"#"&amp;$A369,Consumo!K$4:K$143),4)</f>
        <v/>
      </c>
      <c r="J369" s="61">
        <f>ROUND(SUMIF(Consumo!$O$4:$O$143,"#"&amp;$A369,Consumo!L$4:L$143),4)</f>
        <v/>
      </c>
      <c r="K369" s="61">
        <f>ROUND(SUMIF(Consumo!$O$4:$O$143,"#"&amp;$A369,Consumo!M$4:M$143),4)</f>
        <v/>
      </c>
      <c r="L369" s="61">
        <f>ROUND(SUMIF(Consumo!$O$4:$O$143,"#"&amp;$A369,Consumo!N$4:N$143),4)</f>
        <v/>
      </c>
      <c r="M369" s="62" t="n"/>
    </row>
    <row r="370">
      <c r="C370" s="59" t="inlineStr">
        <is>
          <t>Recepciones programadas (ya pedido)</t>
        </is>
      </c>
      <c r="D370" s="60" t="n"/>
      <c r="E370" s="61">
        <f>SUMIF(Inventario!$M$5:$M$87,"#"&amp;$A369,Inventario!E$5:E$87)</f>
        <v/>
      </c>
      <c r="F370" s="61">
        <f>SUMIF(Inventario!$M$5:$M$87,"#"&amp;$A369,Inventario!F$5:F$87)</f>
        <v/>
      </c>
      <c r="G370" s="61">
        <f>SUMIF(Inventario!$M$5:$M$87,"#"&amp;$A369,Inventario!G$5:G$87)</f>
        <v/>
      </c>
      <c r="H370" s="61">
        <f>SUMIF(Inventario!$M$5:$M$87,"#"&amp;$A369,Inventario!H$5:H$87)</f>
        <v/>
      </c>
      <c r="I370" s="61">
        <f>SUMIF(Inventario!$M$5:$M$87,"#"&amp;$A369,Inventario!I$5:I$87)</f>
        <v/>
      </c>
      <c r="J370" s="61">
        <f>SUMIF(Inventario!$M$5:$M$87,"#"&amp;$A369,Inventario!J$5:J$87)</f>
        <v/>
      </c>
      <c r="K370" s="61">
        <f>SUMIF(Inventario!$M$5:$M$87,"#"&amp;$A369,Inventario!K$5:K$87)</f>
        <v/>
      </c>
      <c r="L370" s="61">
        <f>SUMIF(Inventario!$M$5:$M$87,"#"&amp;$A369,Inventario!L$5:L$87)</f>
        <v/>
      </c>
      <c r="M370" s="62" t="n"/>
    </row>
    <row r="371">
      <c r="C371" s="59" t="inlineStr">
        <is>
          <t>Stock proyectado disponible</t>
        </is>
      </c>
      <c r="D371" s="63">
        <f>SUMIF(Inventario!$M$5:$M$87,"#"&amp;$A369,Inventario!$C$5:$C$87)</f>
        <v/>
      </c>
      <c r="E371" s="64">
        <f>D371+E370+E373-E369</f>
        <v/>
      </c>
      <c r="F371" s="64">
        <f>E371+F370+F373-F369</f>
        <v/>
      </c>
      <c r="G371" s="64">
        <f>F371+G370+G373-G369</f>
        <v/>
      </c>
      <c r="H371" s="64">
        <f>G371+H370+H373-H369</f>
        <v/>
      </c>
      <c r="I371" s="64">
        <f>H371+I370+I373-I369</f>
        <v/>
      </c>
      <c r="J371" s="64">
        <f>I371+J370+J373-J369</f>
        <v/>
      </c>
      <c r="K371" s="64">
        <f>J371+K370+K373-K369</f>
        <v/>
      </c>
      <c r="L371" s="64">
        <f>K371+L370+L373-L369</f>
        <v/>
      </c>
      <c r="M371" s="62" t="n"/>
    </row>
    <row r="372">
      <c r="C372" s="59" t="inlineStr">
        <is>
          <t>Necesidad neta</t>
        </is>
      </c>
      <c r="D372" s="60" t="n"/>
      <c r="E372" s="65">
        <f>MAX(0,ROUND(E369+Materiales!$H$56-D371-E370,4))</f>
        <v/>
      </c>
      <c r="F372" s="65">
        <f>MAX(0,ROUND(F369+Materiales!$H$56-E371-F370,4))</f>
        <v/>
      </c>
      <c r="G372" s="65">
        <f>MAX(0,ROUND(G369+Materiales!$H$56-F371-G370,4))</f>
        <v/>
      </c>
      <c r="H372" s="65">
        <f>MAX(0,ROUND(H369+Materiales!$H$56-G371-H370,4))</f>
        <v/>
      </c>
      <c r="I372" s="65">
        <f>MAX(0,ROUND(I369+Materiales!$H$56-H371-I370,4))</f>
        <v/>
      </c>
      <c r="J372" s="65">
        <f>MAX(0,ROUND(J369+Materiales!$H$56-I371-J370,4))</f>
        <v/>
      </c>
      <c r="K372" s="65">
        <f>MAX(0,ROUND(K369+Materiales!$H$56-J371-K370,4))</f>
        <v/>
      </c>
      <c r="L372" s="65">
        <f>MAX(0,ROUND(L369+Materiales!$H$56-K371-L370,4))</f>
        <v/>
      </c>
      <c r="M372" s="62" t="n"/>
    </row>
    <row r="373">
      <c r="C373" s="59" t="inlineStr">
        <is>
          <t>Recepcion de orden planificada</t>
        </is>
      </c>
      <c r="D373" s="60" t="n"/>
      <c r="E373" s="61">
        <f>IF(E372&lt;=0,0,IF(Materiales!$G$56&lt;=0,E372,ROUNDUP(E372/Materiales!$G$56,0)*Materiales!$G$56))</f>
        <v/>
      </c>
      <c r="F373" s="61">
        <f>IF(F372&lt;=0,0,IF(Materiales!$G$56&lt;=0,F372,ROUNDUP(F372/Materiales!$G$56,0)*Materiales!$G$56))</f>
        <v/>
      </c>
      <c r="G373" s="61">
        <f>IF(G372&lt;=0,0,IF(Materiales!$G$56&lt;=0,G372,ROUNDUP(G372/Materiales!$G$56,0)*Materiales!$G$56))</f>
        <v/>
      </c>
      <c r="H373" s="61">
        <f>IF(H372&lt;=0,0,IF(Materiales!$G$56&lt;=0,H372,ROUNDUP(H372/Materiales!$G$56,0)*Materiales!$G$56))</f>
        <v/>
      </c>
      <c r="I373" s="61">
        <f>IF(I372&lt;=0,0,IF(Materiales!$G$56&lt;=0,I372,ROUNDUP(I372/Materiales!$G$56,0)*Materiales!$G$56))</f>
        <v/>
      </c>
      <c r="J373" s="61">
        <f>IF(J372&lt;=0,0,IF(Materiales!$G$56&lt;=0,J372,ROUNDUP(J372/Materiales!$G$56,0)*Materiales!$G$56))</f>
        <v/>
      </c>
      <c r="K373" s="61">
        <f>IF(K372&lt;=0,0,IF(Materiales!$G$56&lt;=0,K372,ROUNDUP(K372/Materiales!$G$56,0)*Materiales!$G$56))</f>
        <v/>
      </c>
      <c r="L373" s="61">
        <f>IF(L372&lt;=0,0,IF(Materiales!$G$56&lt;=0,L372,ROUNDUP(L372/Materiales!$G$56,0)*Materiales!$G$56))</f>
        <v/>
      </c>
      <c r="M373" s="62" t="n"/>
    </row>
    <row r="374">
      <c r="C374" s="66" t="inlineStr">
        <is>
          <t>LANZAMIENTO DE ORDEN — pedir esta semana</t>
        </is>
      </c>
      <c r="D374" s="60" t="n"/>
      <c r="E374" s="70">
        <f>IF(1+Materiales!$F$56&gt;8,0,INDEX($E$373:$L$373,1,1+Materiales!$F$56))</f>
        <v/>
      </c>
      <c r="F374" s="70">
        <f>IF(2+Materiales!$F$56&gt;8,0,INDEX($E$373:$L$373,1,2+Materiales!$F$56))</f>
        <v/>
      </c>
      <c r="G374" s="70">
        <f>IF(3+Materiales!$F$56&gt;8,0,INDEX($E$373:$L$373,1,3+Materiales!$F$56))</f>
        <v/>
      </c>
      <c r="H374" s="70">
        <f>IF(4+Materiales!$F$56&gt;8,0,INDEX($E$373:$L$373,1,4+Materiales!$F$56))</f>
        <v/>
      </c>
      <c r="I374" s="70">
        <f>IF(5+Materiales!$F$56&gt;8,0,INDEX($E$373:$L$373,1,5+Materiales!$F$56))</f>
        <v/>
      </c>
      <c r="J374" s="70">
        <f>IF(6+Materiales!$F$56&gt;8,0,INDEX($E$373:$L$373,1,6+Materiales!$F$56))</f>
        <v/>
      </c>
      <c r="K374" s="70">
        <f>IF(7+Materiales!$F$56&gt;8,0,INDEX($E$373:$L$373,1,7+Materiales!$F$56))</f>
        <v/>
      </c>
      <c r="L374" s="70">
        <f>IF(8+Materiales!$F$56&gt;8,0,INDEX($E$373:$L$373,1,8+Materiales!$F$56))</f>
        <v/>
      </c>
      <c r="M374" s="68">
        <f>IF($A369="","",IF(SUMPRODUCT((COLUMN($E$373:$L$373)-4&lt;=Materiales!$F$56)*$E$373:$L$373)&gt;0,"PEDIR YA (atrasado)","OK"))</f>
        <v/>
      </c>
    </row>
    <row r="375" ht="6" customHeight="1"/>
    <row r="376">
      <c r="A376" s="58">
        <f>IF(Materiales!$A$57="","",Materiales!$A$57)</f>
        <v/>
      </c>
      <c r="B376" s="58">
        <f>IF(Materiales!$B$57="","",Materiales!$B$57)</f>
        <v/>
      </c>
      <c r="C376" s="59" t="inlineStr">
        <is>
          <t>Necesidad bruta</t>
        </is>
      </c>
      <c r="D376" s="60" t="n"/>
      <c r="E376" s="61">
        <f>ROUND(SUMIF(Consumo!$O$4:$O$143,"#"&amp;$A376,Consumo!G$4:G$143),4)</f>
        <v/>
      </c>
      <c r="F376" s="61">
        <f>ROUND(SUMIF(Consumo!$O$4:$O$143,"#"&amp;$A376,Consumo!H$4:H$143),4)</f>
        <v/>
      </c>
      <c r="G376" s="61">
        <f>ROUND(SUMIF(Consumo!$O$4:$O$143,"#"&amp;$A376,Consumo!I$4:I$143),4)</f>
        <v/>
      </c>
      <c r="H376" s="61">
        <f>ROUND(SUMIF(Consumo!$O$4:$O$143,"#"&amp;$A376,Consumo!J$4:J$143),4)</f>
        <v/>
      </c>
      <c r="I376" s="61">
        <f>ROUND(SUMIF(Consumo!$O$4:$O$143,"#"&amp;$A376,Consumo!K$4:K$143),4)</f>
        <v/>
      </c>
      <c r="J376" s="61">
        <f>ROUND(SUMIF(Consumo!$O$4:$O$143,"#"&amp;$A376,Consumo!L$4:L$143),4)</f>
        <v/>
      </c>
      <c r="K376" s="61">
        <f>ROUND(SUMIF(Consumo!$O$4:$O$143,"#"&amp;$A376,Consumo!M$4:M$143),4)</f>
        <v/>
      </c>
      <c r="L376" s="61">
        <f>ROUND(SUMIF(Consumo!$O$4:$O$143,"#"&amp;$A376,Consumo!N$4:N$143),4)</f>
        <v/>
      </c>
      <c r="M376" s="62" t="n"/>
    </row>
    <row r="377">
      <c r="C377" s="59" t="inlineStr">
        <is>
          <t>Recepciones programadas (ya pedido)</t>
        </is>
      </c>
      <c r="D377" s="60" t="n"/>
      <c r="E377" s="61">
        <f>SUMIF(Inventario!$M$5:$M$87,"#"&amp;$A376,Inventario!E$5:E$87)</f>
        <v/>
      </c>
      <c r="F377" s="61">
        <f>SUMIF(Inventario!$M$5:$M$87,"#"&amp;$A376,Inventario!F$5:F$87)</f>
        <v/>
      </c>
      <c r="G377" s="61">
        <f>SUMIF(Inventario!$M$5:$M$87,"#"&amp;$A376,Inventario!G$5:G$87)</f>
        <v/>
      </c>
      <c r="H377" s="61">
        <f>SUMIF(Inventario!$M$5:$M$87,"#"&amp;$A376,Inventario!H$5:H$87)</f>
        <v/>
      </c>
      <c r="I377" s="61">
        <f>SUMIF(Inventario!$M$5:$M$87,"#"&amp;$A376,Inventario!I$5:I$87)</f>
        <v/>
      </c>
      <c r="J377" s="61">
        <f>SUMIF(Inventario!$M$5:$M$87,"#"&amp;$A376,Inventario!J$5:J$87)</f>
        <v/>
      </c>
      <c r="K377" s="61">
        <f>SUMIF(Inventario!$M$5:$M$87,"#"&amp;$A376,Inventario!K$5:K$87)</f>
        <v/>
      </c>
      <c r="L377" s="61">
        <f>SUMIF(Inventario!$M$5:$M$87,"#"&amp;$A376,Inventario!L$5:L$87)</f>
        <v/>
      </c>
      <c r="M377" s="62" t="n"/>
    </row>
    <row r="378">
      <c r="C378" s="59" t="inlineStr">
        <is>
          <t>Stock proyectado disponible</t>
        </is>
      </c>
      <c r="D378" s="63">
        <f>SUMIF(Inventario!$M$5:$M$87,"#"&amp;$A376,Inventario!$C$5:$C$87)</f>
        <v/>
      </c>
      <c r="E378" s="64">
        <f>D378+E377+E380-E376</f>
        <v/>
      </c>
      <c r="F378" s="64">
        <f>E378+F377+F380-F376</f>
        <v/>
      </c>
      <c r="G378" s="64">
        <f>F378+G377+G380-G376</f>
        <v/>
      </c>
      <c r="H378" s="64">
        <f>G378+H377+H380-H376</f>
        <v/>
      </c>
      <c r="I378" s="64">
        <f>H378+I377+I380-I376</f>
        <v/>
      </c>
      <c r="J378" s="64">
        <f>I378+J377+J380-J376</f>
        <v/>
      </c>
      <c r="K378" s="64">
        <f>J378+K377+K380-K376</f>
        <v/>
      </c>
      <c r="L378" s="64">
        <f>K378+L377+L380-L376</f>
        <v/>
      </c>
      <c r="M378" s="62" t="n"/>
    </row>
    <row r="379">
      <c r="C379" s="59" t="inlineStr">
        <is>
          <t>Necesidad neta</t>
        </is>
      </c>
      <c r="D379" s="60" t="n"/>
      <c r="E379" s="65">
        <f>MAX(0,ROUND(E376+Materiales!$H$57-D378-E377,4))</f>
        <v/>
      </c>
      <c r="F379" s="65">
        <f>MAX(0,ROUND(F376+Materiales!$H$57-E378-F377,4))</f>
        <v/>
      </c>
      <c r="G379" s="65">
        <f>MAX(0,ROUND(G376+Materiales!$H$57-F378-G377,4))</f>
        <v/>
      </c>
      <c r="H379" s="65">
        <f>MAX(0,ROUND(H376+Materiales!$H$57-G378-H377,4))</f>
        <v/>
      </c>
      <c r="I379" s="65">
        <f>MAX(0,ROUND(I376+Materiales!$H$57-H378-I377,4))</f>
        <v/>
      </c>
      <c r="J379" s="65">
        <f>MAX(0,ROUND(J376+Materiales!$H$57-I378-J377,4))</f>
        <v/>
      </c>
      <c r="K379" s="65">
        <f>MAX(0,ROUND(K376+Materiales!$H$57-J378-K377,4))</f>
        <v/>
      </c>
      <c r="L379" s="65">
        <f>MAX(0,ROUND(L376+Materiales!$H$57-K378-L377,4))</f>
        <v/>
      </c>
      <c r="M379" s="62" t="n"/>
    </row>
    <row r="380">
      <c r="C380" s="59" t="inlineStr">
        <is>
          <t>Recepcion de orden planificada</t>
        </is>
      </c>
      <c r="D380" s="60" t="n"/>
      <c r="E380" s="61">
        <f>IF(E379&lt;=0,0,IF(Materiales!$G$57&lt;=0,E379,ROUNDUP(E379/Materiales!$G$57,0)*Materiales!$G$57))</f>
        <v/>
      </c>
      <c r="F380" s="61">
        <f>IF(F379&lt;=0,0,IF(Materiales!$G$57&lt;=0,F379,ROUNDUP(F379/Materiales!$G$57,0)*Materiales!$G$57))</f>
        <v/>
      </c>
      <c r="G380" s="61">
        <f>IF(G379&lt;=0,0,IF(Materiales!$G$57&lt;=0,G379,ROUNDUP(G379/Materiales!$G$57,0)*Materiales!$G$57))</f>
        <v/>
      </c>
      <c r="H380" s="61">
        <f>IF(H379&lt;=0,0,IF(Materiales!$G$57&lt;=0,H379,ROUNDUP(H379/Materiales!$G$57,0)*Materiales!$G$57))</f>
        <v/>
      </c>
      <c r="I380" s="61">
        <f>IF(I379&lt;=0,0,IF(Materiales!$G$57&lt;=0,I379,ROUNDUP(I379/Materiales!$G$57,0)*Materiales!$G$57))</f>
        <v/>
      </c>
      <c r="J380" s="61">
        <f>IF(J379&lt;=0,0,IF(Materiales!$G$57&lt;=0,J379,ROUNDUP(J379/Materiales!$G$57,0)*Materiales!$G$57))</f>
        <v/>
      </c>
      <c r="K380" s="61">
        <f>IF(K379&lt;=0,0,IF(Materiales!$G$57&lt;=0,K379,ROUNDUP(K379/Materiales!$G$57,0)*Materiales!$G$57))</f>
        <v/>
      </c>
      <c r="L380" s="61">
        <f>IF(L379&lt;=0,0,IF(Materiales!$G$57&lt;=0,L379,ROUNDUP(L379/Materiales!$G$57,0)*Materiales!$G$57))</f>
        <v/>
      </c>
      <c r="M380" s="62" t="n"/>
    </row>
    <row r="381">
      <c r="C381" s="66" t="inlineStr">
        <is>
          <t>LANZAMIENTO DE ORDEN — pedir esta semana</t>
        </is>
      </c>
      <c r="D381" s="60" t="n"/>
      <c r="E381" s="70">
        <f>IF(1+Materiales!$F$57&gt;8,0,INDEX($E$380:$L$380,1,1+Materiales!$F$57))</f>
        <v/>
      </c>
      <c r="F381" s="70">
        <f>IF(2+Materiales!$F$57&gt;8,0,INDEX($E$380:$L$380,1,2+Materiales!$F$57))</f>
        <v/>
      </c>
      <c r="G381" s="70">
        <f>IF(3+Materiales!$F$57&gt;8,0,INDEX($E$380:$L$380,1,3+Materiales!$F$57))</f>
        <v/>
      </c>
      <c r="H381" s="70">
        <f>IF(4+Materiales!$F$57&gt;8,0,INDEX($E$380:$L$380,1,4+Materiales!$F$57))</f>
        <v/>
      </c>
      <c r="I381" s="70">
        <f>IF(5+Materiales!$F$57&gt;8,0,INDEX($E$380:$L$380,1,5+Materiales!$F$57))</f>
        <v/>
      </c>
      <c r="J381" s="70">
        <f>IF(6+Materiales!$F$57&gt;8,0,INDEX($E$380:$L$380,1,6+Materiales!$F$57))</f>
        <v/>
      </c>
      <c r="K381" s="70">
        <f>IF(7+Materiales!$F$57&gt;8,0,INDEX($E$380:$L$380,1,7+Materiales!$F$57))</f>
        <v/>
      </c>
      <c r="L381" s="70">
        <f>IF(8+Materiales!$F$57&gt;8,0,INDEX($E$380:$L$380,1,8+Materiales!$F$57))</f>
        <v/>
      </c>
      <c r="M381" s="68">
        <f>IF($A376="","",IF(SUMPRODUCT((COLUMN($E$380:$L$380)-4&lt;=Materiales!$F$57)*$E$380:$L$380)&gt;0,"PEDIR YA (atrasado)","OK"))</f>
        <v/>
      </c>
    </row>
    <row r="382" ht="6" customHeight="1"/>
    <row r="383">
      <c r="A383" s="58">
        <f>IF(Materiales!$A$58="","",Materiales!$A$58)</f>
        <v/>
      </c>
      <c r="B383" s="58">
        <f>IF(Materiales!$B$58="","",Materiales!$B$58)</f>
        <v/>
      </c>
      <c r="C383" s="59" t="inlineStr">
        <is>
          <t>Necesidad bruta</t>
        </is>
      </c>
      <c r="D383" s="60" t="n"/>
      <c r="E383" s="61">
        <f>ROUND(SUMIF(Consumo!$O$4:$O$143,"#"&amp;$A383,Consumo!G$4:G$143),4)</f>
        <v/>
      </c>
      <c r="F383" s="61">
        <f>ROUND(SUMIF(Consumo!$O$4:$O$143,"#"&amp;$A383,Consumo!H$4:H$143),4)</f>
        <v/>
      </c>
      <c r="G383" s="61">
        <f>ROUND(SUMIF(Consumo!$O$4:$O$143,"#"&amp;$A383,Consumo!I$4:I$143),4)</f>
        <v/>
      </c>
      <c r="H383" s="61">
        <f>ROUND(SUMIF(Consumo!$O$4:$O$143,"#"&amp;$A383,Consumo!J$4:J$143),4)</f>
        <v/>
      </c>
      <c r="I383" s="61">
        <f>ROUND(SUMIF(Consumo!$O$4:$O$143,"#"&amp;$A383,Consumo!K$4:K$143),4)</f>
        <v/>
      </c>
      <c r="J383" s="61">
        <f>ROUND(SUMIF(Consumo!$O$4:$O$143,"#"&amp;$A383,Consumo!L$4:L$143),4)</f>
        <v/>
      </c>
      <c r="K383" s="61">
        <f>ROUND(SUMIF(Consumo!$O$4:$O$143,"#"&amp;$A383,Consumo!M$4:M$143),4)</f>
        <v/>
      </c>
      <c r="L383" s="61">
        <f>ROUND(SUMIF(Consumo!$O$4:$O$143,"#"&amp;$A383,Consumo!N$4:N$143),4)</f>
        <v/>
      </c>
      <c r="M383" s="62" t="n"/>
    </row>
    <row r="384">
      <c r="C384" s="59" t="inlineStr">
        <is>
          <t>Recepciones programadas (ya pedido)</t>
        </is>
      </c>
      <c r="D384" s="60" t="n"/>
      <c r="E384" s="61">
        <f>SUMIF(Inventario!$M$5:$M$87,"#"&amp;$A383,Inventario!E$5:E$87)</f>
        <v/>
      </c>
      <c r="F384" s="61">
        <f>SUMIF(Inventario!$M$5:$M$87,"#"&amp;$A383,Inventario!F$5:F$87)</f>
        <v/>
      </c>
      <c r="G384" s="61">
        <f>SUMIF(Inventario!$M$5:$M$87,"#"&amp;$A383,Inventario!G$5:G$87)</f>
        <v/>
      </c>
      <c r="H384" s="61">
        <f>SUMIF(Inventario!$M$5:$M$87,"#"&amp;$A383,Inventario!H$5:H$87)</f>
        <v/>
      </c>
      <c r="I384" s="61">
        <f>SUMIF(Inventario!$M$5:$M$87,"#"&amp;$A383,Inventario!I$5:I$87)</f>
        <v/>
      </c>
      <c r="J384" s="61">
        <f>SUMIF(Inventario!$M$5:$M$87,"#"&amp;$A383,Inventario!J$5:J$87)</f>
        <v/>
      </c>
      <c r="K384" s="61">
        <f>SUMIF(Inventario!$M$5:$M$87,"#"&amp;$A383,Inventario!K$5:K$87)</f>
        <v/>
      </c>
      <c r="L384" s="61">
        <f>SUMIF(Inventario!$M$5:$M$87,"#"&amp;$A383,Inventario!L$5:L$87)</f>
        <v/>
      </c>
      <c r="M384" s="62" t="n"/>
    </row>
    <row r="385">
      <c r="C385" s="59" t="inlineStr">
        <is>
          <t>Stock proyectado disponible</t>
        </is>
      </c>
      <c r="D385" s="63">
        <f>SUMIF(Inventario!$M$5:$M$87,"#"&amp;$A383,Inventario!$C$5:$C$87)</f>
        <v/>
      </c>
      <c r="E385" s="64">
        <f>D385+E384+E387-E383</f>
        <v/>
      </c>
      <c r="F385" s="64">
        <f>E385+F384+F387-F383</f>
        <v/>
      </c>
      <c r="G385" s="64">
        <f>F385+G384+G387-G383</f>
        <v/>
      </c>
      <c r="H385" s="64">
        <f>G385+H384+H387-H383</f>
        <v/>
      </c>
      <c r="I385" s="64">
        <f>H385+I384+I387-I383</f>
        <v/>
      </c>
      <c r="J385" s="64">
        <f>I385+J384+J387-J383</f>
        <v/>
      </c>
      <c r="K385" s="64">
        <f>J385+K384+K387-K383</f>
        <v/>
      </c>
      <c r="L385" s="64">
        <f>K385+L384+L387-L383</f>
        <v/>
      </c>
      <c r="M385" s="62" t="n"/>
    </row>
    <row r="386">
      <c r="C386" s="59" t="inlineStr">
        <is>
          <t>Necesidad neta</t>
        </is>
      </c>
      <c r="D386" s="60" t="n"/>
      <c r="E386" s="65">
        <f>MAX(0,ROUND(E383+Materiales!$H$58-D385-E384,4))</f>
        <v/>
      </c>
      <c r="F386" s="65">
        <f>MAX(0,ROUND(F383+Materiales!$H$58-E385-F384,4))</f>
        <v/>
      </c>
      <c r="G386" s="65">
        <f>MAX(0,ROUND(G383+Materiales!$H$58-F385-G384,4))</f>
        <v/>
      </c>
      <c r="H386" s="65">
        <f>MAX(0,ROUND(H383+Materiales!$H$58-G385-H384,4))</f>
        <v/>
      </c>
      <c r="I386" s="65">
        <f>MAX(0,ROUND(I383+Materiales!$H$58-H385-I384,4))</f>
        <v/>
      </c>
      <c r="J386" s="65">
        <f>MAX(0,ROUND(J383+Materiales!$H$58-I385-J384,4))</f>
        <v/>
      </c>
      <c r="K386" s="65">
        <f>MAX(0,ROUND(K383+Materiales!$H$58-J385-K384,4))</f>
        <v/>
      </c>
      <c r="L386" s="65">
        <f>MAX(0,ROUND(L383+Materiales!$H$58-K385-L384,4))</f>
        <v/>
      </c>
      <c r="M386" s="62" t="n"/>
    </row>
    <row r="387">
      <c r="C387" s="59" t="inlineStr">
        <is>
          <t>Recepcion de orden planificada</t>
        </is>
      </c>
      <c r="D387" s="60" t="n"/>
      <c r="E387" s="61">
        <f>IF(E386&lt;=0,0,IF(Materiales!$G$58&lt;=0,E386,ROUNDUP(E386/Materiales!$G$58,0)*Materiales!$G$58))</f>
        <v/>
      </c>
      <c r="F387" s="61">
        <f>IF(F386&lt;=0,0,IF(Materiales!$G$58&lt;=0,F386,ROUNDUP(F386/Materiales!$G$58,0)*Materiales!$G$58))</f>
        <v/>
      </c>
      <c r="G387" s="61">
        <f>IF(G386&lt;=0,0,IF(Materiales!$G$58&lt;=0,G386,ROUNDUP(G386/Materiales!$G$58,0)*Materiales!$G$58))</f>
        <v/>
      </c>
      <c r="H387" s="61">
        <f>IF(H386&lt;=0,0,IF(Materiales!$G$58&lt;=0,H386,ROUNDUP(H386/Materiales!$G$58,0)*Materiales!$G$58))</f>
        <v/>
      </c>
      <c r="I387" s="61">
        <f>IF(I386&lt;=0,0,IF(Materiales!$G$58&lt;=0,I386,ROUNDUP(I386/Materiales!$G$58,0)*Materiales!$G$58))</f>
        <v/>
      </c>
      <c r="J387" s="61">
        <f>IF(J386&lt;=0,0,IF(Materiales!$G$58&lt;=0,J386,ROUNDUP(J386/Materiales!$G$58,0)*Materiales!$G$58))</f>
        <v/>
      </c>
      <c r="K387" s="61">
        <f>IF(K386&lt;=0,0,IF(Materiales!$G$58&lt;=0,K386,ROUNDUP(K386/Materiales!$G$58,0)*Materiales!$G$58))</f>
        <v/>
      </c>
      <c r="L387" s="61">
        <f>IF(L386&lt;=0,0,IF(Materiales!$G$58&lt;=0,L386,ROUNDUP(L386/Materiales!$G$58,0)*Materiales!$G$58))</f>
        <v/>
      </c>
      <c r="M387" s="62" t="n"/>
    </row>
    <row r="388">
      <c r="C388" s="66" t="inlineStr">
        <is>
          <t>LANZAMIENTO DE ORDEN — pedir esta semana</t>
        </is>
      </c>
      <c r="D388" s="60" t="n"/>
      <c r="E388" s="70">
        <f>IF(1+Materiales!$F$58&gt;8,0,INDEX($E$387:$L$387,1,1+Materiales!$F$58))</f>
        <v/>
      </c>
      <c r="F388" s="70">
        <f>IF(2+Materiales!$F$58&gt;8,0,INDEX($E$387:$L$387,1,2+Materiales!$F$58))</f>
        <v/>
      </c>
      <c r="G388" s="70">
        <f>IF(3+Materiales!$F$58&gt;8,0,INDEX($E$387:$L$387,1,3+Materiales!$F$58))</f>
        <v/>
      </c>
      <c r="H388" s="70">
        <f>IF(4+Materiales!$F$58&gt;8,0,INDEX($E$387:$L$387,1,4+Materiales!$F$58))</f>
        <v/>
      </c>
      <c r="I388" s="70">
        <f>IF(5+Materiales!$F$58&gt;8,0,INDEX($E$387:$L$387,1,5+Materiales!$F$58))</f>
        <v/>
      </c>
      <c r="J388" s="70">
        <f>IF(6+Materiales!$F$58&gt;8,0,INDEX($E$387:$L$387,1,6+Materiales!$F$58))</f>
        <v/>
      </c>
      <c r="K388" s="70">
        <f>IF(7+Materiales!$F$58&gt;8,0,INDEX($E$387:$L$387,1,7+Materiales!$F$58))</f>
        <v/>
      </c>
      <c r="L388" s="70">
        <f>IF(8+Materiales!$F$58&gt;8,0,INDEX($E$387:$L$387,1,8+Materiales!$F$58))</f>
        <v/>
      </c>
      <c r="M388" s="68">
        <f>IF($A383="","",IF(SUMPRODUCT((COLUMN($E$387:$L$387)-4&lt;=Materiales!$F$58)*$E$387:$L$387)&gt;0,"PEDIR YA (atrasado)","OK"))</f>
        <v/>
      </c>
    </row>
    <row r="389" ht="6" customHeight="1"/>
    <row r="390">
      <c r="A390" s="58">
        <f>IF(Materiales!$A$59="","",Materiales!$A$59)</f>
        <v/>
      </c>
      <c r="B390" s="58">
        <f>IF(Materiales!$B$59="","",Materiales!$B$59)</f>
        <v/>
      </c>
      <c r="C390" s="59" t="inlineStr">
        <is>
          <t>Necesidad bruta</t>
        </is>
      </c>
      <c r="D390" s="60" t="n"/>
      <c r="E390" s="61">
        <f>ROUND(SUMIF(Consumo!$O$4:$O$143,"#"&amp;$A390,Consumo!G$4:G$143),4)</f>
        <v/>
      </c>
      <c r="F390" s="61">
        <f>ROUND(SUMIF(Consumo!$O$4:$O$143,"#"&amp;$A390,Consumo!H$4:H$143),4)</f>
        <v/>
      </c>
      <c r="G390" s="61">
        <f>ROUND(SUMIF(Consumo!$O$4:$O$143,"#"&amp;$A390,Consumo!I$4:I$143),4)</f>
        <v/>
      </c>
      <c r="H390" s="61">
        <f>ROUND(SUMIF(Consumo!$O$4:$O$143,"#"&amp;$A390,Consumo!J$4:J$143),4)</f>
        <v/>
      </c>
      <c r="I390" s="61">
        <f>ROUND(SUMIF(Consumo!$O$4:$O$143,"#"&amp;$A390,Consumo!K$4:K$143),4)</f>
        <v/>
      </c>
      <c r="J390" s="61">
        <f>ROUND(SUMIF(Consumo!$O$4:$O$143,"#"&amp;$A390,Consumo!L$4:L$143),4)</f>
        <v/>
      </c>
      <c r="K390" s="61">
        <f>ROUND(SUMIF(Consumo!$O$4:$O$143,"#"&amp;$A390,Consumo!M$4:M$143),4)</f>
        <v/>
      </c>
      <c r="L390" s="61">
        <f>ROUND(SUMIF(Consumo!$O$4:$O$143,"#"&amp;$A390,Consumo!N$4:N$143),4)</f>
        <v/>
      </c>
      <c r="M390" s="62" t="n"/>
    </row>
    <row r="391">
      <c r="C391" s="59" t="inlineStr">
        <is>
          <t>Recepciones programadas (ya pedido)</t>
        </is>
      </c>
      <c r="D391" s="60" t="n"/>
      <c r="E391" s="61">
        <f>SUMIF(Inventario!$M$5:$M$87,"#"&amp;$A390,Inventario!E$5:E$87)</f>
        <v/>
      </c>
      <c r="F391" s="61">
        <f>SUMIF(Inventario!$M$5:$M$87,"#"&amp;$A390,Inventario!F$5:F$87)</f>
        <v/>
      </c>
      <c r="G391" s="61">
        <f>SUMIF(Inventario!$M$5:$M$87,"#"&amp;$A390,Inventario!G$5:G$87)</f>
        <v/>
      </c>
      <c r="H391" s="61">
        <f>SUMIF(Inventario!$M$5:$M$87,"#"&amp;$A390,Inventario!H$5:H$87)</f>
        <v/>
      </c>
      <c r="I391" s="61">
        <f>SUMIF(Inventario!$M$5:$M$87,"#"&amp;$A390,Inventario!I$5:I$87)</f>
        <v/>
      </c>
      <c r="J391" s="61">
        <f>SUMIF(Inventario!$M$5:$M$87,"#"&amp;$A390,Inventario!J$5:J$87)</f>
        <v/>
      </c>
      <c r="K391" s="61">
        <f>SUMIF(Inventario!$M$5:$M$87,"#"&amp;$A390,Inventario!K$5:K$87)</f>
        <v/>
      </c>
      <c r="L391" s="61">
        <f>SUMIF(Inventario!$M$5:$M$87,"#"&amp;$A390,Inventario!L$5:L$87)</f>
        <v/>
      </c>
      <c r="M391" s="62" t="n"/>
    </row>
    <row r="392">
      <c r="C392" s="59" t="inlineStr">
        <is>
          <t>Stock proyectado disponible</t>
        </is>
      </c>
      <c r="D392" s="63">
        <f>SUMIF(Inventario!$M$5:$M$87,"#"&amp;$A390,Inventario!$C$5:$C$87)</f>
        <v/>
      </c>
      <c r="E392" s="64">
        <f>D392+E391+E394-E390</f>
        <v/>
      </c>
      <c r="F392" s="64">
        <f>E392+F391+F394-F390</f>
        <v/>
      </c>
      <c r="G392" s="64">
        <f>F392+G391+G394-G390</f>
        <v/>
      </c>
      <c r="H392" s="64">
        <f>G392+H391+H394-H390</f>
        <v/>
      </c>
      <c r="I392" s="64">
        <f>H392+I391+I394-I390</f>
        <v/>
      </c>
      <c r="J392" s="64">
        <f>I392+J391+J394-J390</f>
        <v/>
      </c>
      <c r="K392" s="64">
        <f>J392+K391+K394-K390</f>
        <v/>
      </c>
      <c r="L392" s="64">
        <f>K392+L391+L394-L390</f>
        <v/>
      </c>
      <c r="M392" s="62" t="n"/>
    </row>
    <row r="393">
      <c r="C393" s="59" t="inlineStr">
        <is>
          <t>Necesidad neta</t>
        </is>
      </c>
      <c r="D393" s="60" t="n"/>
      <c r="E393" s="65">
        <f>MAX(0,ROUND(E390+Materiales!$H$59-D392-E391,4))</f>
        <v/>
      </c>
      <c r="F393" s="65">
        <f>MAX(0,ROUND(F390+Materiales!$H$59-E392-F391,4))</f>
        <v/>
      </c>
      <c r="G393" s="65">
        <f>MAX(0,ROUND(G390+Materiales!$H$59-F392-G391,4))</f>
        <v/>
      </c>
      <c r="H393" s="65">
        <f>MAX(0,ROUND(H390+Materiales!$H$59-G392-H391,4))</f>
        <v/>
      </c>
      <c r="I393" s="65">
        <f>MAX(0,ROUND(I390+Materiales!$H$59-H392-I391,4))</f>
        <v/>
      </c>
      <c r="J393" s="65">
        <f>MAX(0,ROUND(J390+Materiales!$H$59-I392-J391,4))</f>
        <v/>
      </c>
      <c r="K393" s="65">
        <f>MAX(0,ROUND(K390+Materiales!$H$59-J392-K391,4))</f>
        <v/>
      </c>
      <c r="L393" s="65">
        <f>MAX(0,ROUND(L390+Materiales!$H$59-K392-L391,4))</f>
        <v/>
      </c>
      <c r="M393" s="62" t="n"/>
    </row>
    <row r="394">
      <c r="C394" s="59" t="inlineStr">
        <is>
          <t>Recepcion de orden planificada</t>
        </is>
      </c>
      <c r="D394" s="60" t="n"/>
      <c r="E394" s="61">
        <f>IF(E393&lt;=0,0,IF(Materiales!$G$59&lt;=0,E393,ROUNDUP(E393/Materiales!$G$59,0)*Materiales!$G$59))</f>
        <v/>
      </c>
      <c r="F394" s="61">
        <f>IF(F393&lt;=0,0,IF(Materiales!$G$59&lt;=0,F393,ROUNDUP(F393/Materiales!$G$59,0)*Materiales!$G$59))</f>
        <v/>
      </c>
      <c r="G394" s="61">
        <f>IF(G393&lt;=0,0,IF(Materiales!$G$59&lt;=0,G393,ROUNDUP(G393/Materiales!$G$59,0)*Materiales!$G$59))</f>
        <v/>
      </c>
      <c r="H394" s="61">
        <f>IF(H393&lt;=0,0,IF(Materiales!$G$59&lt;=0,H393,ROUNDUP(H393/Materiales!$G$59,0)*Materiales!$G$59))</f>
        <v/>
      </c>
      <c r="I394" s="61">
        <f>IF(I393&lt;=0,0,IF(Materiales!$G$59&lt;=0,I393,ROUNDUP(I393/Materiales!$G$59,0)*Materiales!$G$59))</f>
        <v/>
      </c>
      <c r="J394" s="61">
        <f>IF(J393&lt;=0,0,IF(Materiales!$G$59&lt;=0,J393,ROUNDUP(J393/Materiales!$G$59,0)*Materiales!$G$59))</f>
        <v/>
      </c>
      <c r="K394" s="61">
        <f>IF(K393&lt;=0,0,IF(Materiales!$G$59&lt;=0,K393,ROUNDUP(K393/Materiales!$G$59,0)*Materiales!$G$59))</f>
        <v/>
      </c>
      <c r="L394" s="61">
        <f>IF(L393&lt;=0,0,IF(Materiales!$G$59&lt;=0,L393,ROUNDUP(L393/Materiales!$G$59,0)*Materiales!$G$59))</f>
        <v/>
      </c>
      <c r="M394" s="62" t="n"/>
    </row>
    <row r="395">
      <c r="C395" s="66" t="inlineStr">
        <is>
          <t>LANZAMIENTO DE ORDEN — pedir esta semana</t>
        </is>
      </c>
      <c r="D395" s="60" t="n"/>
      <c r="E395" s="70">
        <f>IF(1+Materiales!$F$59&gt;8,0,INDEX($E$394:$L$394,1,1+Materiales!$F$59))</f>
        <v/>
      </c>
      <c r="F395" s="70">
        <f>IF(2+Materiales!$F$59&gt;8,0,INDEX($E$394:$L$394,1,2+Materiales!$F$59))</f>
        <v/>
      </c>
      <c r="G395" s="70">
        <f>IF(3+Materiales!$F$59&gt;8,0,INDEX($E$394:$L$394,1,3+Materiales!$F$59))</f>
        <v/>
      </c>
      <c r="H395" s="70">
        <f>IF(4+Materiales!$F$59&gt;8,0,INDEX($E$394:$L$394,1,4+Materiales!$F$59))</f>
        <v/>
      </c>
      <c r="I395" s="70">
        <f>IF(5+Materiales!$F$59&gt;8,0,INDEX($E$394:$L$394,1,5+Materiales!$F$59))</f>
        <v/>
      </c>
      <c r="J395" s="70">
        <f>IF(6+Materiales!$F$59&gt;8,0,INDEX($E$394:$L$394,1,6+Materiales!$F$59))</f>
        <v/>
      </c>
      <c r="K395" s="70">
        <f>IF(7+Materiales!$F$59&gt;8,0,INDEX($E$394:$L$394,1,7+Materiales!$F$59))</f>
        <v/>
      </c>
      <c r="L395" s="70">
        <f>IF(8+Materiales!$F$59&gt;8,0,INDEX($E$394:$L$394,1,8+Materiales!$F$59))</f>
        <v/>
      </c>
      <c r="M395" s="68">
        <f>IF($A390="","",IF(SUMPRODUCT((COLUMN($E$394:$L$394)-4&lt;=Materiales!$F$59)*$E$394:$L$394)&gt;0,"PEDIR YA (atrasado)","OK"))</f>
        <v/>
      </c>
    </row>
    <row r="396" ht="6" customHeight="1"/>
    <row r="397">
      <c r="A397" s="58">
        <f>IF(Materiales!$A$60="","",Materiales!$A$60)</f>
        <v/>
      </c>
      <c r="B397" s="58">
        <f>IF(Materiales!$B$60="","",Materiales!$B$60)</f>
        <v/>
      </c>
      <c r="C397" s="59" t="inlineStr">
        <is>
          <t>Necesidad bruta</t>
        </is>
      </c>
      <c r="D397" s="60" t="n"/>
      <c r="E397" s="61">
        <f>ROUND(SUMIF(Consumo!$O$4:$O$143,"#"&amp;$A397,Consumo!G$4:G$143),4)</f>
        <v/>
      </c>
      <c r="F397" s="61">
        <f>ROUND(SUMIF(Consumo!$O$4:$O$143,"#"&amp;$A397,Consumo!H$4:H$143),4)</f>
        <v/>
      </c>
      <c r="G397" s="61">
        <f>ROUND(SUMIF(Consumo!$O$4:$O$143,"#"&amp;$A397,Consumo!I$4:I$143),4)</f>
        <v/>
      </c>
      <c r="H397" s="61">
        <f>ROUND(SUMIF(Consumo!$O$4:$O$143,"#"&amp;$A397,Consumo!J$4:J$143),4)</f>
        <v/>
      </c>
      <c r="I397" s="61">
        <f>ROUND(SUMIF(Consumo!$O$4:$O$143,"#"&amp;$A397,Consumo!K$4:K$143),4)</f>
        <v/>
      </c>
      <c r="J397" s="61">
        <f>ROUND(SUMIF(Consumo!$O$4:$O$143,"#"&amp;$A397,Consumo!L$4:L$143),4)</f>
        <v/>
      </c>
      <c r="K397" s="61">
        <f>ROUND(SUMIF(Consumo!$O$4:$O$143,"#"&amp;$A397,Consumo!M$4:M$143),4)</f>
        <v/>
      </c>
      <c r="L397" s="61">
        <f>ROUND(SUMIF(Consumo!$O$4:$O$143,"#"&amp;$A397,Consumo!N$4:N$143),4)</f>
        <v/>
      </c>
      <c r="M397" s="62" t="n"/>
    </row>
    <row r="398">
      <c r="C398" s="59" t="inlineStr">
        <is>
          <t>Recepciones programadas (ya pedido)</t>
        </is>
      </c>
      <c r="D398" s="60" t="n"/>
      <c r="E398" s="61">
        <f>SUMIF(Inventario!$M$5:$M$87,"#"&amp;$A397,Inventario!E$5:E$87)</f>
        <v/>
      </c>
      <c r="F398" s="61">
        <f>SUMIF(Inventario!$M$5:$M$87,"#"&amp;$A397,Inventario!F$5:F$87)</f>
        <v/>
      </c>
      <c r="G398" s="61">
        <f>SUMIF(Inventario!$M$5:$M$87,"#"&amp;$A397,Inventario!G$5:G$87)</f>
        <v/>
      </c>
      <c r="H398" s="61">
        <f>SUMIF(Inventario!$M$5:$M$87,"#"&amp;$A397,Inventario!H$5:H$87)</f>
        <v/>
      </c>
      <c r="I398" s="61">
        <f>SUMIF(Inventario!$M$5:$M$87,"#"&amp;$A397,Inventario!I$5:I$87)</f>
        <v/>
      </c>
      <c r="J398" s="61">
        <f>SUMIF(Inventario!$M$5:$M$87,"#"&amp;$A397,Inventario!J$5:J$87)</f>
        <v/>
      </c>
      <c r="K398" s="61">
        <f>SUMIF(Inventario!$M$5:$M$87,"#"&amp;$A397,Inventario!K$5:K$87)</f>
        <v/>
      </c>
      <c r="L398" s="61">
        <f>SUMIF(Inventario!$M$5:$M$87,"#"&amp;$A397,Inventario!L$5:L$87)</f>
        <v/>
      </c>
      <c r="M398" s="62" t="n"/>
    </row>
    <row r="399">
      <c r="C399" s="59" t="inlineStr">
        <is>
          <t>Stock proyectado disponible</t>
        </is>
      </c>
      <c r="D399" s="63">
        <f>SUMIF(Inventario!$M$5:$M$87,"#"&amp;$A397,Inventario!$C$5:$C$87)</f>
        <v/>
      </c>
      <c r="E399" s="64">
        <f>D399+E398+E401-E397</f>
        <v/>
      </c>
      <c r="F399" s="64">
        <f>E399+F398+F401-F397</f>
        <v/>
      </c>
      <c r="G399" s="64">
        <f>F399+G398+G401-G397</f>
        <v/>
      </c>
      <c r="H399" s="64">
        <f>G399+H398+H401-H397</f>
        <v/>
      </c>
      <c r="I399" s="64">
        <f>H399+I398+I401-I397</f>
        <v/>
      </c>
      <c r="J399" s="64">
        <f>I399+J398+J401-J397</f>
        <v/>
      </c>
      <c r="K399" s="64">
        <f>J399+K398+K401-K397</f>
        <v/>
      </c>
      <c r="L399" s="64">
        <f>K399+L398+L401-L397</f>
        <v/>
      </c>
      <c r="M399" s="62" t="n"/>
    </row>
    <row r="400">
      <c r="C400" s="59" t="inlineStr">
        <is>
          <t>Necesidad neta</t>
        </is>
      </c>
      <c r="D400" s="60" t="n"/>
      <c r="E400" s="65">
        <f>MAX(0,ROUND(E397+Materiales!$H$60-D399-E398,4))</f>
        <v/>
      </c>
      <c r="F400" s="65">
        <f>MAX(0,ROUND(F397+Materiales!$H$60-E399-F398,4))</f>
        <v/>
      </c>
      <c r="G400" s="65">
        <f>MAX(0,ROUND(G397+Materiales!$H$60-F399-G398,4))</f>
        <v/>
      </c>
      <c r="H400" s="65">
        <f>MAX(0,ROUND(H397+Materiales!$H$60-G399-H398,4))</f>
        <v/>
      </c>
      <c r="I400" s="65">
        <f>MAX(0,ROUND(I397+Materiales!$H$60-H399-I398,4))</f>
        <v/>
      </c>
      <c r="J400" s="65">
        <f>MAX(0,ROUND(J397+Materiales!$H$60-I399-J398,4))</f>
        <v/>
      </c>
      <c r="K400" s="65">
        <f>MAX(0,ROUND(K397+Materiales!$H$60-J399-K398,4))</f>
        <v/>
      </c>
      <c r="L400" s="65">
        <f>MAX(0,ROUND(L397+Materiales!$H$60-K399-L398,4))</f>
        <v/>
      </c>
      <c r="M400" s="62" t="n"/>
    </row>
    <row r="401">
      <c r="C401" s="59" t="inlineStr">
        <is>
          <t>Recepcion de orden planificada</t>
        </is>
      </c>
      <c r="D401" s="60" t="n"/>
      <c r="E401" s="61">
        <f>IF(E400&lt;=0,0,IF(Materiales!$G$60&lt;=0,E400,ROUNDUP(E400/Materiales!$G$60,0)*Materiales!$G$60))</f>
        <v/>
      </c>
      <c r="F401" s="61">
        <f>IF(F400&lt;=0,0,IF(Materiales!$G$60&lt;=0,F400,ROUNDUP(F400/Materiales!$G$60,0)*Materiales!$G$60))</f>
        <v/>
      </c>
      <c r="G401" s="61">
        <f>IF(G400&lt;=0,0,IF(Materiales!$G$60&lt;=0,G400,ROUNDUP(G400/Materiales!$G$60,0)*Materiales!$G$60))</f>
        <v/>
      </c>
      <c r="H401" s="61">
        <f>IF(H400&lt;=0,0,IF(Materiales!$G$60&lt;=0,H400,ROUNDUP(H400/Materiales!$G$60,0)*Materiales!$G$60))</f>
        <v/>
      </c>
      <c r="I401" s="61">
        <f>IF(I400&lt;=0,0,IF(Materiales!$G$60&lt;=0,I400,ROUNDUP(I400/Materiales!$G$60,0)*Materiales!$G$60))</f>
        <v/>
      </c>
      <c r="J401" s="61">
        <f>IF(J400&lt;=0,0,IF(Materiales!$G$60&lt;=0,J400,ROUNDUP(J400/Materiales!$G$60,0)*Materiales!$G$60))</f>
        <v/>
      </c>
      <c r="K401" s="61">
        <f>IF(K400&lt;=0,0,IF(Materiales!$G$60&lt;=0,K400,ROUNDUP(K400/Materiales!$G$60,0)*Materiales!$G$60))</f>
        <v/>
      </c>
      <c r="L401" s="61">
        <f>IF(L400&lt;=0,0,IF(Materiales!$G$60&lt;=0,L400,ROUNDUP(L400/Materiales!$G$60,0)*Materiales!$G$60))</f>
        <v/>
      </c>
      <c r="M401" s="62" t="n"/>
    </row>
    <row r="402">
      <c r="C402" s="66" t="inlineStr">
        <is>
          <t>LANZAMIENTO DE ORDEN — pedir esta semana</t>
        </is>
      </c>
      <c r="D402" s="60" t="n"/>
      <c r="E402" s="70">
        <f>IF(1+Materiales!$F$60&gt;8,0,INDEX($E$401:$L$401,1,1+Materiales!$F$60))</f>
        <v/>
      </c>
      <c r="F402" s="70">
        <f>IF(2+Materiales!$F$60&gt;8,0,INDEX($E$401:$L$401,1,2+Materiales!$F$60))</f>
        <v/>
      </c>
      <c r="G402" s="70">
        <f>IF(3+Materiales!$F$60&gt;8,0,INDEX($E$401:$L$401,1,3+Materiales!$F$60))</f>
        <v/>
      </c>
      <c r="H402" s="70">
        <f>IF(4+Materiales!$F$60&gt;8,0,INDEX($E$401:$L$401,1,4+Materiales!$F$60))</f>
        <v/>
      </c>
      <c r="I402" s="70">
        <f>IF(5+Materiales!$F$60&gt;8,0,INDEX($E$401:$L$401,1,5+Materiales!$F$60))</f>
        <v/>
      </c>
      <c r="J402" s="70">
        <f>IF(6+Materiales!$F$60&gt;8,0,INDEX($E$401:$L$401,1,6+Materiales!$F$60))</f>
        <v/>
      </c>
      <c r="K402" s="70">
        <f>IF(7+Materiales!$F$60&gt;8,0,INDEX($E$401:$L$401,1,7+Materiales!$F$60))</f>
        <v/>
      </c>
      <c r="L402" s="70">
        <f>IF(8+Materiales!$F$60&gt;8,0,INDEX($E$401:$L$401,1,8+Materiales!$F$60))</f>
        <v/>
      </c>
      <c r="M402" s="68">
        <f>IF($A397="","",IF(SUMPRODUCT((COLUMN($E$401:$L$401)-4&lt;=Materiales!$F$60)*$E$401:$L$401)&gt;0,"PEDIR YA (atrasado)","OK"))</f>
        <v/>
      </c>
    </row>
    <row r="403" ht="6" customHeight="1"/>
    <row r="404">
      <c r="A404" s="58">
        <f>IF(Materiales!$A$61="","",Materiales!$A$61)</f>
        <v/>
      </c>
      <c r="B404" s="58">
        <f>IF(Materiales!$B$61="","",Materiales!$B$61)</f>
        <v/>
      </c>
      <c r="C404" s="59" t="inlineStr">
        <is>
          <t>Necesidad bruta</t>
        </is>
      </c>
      <c r="D404" s="60" t="n"/>
      <c r="E404" s="61">
        <f>ROUND(SUMIF(Consumo!$O$4:$O$143,"#"&amp;$A404,Consumo!G$4:G$143),4)</f>
        <v/>
      </c>
      <c r="F404" s="61">
        <f>ROUND(SUMIF(Consumo!$O$4:$O$143,"#"&amp;$A404,Consumo!H$4:H$143),4)</f>
        <v/>
      </c>
      <c r="G404" s="61">
        <f>ROUND(SUMIF(Consumo!$O$4:$O$143,"#"&amp;$A404,Consumo!I$4:I$143),4)</f>
        <v/>
      </c>
      <c r="H404" s="61">
        <f>ROUND(SUMIF(Consumo!$O$4:$O$143,"#"&amp;$A404,Consumo!J$4:J$143),4)</f>
        <v/>
      </c>
      <c r="I404" s="61">
        <f>ROUND(SUMIF(Consumo!$O$4:$O$143,"#"&amp;$A404,Consumo!K$4:K$143),4)</f>
        <v/>
      </c>
      <c r="J404" s="61">
        <f>ROUND(SUMIF(Consumo!$O$4:$O$143,"#"&amp;$A404,Consumo!L$4:L$143),4)</f>
        <v/>
      </c>
      <c r="K404" s="61">
        <f>ROUND(SUMIF(Consumo!$O$4:$O$143,"#"&amp;$A404,Consumo!M$4:M$143),4)</f>
        <v/>
      </c>
      <c r="L404" s="61">
        <f>ROUND(SUMIF(Consumo!$O$4:$O$143,"#"&amp;$A404,Consumo!N$4:N$143),4)</f>
        <v/>
      </c>
      <c r="M404" s="62" t="n"/>
    </row>
    <row r="405">
      <c r="C405" s="59" t="inlineStr">
        <is>
          <t>Recepciones programadas (ya pedido)</t>
        </is>
      </c>
      <c r="D405" s="60" t="n"/>
      <c r="E405" s="61">
        <f>SUMIF(Inventario!$M$5:$M$87,"#"&amp;$A404,Inventario!E$5:E$87)</f>
        <v/>
      </c>
      <c r="F405" s="61">
        <f>SUMIF(Inventario!$M$5:$M$87,"#"&amp;$A404,Inventario!F$5:F$87)</f>
        <v/>
      </c>
      <c r="G405" s="61">
        <f>SUMIF(Inventario!$M$5:$M$87,"#"&amp;$A404,Inventario!G$5:G$87)</f>
        <v/>
      </c>
      <c r="H405" s="61">
        <f>SUMIF(Inventario!$M$5:$M$87,"#"&amp;$A404,Inventario!H$5:H$87)</f>
        <v/>
      </c>
      <c r="I405" s="61">
        <f>SUMIF(Inventario!$M$5:$M$87,"#"&amp;$A404,Inventario!I$5:I$87)</f>
        <v/>
      </c>
      <c r="J405" s="61">
        <f>SUMIF(Inventario!$M$5:$M$87,"#"&amp;$A404,Inventario!J$5:J$87)</f>
        <v/>
      </c>
      <c r="K405" s="61">
        <f>SUMIF(Inventario!$M$5:$M$87,"#"&amp;$A404,Inventario!K$5:K$87)</f>
        <v/>
      </c>
      <c r="L405" s="61">
        <f>SUMIF(Inventario!$M$5:$M$87,"#"&amp;$A404,Inventario!L$5:L$87)</f>
        <v/>
      </c>
      <c r="M405" s="62" t="n"/>
    </row>
    <row r="406">
      <c r="C406" s="59" t="inlineStr">
        <is>
          <t>Stock proyectado disponible</t>
        </is>
      </c>
      <c r="D406" s="63">
        <f>SUMIF(Inventario!$M$5:$M$87,"#"&amp;$A404,Inventario!$C$5:$C$87)</f>
        <v/>
      </c>
      <c r="E406" s="64">
        <f>D406+E405+E408-E404</f>
        <v/>
      </c>
      <c r="F406" s="64">
        <f>E406+F405+F408-F404</f>
        <v/>
      </c>
      <c r="G406" s="64">
        <f>F406+G405+G408-G404</f>
        <v/>
      </c>
      <c r="H406" s="64">
        <f>G406+H405+H408-H404</f>
        <v/>
      </c>
      <c r="I406" s="64">
        <f>H406+I405+I408-I404</f>
        <v/>
      </c>
      <c r="J406" s="64">
        <f>I406+J405+J408-J404</f>
        <v/>
      </c>
      <c r="K406" s="64">
        <f>J406+K405+K408-K404</f>
        <v/>
      </c>
      <c r="L406" s="64">
        <f>K406+L405+L408-L404</f>
        <v/>
      </c>
      <c r="M406" s="62" t="n"/>
    </row>
    <row r="407">
      <c r="C407" s="59" t="inlineStr">
        <is>
          <t>Necesidad neta</t>
        </is>
      </c>
      <c r="D407" s="60" t="n"/>
      <c r="E407" s="65">
        <f>MAX(0,ROUND(E404+Materiales!$H$61-D406-E405,4))</f>
        <v/>
      </c>
      <c r="F407" s="65">
        <f>MAX(0,ROUND(F404+Materiales!$H$61-E406-F405,4))</f>
        <v/>
      </c>
      <c r="G407" s="65">
        <f>MAX(0,ROUND(G404+Materiales!$H$61-F406-G405,4))</f>
        <v/>
      </c>
      <c r="H407" s="65">
        <f>MAX(0,ROUND(H404+Materiales!$H$61-G406-H405,4))</f>
        <v/>
      </c>
      <c r="I407" s="65">
        <f>MAX(0,ROUND(I404+Materiales!$H$61-H406-I405,4))</f>
        <v/>
      </c>
      <c r="J407" s="65">
        <f>MAX(0,ROUND(J404+Materiales!$H$61-I406-J405,4))</f>
        <v/>
      </c>
      <c r="K407" s="65">
        <f>MAX(0,ROUND(K404+Materiales!$H$61-J406-K405,4))</f>
        <v/>
      </c>
      <c r="L407" s="65">
        <f>MAX(0,ROUND(L404+Materiales!$H$61-K406-L405,4))</f>
        <v/>
      </c>
      <c r="M407" s="62" t="n"/>
    </row>
    <row r="408">
      <c r="C408" s="59" t="inlineStr">
        <is>
          <t>Recepcion de orden planificada</t>
        </is>
      </c>
      <c r="D408" s="60" t="n"/>
      <c r="E408" s="61">
        <f>IF(E407&lt;=0,0,IF(Materiales!$G$61&lt;=0,E407,ROUNDUP(E407/Materiales!$G$61,0)*Materiales!$G$61))</f>
        <v/>
      </c>
      <c r="F408" s="61">
        <f>IF(F407&lt;=0,0,IF(Materiales!$G$61&lt;=0,F407,ROUNDUP(F407/Materiales!$G$61,0)*Materiales!$G$61))</f>
        <v/>
      </c>
      <c r="G408" s="61">
        <f>IF(G407&lt;=0,0,IF(Materiales!$G$61&lt;=0,G407,ROUNDUP(G407/Materiales!$G$61,0)*Materiales!$G$61))</f>
        <v/>
      </c>
      <c r="H408" s="61">
        <f>IF(H407&lt;=0,0,IF(Materiales!$G$61&lt;=0,H407,ROUNDUP(H407/Materiales!$G$61,0)*Materiales!$G$61))</f>
        <v/>
      </c>
      <c r="I408" s="61">
        <f>IF(I407&lt;=0,0,IF(Materiales!$G$61&lt;=0,I407,ROUNDUP(I407/Materiales!$G$61,0)*Materiales!$G$61))</f>
        <v/>
      </c>
      <c r="J408" s="61">
        <f>IF(J407&lt;=0,0,IF(Materiales!$G$61&lt;=0,J407,ROUNDUP(J407/Materiales!$G$61,0)*Materiales!$G$61))</f>
        <v/>
      </c>
      <c r="K408" s="61">
        <f>IF(K407&lt;=0,0,IF(Materiales!$G$61&lt;=0,K407,ROUNDUP(K407/Materiales!$G$61,0)*Materiales!$G$61))</f>
        <v/>
      </c>
      <c r="L408" s="61">
        <f>IF(L407&lt;=0,0,IF(Materiales!$G$61&lt;=0,L407,ROUNDUP(L407/Materiales!$G$61,0)*Materiales!$G$61))</f>
        <v/>
      </c>
      <c r="M408" s="62" t="n"/>
    </row>
    <row r="409">
      <c r="C409" s="66" t="inlineStr">
        <is>
          <t>LANZAMIENTO DE ORDEN — pedir esta semana</t>
        </is>
      </c>
      <c r="D409" s="60" t="n"/>
      <c r="E409" s="70">
        <f>IF(1+Materiales!$F$61&gt;8,0,INDEX($E$408:$L$408,1,1+Materiales!$F$61))</f>
        <v/>
      </c>
      <c r="F409" s="70">
        <f>IF(2+Materiales!$F$61&gt;8,0,INDEX($E$408:$L$408,1,2+Materiales!$F$61))</f>
        <v/>
      </c>
      <c r="G409" s="70">
        <f>IF(3+Materiales!$F$61&gt;8,0,INDEX($E$408:$L$408,1,3+Materiales!$F$61))</f>
        <v/>
      </c>
      <c r="H409" s="70">
        <f>IF(4+Materiales!$F$61&gt;8,0,INDEX($E$408:$L$408,1,4+Materiales!$F$61))</f>
        <v/>
      </c>
      <c r="I409" s="70">
        <f>IF(5+Materiales!$F$61&gt;8,0,INDEX($E$408:$L$408,1,5+Materiales!$F$61))</f>
        <v/>
      </c>
      <c r="J409" s="70">
        <f>IF(6+Materiales!$F$61&gt;8,0,INDEX($E$408:$L$408,1,6+Materiales!$F$61))</f>
        <v/>
      </c>
      <c r="K409" s="70">
        <f>IF(7+Materiales!$F$61&gt;8,0,INDEX($E$408:$L$408,1,7+Materiales!$F$61))</f>
        <v/>
      </c>
      <c r="L409" s="70">
        <f>IF(8+Materiales!$F$61&gt;8,0,INDEX($E$408:$L$408,1,8+Materiales!$F$61))</f>
        <v/>
      </c>
      <c r="M409" s="68">
        <f>IF($A404="","",IF(SUMPRODUCT((COLUMN($E$408:$L$408)-4&lt;=Materiales!$F$61)*$E$408:$L$408)&gt;0,"PEDIR YA (atrasado)","OK"))</f>
        <v/>
      </c>
    </row>
    <row r="410" ht="6" customHeight="1"/>
    <row r="411">
      <c r="A411" s="58">
        <f>IF(Materiales!$A$62="","",Materiales!$A$62)</f>
        <v/>
      </c>
      <c r="B411" s="58">
        <f>IF(Materiales!$B$62="","",Materiales!$B$62)</f>
        <v/>
      </c>
      <c r="C411" s="59" t="inlineStr">
        <is>
          <t>Necesidad bruta</t>
        </is>
      </c>
      <c r="D411" s="60" t="n"/>
      <c r="E411" s="61">
        <f>ROUND(SUMIF(Consumo!$O$4:$O$143,"#"&amp;$A411,Consumo!G$4:G$143),4)</f>
        <v/>
      </c>
      <c r="F411" s="61">
        <f>ROUND(SUMIF(Consumo!$O$4:$O$143,"#"&amp;$A411,Consumo!H$4:H$143),4)</f>
        <v/>
      </c>
      <c r="G411" s="61">
        <f>ROUND(SUMIF(Consumo!$O$4:$O$143,"#"&amp;$A411,Consumo!I$4:I$143),4)</f>
        <v/>
      </c>
      <c r="H411" s="61">
        <f>ROUND(SUMIF(Consumo!$O$4:$O$143,"#"&amp;$A411,Consumo!J$4:J$143),4)</f>
        <v/>
      </c>
      <c r="I411" s="61">
        <f>ROUND(SUMIF(Consumo!$O$4:$O$143,"#"&amp;$A411,Consumo!K$4:K$143),4)</f>
        <v/>
      </c>
      <c r="J411" s="61">
        <f>ROUND(SUMIF(Consumo!$O$4:$O$143,"#"&amp;$A411,Consumo!L$4:L$143),4)</f>
        <v/>
      </c>
      <c r="K411" s="61">
        <f>ROUND(SUMIF(Consumo!$O$4:$O$143,"#"&amp;$A411,Consumo!M$4:M$143),4)</f>
        <v/>
      </c>
      <c r="L411" s="61">
        <f>ROUND(SUMIF(Consumo!$O$4:$O$143,"#"&amp;$A411,Consumo!N$4:N$143),4)</f>
        <v/>
      </c>
      <c r="M411" s="62" t="n"/>
    </row>
    <row r="412">
      <c r="C412" s="59" t="inlineStr">
        <is>
          <t>Recepciones programadas (ya pedido)</t>
        </is>
      </c>
      <c r="D412" s="60" t="n"/>
      <c r="E412" s="61">
        <f>SUMIF(Inventario!$M$5:$M$87,"#"&amp;$A411,Inventario!E$5:E$87)</f>
        <v/>
      </c>
      <c r="F412" s="61">
        <f>SUMIF(Inventario!$M$5:$M$87,"#"&amp;$A411,Inventario!F$5:F$87)</f>
        <v/>
      </c>
      <c r="G412" s="61">
        <f>SUMIF(Inventario!$M$5:$M$87,"#"&amp;$A411,Inventario!G$5:G$87)</f>
        <v/>
      </c>
      <c r="H412" s="61">
        <f>SUMIF(Inventario!$M$5:$M$87,"#"&amp;$A411,Inventario!H$5:H$87)</f>
        <v/>
      </c>
      <c r="I412" s="61">
        <f>SUMIF(Inventario!$M$5:$M$87,"#"&amp;$A411,Inventario!I$5:I$87)</f>
        <v/>
      </c>
      <c r="J412" s="61">
        <f>SUMIF(Inventario!$M$5:$M$87,"#"&amp;$A411,Inventario!J$5:J$87)</f>
        <v/>
      </c>
      <c r="K412" s="61">
        <f>SUMIF(Inventario!$M$5:$M$87,"#"&amp;$A411,Inventario!K$5:K$87)</f>
        <v/>
      </c>
      <c r="L412" s="61">
        <f>SUMIF(Inventario!$M$5:$M$87,"#"&amp;$A411,Inventario!L$5:L$87)</f>
        <v/>
      </c>
      <c r="M412" s="62" t="n"/>
    </row>
    <row r="413">
      <c r="C413" s="59" t="inlineStr">
        <is>
          <t>Stock proyectado disponible</t>
        </is>
      </c>
      <c r="D413" s="63">
        <f>SUMIF(Inventario!$M$5:$M$87,"#"&amp;$A411,Inventario!$C$5:$C$87)</f>
        <v/>
      </c>
      <c r="E413" s="64">
        <f>D413+E412+E415-E411</f>
        <v/>
      </c>
      <c r="F413" s="64">
        <f>E413+F412+F415-F411</f>
        <v/>
      </c>
      <c r="G413" s="64">
        <f>F413+G412+G415-G411</f>
        <v/>
      </c>
      <c r="H413" s="64">
        <f>G413+H412+H415-H411</f>
        <v/>
      </c>
      <c r="I413" s="64">
        <f>H413+I412+I415-I411</f>
        <v/>
      </c>
      <c r="J413" s="64">
        <f>I413+J412+J415-J411</f>
        <v/>
      </c>
      <c r="K413" s="64">
        <f>J413+K412+K415-K411</f>
        <v/>
      </c>
      <c r="L413" s="64">
        <f>K413+L412+L415-L411</f>
        <v/>
      </c>
      <c r="M413" s="62" t="n"/>
    </row>
    <row r="414">
      <c r="C414" s="59" t="inlineStr">
        <is>
          <t>Necesidad neta</t>
        </is>
      </c>
      <c r="D414" s="60" t="n"/>
      <c r="E414" s="65">
        <f>MAX(0,ROUND(E411+Materiales!$H$62-D413-E412,4))</f>
        <v/>
      </c>
      <c r="F414" s="65">
        <f>MAX(0,ROUND(F411+Materiales!$H$62-E413-F412,4))</f>
        <v/>
      </c>
      <c r="G414" s="65">
        <f>MAX(0,ROUND(G411+Materiales!$H$62-F413-G412,4))</f>
        <v/>
      </c>
      <c r="H414" s="65">
        <f>MAX(0,ROUND(H411+Materiales!$H$62-G413-H412,4))</f>
        <v/>
      </c>
      <c r="I414" s="65">
        <f>MAX(0,ROUND(I411+Materiales!$H$62-H413-I412,4))</f>
        <v/>
      </c>
      <c r="J414" s="65">
        <f>MAX(0,ROUND(J411+Materiales!$H$62-I413-J412,4))</f>
        <v/>
      </c>
      <c r="K414" s="65">
        <f>MAX(0,ROUND(K411+Materiales!$H$62-J413-K412,4))</f>
        <v/>
      </c>
      <c r="L414" s="65">
        <f>MAX(0,ROUND(L411+Materiales!$H$62-K413-L412,4))</f>
        <v/>
      </c>
      <c r="M414" s="62" t="n"/>
    </row>
    <row r="415">
      <c r="C415" s="59" t="inlineStr">
        <is>
          <t>Recepcion de orden planificada</t>
        </is>
      </c>
      <c r="D415" s="60" t="n"/>
      <c r="E415" s="61">
        <f>IF(E414&lt;=0,0,IF(Materiales!$G$62&lt;=0,E414,ROUNDUP(E414/Materiales!$G$62,0)*Materiales!$G$62))</f>
        <v/>
      </c>
      <c r="F415" s="61">
        <f>IF(F414&lt;=0,0,IF(Materiales!$G$62&lt;=0,F414,ROUNDUP(F414/Materiales!$G$62,0)*Materiales!$G$62))</f>
        <v/>
      </c>
      <c r="G415" s="61">
        <f>IF(G414&lt;=0,0,IF(Materiales!$G$62&lt;=0,G414,ROUNDUP(G414/Materiales!$G$62,0)*Materiales!$G$62))</f>
        <v/>
      </c>
      <c r="H415" s="61">
        <f>IF(H414&lt;=0,0,IF(Materiales!$G$62&lt;=0,H414,ROUNDUP(H414/Materiales!$G$62,0)*Materiales!$G$62))</f>
        <v/>
      </c>
      <c r="I415" s="61">
        <f>IF(I414&lt;=0,0,IF(Materiales!$G$62&lt;=0,I414,ROUNDUP(I414/Materiales!$G$62,0)*Materiales!$G$62))</f>
        <v/>
      </c>
      <c r="J415" s="61">
        <f>IF(J414&lt;=0,0,IF(Materiales!$G$62&lt;=0,J414,ROUNDUP(J414/Materiales!$G$62,0)*Materiales!$G$62))</f>
        <v/>
      </c>
      <c r="K415" s="61">
        <f>IF(K414&lt;=0,0,IF(Materiales!$G$62&lt;=0,K414,ROUNDUP(K414/Materiales!$G$62,0)*Materiales!$G$62))</f>
        <v/>
      </c>
      <c r="L415" s="61">
        <f>IF(L414&lt;=0,0,IF(Materiales!$G$62&lt;=0,L414,ROUNDUP(L414/Materiales!$G$62,0)*Materiales!$G$62))</f>
        <v/>
      </c>
      <c r="M415" s="62" t="n"/>
    </row>
    <row r="416">
      <c r="C416" s="66" t="inlineStr">
        <is>
          <t>LANZAMIENTO DE ORDEN — pedir esta semana</t>
        </is>
      </c>
      <c r="D416" s="60" t="n"/>
      <c r="E416" s="70">
        <f>IF(1+Materiales!$F$62&gt;8,0,INDEX($E$415:$L$415,1,1+Materiales!$F$62))</f>
        <v/>
      </c>
      <c r="F416" s="70">
        <f>IF(2+Materiales!$F$62&gt;8,0,INDEX($E$415:$L$415,1,2+Materiales!$F$62))</f>
        <v/>
      </c>
      <c r="G416" s="70">
        <f>IF(3+Materiales!$F$62&gt;8,0,INDEX($E$415:$L$415,1,3+Materiales!$F$62))</f>
        <v/>
      </c>
      <c r="H416" s="70">
        <f>IF(4+Materiales!$F$62&gt;8,0,INDEX($E$415:$L$415,1,4+Materiales!$F$62))</f>
        <v/>
      </c>
      <c r="I416" s="70">
        <f>IF(5+Materiales!$F$62&gt;8,0,INDEX($E$415:$L$415,1,5+Materiales!$F$62))</f>
        <v/>
      </c>
      <c r="J416" s="70">
        <f>IF(6+Materiales!$F$62&gt;8,0,INDEX($E$415:$L$415,1,6+Materiales!$F$62))</f>
        <v/>
      </c>
      <c r="K416" s="70">
        <f>IF(7+Materiales!$F$62&gt;8,0,INDEX($E$415:$L$415,1,7+Materiales!$F$62))</f>
        <v/>
      </c>
      <c r="L416" s="70">
        <f>IF(8+Materiales!$F$62&gt;8,0,INDEX($E$415:$L$415,1,8+Materiales!$F$62))</f>
        <v/>
      </c>
      <c r="M416" s="68">
        <f>IF($A411="","",IF(SUMPRODUCT((COLUMN($E$415:$L$415)-4&lt;=Materiales!$F$62)*$E$415:$L$415)&gt;0,"PEDIR YA (atrasado)","OK"))</f>
        <v/>
      </c>
    </row>
    <row r="417" ht="6" customHeight="1"/>
    <row r="418">
      <c r="A418" s="58">
        <f>IF(Materiales!$A$63="","",Materiales!$A$63)</f>
        <v/>
      </c>
      <c r="B418" s="58">
        <f>IF(Materiales!$B$63="","",Materiales!$B$63)</f>
        <v/>
      </c>
      <c r="C418" s="59" t="inlineStr">
        <is>
          <t>Necesidad bruta</t>
        </is>
      </c>
      <c r="D418" s="60" t="n"/>
      <c r="E418" s="61">
        <f>ROUND(SUMIF(Consumo!$O$4:$O$143,"#"&amp;$A418,Consumo!G$4:G$143),4)</f>
        <v/>
      </c>
      <c r="F418" s="61">
        <f>ROUND(SUMIF(Consumo!$O$4:$O$143,"#"&amp;$A418,Consumo!H$4:H$143),4)</f>
        <v/>
      </c>
      <c r="G418" s="61">
        <f>ROUND(SUMIF(Consumo!$O$4:$O$143,"#"&amp;$A418,Consumo!I$4:I$143),4)</f>
        <v/>
      </c>
      <c r="H418" s="61">
        <f>ROUND(SUMIF(Consumo!$O$4:$O$143,"#"&amp;$A418,Consumo!J$4:J$143),4)</f>
        <v/>
      </c>
      <c r="I418" s="61">
        <f>ROUND(SUMIF(Consumo!$O$4:$O$143,"#"&amp;$A418,Consumo!K$4:K$143),4)</f>
        <v/>
      </c>
      <c r="J418" s="61">
        <f>ROUND(SUMIF(Consumo!$O$4:$O$143,"#"&amp;$A418,Consumo!L$4:L$143),4)</f>
        <v/>
      </c>
      <c r="K418" s="61">
        <f>ROUND(SUMIF(Consumo!$O$4:$O$143,"#"&amp;$A418,Consumo!M$4:M$143),4)</f>
        <v/>
      </c>
      <c r="L418" s="61">
        <f>ROUND(SUMIF(Consumo!$O$4:$O$143,"#"&amp;$A418,Consumo!N$4:N$143),4)</f>
        <v/>
      </c>
      <c r="M418" s="62" t="n"/>
    </row>
    <row r="419">
      <c r="C419" s="59" t="inlineStr">
        <is>
          <t>Recepciones programadas (ya pedido)</t>
        </is>
      </c>
      <c r="D419" s="60" t="n"/>
      <c r="E419" s="61">
        <f>SUMIF(Inventario!$M$5:$M$87,"#"&amp;$A418,Inventario!E$5:E$87)</f>
        <v/>
      </c>
      <c r="F419" s="61">
        <f>SUMIF(Inventario!$M$5:$M$87,"#"&amp;$A418,Inventario!F$5:F$87)</f>
        <v/>
      </c>
      <c r="G419" s="61">
        <f>SUMIF(Inventario!$M$5:$M$87,"#"&amp;$A418,Inventario!G$5:G$87)</f>
        <v/>
      </c>
      <c r="H419" s="61">
        <f>SUMIF(Inventario!$M$5:$M$87,"#"&amp;$A418,Inventario!H$5:H$87)</f>
        <v/>
      </c>
      <c r="I419" s="61">
        <f>SUMIF(Inventario!$M$5:$M$87,"#"&amp;$A418,Inventario!I$5:I$87)</f>
        <v/>
      </c>
      <c r="J419" s="61">
        <f>SUMIF(Inventario!$M$5:$M$87,"#"&amp;$A418,Inventario!J$5:J$87)</f>
        <v/>
      </c>
      <c r="K419" s="61">
        <f>SUMIF(Inventario!$M$5:$M$87,"#"&amp;$A418,Inventario!K$5:K$87)</f>
        <v/>
      </c>
      <c r="L419" s="61">
        <f>SUMIF(Inventario!$M$5:$M$87,"#"&amp;$A418,Inventario!L$5:L$87)</f>
        <v/>
      </c>
      <c r="M419" s="62" t="n"/>
    </row>
    <row r="420">
      <c r="C420" s="59" t="inlineStr">
        <is>
          <t>Stock proyectado disponible</t>
        </is>
      </c>
      <c r="D420" s="63">
        <f>SUMIF(Inventario!$M$5:$M$87,"#"&amp;$A418,Inventario!$C$5:$C$87)</f>
        <v/>
      </c>
      <c r="E420" s="64">
        <f>D420+E419+E422-E418</f>
        <v/>
      </c>
      <c r="F420" s="64">
        <f>E420+F419+F422-F418</f>
        <v/>
      </c>
      <c r="G420" s="64">
        <f>F420+G419+G422-G418</f>
        <v/>
      </c>
      <c r="H420" s="64">
        <f>G420+H419+H422-H418</f>
        <v/>
      </c>
      <c r="I420" s="64">
        <f>H420+I419+I422-I418</f>
        <v/>
      </c>
      <c r="J420" s="64">
        <f>I420+J419+J422-J418</f>
        <v/>
      </c>
      <c r="K420" s="64">
        <f>J420+K419+K422-K418</f>
        <v/>
      </c>
      <c r="L420" s="64">
        <f>K420+L419+L422-L418</f>
        <v/>
      </c>
      <c r="M420" s="62" t="n"/>
    </row>
    <row r="421">
      <c r="C421" s="59" t="inlineStr">
        <is>
          <t>Necesidad neta</t>
        </is>
      </c>
      <c r="D421" s="60" t="n"/>
      <c r="E421" s="65">
        <f>MAX(0,ROUND(E418+Materiales!$H$63-D420-E419,4))</f>
        <v/>
      </c>
      <c r="F421" s="65">
        <f>MAX(0,ROUND(F418+Materiales!$H$63-E420-F419,4))</f>
        <v/>
      </c>
      <c r="G421" s="65">
        <f>MAX(0,ROUND(G418+Materiales!$H$63-F420-G419,4))</f>
        <v/>
      </c>
      <c r="H421" s="65">
        <f>MAX(0,ROUND(H418+Materiales!$H$63-G420-H419,4))</f>
        <v/>
      </c>
      <c r="I421" s="65">
        <f>MAX(0,ROUND(I418+Materiales!$H$63-H420-I419,4))</f>
        <v/>
      </c>
      <c r="J421" s="65">
        <f>MAX(0,ROUND(J418+Materiales!$H$63-I420-J419,4))</f>
        <v/>
      </c>
      <c r="K421" s="65">
        <f>MAX(0,ROUND(K418+Materiales!$H$63-J420-K419,4))</f>
        <v/>
      </c>
      <c r="L421" s="65">
        <f>MAX(0,ROUND(L418+Materiales!$H$63-K420-L419,4))</f>
        <v/>
      </c>
      <c r="M421" s="62" t="n"/>
    </row>
    <row r="422">
      <c r="C422" s="59" t="inlineStr">
        <is>
          <t>Recepcion de orden planificada</t>
        </is>
      </c>
      <c r="D422" s="60" t="n"/>
      <c r="E422" s="61">
        <f>IF(E421&lt;=0,0,IF(Materiales!$G$63&lt;=0,E421,ROUNDUP(E421/Materiales!$G$63,0)*Materiales!$G$63))</f>
        <v/>
      </c>
      <c r="F422" s="61">
        <f>IF(F421&lt;=0,0,IF(Materiales!$G$63&lt;=0,F421,ROUNDUP(F421/Materiales!$G$63,0)*Materiales!$G$63))</f>
        <v/>
      </c>
      <c r="G422" s="61">
        <f>IF(G421&lt;=0,0,IF(Materiales!$G$63&lt;=0,G421,ROUNDUP(G421/Materiales!$G$63,0)*Materiales!$G$63))</f>
        <v/>
      </c>
      <c r="H422" s="61">
        <f>IF(H421&lt;=0,0,IF(Materiales!$G$63&lt;=0,H421,ROUNDUP(H421/Materiales!$G$63,0)*Materiales!$G$63))</f>
        <v/>
      </c>
      <c r="I422" s="61">
        <f>IF(I421&lt;=0,0,IF(Materiales!$G$63&lt;=0,I421,ROUNDUP(I421/Materiales!$G$63,0)*Materiales!$G$63))</f>
        <v/>
      </c>
      <c r="J422" s="61">
        <f>IF(J421&lt;=0,0,IF(Materiales!$G$63&lt;=0,J421,ROUNDUP(J421/Materiales!$G$63,0)*Materiales!$G$63))</f>
        <v/>
      </c>
      <c r="K422" s="61">
        <f>IF(K421&lt;=0,0,IF(Materiales!$G$63&lt;=0,K421,ROUNDUP(K421/Materiales!$G$63,0)*Materiales!$G$63))</f>
        <v/>
      </c>
      <c r="L422" s="61">
        <f>IF(L421&lt;=0,0,IF(Materiales!$G$63&lt;=0,L421,ROUNDUP(L421/Materiales!$G$63,0)*Materiales!$G$63))</f>
        <v/>
      </c>
      <c r="M422" s="62" t="n"/>
    </row>
    <row r="423">
      <c r="C423" s="66" t="inlineStr">
        <is>
          <t>LANZAMIENTO DE ORDEN — pedir esta semana</t>
        </is>
      </c>
      <c r="D423" s="60" t="n"/>
      <c r="E423" s="70">
        <f>IF(1+Materiales!$F$63&gt;8,0,INDEX($E$422:$L$422,1,1+Materiales!$F$63))</f>
        <v/>
      </c>
      <c r="F423" s="70">
        <f>IF(2+Materiales!$F$63&gt;8,0,INDEX($E$422:$L$422,1,2+Materiales!$F$63))</f>
        <v/>
      </c>
      <c r="G423" s="70">
        <f>IF(3+Materiales!$F$63&gt;8,0,INDEX($E$422:$L$422,1,3+Materiales!$F$63))</f>
        <v/>
      </c>
      <c r="H423" s="70">
        <f>IF(4+Materiales!$F$63&gt;8,0,INDEX($E$422:$L$422,1,4+Materiales!$F$63))</f>
        <v/>
      </c>
      <c r="I423" s="70">
        <f>IF(5+Materiales!$F$63&gt;8,0,INDEX($E$422:$L$422,1,5+Materiales!$F$63))</f>
        <v/>
      </c>
      <c r="J423" s="70">
        <f>IF(6+Materiales!$F$63&gt;8,0,INDEX($E$422:$L$422,1,6+Materiales!$F$63))</f>
        <v/>
      </c>
      <c r="K423" s="70">
        <f>IF(7+Materiales!$F$63&gt;8,0,INDEX($E$422:$L$422,1,7+Materiales!$F$63))</f>
        <v/>
      </c>
      <c r="L423" s="70">
        <f>IF(8+Materiales!$F$63&gt;8,0,INDEX($E$422:$L$422,1,8+Materiales!$F$63))</f>
        <v/>
      </c>
      <c r="M423" s="68">
        <f>IF($A418="","",IF(SUMPRODUCT((COLUMN($E$422:$L$422)-4&lt;=Materiales!$F$63)*$E$422:$L$422)&gt;0,"PEDIR YA (atrasado)","OK"))</f>
        <v/>
      </c>
    </row>
    <row r="424" ht="6" customHeight="1"/>
    <row r="425">
      <c r="A425" s="58">
        <f>IF(Materiales!$A$64="","",Materiales!$A$64)</f>
        <v/>
      </c>
      <c r="B425" s="58">
        <f>IF(Materiales!$B$64="","",Materiales!$B$64)</f>
        <v/>
      </c>
      <c r="C425" s="59" t="inlineStr">
        <is>
          <t>Necesidad bruta</t>
        </is>
      </c>
      <c r="D425" s="60" t="n"/>
      <c r="E425" s="61">
        <f>ROUND(SUMIF(Consumo!$O$4:$O$143,"#"&amp;$A425,Consumo!G$4:G$143),4)</f>
        <v/>
      </c>
      <c r="F425" s="61">
        <f>ROUND(SUMIF(Consumo!$O$4:$O$143,"#"&amp;$A425,Consumo!H$4:H$143),4)</f>
        <v/>
      </c>
      <c r="G425" s="61">
        <f>ROUND(SUMIF(Consumo!$O$4:$O$143,"#"&amp;$A425,Consumo!I$4:I$143),4)</f>
        <v/>
      </c>
      <c r="H425" s="61">
        <f>ROUND(SUMIF(Consumo!$O$4:$O$143,"#"&amp;$A425,Consumo!J$4:J$143),4)</f>
        <v/>
      </c>
      <c r="I425" s="61">
        <f>ROUND(SUMIF(Consumo!$O$4:$O$143,"#"&amp;$A425,Consumo!K$4:K$143),4)</f>
        <v/>
      </c>
      <c r="J425" s="61">
        <f>ROUND(SUMIF(Consumo!$O$4:$O$143,"#"&amp;$A425,Consumo!L$4:L$143),4)</f>
        <v/>
      </c>
      <c r="K425" s="61">
        <f>ROUND(SUMIF(Consumo!$O$4:$O$143,"#"&amp;$A425,Consumo!M$4:M$143),4)</f>
        <v/>
      </c>
      <c r="L425" s="61">
        <f>ROUND(SUMIF(Consumo!$O$4:$O$143,"#"&amp;$A425,Consumo!N$4:N$143),4)</f>
        <v/>
      </c>
      <c r="M425" s="62" t="n"/>
    </row>
    <row r="426">
      <c r="C426" s="59" t="inlineStr">
        <is>
          <t>Recepciones programadas (ya pedido)</t>
        </is>
      </c>
      <c r="D426" s="60" t="n"/>
      <c r="E426" s="61">
        <f>SUMIF(Inventario!$M$5:$M$87,"#"&amp;$A425,Inventario!E$5:E$87)</f>
        <v/>
      </c>
      <c r="F426" s="61">
        <f>SUMIF(Inventario!$M$5:$M$87,"#"&amp;$A425,Inventario!F$5:F$87)</f>
        <v/>
      </c>
      <c r="G426" s="61">
        <f>SUMIF(Inventario!$M$5:$M$87,"#"&amp;$A425,Inventario!G$5:G$87)</f>
        <v/>
      </c>
      <c r="H426" s="61">
        <f>SUMIF(Inventario!$M$5:$M$87,"#"&amp;$A425,Inventario!H$5:H$87)</f>
        <v/>
      </c>
      <c r="I426" s="61">
        <f>SUMIF(Inventario!$M$5:$M$87,"#"&amp;$A425,Inventario!I$5:I$87)</f>
        <v/>
      </c>
      <c r="J426" s="61">
        <f>SUMIF(Inventario!$M$5:$M$87,"#"&amp;$A425,Inventario!J$5:J$87)</f>
        <v/>
      </c>
      <c r="K426" s="61">
        <f>SUMIF(Inventario!$M$5:$M$87,"#"&amp;$A425,Inventario!K$5:K$87)</f>
        <v/>
      </c>
      <c r="L426" s="61">
        <f>SUMIF(Inventario!$M$5:$M$87,"#"&amp;$A425,Inventario!L$5:L$87)</f>
        <v/>
      </c>
      <c r="M426" s="62" t="n"/>
    </row>
    <row r="427">
      <c r="C427" s="59" t="inlineStr">
        <is>
          <t>Stock proyectado disponible</t>
        </is>
      </c>
      <c r="D427" s="63">
        <f>SUMIF(Inventario!$M$5:$M$87,"#"&amp;$A425,Inventario!$C$5:$C$87)</f>
        <v/>
      </c>
      <c r="E427" s="64">
        <f>D427+E426+E429-E425</f>
        <v/>
      </c>
      <c r="F427" s="64">
        <f>E427+F426+F429-F425</f>
        <v/>
      </c>
      <c r="G427" s="64">
        <f>F427+G426+G429-G425</f>
        <v/>
      </c>
      <c r="H427" s="64">
        <f>G427+H426+H429-H425</f>
        <v/>
      </c>
      <c r="I427" s="64">
        <f>H427+I426+I429-I425</f>
        <v/>
      </c>
      <c r="J427" s="64">
        <f>I427+J426+J429-J425</f>
        <v/>
      </c>
      <c r="K427" s="64">
        <f>J427+K426+K429-K425</f>
        <v/>
      </c>
      <c r="L427" s="64">
        <f>K427+L426+L429-L425</f>
        <v/>
      </c>
      <c r="M427" s="62" t="n"/>
    </row>
    <row r="428">
      <c r="C428" s="59" t="inlineStr">
        <is>
          <t>Necesidad neta</t>
        </is>
      </c>
      <c r="D428" s="60" t="n"/>
      <c r="E428" s="65">
        <f>MAX(0,ROUND(E425+Materiales!$H$64-D427-E426,4))</f>
        <v/>
      </c>
      <c r="F428" s="65">
        <f>MAX(0,ROUND(F425+Materiales!$H$64-E427-F426,4))</f>
        <v/>
      </c>
      <c r="G428" s="65">
        <f>MAX(0,ROUND(G425+Materiales!$H$64-F427-G426,4))</f>
        <v/>
      </c>
      <c r="H428" s="65">
        <f>MAX(0,ROUND(H425+Materiales!$H$64-G427-H426,4))</f>
        <v/>
      </c>
      <c r="I428" s="65">
        <f>MAX(0,ROUND(I425+Materiales!$H$64-H427-I426,4))</f>
        <v/>
      </c>
      <c r="J428" s="65">
        <f>MAX(0,ROUND(J425+Materiales!$H$64-I427-J426,4))</f>
        <v/>
      </c>
      <c r="K428" s="65">
        <f>MAX(0,ROUND(K425+Materiales!$H$64-J427-K426,4))</f>
        <v/>
      </c>
      <c r="L428" s="65">
        <f>MAX(0,ROUND(L425+Materiales!$H$64-K427-L426,4))</f>
        <v/>
      </c>
      <c r="M428" s="62" t="n"/>
    </row>
    <row r="429">
      <c r="C429" s="59" t="inlineStr">
        <is>
          <t>Recepcion de orden planificada</t>
        </is>
      </c>
      <c r="D429" s="60" t="n"/>
      <c r="E429" s="61">
        <f>IF(E428&lt;=0,0,IF(Materiales!$G$64&lt;=0,E428,ROUNDUP(E428/Materiales!$G$64,0)*Materiales!$G$64))</f>
        <v/>
      </c>
      <c r="F429" s="61">
        <f>IF(F428&lt;=0,0,IF(Materiales!$G$64&lt;=0,F428,ROUNDUP(F428/Materiales!$G$64,0)*Materiales!$G$64))</f>
        <v/>
      </c>
      <c r="G429" s="61">
        <f>IF(G428&lt;=0,0,IF(Materiales!$G$64&lt;=0,G428,ROUNDUP(G428/Materiales!$G$64,0)*Materiales!$G$64))</f>
        <v/>
      </c>
      <c r="H429" s="61">
        <f>IF(H428&lt;=0,0,IF(Materiales!$G$64&lt;=0,H428,ROUNDUP(H428/Materiales!$G$64,0)*Materiales!$G$64))</f>
        <v/>
      </c>
      <c r="I429" s="61">
        <f>IF(I428&lt;=0,0,IF(Materiales!$G$64&lt;=0,I428,ROUNDUP(I428/Materiales!$G$64,0)*Materiales!$G$64))</f>
        <v/>
      </c>
      <c r="J429" s="61">
        <f>IF(J428&lt;=0,0,IF(Materiales!$G$64&lt;=0,J428,ROUNDUP(J428/Materiales!$G$64,0)*Materiales!$G$64))</f>
        <v/>
      </c>
      <c r="K429" s="61">
        <f>IF(K428&lt;=0,0,IF(Materiales!$G$64&lt;=0,K428,ROUNDUP(K428/Materiales!$G$64,0)*Materiales!$G$64))</f>
        <v/>
      </c>
      <c r="L429" s="61">
        <f>IF(L428&lt;=0,0,IF(Materiales!$G$64&lt;=0,L428,ROUNDUP(L428/Materiales!$G$64,0)*Materiales!$G$64))</f>
        <v/>
      </c>
      <c r="M429" s="62" t="n"/>
    </row>
    <row r="430">
      <c r="C430" s="66" t="inlineStr">
        <is>
          <t>LANZAMIENTO DE ORDEN — pedir esta semana</t>
        </is>
      </c>
      <c r="D430" s="60" t="n"/>
      <c r="E430" s="70">
        <f>IF(1+Materiales!$F$64&gt;8,0,INDEX($E$429:$L$429,1,1+Materiales!$F$64))</f>
        <v/>
      </c>
      <c r="F430" s="70">
        <f>IF(2+Materiales!$F$64&gt;8,0,INDEX($E$429:$L$429,1,2+Materiales!$F$64))</f>
        <v/>
      </c>
      <c r="G430" s="70">
        <f>IF(3+Materiales!$F$64&gt;8,0,INDEX($E$429:$L$429,1,3+Materiales!$F$64))</f>
        <v/>
      </c>
      <c r="H430" s="70">
        <f>IF(4+Materiales!$F$64&gt;8,0,INDEX($E$429:$L$429,1,4+Materiales!$F$64))</f>
        <v/>
      </c>
      <c r="I430" s="70">
        <f>IF(5+Materiales!$F$64&gt;8,0,INDEX($E$429:$L$429,1,5+Materiales!$F$64))</f>
        <v/>
      </c>
      <c r="J430" s="70">
        <f>IF(6+Materiales!$F$64&gt;8,0,INDEX($E$429:$L$429,1,6+Materiales!$F$64))</f>
        <v/>
      </c>
      <c r="K430" s="70">
        <f>IF(7+Materiales!$F$64&gt;8,0,INDEX($E$429:$L$429,1,7+Materiales!$F$64))</f>
        <v/>
      </c>
      <c r="L430" s="70">
        <f>IF(8+Materiales!$F$64&gt;8,0,INDEX($E$429:$L$429,1,8+Materiales!$F$64))</f>
        <v/>
      </c>
      <c r="M430" s="68">
        <f>IF($A425="","",IF(SUMPRODUCT((COLUMN($E$429:$L$429)-4&lt;=Materiales!$F$64)*$E$429:$L$429)&gt;0,"PEDIR YA (atrasado)","OK"))</f>
        <v/>
      </c>
    </row>
    <row r="431" ht="6" customHeight="1"/>
    <row r="432">
      <c r="A432" s="58">
        <f>IF(Materiales!$A$65="","",Materiales!$A$65)</f>
        <v/>
      </c>
      <c r="B432" s="58">
        <f>IF(Materiales!$B$65="","",Materiales!$B$65)</f>
        <v/>
      </c>
      <c r="C432" s="59" t="inlineStr">
        <is>
          <t>Necesidad bruta</t>
        </is>
      </c>
      <c r="D432" s="60" t="n"/>
      <c r="E432" s="61">
        <f>ROUND(SUMIF(Consumo!$O$4:$O$143,"#"&amp;$A432,Consumo!G$4:G$143),4)</f>
        <v/>
      </c>
      <c r="F432" s="61">
        <f>ROUND(SUMIF(Consumo!$O$4:$O$143,"#"&amp;$A432,Consumo!H$4:H$143),4)</f>
        <v/>
      </c>
      <c r="G432" s="61">
        <f>ROUND(SUMIF(Consumo!$O$4:$O$143,"#"&amp;$A432,Consumo!I$4:I$143),4)</f>
        <v/>
      </c>
      <c r="H432" s="61">
        <f>ROUND(SUMIF(Consumo!$O$4:$O$143,"#"&amp;$A432,Consumo!J$4:J$143),4)</f>
        <v/>
      </c>
      <c r="I432" s="61">
        <f>ROUND(SUMIF(Consumo!$O$4:$O$143,"#"&amp;$A432,Consumo!K$4:K$143),4)</f>
        <v/>
      </c>
      <c r="J432" s="61">
        <f>ROUND(SUMIF(Consumo!$O$4:$O$143,"#"&amp;$A432,Consumo!L$4:L$143),4)</f>
        <v/>
      </c>
      <c r="K432" s="61">
        <f>ROUND(SUMIF(Consumo!$O$4:$O$143,"#"&amp;$A432,Consumo!M$4:M$143),4)</f>
        <v/>
      </c>
      <c r="L432" s="61">
        <f>ROUND(SUMIF(Consumo!$O$4:$O$143,"#"&amp;$A432,Consumo!N$4:N$143),4)</f>
        <v/>
      </c>
      <c r="M432" s="62" t="n"/>
    </row>
    <row r="433">
      <c r="C433" s="59" t="inlineStr">
        <is>
          <t>Recepciones programadas (ya pedido)</t>
        </is>
      </c>
      <c r="D433" s="60" t="n"/>
      <c r="E433" s="61">
        <f>SUMIF(Inventario!$M$5:$M$87,"#"&amp;$A432,Inventario!E$5:E$87)</f>
        <v/>
      </c>
      <c r="F433" s="61">
        <f>SUMIF(Inventario!$M$5:$M$87,"#"&amp;$A432,Inventario!F$5:F$87)</f>
        <v/>
      </c>
      <c r="G433" s="61">
        <f>SUMIF(Inventario!$M$5:$M$87,"#"&amp;$A432,Inventario!G$5:G$87)</f>
        <v/>
      </c>
      <c r="H433" s="61">
        <f>SUMIF(Inventario!$M$5:$M$87,"#"&amp;$A432,Inventario!H$5:H$87)</f>
        <v/>
      </c>
      <c r="I433" s="61">
        <f>SUMIF(Inventario!$M$5:$M$87,"#"&amp;$A432,Inventario!I$5:I$87)</f>
        <v/>
      </c>
      <c r="J433" s="61">
        <f>SUMIF(Inventario!$M$5:$M$87,"#"&amp;$A432,Inventario!J$5:J$87)</f>
        <v/>
      </c>
      <c r="K433" s="61">
        <f>SUMIF(Inventario!$M$5:$M$87,"#"&amp;$A432,Inventario!K$5:K$87)</f>
        <v/>
      </c>
      <c r="L433" s="61">
        <f>SUMIF(Inventario!$M$5:$M$87,"#"&amp;$A432,Inventario!L$5:L$87)</f>
        <v/>
      </c>
      <c r="M433" s="62" t="n"/>
    </row>
    <row r="434">
      <c r="C434" s="59" t="inlineStr">
        <is>
          <t>Stock proyectado disponible</t>
        </is>
      </c>
      <c r="D434" s="63">
        <f>SUMIF(Inventario!$M$5:$M$87,"#"&amp;$A432,Inventario!$C$5:$C$87)</f>
        <v/>
      </c>
      <c r="E434" s="64">
        <f>D434+E433+E436-E432</f>
        <v/>
      </c>
      <c r="F434" s="64">
        <f>E434+F433+F436-F432</f>
        <v/>
      </c>
      <c r="G434" s="64">
        <f>F434+G433+G436-G432</f>
        <v/>
      </c>
      <c r="H434" s="64">
        <f>G434+H433+H436-H432</f>
        <v/>
      </c>
      <c r="I434" s="64">
        <f>H434+I433+I436-I432</f>
        <v/>
      </c>
      <c r="J434" s="64">
        <f>I434+J433+J436-J432</f>
        <v/>
      </c>
      <c r="K434" s="64">
        <f>J434+K433+K436-K432</f>
        <v/>
      </c>
      <c r="L434" s="64">
        <f>K434+L433+L436-L432</f>
        <v/>
      </c>
      <c r="M434" s="62" t="n"/>
    </row>
    <row r="435">
      <c r="C435" s="59" t="inlineStr">
        <is>
          <t>Necesidad neta</t>
        </is>
      </c>
      <c r="D435" s="60" t="n"/>
      <c r="E435" s="65">
        <f>MAX(0,ROUND(E432+Materiales!$H$65-D434-E433,4))</f>
        <v/>
      </c>
      <c r="F435" s="65">
        <f>MAX(0,ROUND(F432+Materiales!$H$65-E434-F433,4))</f>
        <v/>
      </c>
      <c r="G435" s="65">
        <f>MAX(0,ROUND(G432+Materiales!$H$65-F434-G433,4))</f>
        <v/>
      </c>
      <c r="H435" s="65">
        <f>MAX(0,ROUND(H432+Materiales!$H$65-G434-H433,4))</f>
        <v/>
      </c>
      <c r="I435" s="65">
        <f>MAX(0,ROUND(I432+Materiales!$H$65-H434-I433,4))</f>
        <v/>
      </c>
      <c r="J435" s="65">
        <f>MAX(0,ROUND(J432+Materiales!$H$65-I434-J433,4))</f>
        <v/>
      </c>
      <c r="K435" s="65">
        <f>MAX(0,ROUND(K432+Materiales!$H$65-J434-K433,4))</f>
        <v/>
      </c>
      <c r="L435" s="65">
        <f>MAX(0,ROUND(L432+Materiales!$H$65-K434-L433,4))</f>
        <v/>
      </c>
      <c r="M435" s="62" t="n"/>
    </row>
    <row r="436">
      <c r="C436" s="59" t="inlineStr">
        <is>
          <t>Recepcion de orden planificada</t>
        </is>
      </c>
      <c r="D436" s="60" t="n"/>
      <c r="E436" s="61">
        <f>IF(E435&lt;=0,0,IF(Materiales!$G$65&lt;=0,E435,ROUNDUP(E435/Materiales!$G$65,0)*Materiales!$G$65))</f>
        <v/>
      </c>
      <c r="F436" s="61">
        <f>IF(F435&lt;=0,0,IF(Materiales!$G$65&lt;=0,F435,ROUNDUP(F435/Materiales!$G$65,0)*Materiales!$G$65))</f>
        <v/>
      </c>
      <c r="G436" s="61">
        <f>IF(G435&lt;=0,0,IF(Materiales!$G$65&lt;=0,G435,ROUNDUP(G435/Materiales!$G$65,0)*Materiales!$G$65))</f>
        <v/>
      </c>
      <c r="H436" s="61">
        <f>IF(H435&lt;=0,0,IF(Materiales!$G$65&lt;=0,H435,ROUNDUP(H435/Materiales!$G$65,0)*Materiales!$G$65))</f>
        <v/>
      </c>
      <c r="I436" s="61">
        <f>IF(I435&lt;=0,0,IF(Materiales!$G$65&lt;=0,I435,ROUNDUP(I435/Materiales!$G$65,0)*Materiales!$G$65))</f>
        <v/>
      </c>
      <c r="J436" s="61">
        <f>IF(J435&lt;=0,0,IF(Materiales!$G$65&lt;=0,J435,ROUNDUP(J435/Materiales!$G$65,0)*Materiales!$G$65))</f>
        <v/>
      </c>
      <c r="K436" s="61">
        <f>IF(K435&lt;=0,0,IF(Materiales!$G$65&lt;=0,K435,ROUNDUP(K435/Materiales!$G$65,0)*Materiales!$G$65))</f>
        <v/>
      </c>
      <c r="L436" s="61">
        <f>IF(L435&lt;=0,0,IF(Materiales!$G$65&lt;=0,L435,ROUNDUP(L435/Materiales!$G$65,0)*Materiales!$G$65))</f>
        <v/>
      </c>
      <c r="M436" s="62" t="n"/>
    </row>
    <row r="437">
      <c r="C437" s="66" t="inlineStr">
        <is>
          <t>LANZAMIENTO DE ORDEN — pedir esta semana</t>
        </is>
      </c>
      <c r="D437" s="60" t="n"/>
      <c r="E437" s="70">
        <f>IF(1+Materiales!$F$65&gt;8,0,INDEX($E$436:$L$436,1,1+Materiales!$F$65))</f>
        <v/>
      </c>
      <c r="F437" s="70">
        <f>IF(2+Materiales!$F$65&gt;8,0,INDEX($E$436:$L$436,1,2+Materiales!$F$65))</f>
        <v/>
      </c>
      <c r="G437" s="70">
        <f>IF(3+Materiales!$F$65&gt;8,0,INDEX($E$436:$L$436,1,3+Materiales!$F$65))</f>
        <v/>
      </c>
      <c r="H437" s="70">
        <f>IF(4+Materiales!$F$65&gt;8,0,INDEX($E$436:$L$436,1,4+Materiales!$F$65))</f>
        <v/>
      </c>
      <c r="I437" s="70">
        <f>IF(5+Materiales!$F$65&gt;8,0,INDEX($E$436:$L$436,1,5+Materiales!$F$65))</f>
        <v/>
      </c>
      <c r="J437" s="70">
        <f>IF(6+Materiales!$F$65&gt;8,0,INDEX($E$436:$L$436,1,6+Materiales!$F$65))</f>
        <v/>
      </c>
      <c r="K437" s="70">
        <f>IF(7+Materiales!$F$65&gt;8,0,INDEX($E$436:$L$436,1,7+Materiales!$F$65))</f>
        <v/>
      </c>
      <c r="L437" s="70">
        <f>IF(8+Materiales!$F$65&gt;8,0,INDEX($E$436:$L$436,1,8+Materiales!$F$65))</f>
        <v/>
      </c>
      <c r="M437" s="68">
        <f>IF($A432="","",IF(SUMPRODUCT((COLUMN($E$436:$L$436)-4&lt;=Materiales!$F$65)*$E$436:$L$436)&gt;0,"PEDIR YA (atrasado)","OK"))</f>
        <v/>
      </c>
    </row>
    <row r="438" ht="6" customHeight="1"/>
    <row r="439">
      <c r="A439" s="58">
        <f>IF(Materiales!$A$66="","",Materiales!$A$66)</f>
        <v/>
      </c>
      <c r="B439" s="58">
        <f>IF(Materiales!$B$66="","",Materiales!$B$66)</f>
        <v/>
      </c>
      <c r="C439" s="59" t="inlineStr">
        <is>
          <t>Necesidad bruta</t>
        </is>
      </c>
      <c r="D439" s="60" t="n"/>
      <c r="E439" s="61">
        <f>ROUND(SUMIF(Consumo!$O$4:$O$143,"#"&amp;$A439,Consumo!G$4:G$143),4)</f>
        <v/>
      </c>
      <c r="F439" s="61">
        <f>ROUND(SUMIF(Consumo!$O$4:$O$143,"#"&amp;$A439,Consumo!H$4:H$143),4)</f>
        <v/>
      </c>
      <c r="G439" s="61">
        <f>ROUND(SUMIF(Consumo!$O$4:$O$143,"#"&amp;$A439,Consumo!I$4:I$143),4)</f>
        <v/>
      </c>
      <c r="H439" s="61">
        <f>ROUND(SUMIF(Consumo!$O$4:$O$143,"#"&amp;$A439,Consumo!J$4:J$143),4)</f>
        <v/>
      </c>
      <c r="I439" s="61">
        <f>ROUND(SUMIF(Consumo!$O$4:$O$143,"#"&amp;$A439,Consumo!K$4:K$143),4)</f>
        <v/>
      </c>
      <c r="J439" s="61">
        <f>ROUND(SUMIF(Consumo!$O$4:$O$143,"#"&amp;$A439,Consumo!L$4:L$143),4)</f>
        <v/>
      </c>
      <c r="K439" s="61">
        <f>ROUND(SUMIF(Consumo!$O$4:$O$143,"#"&amp;$A439,Consumo!M$4:M$143),4)</f>
        <v/>
      </c>
      <c r="L439" s="61">
        <f>ROUND(SUMIF(Consumo!$O$4:$O$143,"#"&amp;$A439,Consumo!N$4:N$143),4)</f>
        <v/>
      </c>
      <c r="M439" s="62" t="n"/>
    </row>
    <row r="440">
      <c r="C440" s="59" t="inlineStr">
        <is>
          <t>Recepciones programadas (ya pedido)</t>
        </is>
      </c>
      <c r="D440" s="60" t="n"/>
      <c r="E440" s="61">
        <f>SUMIF(Inventario!$M$5:$M$87,"#"&amp;$A439,Inventario!E$5:E$87)</f>
        <v/>
      </c>
      <c r="F440" s="61">
        <f>SUMIF(Inventario!$M$5:$M$87,"#"&amp;$A439,Inventario!F$5:F$87)</f>
        <v/>
      </c>
      <c r="G440" s="61">
        <f>SUMIF(Inventario!$M$5:$M$87,"#"&amp;$A439,Inventario!G$5:G$87)</f>
        <v/>
      </c>
      <c r="H440" s="61">
        <f>SUMIF(Inventario!$M$5:$M$87,"#"&amp;$A439,Inventario!H$5:H$87)</f>
        <v/>
      </c>
      <c r="I440" s="61">
        <f>SUMIF(Inventario!$M$5:$M$87,"#"&amp;$A439,Inventario!I$5:I$87)</f>
        <v/>
      </c>
      <c r="J440" s="61">
        <f>SUMIF(Inventario!$M$5:$M$87,"#"&amp;$A439,Inventario!J$5:J$87)</f>
        <v/>
      </c>
      <c r="K440" s="61">
        <f>SUMIF(Inventario!$M$5:$M$87,"#"&amp;$A439,Inventario!K$5:K$87)</f>
        <v/>
      </c>
      <c r="L440" s="61">
        <f>SUMIF(Inventario!$M$5:$M$87,"#"&amp;$A439,Inventario!L$5:L$87)</f>
        <v/>
      </c>
      <c r="M440" s="62" t="n"/>
    </row>
    <row r="441">
      <c r="C441" s="59" t="inlineStr">
        <is>
          <t>Stock proyectado disponible</t>
        </is>
      </c>
      <c r="D441" s="63">
        <f>SUMIF(Inventario!$M$5:$M$87,"#"&amp;$A439,Inventario!$C$5:$C$87)</f>
        <v/>
      </c>
      <c r="E441" s="64">
        <f>D441+E440+E443-E439</f>
        <v/>
      </c>
      <c r="F441" s="64">
        <f>E441+F440+F443-F439</f>
        <v/>
      </c>
      <c r="G441" s="64">
        <f>F441+G440+G443-G439</f>
        <v/>
      </c>
      <c r="H441" s="64">
        <f>G441+H440+H443-H439</f>
        <v/>
      </c>
      <c r="I441" s="64">
        <f>H441+I440+I443-I439</f>
        <v/>
      </c>
      <c r="J441" s="64">
        <f>I441+J440+J443-J439</f>
        <v/>
      </c>
      <c r="K441" s="64">
        <f>J441+K440+K443-K439</f>
        <v/>
      </c>
      <c r="L441" s="64">
        <f>K441+L440+L443-L439</f>
        <v/>
      </c>
      <c r="M441" s="62" t="n"/>
    </row>
    <row r="442">
      <c r="C442" s="59" t="inlineStr">
        <is>
          <t>Necesidad neta</t>
        </is>
      </c>
      <c r="D442" s="60" t="n"/>
      <c r="E442" s="65">
        <f>MAX(0,ROUND(E439+Materiales!$H$66-D441-E440,4))</f>
        <v/>
      </c>
      <c r="F442" s="65">
        <f>MAX(0,ROUND(F439+Materiales!$H$66-E441-F440,4))</f>
        <v/>
      </c>
      <c r="G442" s="65">
        <f>MAX(0,ROUND(G439+Materiales!$H$66-F441-G440,4))</f>
        <v/>
      </c>
      <c r="H442" s="65">
        <f>MAX(0,ROUND(H439+Materiales!$H$66-G441-H440,4))</f>
        <v/>
      </c>
      <c r="I442" s="65">
        <f>MAX(0,ROUND(I439+Materiales!$H$66-H441-I440,4))</f>
        <v/>
      </c>
      <c r="J442" s="65">
        <f>MAX(0,ROUND(J439+Materiales!$H$66-I441-J440,4))</f>
        <v/>
      </c>
      <c r="K442" s="65">
        <f>MAX(0,ROUND(K439+Materiales!$H$66-J441-K440,4))</f>
        <v/>
      </c>
      <c r="L442" s="65">
        <f>MAX(0,ROUND(L439+Materiales!$H$66-K441-L440,4))</f>
        <v/>
      </c>
      <c r="M442" s="62" t="n"/>
    </row>
    <row r="443">
      <c r="C443" s="59" t="inlineStr">
        <is>
          <t>Recepcion de orden planificada</t>
        </is>
      </c>
      <c r="D443" s="60" t="n"/>
      <c r="E443" s="61">
        <f>IF(E442&lt;=0,0,IF(Materiales!$G$66&lt;=0,E442,ROUNDUP(E442/Materiales!$G$66,0)*Materiales!$G$66))</f>
        <v/>
      </c>
      <c r="F443" s="61">
        <f>IF(F442&lt;=0,0,IF(Materiales!$G$66&lt;=0,F442,ROUNDUP(F442/Materiales!$G$66,0)*Materiales!$G$66))</f>
        <v/>
      </c>
      <c r="G443" s="61">
        <f>IF(G442&lt;=0,0,IF(Materiales!$G$66&lt;=0,G442,ROUNDUP(G442/Materiales!$G$66,0)*Materiales!$G$66))</f>
        <v/>
      </c>
      <c r="H443" s="61">
        <f>IF(H442&lt;=0,0,IF(Materiales!$G$66&lt;=0,H442,ROUNDUP(H442/Materiales!$G$66,0)*Materiales!$G$66))</f>
        <v/>
      </c>
      <c r="I443" s="61">
        <f>IF(I442&lt;=0,0,IF(Materiales!$G$66&lt;=0,I442,ROUNDUP(I442/Materiales!$G$66,0)*Materiales!$G$66))</f>
        <v/>
      </c>
      <c r="J443" s="61">
        <f>IF(J442&lt;=0,0,IF(Materiales!$G$66&lt;=0,J442,ROUNDUP(J442/Materiales!$G$66,0)*Materiales!$G$66))</f>
        <v/>
      </c>
      <c r="K443" s="61">
        <f>IF(K442&lt;=0,0,IF(Materiales!$G$66&lt;=0,K442,ROUNDUP(K442/Materiales!$G$66,0)*Materiales!$G$66))</f>
        <v/>
      </c>
      <c r="L443" s="61">
        <f>IF(L442&lt;=0,0,IF(Materiales!$G$66&lt;=0,L442,ROUNDUP(L442/Materiales!$G$66,0)*Materiales!$G$66))</f>
        <v/>
      </c>
      <c r="M443" s="62" t="n"/>
    </row>
    <row r="444">
      <c r="C444" s="66" t="inlineStr">
        <is>
          <t>LANZAMIENTO DE ORDEN — pedir esta semana</t>
        </is>
      </c>
      <c r="D444" s="60" t="n"/>
      <c r="E444" s="70">
        <f>IF(1+Materiales!$F$66&gt;8,0,INDEX($E$443:$L$443,1,1+Materiales!$F$66))</f>
        <v/>
      </c>
      <c r="F444" s="70">
        <f>IF(2+Materiales!$F$66&gt;8,0,INDEX($E$443:$L$443,1,2+Materiales!$F$66))</f>
        <v/>
      </c>
      <c r="G444" s="70">
        <f>IF(3+Materiales!$F$66&gt;8,0,INDEX($E$443:$L$443,1,3+Materiales!$F$66))</f>
        <v/>
      </c>
      <c r="H444" s="70">
        <f>IF(4+Materiales!$F$66&gt;8,0,INDEX($E$443:$L$443,1,4+Materiales!$F$66))</f>
        <v/>
      </c>
      <c r="I444" s="70">
        <f>IF(5+Materiales!$F$66&gt;8,0,INDEX($E$443:$L$443,1,5+Materiales!$F$66))</f>
        <v/>
      </c>
      <c r="J444" s="70">
        <f>IF(6+Materiales!$F$66&gt;8,0,INDEX($E$443:$L$443,1,6+Materiales!$F$66))</f>
        <v/>
      </c>
      <c r="K444" s="70">
        <f>IF(7+Materiales!$F$66&gt;8,0,INDEX($E$443:$L$443,1,7+Materiales!$F$66))</f>
        <v/>
      </c>
      <c r="L444" s="70">
        <f>IF(8+Materiales!$F$66&gt;8,0,INDEX($E$443:$L$443,1,8+Materiales!$F$66))</f>
        <v/>
      </c>
      <c r="M444" s="68">
        <f>IF($A439="","",IF(SUMPRODUCT((COLUMN($E$443:$L$443)-4&lt;=Materiales!$F$66)*$E$443:$L$443)&gt;0,"PEDIR YA (atrasado)","OK"))</f>
        <v/>
      </c>
    </row>
    <row r="445" ht="6" customHeight="1"/>
  </sheetData>
  <mergeCells count="128">
    <mergeCell ref="B194:B199"/>
    <mergeCell ref="A320:A325"/>
    <mergeCell ref="B236:B241"/>
    <mergeCell ref="B327:B332"/>
    <mergeCell ref="B341:B346"/>
    <mergeCell ref="A362:A367"/>
    <mergeCell ref="A61:A66"/>
    <mergeCell ref="B432:B437"/>
    <mergeCell ref="A54:A59"/>
    <mergeCell ref="B117:B122"/>
    <mergeCell ref="A145:A150"/>
    <mergeCell ref="A26:A31"/>
    <mergeCell ref="A341:A346"/>
    <mergeCell ref="A390:A395"/>
    <mergeCell ref="B103:B108"/>
    <mergeCell ref="A313:A318"/>
    <mergeCell ref="A33:A38"/>
    <mergeCell ref="B40:B45"/>
    <mergeCell ref="A131:A136"/>
    <mergeCell ref="B369:B374"/>
    <mergeCell ref="B418:B423"/>
    <mergeCell ref="B257:B262"/>
    <mergeCell ref="A299:A304"/>
    <mergeCell ref="A68:A73"/>
    <mergeCell ref="A19:A24"/>
    <mergeCell ref="A2:M2"/>
    <mergeCell ref="A117:A122"/>
    <mergeCell ref="A173:A178"/>
    <mergeCell ref="B26:B31"/>
    <mergeCell ref="B159:B164"/>
    <mergeCell ref="A166:A171"/>
    <mergeCell ref="B404:B409"/>
    <mergeCell ref="B208:B213"/>
    <mergeCell ref="A229:A234"/>
    <mergeCell ref="B292:B297"/>
    <mergeCell ref="A334:A339"/>
    <mergeCell ref="A103:A108"/>
    <mergeCell ref="B131:B136"/>
    <mergeCell ref="B145:B150"/>
    <mergeCell ref="A271:A276"/>
    <mergeCell ref="B278:B283"/>
    <mergeCell ref="B82:B87"/>
    <mergeCell ref="A264:A269"/>
    <mergeCell ref="A208:A213"/>
    <mergeCell ref="A89:A94"/>
    <mergeCell ref="A12:A17"/>
    <mergeCell ref="B250:B255"/>
    <mergeCell ref="A306:A311"/>
    <mergeCell ref="A376:A381"/>
    <mergeCell ref="B187:B192"/>
    <mergeCell ref="B68:B73"/>
    <mergeCell ref="B397:B402"/>
    <mergeCell ref="A194:A199"/>
    <mergeCell ref="A348:A353"/>
    <mergeCell ref="B334:B339"/>
    <mergeCell ref="B124:B129"/>
    <mergeCell ref="B173:B178"/>
    <mergeCell ref="B75:B80"/>
    <mergeCell ref="B306:B311"/>
    <mergeCell ref="B439:B444"/>
    <mergeCell ref="B320:B325"/>
    <mergeCell ref="A201:A206"/>
    <mergeCell ref="B411:B416"/>
    <mergeCell ref="B215:B220"/>
    <mergeCell ref="A222:A227"/>
    <mergeCell ref="A138:A143"/>
    <mergeCell ref="A110:A115"/>
    <mergeCell ref="B47:B52"/>
    <mergeCell ref="B180:B185"/>
    <mergeCell ref="A383:A388"/>
    <mergeCell ref="B96:B101"/>
    <mergeCell ref="B425:B430"/>
    <mergeCell ref="A187:A192"/>
    <mergeCell ref="A425:A430"/>
    <mergeCell ref="A124:A129"/>
    <mergeCell ref="B362:B367"/>
    <mergeCell ref="B243:B248"/>
    <mergeCell ref="A75:A80"/>
    <mergeCell ref="B348:B353"/>
    <mergeCell ref="A369:A374"/>
    <mergeCell ref="A1:M1"/>
    <mergeCell ref="A418:A423"/>
    <mergeCell ref="A411:A416"/>
    <mergeCell ref="B19:B24"/>
    <mergeCell ref="B33:B38"/>
    <mergeCell ref="A5:A10"/>
    <mergeCell ref="A159:A164"/>
    <mergeCell ref="B201:B206"/>
    <mergeCell ref="A404:A409"/>
    <mergeCell ref="A96:A101"/>
    <mergeCell ref="A152:A157"/>
    <mergeCell ref="B390:B395"/>
    <mergeCell ref="B5:B10"/>
    <mergeCell ref="B138:B143"/>
    <mergeCell ref="B383:B388"/>
    <mergeCell ref="A40:A45"/>
    <mergeCell ref="B271:B276"/>
    <mergeCell ref="A257:A262"/>
    <mergeCell ref="A82:A87"/>
    <mergeCell ref="B110:B115"/>
    <mergeCell ref="B264:B269"/>
    <mergeCell ref="A250:A255"/>
    <mergeCell ref="B12:B17"/>
    <mergeCell ref="B61:B66"/>
    <mergeCell ref="B152:B157"/>
    <mergeCell ref="B166:B171"/>
    <mergeCell ref="A243:A248"/>
    <mergeCell ref="A292:A297"/>
    <mergeCell ref="A397:A402"/>
    <mergeCell ref="B229:B234"/>
    <mergeCell ref="A355:A360"/>
    <mergeCell ref="A236:A241"/>
    <mergeCell ref="B299:B304"/>
    <mergeCell ref="A285:A290"/>
    <mergeCell ref="B376:B381"/>
    <mergeCell ref="A278:A283"/>
    <mergeCell ref="A327:A332"/>
    <mergeCell ref="A47:A52"/>
    <mergeCell ref="B313:B318"/>
    <mergeCell ref="B285:B290"/>
    <mergeCell ref="B89:B94"/>
    <mergeCell ref="A439:A444"/>
    <mergeCell ref="A215:A220"/>
    <mergeCell ref="A432:A437"/>
    <mergeCell ref="B222:B227"/>
    <mergeCell ref="B355:B360"/>
    <mergeCell ref="B54:B59"/>
    <mergeCell ref="A180:A185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conditionalFormatting sqref="D112:L112">
    <cfRule type="cellIs" priority="31" operator="lessThan" dxfId="0">
      <formula>0</formula>
    </cfRule>
  </conditionalFormatting>
  <conditionalFormatting sqref="M115">
    <cfRule type="cellIs" priority="32" operator="equal" dxfId="0">
      <formula>"PEDIR YA (atrasado)"</formula>
    </cfRule>
  </conditionalFormatting>
  <conditionalFormatting sqref="D119:L119">
    <cfRule type="cellIs" priority="33" operator="lessThan" dxfId="0">
      <formula>0</formula>
    </cfRule>
  </conditionalFormatting>
  <conditionalFormatting sqref="M122">
    <cfRule type="cellIs" priority="34" operator="equal" dxfId="0">
      <formula>"PEDIR YA (atrasado)"</formula>
    </cfRule>
  </conditionalFormatting>
  <conditionalFormatting sqref="D126:L126">
    <cfRule type="cellIs" priority="35" operator="lessThan" dxfId="0">
      <formula>0</formula>
    </cfRule>
  </conditionalFormatting>
  <conditionalFormatting sqref="M129">
    <cfRule type="cellIs" priority="36" operator="equal" dxfId="0">
      <formula>"PEDIR YA (atrasado)"</formula>
    </cfRule>
  </conditionalFormatting>
  <conditionalFormatting sqref="D133:L133">
    <cfRule type="cellIs" priority="37" operator="lessThan" dxfId="0">
      <formula>0</formula>
    </cfRule>
  </conditionalFormatting>
  <conditionalFormatting sqref="M136">
    <cfRule type="cellIs" priority="38" operator="equal" dxfId="0">
      <formula>"PEDIR YA (atrasado)"</formula>
    </cfRule>
  </conditionalFormatting>
  <conditionalFormatting sqref="D140:L140">
    <cfRule type="cellIs" priority="39" operator="lessThan" dxfId="0">
      <formula>0</formula>
    </cfRule>
  </conditionalFormatting>
  <conditionalFormatting sqref="M143">
    <cfRule type="cellIs" priority="40" operator="equal" dxfId="0">
      <formula>"PEDIR YA (atrasado)"</formula>
    </cfRule>
  </conditionalFormatting>
  <conditionalFormatting sqref="D147:L147">
    <cfRule type="cellIs" priority="41" operator="lessThan" dxfId="0">
      <formula>0</formula>
    </cfRule>
  </conditionalFormatting>
  <conditionalFormatting sqref="M150">
    <cfRule type="cellIs" priority="42" operator="equal" dxfId="0">
      <formula>"PEDIR YA (atrasado)"</formula>
    </cfRule>
  </conditionalFormatting>
  <conditionalFormatting sqref="D154:L154">
    <cfRule type="cellIs" priority="43" operator="lessThan" dxfId="0">
      <formula>0</formula>
    </cfRule>
  </conditionalFormatting>
  <conditionalFormatting sqref="M157">
    <cfRule type="cellIs" priority="44" operator="equal" dxfId="0">
      <formula>"PEDIR YA (atrasado)"</formula>
    </cfRule>
  </conditionalFormatting>
  <conditionalFormatting sqref="D161:L161">
    <cfRule type="cellIs" priority="45" operator="lessThan" dxfId="0">
      <formula>0</formula>
    </cfRule>
  </conditionalFormatting>
  <conditionalFormatting sqref="M164">
    <cfRule type="cellIs" priority="46" operator="equal" dxfId="0">
      <formula>"PEDIR YA (atrasado)"</formula>
    </cfRule>
  </conditionalFormatting>
  <conditionalFormatting sqref="D168:L168">
    <cfRule type="cellIs" priority="47" operator="lessThan" dxfId="0">
      <formula>0</formula>
    </cfRule>
  </conditionalFormatting>
  <conditionalFormatting sqref="M171">
    <cfRule type="cellIs" priority="48" operator="equal" dxfId="0">
      <formula>"PEDIR YA (atrasado)"</formula>
    </cfRule>
  </conditionalFormatting>
  <conditionalFormatting sqref="D175:L175">
    <cfRule type="cellIs" priority="49" operator="lessThan" dxfId="0">
      <formula>0</formula>
    </cfRule>
  </conditionalFormatting>
  <conditionalFormatting sqref="M178">
    <cfRule type="cellIs" priority="50" operator="equal" dxfId="0">
      <formula>"PEDIR YA (atrasado)"</formula>
    </cfRule>
  </conditionalFormatting>
  <conditionalFormatting sqref="D182:L182">
    <cfRule type="cellIs" priority="51" operator="lessThan" dxfId="0">
      <formula>0</formula>
    </cfRule>
  </conditionalFormatting>
  <conditionalFormatting sqref="M185">
    <cfRule type="cellIs" priority="52" operator="equal" dxfId="0">
      <formula>"PEDIR YA (atrasado)"</formula>
    </cfRule>
  </conditionalFormatting>
  <conditionalFormatting sqref="D189:L189">
    <cfRule type="cellIs" priority="53" operator="lessThan" dxfId="0">
      <formula>0</formula>
    </cfRule>
  </conditionalFormatting>
  <conditionalFormatting sqref="M192">
    <cfRule type="cellIs" priority="54" operator="equal" dxfId="0">
      <formula>"PEDIR YA (atrasado)"</formula>
    </cfRule>
  </conditionalFormatting>
  <conditionalFormatting sqref="D196:L196">
    <cfRule type="cellIs" priority="55" operator="lessThan" dxfId="0">
      <formula>0</formula>
    </cfRule>
  </conditionalFormatting>
  <conditionalFormatting sqref="M199">
    <cfRule type="cellIs" priority="56" operator="equal" dxfId="0">
      <formula>"PEDIR YA (atrasado)"</formula>
    </cfRule>
  </conditionalFormatting>
  <conditionalFormatting sqref="D203:L203">
    <cfRule type="cellIs" priority="57" operator="lessThan" dxfId="0">
      <formula>0</formula>
    </cfRule>
  </conditionalFormatting>
  <conditionalFormatting sqref="M206">
    <cfRule type="cellIs" priority="58" operator="equal" dxfId="0">
      <formula>"PEDIR YA (atrasado)"</formula>
    </cfRule>
  </conditionalFormatting>
  <conditionalFormatting sqref="D210:L210">
    <cfRule type="cellIs" priority="59" operator="lessThan" dxfId="0">
      <formula>0</formula>
    </cfRule>
  </conditionalFormatting>
  <conditionalFormatting sqref="M213">
    <cfRule type="cellIs" priority="60" operator="equal" dxfId="0">
      <formula>"PEDIR YA (atrasado)"</formula>
    </cfRule>
  </conditionalFormatting>
  <conditionalFormatting sqref="D217:L217">
    <cfRule type="cellIs" priority="61" operator="lessThan" dxfId="0">
      <formula>0</formula>
    </cfRule>
  </conditionalFormatting>
  <conditionalFormatting sqref="M220">
    <cfRule type="cellIs" priority="62" operator="equal" dxfId="0">
      <formula>"PEDIR YA (atrasado)"</formula>
    </cfRule>
  </conditionalFormatting>
  <conditionalFormatting sqref="D224:L224">
    <cfRule type="cellIs" priority="63" operator="lessThan" dxfId="0">
      <formula>0</formula>
    </cfRule>
  </conditionalFormatting>
  <conditionalFormatting sqref="M227">
    <cfRule type="cellIs" priority="64" operator="equal" dxfId="0">
      <formula>"PEDIR YA (atrasado)"</formula>
    </cfRule>
  </conditionalFormatting>
  <conditionalFormatting sqref="D231:L231">
    <cfRule type="cellIs" priority="65" operator="lessThan" dxfId="0">
      <formula>0</formula>
    </cfRule>
  </conditionalFormatting>
  <conditionalFormatting sqref="M234">
    <cfRule type="cellIs" priority="66" operator="equal" dxfId="0">
      <formula>"PEDIR YA (atrasado)"</formula>
    </cfRule>
  </conditionalFormatting>
  <conditionalFormatting sqref="D238:L238">
    <cfRule type="cellIs" priority="67" operator="lessThan" dxfId="0">
      <formula>0</formula>
    </cfRule>
  </conditionalFormatting>
  <conditionalFormatting sqref="M241">
    <cfRule type="cellIs" priority="68" operator="equal" dxfId="0">
      <formula>"PEDIR YA (atrasado)"</formula>
    </cfRule>
  </conditionalFormatting>
  <conditionalFormatting sqref="D245:L245">
    <cfRule type="cellIs" priority="69" operator="lessThan" dxfId="0">
      <formula>0</formula>
    </cfRule>
  </conditionalFormatting>
  <conditionalFormatting sqref="M248">
    <cfRule type="cellIs" priority="70" operator="equal" dxfId="0">
      <formula>"PEDIR YA (atrasado)"</formula>
    </cfRule>
  </conditionalFormatting>
  <conditionalFormatting sqref="D252:L252">
    <cfRule type="cellIs" priority="71" operator="lessThan" dxfId="0">
      <formula>0</formula>
    </cfRule>
  </conditionalFormatting>
  <conditionalFormatting sqref="M255">
    <cfRule type="cellIs" priority="72" operator="equal" dxfId="0">
      <formula>"PEDIR YA (atrasado)"</formula>
    </cfRule>
  </conditionalFormatting>
  <conditionalFormatting sqref="D259:L259">
    <cfRule type="cellIs" priority="73" operator="lessThan" dxfId="0">
      <formula>0</formula>
    </cfRule>
  </conditionalFormatting>
  <conditionalFormatting sqref="M262">
    <cfRule type="cellIs" priority="74" operator="equal" dxfId="0">
      <formula>"PEDIR YA (atrasado)"</formula>
    </cfRule>
  </conditionalFormatting>
  <conditionalFormatting sqref="D266:L266">
    <cfRule type="cellIs" priority="75" operator="lessThan" dxfId="0">
      <formula>0</formula>
    </cfRule>
  </conditionalFormatting>
  <conditionalFormatting sqref="M269">
    <cfRule type="cellIs" priority="76" operator="equal" dxfId="0">
      <formula>"PEDIR YA (atrasado)"</formula>
    </cfRule>
  </conditionalFormatting>
  <conditionalFormatting sqref="D273:L273">
    <cfRule type="cellIs" priority="77" operator="lessThan" dxfId="0">
      <formula>0</formula>
    </cfRule>
  </conditionalFormatting>
  <conditionalFormatting sqref="M276">
    <cfRule type="cellIs" priority="78" operator="equal" dxfId="0">
      <formula>"PEDIR YA (atrasado)"</formula>
    </cfRule>
  </conditionalFormatting>
  <conditionalFormatting sqref="D280:L280">
    <cfRule type="cellIs" priority="79" operator="lessThan" dxfId="0">
      <formula>0</formula>
    </cfRule>
  </conditionalFormatting>
  <conditionalFormatting sqref="M283">
    <cfRule type="cellIs" priority="80" operator="equal" dxfId="0">
      <formula>"PEDIR YA (atrasado)"</formula>
    </cfRule>
  </conditionalFormatting>
  <conditionalFormatting sqref="D287:L287">
    <cfRule type="cellIs" priority="81" operator="lessThan" dxfId="0">
      <formula>0</formula>
    </cfRule>
  </conditionalFormatting>
  <conditionalFormatting sqref="M290">
    <cfRule type="cellIs" priority="82" operator="equal" dxfId="0">
      <formula>"PEDIR YA (atrasado)"</formula>
    </cfRule>
  </conditionalFormatting>
  <conditionalFormatting sqref="D294:L294">
    <cfRule type="cellIs" priority="83" operator="lessThan" dxfId="0">
      <formula>0</formula>
    </cfRule>
  </conditionalFormatting>
  <conditionalFormatting sqref="M297">
    <cfRule type="cellIs" priority="84" operator="equal" dxfId="0">
      <formula>"PEDIR YA (atrasado)"</formula>
    </cfRule>
  </conditionalFormatting>
  <conditionalFormatting sqref="D301:L301">
    <cfRule type="cellIs" priority="85" operator="lessThan" dxfId="0">
      <formula>0</formula>
    </cfRule>
  </conditionalFormatting>
  <conditionalFormatting sqref="M304">
    <cfRule type="cellIs" priority="86" operator="equal" dxfId="0">
      <formula>"PEDIR YA (atrasado)"</formula>
    </cfRule>
  </conditionalFormatting>
  <conditionalFormatting sqref="D308:L308">
    <cfRule type="cellIs" priority="87" operator="lessThan" dxfId="0">
      <formula>0</formula>
    </cfRule>
  </conditionalFormatting>
  <conditionalFormatting sqref="M311">
    <cfRule type="cellIs" priority="88" operator="equal" dxfId="0">
      <formula>"PEDIR YA (atrasado)"</formula>
    </cfRule>
  </conditionalFormatting>
  <conditionalFormatting sqref="D315:L315">
    <cfRule type="cellIs" priority="89" operator="lessThan" dxfId="0">
      <formula>0</formula>
    </cfRule>
  </conditionalFormatting>
  <conditionalFormatting sqref="M318">
    <cfRule type="cellIs" priority="90" operator="equal" dxfId="0">
      <formula>"PEDIR YA (atrasado)"</formula>
    </cfRule>
  </conditionalFormatting>
  <conditionalFormatting sqref="D322:L322">
    <cfRule type="cellIs" priority="91" operator="lessThan" dxfId="0">
      <formula>0</formula>
    </cfRule>
  </conditionalFormatting>
  <conditionalFormatting sqref="M325">
    <cfRule type="cellIs" priority="92" operator="equal" dxfId="0">
      <formula>"PEDIR YA (atrasado)"</formula>
    </cfRule>
  </conditionalFormatting>
  <conditionalFormatting sqref="D329:L329">
    <cfRule type="cellIs" priority="93" operator="lessThan" dxfId="0">
      <formula>0</formula>
    </cfRule>
  </conditionalFormatting>
  <conditionalFormatting sqref="M332">
    <cfRule type="cellIs" priority="94" operator="equal" dxfId="0">
      <formula>"PEDIR YA (atrasado)"</formula>
    </cfRule>
  </conditionalFormatting>
  <conditionalFormatting sqref="D336:L336">
    <cfRule type="cellIs" priority="95" operator="lessThan" dxfId="0">
      <formula>0</formula>
    </cfRule>
  </conditionalFormatting>
  <conditionalFormatting sqref="M339">
    <cfRule type="cellIs" priority="96" operator="equal" dxfId="0">
      <formula>"PEDIR YA (atrasado)"</formula>
    </cfRule>
  </conditionalFormatting>
  <conditionalFormatting sqref="D343:L343">
    <cfRule type="cellIs" priority="97" operator="lessThan" dxfId="0">
      <formula>0</formula>
    </cfRule>
  </conditionalFormatting>
  <conditionalFormatting sqref="M346">
    <cfRule type="cellIs" priority="98" operator="equal" dxfId="0">
      <formula>"PEDIR YA (atrasado)"</formula>
    </cfRule>
  </conditionalFormatting>
  <conditionalFormatting sqref="D350:L350">
    <cfRule type="cellIs" priority="99" operator="lessThan" dxfId="0">
      <formula>0</formula>
    </cfRule>
  </conditionalFormatting>
  <conditionalFormatting sqref="M353">
    <cfRule type="cellIs" priority="100" operator="equal" dxfId="0">
      <formula>"PEDIR YA (atrasado)"</formula>
    </cfRule>
  </conditionalFormatting>
  <conditionalFormatting sqref="D357:L357">
    <cfRule type="cellIs" priority="101" operator="lessThan" dxfId="0">
      <formula>0</formula>
    </cfRule>
  </conditionalFormatting>
  <conditionalFormatting sqref="M360">
    <cfRule type="cellIs" priority="102" operator="equal" dxfId="0">
      <formula>"PEDIR YA (atrasado)"</formula>
    </cfRule>
  </conditionalFormatting>
  <conditionalFormatting sqref="D364:L364">
    <cfRule type="cellIs" priority="103" operator="lessThan" dxfId="0">
      <formula>0</formula>
    </cfRule>
  </conditionalFormatting>
  <conditionalFormatting sqref="M367">
    <cfRule type="cellIs" priority="104" operator="equal" dxfId="0">
      <formula>"PEDIR YA (atrasado)"</formula>
    </cfRule>
  </conditionalFormatting>
  <conditionalFormatting sqref="D371:L371">
    <cfRule type="cellIs" priority="105" operator="lessThan" dxfId="0">
      <formula>0</formula>
    </cfRule>
  </conditionalFormatting>
  <conditionalFormatting sqref="M374">
    <cfRule type="cellIs" priority="106" operator="equal" dxfId="0">
      <formula>"PEDIR YA (atrasado)"</formula>
    </cfRule>
  </conditionalFormatting>
  <conditionalFormatting sqref="D378:L378">
    <cfRule type="cellIs" priority="107" operator="lessThan" dxfId="0">
      <formula>0</formula>
    </cfRule>
  </conditionalFormatting>
  <conditionalFormatting sqref="M381">
    <cfRule type="cellIs" priority="108" operator="equal" dxfId="0">
      <formula>"PEDIR YA (atrasado)"</formula>
    </cfRule>
  </conditionalFormatting>
  <conditionalFormatting sqref="D385:L385">
    <cfRule type="cellIs" priority="109" operator="lessThan" dxfId="0">
      <formula>0</formula>
    </cfRule>
  </conditionalFormatting>
  <conditionalFormatting sqref="M388">
    <cfRule type="cellIs" priority="110" operator="equal" dxfId="0">
      <formula>"PEDIR YA (atrasado)"</formula>
    </cfRule>
  </conditionalFormatting>
  <conditionalFormatting sqref="D392:L392">
    <cfRule type="cellIs" priority="111" operator="lessThan" dxfId="0">
      <formula>0</formula>
    </cfRule>
  </conditionalFormatting>
  <conditionalFormatting sqref="M395">
    <cfRule type="cellIs" priority="112" operator="equal" dxfId="0">
      <formula>"PEDIR YA (atrasado)"</formula>
    </cfRule>
  </conditionalFormatting>
  <conditionalFormatting sqref="D399:L399">
    <cfRule type="cellIs" priority="113" operator="lessThan" dxfId="0">
      <formula>0</formula>
    </cfRule>
  </conditionalFormatting>
  <conditionalFormatting sqref="M402">
    <cfRule type="cellIs" priority="114" operator="equal" dxfId="0">
      <formula>"PEDIR YA (atrasado)"</formula>
    </cfRule>
  </conditionalFormatting>
  <conditionalFormatting sqref="D406:L406">
    <cfRule type="cellIs" priority="115" operator="lessThan" dxfId="0">
      <formula>0</formula>
    </cfRule>
  </conditionalFormatting>
  <conditionalFormatting sqref="M409">
    <cfRule type="cellIs" priority="116" operator="equal" dxfId="0">
      <formula>"PEDIR YA (atrasado)"</formula>
    </cfRule>
  </conditionalFormatting>
  <conditionalFormatting sqref="D413:L413">
    <cfRule type="cellIs" priority="117" operator="lessThan" dxfId="0">
      <formula>0</formula>
    </cfRule>
  </conditionalFormatting>
  <conditionalFormatting sqref="M416">
    <cfRule type="cellIs" priority="118" operator="equal" dxfId="0">
      <formula>"PEDIR YA (atrasado)"</formula>
    </cfRule>
  </conditionalFormatting>
  <conditionalFormatting sqref="D420:L420">
    <cfRule type="cellIs" priority="119" operator="lessThan" dxfId="0">
      <formula>0</formula>
    </cfRule>
  </conditionalFormatting>
  <conditionalFormatting sqref="M423">
    <cfRule type="cellIs" priority="120" operator="equal" dxfId="0">
      <formula>"PEDIR YA (atrasado)"</formula>
    </cfRule>
  </conditionalFormatting>
  <conditionalFormatting sqref="D427:L427">
    <cfRule type="cellIs" priority="121" operator="lessThan" dxfId="0">
      <formula>0</formula>
    </cfRule>
  </conditionalFormatting>
  <conditionalFormatting sqref="M430">
    <cfRule type="cellIs" priority="122" operator="equal" dxfId="0">
      <formula>"PEDIR YA (atrasado)"</formula>
    </cfRule>
  </conditionalFormatting>
  <conditionalFormatting sqref="D434:L434">
    <cfRule type="cellIs" priority="123" operator="lessThan" dxfId="0">
      <formula>0</formula>
    </cfRule>
  </conditionalFormatting>
  <conditionalFormatting sqref="M437">
    <cfRule type="cellIs" priority="124" operator="equal" dxfId="0">
      <formula>"PEDIR YA (atrasado)"</formula>
    </cfRule>
  </conditionalFormatting>
  <conditionalFormatting sqref="D441:L441">
    <cfRule type="cellIs" priority="125" operator="lessThan" dxfId="0">
      <formula>0</formula>
    </cfRule>
  </conditionalFormatting>
  <conditionalFormatting sqref="M444">
    <cfRule type="cellIs" priority="126" operator="equal" dxfId="0">
      <formula>"PEDIR YA (atrasado)"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2EFDA"/>
    <outlinePr summaryBelow="1" summaryRight="1"/>
    <pageSetUpPr/>
  </sheetPr>
  <dimension ref="A1:O68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0" customWidth="1" min="2" max="2"/>
    <col width="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20" customWidth="1" min="15" max="15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7" t="inlineStr">
        <is>
          <t>Resumen del renglon LANZAMIENTO DE ORDEN. Filtra la columna Total a pedir para ver solo lo que hay que comprar.</t>
        </is>
      </c>
    </row>
    <row r="3">
      <c r="E3" s="108">
        <f>Plan!E$3</f>
        <v/>
      </c>
      <c r="F3" s="108">
        <f>Plan!F$3</f>
        <v/>
      </c>
      <c r="G3" s="108">
        <f>Plan!G$3</f>
        <v/>
      </c>
      <c r="H3" s="108">
        <f>Plan!H$3</f>
        <v/>
      </c>
      <c r="I3" s="108">
        <f>Plan!I$3</f>
        <v/>
      </c>
      <c r="J3" s="108">
        <f>Plan!J$3</f>
        <v/>
      </c>
      <c r="K3" s="108">
        <f>Plan!K$3</f>
        <v/>
      </c>
      <c r="L3" s="108">
        <f>Plan!L$3</f>
        <v/>
      </c>
    </row>
    <row r="4" ht="32" customHeight="1">
      <c r="A4" s="6" t="inlineStr">
        <is>
          <t>Codigo</t>
        </is>
      </c>
      <c r="B4" s="6" t="inlineStr">
        <is>
          <t>Material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a pedir</t>
        </is>
      </c>
      <c r="N4" s="6" t="inlineStr">
        <is>
          <t>Total S/</t>
        </is>
      </c>
      <c r="O4" s="6" t="inlineStr">
        <is>
          <t>Alerta</t>
        </is>
      </c>
    </row>
    <row r="5">
      <c r="A5" s="49">
        <f>IF(Materiales!$A$4="","",Materiales!$A$4)</f>
        <v/>
      </c>
      <c r="B5" s="48">
        <f>IF(Materiales!$B$4="","",Materiales!$B$4)</f>
        <v/>
      </c>
      <c r="C5" s="49">
        <f>IF(Materiales!$C$4="","",Materiales!$C$4)</f>
        <v/>
      </c>
      <c r="D5" s="69">
        <f>IF(Materiales!$D$4="","",Materiales!$D$4)</f>
        <v/>
      </c>
      <c r="E5" s="70">
        <f>IF($A5="","",MRP!E10)</f>
        <v/>
      </c>
      <c r="F5" s="70">
        <f>IF($A5="","",MRP!F10)</f>
        <v/>
      </c>
      <c r="G5" s="70">
        <f>IF($A5="","",MRP!G10)</f>
        <v/>
      </c>
      <c r="H5" s="70">
        <f>IF($A5="","",MRP!H10)</f>
        <v/>
      </c>
      <c r="I5" s="70">
        <f>IF($A5="","",MRP!I10)</f>
        <v/>
      </c>
      <c r="J5" s="70">
        <f>IF($A5="","",MRP!J10)</f>
        <v/>
      </c>
      <c r="K5" s="70">
        <f>IF($A5="","",MRP!K10)</f>
        <v/>
      </c>
      <c r="L5" s="70">
        <f>IF($A5="","",MRP!L10)</f>
        <v/>
      </c>
      <c r="M5" s="71">
        <f>IF($A5="","",SUM(E5:L5))</f>
        <v/>
      </c>
      <c r="N5" s="72">
        <f>IF(ISNUMBER(D5),M5*D5,"")</f>
        <v/>
      </c>
      <c r="O5" s="73">
        <f>MRP!M10</f>
        <v/>
      </c>
    </row>
    <row r="6">
      <c r="A6" s="49">
        <f>IF(Materiales!$A$5="","",Materiales!$A$5)</f>
        <v/>
      </c>
      <c r="B6" s="48">
        <f>IF(Materiales!$B$5="","",Materiales!$B$5)</f>
        <v/>
      </c>
      <c r="C6" s="49">
        <f>IF(Materiales!$C$5="","",Materiales!$C$5)</f>
        <v/>
      </c>
      <c r="D6" s="69">
        <f>IF(Materiales!$D$5="","",Materiales!$D$5)</f>
        <v/>
      </c>
      <c r="E6" s="70">
        <f>IF($A6="","",MRP!E17)</f>
        <v/>
      </c>
      <c r="F6" s="70">
        <f>IF($A6="","",MRP!F17)</f>
        <v/>
      </c>
      <c r="G6" s="70">
        <f>IF($A6="","",MRP!G17)</f>
        <v/>
      </c>
      <c r="H6" s="70">
        <f>IF($A6="","",MRP!H17)</f>
        <v/>
      </c>
      <c r="I6" s="70">
        <f>IF($A6="","",MRP!I17)</f>
        <v/>
      </c>
      <c r="J6" s="70">
        <f>IF($A6="","",MRP!J17)</f>
        <v/>
      </c>
      <c r="K6" s="70">
        <f>IF($A6="","",MRP!K17)</f>
        <v/>
      </c>
      <c r="L6" s="70">
        <f>IF($A6="","",MRP!L17)</f>
        <v/>
      </c>
      <c r="M6" s="71">
        <f>IF($A6="","",SUM(E6:L6))</f>
        <v/>
      </c>
      <c r="N6" s="72">
        <f>IF(ISNUMBER(D6),M6*D6,"")</f>
        <v/>
      </c>
      <c r="O6" s="73">
        <f>MRP!M17</f>
        <v/>
      </c>
    </row>
    <row r="7">
      <c r="A7" s="49">
        <f>IF(Materiales!$A$6="","",Materiales!$A$6)</f>
        <v/>
      </c>
      <c r="B7" s="48">
        <f>IF(Materiales!$B$6="","",Materiales!$B$6)</f>
        <v/>
      </c>
      <c r="C7" s="49">
        <f>IF(Materiales!$C$6="","",Materiales!$C$6)</f>
        <v/>
      </c>
      <c r="D7" s="69">
        <f>IF(Materiales!$D$6="","",Materiales!$D$6)</f>
        <v/>
      </c>
      <c r="E7" s="70">
        <f>IF($A7="","",MRP!E24)</f>
        <v/>
      </c>
      <c r="F7" s="70">
        <f>IF($A7="","",MRP!F24)</f>
        <v/>
      </c>
      <c r="G7" s="70">
        <f>IF($A7="","",MRP!G24)</f>
        <v/>
      </c>
      <c r="H7" s="70">
        <f>IF($A7="","",MRP!H24)</f>
        <v/>
      </c>
      <c r="I7" s="70">
        <f>IF($A7="","",MRP!I24)</f>
        <v/>
      </c>
      <c r="J7" s="70">
        <f>IF($A7="","",MRP!J24)</f>
        <v/>
      </c>
      <c r="K7" s="70">
        <f>IF($A7="","",MRP!K24)</f>
        <v/>
      </c>
      <c r="L7" s="70">
        <f>IF($A7="","",MRP!L24)</f>
        <v/>
      </c>
      <c r="M7" s="71">
        <f>IF($A7="","",SUM(E7:L7))</f>
        <v/>
      </c>
      <c r="N7" s="72">
        <f>IF(ISNUMBER(D7),M7*D7,"")</f>
        <v/>
      </c>
      <c r="O7" s="73">
        <f>MRP!M24</f>
        <v/>
      </c>
    </row>
    <row r="8">
      <c r="A8" s="49">
        <f>IF(Materiales!$A$7="","",Materiales!$A$7)</f>
        <v/>
      </c>
      <c r="B8" s="48">
        <f>IF(Materiales!$B$7="","",Materiales!$B$7)</f>
        <v/>
      </c>
      <c r="C8" s="49">
        <f>IF(Materiales!$C$7="","",Materiales!$C$7)</f>
        <v/>
      </c>
      <c r="D8" s="69">
        <f>IF(Materiales!$D$7="","",Materiales!$D$7)</f>
        <v/>
      </c>
      <c r="E8" s="70">
        <f>IF($A8="","",MRP!E31)</f>
        <v/>
      </c>
      <c r="F8" s="70">
        <f>IF($A8="","",MRP!F31)</f>
        <v/>
      </c>
      <c r="G8" s="70">
        <f>IF($A8="","",MRP!G31)</f>
        <v/>
      </c>
      <c r="H8" s="70">
        <f>IF($A8="","",MRP!H31)</f>
        <v/>
      </c>
      <c r="I8" s="70">
        <f>IF($A8="","",MRP!I31)</f>
        <v/>
      </c>
      <c r="J8" s="70">
        <f>IF($A8="","",MRP!J31)</f>
        <v/>
      </c>
      <c r="K8" s="70">
        <f>IF($A8="","",MRP!K31)</f>
        <v/>
      </c>
      <c r="L8" s="70">
        <f>IF($A8="","",MRP!L31)</f>
        <v/>
      </c>
      <c r="M8" s="71">
        <f>IF($A8="","",SUM(E8:L8))</f>
        <v/>
      </c>
      <c r="N8" s="72">
        <f>IF(ISNUMBER(D8),M8*D8,"")</f>
        <v/>
      </c>
      <c r="O8" s="73">
        <f>MRP!M31</f>
        <v/>
      </c>
    </row>
    <row r="9">
      <c r="A9" s="49">
        <f>IF(Materiales!$A$8="","",Materiales!$A$8)</f>
        <v/>
      </c>
      <c r="B9" s="48">
        <f>IF(Materiales!$B$8="","",Materiales!$B$8)</f>
        <v/>
      </c>
      <c r="C9" s="49">
        <f>IF(Materiales!$C$8="","",Materiales!$C$8)</f>
        <v/>
      </c>
      <c r="D9" s="69">
        <f>IF(Materiales!$D$8="","",Materiales!$D$8)</f>
        <v/>
      </c>
      <c r="E9" s="70">
        <f>IF($A9="","",MRP!E38)</f>
        <v/>
      </c>
      <c r="F9" s="70">
        <f>IF($A9="","",MRP!F38)</f>
        <v/>
      </c>
      <c r="G9" s="70">
        <f>IF($A9="","",MRP!G38)</f>
        <v/>
      </c>
      <c r="H9" s="70">
        <f>IF($A9="","",MRP!H38)</f>
        <v/>
      </c>
      <c r="I9" s="70">
        <f>IF($A9="","",MRP!I38)</f>
        <v/>
      </c>
      <c r="J9" s="70">
        <f>IF($A9="","",MRP!J38)</f>
        <v/>
      </c>
      <c r="K9" s="70">
        <f>IF($A9="","",MRP!K38)</f>
        <v/>
      </c>
      <c r="L9" s="70">
        <f>IF($A9="","",MRP!L38)</f>
        <v/>
      </c>
      <c r="M9" s="71">
        <f>IF($A9="","",SUM(E9:L9))</f>
        <v/>
      </c>
      <c r="N9" s="72">
        <f>IF(ISNUMBER(D9),M9*D9,"")</f>
        <v/>
      </c>
      <c r="O9" s="73">
        <f>MRP!M38</f>
        <v/>
      </c>
    </row>
    <row r="10">
      <c r="A10" s="49">
        <f>IF(Materiales!$A$9="","",Materiales!$A$9)</f>
        <v/>
      </c>
      <c r="B10" s="48">
        <f>IF(Materiales!$B$9="","",Materiales!$B$9)</f>
        <v/>
      </c>
      <c r="C10" s="49">
        <f>IF(Materiales!$C$9="","",Materiales!$C$9)</f>
        <v/>
      </c>
      <c r="D10" s="69">
        <f>IF(Materiales!$D$9="","",Materiales!$D$9)</f>
        <v/>
      </c>
      <c r="E10" s="70">
        <f>IF($A10="","",MRP!E45)</f>
        <v/>
      </c>
      <c r="F10" s="70">
        <f>IF($A10="","",MRP!F45)</f>
        <v/>
      </c>
      <c r="G10" s="70">
        <f>IF($A10="","",MRP!G45)</f>
        <v/>
      </c>
      <c r="H10" s="70">
        <f>IF($A10="","",MRP!H45)</f>
        <v/>
      </c>
      <c r="I10" s="70">
        <f>IF($A10="","",MRP!I45)</f>
        <v/>
      </c>
      <c r="J10" s="70">
        <f>IF($A10="","",MRP!J45)</f>
        <v/>
      </c>
      <c r="K10" s="70">
        <f>IF($A10="","",MRP!K45)</f>
        <v/>
      </c>
      <c r="L10" s="70">
        <f>IF($A10="","",MRP!L45)</f>
        <v/>
      </c>
      <c r="M10" s="71">
        <f>IF($A10="","",SUM(E10:L10))</f>
        <v/>
      </c>
      <c r="N10" s="72">
        <f>IF(ISNUMBER(D10),M10*D10,"")</f>
        <v/>
      </c>
      <c r="O10" s="73">
        <f>MRP!M45</f>
        <v/>
      </c>
    </row>
    <row r="11">
      <c r="A11" s="49">
        <f>IF(Materiales!$A$10="","",Materiales!$A$10)</f>
        <v/>
      </c>
      <c r="B11" s="48">
        <f>IF(Materiales!$B$10="","",Materiales!$B$10)</f>
        <v/>
      </c>
      <c r="C11" s="49">
        <f>IF(Materiales!$C$10="","",Materiales!$C$10)</f>
        <v/>
      </c>
      <c r="D11" s="69">
        <f>IF(Materiales!$D$10="","",Materiales!$D$10)</f>
        <v/>
      </c>
      <c r="E11" s="70">
        <f>IF($A11="","",MRP!E52)</f>
        <v/>
      </c>
      <c r="F11" s="70">
        <f>IF($A11="","",MRP!F52)</f>
        <v/>
      </c>
      <c r="G11" s="70">
        <f>IF($A11="","",MRP!G52)</f>
        <v/>
      </c>
      <c r="H11" s="70">
        <f>IF($A11="","",MRP!H52)</f>
        <v/>
      </c>
      <c r="I11" s="70">
        <f>IF($A11="","",MRP!I52)</f>
        <v/>
      </c>
      <c r="J11" s="70">
        <f>IF($A11="","",MRP!J52)</f>
        <v/>
      </c>
      <c r="K11" s="70">
        <f>IF($A11="","",MRP!K52)</f>
        <v/>
      </c>
      <c r="L11" s="70">
        <f>IF($A11="","",MRP!L52)</f>
        <v/>
      </c>
      <c r="M11" s="71">
        <f>IF($A11="","",SUM(E11:L11))</f>
        <v/>
      </c>
      <c r="N11" s="72">
        <f>IF(ISNUMBER(D11),M11*D11,"")</f>
        <v/>
      </c>
      <c r="O11" s="73">
        <f>MRP!M52</f>
        <v/>
      </c>
    </row>
    <row r="12">
      <c r="A12" s="49">
        <f>IF(Materiales!$A$11="","",Materiales!$A$11)</f>
        <v/>
      </c>
      <c r="B12" s="48">
        <f>IF(Materiales!$B$11="","",Materiales!$B$11)</f>
        <v/>
      </c>
      <c r="C12" s="49">
        <f>IF(Materiales!$C$11="","",Materiales!$C$11)</f>
        <v/>
      </c>
      <c r="D12" s="69">
        <f>IF(Materiales!$D$11="","",Materiales!$D$11)</f>
        <v/>
      </c>
      <c r="E12" s="70">
        <f>IF($A12="","",MRP!E59)</f>
        <v/>
      </c>
      <c r="F12" s="70">
        <f>IF($A12="","",MRP!F59)</f>
        <v/>
      </c>
      <c r="G12" s="70">
        <f>IF($A12="","",MRP!G59)</f>
        <v/>
      </c>
      <c r="H12" s="70">
        <f>IF($A12="","",MRP!H59)</f>
        <v/>
      </c>
      <c r="I12" s="70">
        <f>IF($A12="","",MRP!I59)</f>
        <v/>
      </c>
      <c r="J12" s="70">
        <f>IF($A12="","",MRP!J59)</f>
        <v/>
      </c>
      <c r="K12" s="70">
        <f>IF($A12="","",MRP!K59)</f>
        <v/>
      </c>
      <c r="L12" s="70">
        <f>IF($A12="","",MRP!L59)</f>
        <v/>
      </c>
      <c r="M12" s="71">
        <f>IF($A12="","",SUM(E12:L12))</f>
        <v/>
      </c>
      <c r="N12" s="72">
        <f>IF(ISNUMBER(D12),M12*D12,"")</f>
        <v/>
      </c>
      <c r="O12" s="73">
        <f>MRP!M59</f>
        <v/>
      </c>
    </row>
    <row r="13">
      <c r="A13" s="49">
        <f>IF(Materiales!$A$12="","",Materiales!$A$12)</f>
        <v/>
      </c>
      <c r="B13" s="48">
        <f>IF(Materiales!$B$12="","",Materiales!$B$12)</f>
        <v/>
      </c>
      <c r="C13" s="49">
        <f>IF(Materiales!$C$12="","",Materiales!$C$12)</f>
        <v/>
      </c>
      <c r="D13" s="69">
        <f>IF(Materiales!$D$12="","",Materiales!$D$12)</f>
        <v/>
      </c>
      <c r="E13" s="70">
        <f>IF($A13="","",MRP!E66)</f>
        <v/>
      </c>
      <c r="F13" s="70">
        <f>IF($A13="","",MRP!F66)</f>
        <v/>
      </c>
      <c r="G13" s="70">
        <f>IF($A13="","",MRP!G66)</f>
        <v/>
      </c>
      <c r="H13" s="70">
        <f>IF($A13="","",MRP!H66)</f>
        <v/>
      </c>
      <c r="I13" s="70">
        <f>IF($A13="","",MRP!I66)</f>
        <v/>
      </c>
      <c r="J13" s="70">
        <f>IF($A13="","",MRP!J66)</f>
        <v/>
      </c>
      <c r="K13" s="70">
        <f>IF($A13="","",MRP!K66)</f>
        <v/>
      </c>
      <c r="L13" s="70">
        <f>IF($A13="","",MRP!L66)</f>
        <v/>
      </c>
      <c r="M13" s="71">
        <f>IF($A13="","",SUM(E13:L13))</f>
        <v/>
      </c>
      <c r="N13" s="72">
        <f>IF(ISNUMBER(D13),M13*D13,"")</f>
        <v/>
      </c>
      <c r="O13" s="73">
        <f>MRP!M66</f>
        <v/>
      </c>
    </row>
    <row r="14">
      <c r="A14" s="49">
        <f>IF(Materiales!$A$13="","",Materiales!$A$13)</f>
        <v/>
      </c>
      <c r="B14" s="48">
        <f>IF(Materiales!$B$13="","",Materiales!$B$13)</f>
        <v/>
      </c>
      <c r="C14" s="49">
        <f>IF(Materiales!$C$13="","",Materiales!$C$13)</f>
        <v/>
      </c>
      <c r="D14" s="69">
        <f>IF(Materiales!$D$13="","",Materiales!$D$13)</f>
        <v/>
      </c>
      <c r="E14" s="70">
        <f>IF($A14="","",MRP!E73)</f>
        <v/>
      </c>
      <c r="F14" s="70">
        <f>IF($A14="","",MRP!F73)</f>
        <v/>
      </c>
      <c r="G14" s="70">
        <f>IF($A14="","",MRP!G73)</f>
        <v/>
      </c>
      <c r="H14" s="70">
        <f>IF($A14="","",MRP!H73)</f>
        <v/>
      </c>
      <c r="I14" s="70">
        <f>IF($A14="","",MRP!I73)</f>
        <v/>
      </c>
      <c r="J14" s="70">
        <f>IF($A14="","",MRP!J73)</f>
        <v/>
      </c>
      <c r="K14" s="70">
        <f>IF($A14="","",MRP!K73)</f>
        <v/>
      </c>
      <c r="L14" s="70">
        <f>IF($A14="","",MRP!L73)</f>
        <v/>
      </c>
      <c r="M14" s="71">
        <f>IF($A14="","",SUM(E14:L14))</f>
        <v/>
      </c>
      <c r="N14" s="72">
        <f>IF(ISNUMBER(D14),M14*D14,"")</f>
        <v/>
      </c>
      <c r="O14" s="73">
        <f>MRP!M73</f>
        <v/>
      </c>
    </row>
    <row r="15">
      <c r="A15" s="49">
        <f>IF(Materiales!$A$14="","",Materiales!$A$14)</f>
        <v/>
      </c>
      <c r="B15" s="48">
        <f>IF(Materiales!$B$14="","",Materiales!$B$14)</f>
        <v/>
      </c>
      <c r="C15" s="49">
        <f>IF(Materiales!$C$14="","",Materiales!$C$14)</f>
        <v/>
      </c>
      <c r="D15" s="69">
        <f>IF(Materiales!$D$14="","",Materiales!$D$14)</f>
        <v/>
      </c>
      <c r="E15" s="70">
        <f>IF($A15="","",MRP!E80)</f>
        <v/>
      </c>
      <c r="F15" s="70">
        <f>IF($A15="","",MRP!F80)</f>
        <v/>
      </c>
      <c r="G15" s="70">
        <f>IF($A15="","",MRP!G80)</f>
        <v/>
      </c>
      <c r="H15" s="70">
        <f>IF($A15="","",MRP!H80)</f>
        <v/>
      </c>
      <c r="I15" s="70">
        <f>IF($A15="","",MRP!I80)</f>
        <v/>
      </c>
      <c r="J15" s="70">
        <f>IF($A15="","",MRP!J80)</f>
        <v/>
      </c>
      <c r="K15" s="70">
        <f>IF($A15="","",MRP!K80)</f>
        <v/>
      </c>
      <c r="L15" s="70">
        <f>IF($A15="","",MRP!L80)</f>
        <v/>
      </c>
      <c r="M15" s="71">
        <f>IF($A15="","",SUM(E15:L15))</f>
        <v/>
      </c>
      <c r="N15" s="72">
        <f>IF(ISNUMBER(D15),M15*D15,"")</f>
        <v/>
      </c>
      <c r="O15" s="73">
        <f>MRP!M80</f>
        <v/>
      </c>
    </row>
    <row r="16">
      <c r="A16" s="49">
        <f>IF(Materiales!$A$15="","",Materiales!$A$15)</f>
        <v/>
      </c>
      <c r="B16" s="48">
        <f>IF(Materiales!$B$15="","",Materiales!$B$15)</f>
        <v/>
      </c>
      <c r="C16" s="49">
        <f>IF(Materiales!$C$15="","",Materiales!$C$15)</f>
        <v/>
      </c>
      <c r="D16" s="69">
        <f>IF(Materiales!$D$15="","",Materiales!$D$15)</f>
        <v/>
      </c>
      <c r="E16" s="70">
        <f>IF($A16="","",MRP!E87)</f>
        <v/>
      </c>
      <c r="F16" s="70">
        <f>IF($A16="","",MRP!F87)</f>
        <v/>
      </c>
      <c r="G16" s="70">
        <f>IF($A16="","",MRP!G87)</f>
        <v/>
      </c>
      <c r="H16" s="70">
        <f>IF($A16="","",MRP!H87)</f>
        <v/>
      </c>
      <c r="I16" s="70">
        <f>IF($A16="","",MRP!I87)</f>
        <v/>
      </c>
      <c r="J16" s="70">
        <f>IF($A16="","",MRP!J87)</f>
        <v/>
      </c>
      <c r="K16" s="70">
        <f>IF($A16="","",MRP!K87)</f>
        <v/>
      </c>
      <c r="L16" s="70">
        <f>IF($A16="","",MRP!L87)</f>
        <v/>
      </c>
      <c r="M16" s="71">
        <f>IF($A16="","",SUM(E16:L16))</f>
        <v/>
      </c>
      <c r="N16" s="72">
        <f>IF(ISNUMBER(D16),M16*D16,"")</f>
        <v/>
      </c>
      <c r="O16" s="73">
        <f>MRP!M87</f>
        <v/>
      </c>
    </row>
    <row r="17">
      <c r="A17" s="49">
        <f>IF(Materiales!$A$16="","",Materiales!$A$16)</f>
        <v/>
      </c>
      <c r="B17" s="48">
        <f>IF(Materiales!$B$16="","",Materiales!$B$16)</f>
        <v/>
      </c>
      <c r="C17" s="49">
        <f>IF(Materiales!$C$16="","",Materiales!$C$16)</f>
        <v/>
      </c>
      <c r="D17" s="69">
        <f>IF(Materiales!$D$16="","",Materiales!$D$16)</f>
        <v/>
      </c>
      <c r="E17" s="70">
        <f>IF($A17="","",MRP!E94)</f>
        <v/>
      </c>
      <c r="F17" s="70">
        <f>IF($A17="","",MRP!F94)</f>
        <v/>
      </c>
      <c r="G17" s="70">
        <f>IF($A17="","",MRP!G94)</f>
        <v/>
      </c>
      <c r="H17" s="70">
        <f>IF($A17="","",MRP!H94)</f>
        <v/>
      </c>
      <c r="I17" s="70">
        <f>IF($A17="","",MRP!I94)</f>
        <v/>
      </c>
      <c r="J17" s="70">
        <f>IF($A17="","",MRP!J94)</f>
        <v/>
      </c>
      <c r="K17" s="70">
        <f>IF($A17="","",MRP!K94)</f>
        <v/>
      </c>
      <c r="L17" s="70">
        <f>IF($A17="","",MRP!L94)</f>
        <v/>
      </c>
      <c r="M17" s="71">
        <f>IF($A17="","",SUM(E17:L17))</f>
        <v/>
      </c>
      <c r="N17" s="72">
        <f>IF(ISNUMBER(D17),M17*D17,"")</f>
        <v/>
      </c>
      <c r="O17" s="73">
        <f>MRP!M94</f>
        <v/>
      </c>
    </row>
    <row r="18">
      <c r="A18" s="49">
        <f>IF(Materiales!$A$17="","",Materiales!$A$17)</f>
        <v/>
      </c>
      <c r="B18" s="48">
        <f>IF(Materiales!$B$17="","",Materiales!$B$17)</f>
        <v/>
      </c>
      <c r="C18" s="49">
        <f>IF(Materiales!$C$17="","",Materiales!$C$17)</f>
        <v/>
      </c>
      <c r="D18" s="69">
        <f>IF(Materiales!$D$17="","",Materiales!$D$17)</f>
        <v/>
      </c>
      <c r="E18" s="70">
        <f>IF($A18="","",MRP!E101)</f>
        <v/>
      </c>
      <c r="F18" s="70">
        <f>IF($A18="","",MRP!F101)</f>
        <v/>
      </c>
      <c r="G18" s="70">
        <f>IF($A18="","",MRP!G101)</f>
        <v/>
      </c>
      <c r="H18" s="70">
        <f>IF($A18="","",MRP!H101)</f>
        <v/>
      </c>
      <c r="I18" s="70">
        <f>IF($A18="","",MRP!I101)</f>
        <v/>
      </c>
      <c r="J18" s="70">
        <f>IF($A18="","",MRP!J101)</f>
        <v/>
      </c>
      <c r="K18" s="70">
        <f>IF($A18="","",MRP!K101)</f>
        <v/>
      </c>
      <c r="L18" s="70">
        <f>IF($A18="","",MRP!L101)</f>
        <v/>
      </c>
      <c r="M18" s="71">
        <f>IF($A18="","",SUM(E18:L18))</f>
        <v/>
      </c>
      <c r="N18" s="72">
        <f>IF(ISNUMBER(D18),M18*D18,"")</f>
        <v/>
      </c>
      <c r="O18" s="73">
        <f>MRP!M101</f>
        <v/>
      </c>
    </row>
    <row r="19">
      <c r="A19" s="49">
        <f>IF(Materiales!$A$18="","",Materiales!$A$18)</f>
        <v/>
      </c>
      <c r="B19" s="48">
        <f>IF(Materiales!$B$18="","",Materiales!$B$18)</f>
        <v/>
      </c>
      <c r="C19" s="49">
        <f>IF(Materiales!$C$18="","",Materiales!$C$18)</f>
        <v/>
      </c>
      <c r="D19" s="69">
        <f>IF(Materiales!$D$18="","",Materiales!$D$18)</f>
        <v/>
      </c>
      <c r="E19" s="70">
        <f>IF($A19="","",MRP!E108)</f>
        <v/>
      </c>
      <c r="F19" s="70">
        <f>IF($A19="","",MRP!F108)</f>
        <v/>
      </c>
      <c r="G19" s="70">
        <f>IF($A19="","",MRP!G108)</f>
        <v/>
      </c>
      <c r="H19" s="70">
        <f>IF($A19="","",MRP!H108)</f>
        <v/>
      </c>
      <c r="I19" s="70">
        <f>IF($A19="","",MRP!I108)</f>
        <v/>
      </c>
      <c r="J19" s="70">
        <f>IF($A19="","",MRP!J108)</f>
        <v/>
      </c>
      <c r="K19" s="70">
        <f>IF($A19="","",MRP!K108)</f>
        <v/>
      </c>
      <c r="L19" s="70">
        <f>IF($A19="","",MRP!L108)</f>
        <v/>
      </c>
      <c r="M19" s="71">
        <f>IF($A19="","",SUM(E19:L19))</f>
        <v/>
      </c>
      <c r="N19" s="72">
        <f>IF(ISNUMBER(D19),M19*D19,"")</f>
        <v/>
      </c>
      <c r="O19" s="73">
        <f>MRP!M108</f>
        <v/>
      </c>
    </row>
    <row r="20">
      <c r="A20" s="49">
        <f>IF(Materiales!$A$19="","",Materiales!$A$19)</f>
        <v/>
      </c>
      <c r="B20" s="48">
        <f>IF(Materiales!$B$19="","",Materiales!$B$19)</f>
        <v/>
      </c>
      <c r="C20" s="49">
        <f>IF(Materiales!$C$19="","",Materiales!$C$19)</f>
        <v/>
      </c>
      <c r="D20" s="69">
        <f>IF(Materiales!$D$19="","",Materiales!$D$19)</f>
        <v/>
      </c>
      <c r="E20" s="70">
        <f>IF($A20="","",MRP!E115)</f>
        <v/>
      </c>
      <c r="F20" s="70">
        <f>IF($A20="","",MRP!F115)</f>
        <v/>
      </c>
      <c r="G20" s="70">
        <f>IF($A20="","",MRP!G115)</f>
        <v/>
      </c>
      <c r="H20" s="70">
        <f>IF($A20="","",MRP!H115)</f>
        <v/>
      </c>
      <c r="I20" s="70">
        <f>IF($A20="","",MRP!I115)</f>
        <v/>
      </c>
      <c r="J20" s="70">
        <f>IF($A20="","",MRP!J115)</f>
        <v/>
      </c>
      <c r="K20" s="70">
        <f>IF($A20="","",MRP!K115)</f>
        <v/>
      </c>
      <c r="L20" s="70">
        <f>IF($A20="","",MRP!L115)</f>
        <v/>
      </c>
      <c r="M20" s="71">
        <f>IF($A20="","",SUM(E20:L20))</f>
        <v/>
      </c>
      <c r="N20" s="72">
        <f>IF(ISNUMBER(D20),M20*D20,"")</f>
        <v/>
      </c>
      <c r="O20" s="73">
        <f>MRP!M115</f>
        <v/>
      </c>
    </row>
    <row r="21">
      <c r="A21" s="49">
        <f>IF(Materiales!$A$20="","",Materiales!$A$20)</f>
        <v/>
      </c>
      <c r="B21" s="48">
        <f>IF(Materiales!$B$20="","",Materiales!$B$20)</f>
        <v/>
      </c>
      <c r="C21" s="49">
        <f>IF(Materiales!$C$20="","",Materiales!$C$20)</f>
        <v/>
      </c>
      <c r="D21" s="69">
        <f>IF(Materiales!$D$20="","",Materiales!$D$20)</f>
        <v/>
      </c>
      <c r="E21" s="70">
        <f>IF($A21="","",MRP!E122)</f>
        <v/>
      </c>
      <c r="F21" s="70">
        <f>IF($A21="","",MRP!F122)</f>
        <v/>
      </c>
      <c r="G21" s="70">
        <f>IF($A21="","",MRP!G122)</f>
        <v/>
      </c>
      <c r="H21" s="70">
        <f>IF($A21="","",MRP!H122)</f>
        <v/>
      </c>
      <c r="I21" s="70">
        <f>IF($A21="","",MRP!I122)</f>
        <v/>
      </c>
      <c r="J21" s="70">
        <f>IF($A21="","",MRP!J122)</f>
        <v/>
      </c>
      <c r="K21" s="70">
        <f>IF($A21="","",MRP!K122)</f>
        <v/>
      </c>
      <c r="L21" s="70">
        <f>IF($A21="","",MRP!L122)</f>
        <v/>
      </c>
      <c r="M21" s="71">
        <f>IF($A21="","",SUM(E21:L21))</f>
        <v/>
      </c>
      <c r="N21" s="72">
        <f>IF(ISNUMBER(D21),M21*D21,"")</f>
        <v/>
      </c>
      <c r="O21" s="73">
        <f>MRP!M122</f>
        <v/>
      </c>
    </row>
    <row r="22">
      <c r="A22" s="49">
        <f>IF(Materiales!$A$21="","",Materiales!$A$21)</f>
        <v/>
      </c>
      <c r="B22" s="48">
        <f>IF(Materiales!$B$21="","",Materiales!$B$21)</f>
        <v/>
      </c>
      <c r="C22" s="49">
        <f>IF(Materiales!$C$21="","",Materiales!$C$21)</f>
        <v/>
      </c>
      <c r="D22" s="69">
        <f>IF(Materiales!$D$21="","",Materiales!$D$21)</f>
        <v/>
      </c>
      <c r="E22" s="70">
        <f>IF($A22="","",MRP!E129)</f>
        <v/>
      </c>
      <c r="F22" s="70">
        <f>IF($A22="","",MRP!F129)</f>
        <v/>
      </c>
      <c r="G22" s="70">
        <f>IF($A22="","",MRP!G129)</f>
        <v/>
      </c>
      <c r="H22" s="70">
        <f>IF($A22="","",MRP!H129)</f>
        <v/>
      </c>
      <c r="I22" s="70">
        <f>IF($A22="","",MRP!I129)</f>
        <v/>
      </c>
      <c r="J22" s="70">
        <f>IF($A22="","",MRP!J129)</f>
        <v/>
      </c>
      <c r="K22" s="70">
        <f>IF($A22="","",MRP!K129)</f>
        <v/>
      </c>
      <c r="L22" s="70">
        <f>IF($A22="","",MRP!L129)</f>
        <v/>
      </c>
      <c r="M22" s="71">
        <f>IF($A22="","",SUM(E22:L22))</f>
        <v/>
      </c>
      <c r="N22" s="72">
        <f>IF(ISNUMBER(D22),M22*D22,"")</f>
        <v/>
      </c>
      <c r="O22" s="73">
        <f>MRP!M129</f>
        <v/>
      </c>
    </row>
    <row r="23">
      <c r="A23" s="49">
        <f>IF(Materiales!$A$22="","",Materiales!$A$22)</f>
        <v/>
      </c>
      <c r="B23" s="48">
        <f>IF(Materiales!$B$22="","",Materiales!$B$22)</f>
        <v/>
      </c>
      <c r="C23" s="49">
        <f>IF(Materiales!$C$22="","",Materiales!$C$22)</f>
        <v/>
      </c>
      <c r="D23" s="69">
        <f>IF(Materiales!$D$22="","",Materiales!$D$22)</f>
        <v/>
      </c>
      <c r="E23" s="70">
        <f>IF($A23="","",MRP!E136)</f>
        <v/>
      </c>
      <c r="F23" s="70">
        <f>IF($A23="","",MRP!F136)</f>
        <v/>
      </c>
      <c r="G23" s="70">
        <f>IF($A23="","",MRP!G136)</f>
        <v/>
      </c>
      <c r="H23" s="70">
        <f>IF($A23="","",MRP!H136)</f>
        <v/>
      </c>
      <c r="I23" s="70">
        <f>IF($A23="","",MRP!I136)</f>
        <v/>
      </c>
      <c r="J23" s="70">
        <f>IF($A23="","",MRP!J136)</f>
        <v/>
      </c>
      <c r="K23" s="70">
        <f>IF($A23="","",MRP!K136)</f>
        <v/>
      </c>
      <c r="L23" s="70">
        <f>IF($A23="","",MRP!L136)</f>
        <v/>
      </c>
      <c r="M23" s="71">
        <f>IF($A23="","",SUM(E23:L23))</f>
        <v/>
      </c>
      <c r="N23" s="72">
        <f>IF(ISNUMBER(D23),M23*D23,"")</f>
        <v/>
      </c>
      <c r="O23" s="73">
        <f>MRP!M136</f>
        <v/>
      </c>
    </row>
    <row r="24">
      <c r="A24" s="49">
        <f>IF(Materiales!$A$23="","",Materiales!$A$23)</f>
        <v/>
      </c>
      <c r="B24" s="48">
        <f>IF(Materiales!$B$23="","",Materiales!$B$23)</f>
        <v/>
      </c>
      <c r="C24" s="49">
        <f>IF(Materiales!$C$23="","",Materiales!$C$23)</f>
        <v/>
      </c>
      <c r="D24" s="69">
        <f>IF(Materiales!$D$23="","",Materiales!$D$23)</f>
        <v/>
      </c>
      <c r="E24" s="70">
        <f>IF($A24="","",MRP!E143)</f>
        <v/>
      </c>
      <c r="F24" s="70">
        <f>IF($A24="","",MRP!F143)</f>
        <v/>
      </c>
      <c r="G24" s="70">
        <f>IF($A24="","",MRP!G143)</f>
        <v/>
      </c>
      <c r="H24" s="70">
        <f>IF($A24="","",MRP!H143)</f>
        <v/>
      </c>
      <c r="I24" s="70">
        <f>IF($A24="","",MRP!I143)</f>
        <v/>
      </c>
      <c r="J24" s="70">
        <f>IF($A24="","",MRP!J143)</f>
        <v/>
      </c>
      <c r="K24" s="70">
        <f>IF($A24="","",MRP!K143)</f>
        <v/>
      </c>
      <c r="L24" s="70">
        <f>IF($A24="","",MRP!L143)</f>
        <v/>
      </c>
      <c r="M24" s="71">
        <f>IF($A24="","",SUM(E24:L24))</f>
        <v/>
      </c>
      <c r="N24" s="72">
        <f>IF(ISNUMBER(D24),M24*D24,"")</f>
        <v/>
      </c>
      <c r="O24" s="73">
        <f>MRP!M143</f>
        <v/>
      </c>
    </row>
    <row r="25">
      <c r="A25" s="49">
        <f>IF(Materiales!$A$24="","",Materiales!$A$24)</f>
        <v/>
      </c>
      <c r="B25" s="48">
        <f>IF(Materiales!$B$24="","",Materiales!$B$24)</f>
        <v/>
      </c>
      <c r="C25" s="49">
        <f>IF(Materiales!$C$24="","",Materiales!$C$24)</f>
        <v/>
      </c>
      <c r="D25" s="69">
        <f>IF(Materiales!$D$24="","",Materiales!$D$24)</f>
        <v/>
      </c>
      <c r="E25" s="70">
        <f>IF($A25="","",MRP!E150)</f>
        <v/>
      </c>
      <c r="F25" s="70">
        <f>IF($A25="","",MRP!F150)</f>
        <v/>
      </c>
      <c r="G25" s="70">
        <f>IF($A25="","",MRP!G150)</f>
        <v/>
      </c>
      <c r="H25" s="70">
        <f>IF($A25="","",MRP!H150)</f>
        <v/>
      </c>
      <c r="I25" s="70">
        <f>IF($A25="","",MRP!I150)</f>
        <v/>
      </c>
      <c r="J25" s="70">
        <f>IF($A25="","",MRP!J150)</f>
        <v/>
      </c>
      <c r="K25" s="70">
        <f>IF($A25="","",MRP!K150)</f>
        <v/>
      </c>
      <c r="L25" s="70">
        <f>IF($A25="","",MRP!L150)</f>
        <v/>
      </c>
      <c r="M25" s="71">
        <f>IF($A25="","",SUM(E25:L25))</f>
        <v/>
      </c>
      <c r="N25" s="72">
        <f>IF(ISNUMBER(D25),M25*D25,"")</f>
        <v/>
      </c>
      <c r="O25" s="73">
        <f>MRP!M150</f>
        <v/>
      </c>
    </row>
    <row r="26">
      <c r="A26" s="49">
        <f>IF(Materiales!$A$25="","",Materiales!$A$25)</f>
        <v/>
      </c>
      <c r="B26" s="48">
        <f>IF(Materiales!$B$25="","",Materiales!$B$25)</f>
        <v/>
      </c>
      <c r="C26" s="49">
        <f>IF(Materiales!$C$25="","",Materiales!$C$25)</f>
        <v/>
      </c>
      <c r="D26" s="69">
        <f>IF(Materiales!$D$25="","",Materiales!$D$25)</f>
        <v/>
      </c>
      <c r="E26" s="70">
        <f>IF($A26="","",MRP!E157)</f>
        <v/>
      </c>
      <c r="F26" s="70">
        <f>IF($A26="","",MRP!F157)</f>
        <v/>
      </c>
      <c r="G26" s="70">
        <f>IF($A26="","",MRP!G157)</f>
        <v/>
      </c>
      <c r="H26" s="70">
        <f>IF($A26="","",MRP!H157)</f>
        <v/>
      </c>
      <c r="I26" s="70">
        <f>IF($A26="","",MRP!I157)</f>
        <v/>
      </c>
      <c r="J26" s="70">
        <f>IF($A26="","",MRP!J157)</f>
        <v/>
      </c>
      <c r="K26" s="70">
        <f>IF($A26="","",MRP!K157)</f>
        <v/>
      </c>
      <c r="L26" s="70">
        <f>IF($A26="","",MRP!L157)</f>
        <v/>
      </c>
      <c r="M26" s="71">
        <f>IF($A26="","",SUM(E26:L26))</f>
        <v/>
      </c>
      <c r="N26" s="72">
        <f>IF(ISNUMBER(D26),M26*D26,"")</f>
        <v/>
      </c>
      <c r="O26" s="73">
        <f>MRP!M157</f>
        <v/>
      </c>
    </row>
    <row r="27">
      <c r="A27" s="49">
        <f>IF(Materiales!$A$26="","",Materiales!$A$26)</f>
        <v/>
      </c>
      <c r="B27" s="48">
        <f>IF(Materiales!$B$26="","",Materiales!$B$26)</f>
        <v/>
      </c>
      <c r="C27" s="49">
        <f>IF(Materiales!$C$26="","",Materiales!$C$26)</f>
        <v/>
      </c>
      <c r="D27" s="69">
        <f>IF(Materiales!$D$26="","",Materiales!$D$26)</f>
        <v/>
      </c>
      <c r="E27" s="70">
        <f>IF($A27="","",MRP!E164)</f>
        <v/>
      </c>
      <c r="F27" s="70">
        <f>IF($A27="","",MRP!F164)</f>
        <v/>
      </c>
      <c r="G27" s="70">
        <f>IF($A27="","",MRP!G164)</f>
        <v/>
      </c>
      <c r="H27" s="70">
        <f>IF($A27="","",MRP!H164)</f>
        <v/>
      </c>
      <c r="I27" s="70">
        <f>IF($A27="","",MRP!I164)</f>
        <v/>
      </c>
      <c r="J27" s="70">
        <f>IF($A27="","",MRP!J164)</f>
        <v/>
      </c>
      <c r="K27" s="70">
        <f>IF($A27="","",MRP!K164)</f>
        <v/>
      </c>
      <c r="L27" s="70">
        <f>IF($A27="","",MRP!L164)</f>
        <v/>
      </c>
      <c r="M27" s="71">
        <f>IF($A27="","",SUM(E27:L27))</f>
        <v/>
      </c>
      <c r="N27" s="72">
        <f>IF(ISNUMBER(D27),M27*D27,"")</f>
        <v/>
      </c>
      <c r="O27" s="73">
        <f>MRP!M164</f>
        <v/>
      </c>
    </row>
    <row r="28">
      <c r="A28" s="49">
        <f>IF(Materiales!$A$27="","",Materiales!$A$27)</f>
        <v/>
      </c>
      <c r="B28" s="48">
        <f>IF(Materiales!$B$27="","",Materiales!$B$27)</f>
        <v/>
      </c>
      <c r="C28" s="49">
        <f>IF(Materiales!$C$27="","",Materiales!$C$27)</f>
        <v/>
      </c>
      <c r="D28" s="69">
        <f>IF(Materiales!$D$27="","",Materiales!$D$27)</f>
        <v/>
      </c>
      <c r="E28" s="70">
        <f>IF($A28="","",MRP!E171)</f>
        <v/>
      </c>
      <c r="F28" s="70">
        <f>IF($A28="","",MRP!F171)</f>
        <v/>
      </c>
      <c r="G28" s="70">
        <f>IF($A28="","",MRP!G171)</f>
        <v/>
      </c>
      <c r="H28" s="70">
        <f>IF($A28="","",MRP!H171)</f>
        <v/>
      </c>
      <c r="I28" s="70">
        <f>IF($A28="","",MRP!I171)</f>
        <v/>
      </c>
      <c r="J28" s="70">
        <f>IF($A28="","",MRP!J171)</f>
        <v/>
      </c>
      <c r="K28" s="70">
        <f>IF($A28="","",MRP!K171)</f>
        <v/>
      </c>
      <c r="L28" s="70">
        <f>IF($A28="","",MRP!L171)</f>
        <v/>
      </c>
      <c r="M28" s="71">
        <f>IF($A28="","",SUM(E28:L28))</f>
        <v/>
      </c>
      <c r="N28" s="72">
        <f>IF(ISNUMBER(D28),M28*D28,"")</f>
        <v/>
      </c>
      <c r="O28" s="73">
        <f>MRP!M171</f>
        <v/>
      </c>
    </row>
    <row r="29">
      <c r="A29" s="49">
        <f>IF(Materiales!$A$28="","",Materiales!$A$28)</f>
        <v/>
      </c>
      <c r="B29" s="48">
        <f>IF(Materiales!$B$28="","",Materiales!$B$28)</f>
        <v/>
      </c>
      <c r="C29" s="49">
        <f>IF(Materiales!$C$28="","",Materiales!$C$28)</f>
        <v/>
      </c>
      <c r="D29" s="69">
        <f>IF(Materiales!$D$28="","",Materiales!$D$28)</f>
        <v/>
      </c>
      <c r="E29" s="70">
        <f>IF($A29="","",MRP!E178)</f>
        <v/>
      </c>
      <c r="F29" s="70">
        <f>IF($A29="","",MRP!F178)</f>
        <v/>
      </c>
      <c r="G29" s="70">
        <f>IF($A29="","",MRP!G178)</f>
        <v/>
      </c>
      <c r="H29" s="70">
        <f>IF($A29="","",MRP!H178)</f>
        <v/>
      </c>
      <c r="I29" s="70">
        <f>IF($A29="","",MRP!I178)</f>
        <v/>
      </c>
      <c r="J29" s="70">
        <f>IF($A29="","",MRP!J178)</f>
        <v/>
      </c>
      <c r="K29" s="70">
        <f>IF($A29="","",MRP!K178)</f>
        <v/>
      </c>
      <c r="L29" s="70">
        <f>IF($A29="","",MRP!L178)</f>
        <v/>
      </c>
      <c r="M29" s="71">
        <f>IF($A29="","",SUM(E29:L29))</f>
        <v/>
      </c>
      <c r="N29" s="72">
        <f>IF(ISNUMBER(D29),M29*D29,"")</f>
        <v/>
      </c>
      <c r="O29" s="73">
        <f>MRP!M178</f>
        <v/>
      </c>
    </row>
    <row r="30">
      <c r="A30" s="49">
        <f>IF(Materiales!$A$29="","",Materiales!$A$29)</f>
        <v/>
      </c>
      <c r="B30" s="48">
        <f>IF(Materiales!$B$29="","",Materiales!$B$29)</f>
        <v/>
      </c>
      <c r="C30" s="49">
        <f>IF(Materiales!$C$29="","",Materiales!$C$29)</f>
        <v/>
      </c>
      <c r="D30" s="69">
        <f>IF(Materiales!$D$29="","",Materiales!$D$29)</f>
        <v/>
      </c>
      <c r="E30" s="70">
        <f>IF($A30="","",MRP!E185)</f>
        <v/>
      </c>
      <c r="F30" s="70">
        <f>IF($A30="","",MRP!F185)</f>
        <v/>
      </c>
      <c r="G30" s="70">
        <f>IF($A30="","",MRP!G185)</f>
        <v/>
      </c>
      <c r="H30" s="70">
        <f>IF($A30="","",MRP!H185)</f>
        <v/>
      </c>
      <c r="I30" s="70">
        <f>IF($A30="","",MRP!I185)</f>
        <v/>
      </c>
      <c r="J30" s="70">
        <f>IF($A30="","",MRP!J185)</f>
        <v/>
      </c>
      <c r="K30" s="70">
        <f>IF($A30="","",MRP!K185)</f>
        <v/>
      </c>
      <c r="L30" s="70">
        <f>IF($A30="","",MRP!L185)</f>
        <v/>
      </c>
      <c r="M30" s="71">
        <f>IF($A30="","",SUM(E30:L30))</f>
        <v/>
      </c>
      <c r="N30" s="72">
        <f>IF(ISNUMBER(D30),M30*D30,"")</f>
        <v/>
      </c>
      <c r="O30" s="73">
        <f>MRP!M185</f>
        <v/>
      </c>
    </row>
    <row r="31">
      <c r="A31" s="49">
        <f>IF(Materiales!$A$30="","",Materiales!$A$30)</f>
        <v/>
      </c>
      <c r="B31" s="48">
        <f>IF(Materiales!$B$30="","",Materiales!$B$30)</f>
        <v/>
      </c>
      <c r="C31" s="49">
        <f>IF(Materiales!$C$30="","",Materiales!$C$30)</f>
        <v/>
      </c>
      <c r="D31" s="69">
        <f>IF(Materiales!$D$30="","",Materiales!$D$30)</f>
        <v/>
      </c>
      <c r="E31" s="70">
        <f>IF($A31="","",MRP!E192)</f>
        <v/>
      </c>
      <c r="F31" s="70">
        <f>IF($A31="","",MRP!F192)</f>
        <v/>
      </c>
      <c r="G31" s="70">
        <f>IF($A31="","",MRP!G192)</f>
        <v/>
      </c>
      <c r="H31" s="70">
        <f>IF($A31="","",MRP!H192)</f>
        <v/>
      </c>
      <c r="I31" s="70">
        <f>IF($A31="","",MRP!I192)</f>
        <v/>
      </c>
      <c r="J31" s="70">
        <f>IF($A31="","",MRP!J192)</f>
        <v/>
      </c>
      <c r="K31" s="70">
        <f>IF($A31="","",MRP!K192)</f>
        <v/>
      </c>
      <c r="L31" s="70">
        <f>IF($A31="","",MRP!L192)</f>
        <v/>
      </c>
      <c r="M31" s="71">
        <f>IF($A31="","",SUM(E31:L31))</f>
        <v/>
      </c>
      <c r="N31" s="72">
        <f>IF(ISNUMBER(D31),M31*D31,"")</f>
        <v/>
      </c>
      <c r="O31" s="73">
        <f>MRP!M192</f>
        <v/>
      </c>
    </row>
    <row r="32">
      <c r="A32" s="49">
        <f>IF(Materiales!$A$31="","",Materiales!$A$31)</f>
        <v/>
      </c>
      <c r="B32" s="48">
        <f>IF(Materiales!$B$31="","",Materiales!$B$31)</f>
        <v/>
      </c>
      <c r="C32" s="49">
        <f>IF(Materiales!$C$31="","",Materiales!$C$31)</f>
        <v/>
      </c>
      <c r="D32" s="69">
        <f>IF(Materiales!$D$31="","",Materiales!$D$31)</f>
        <v/>
      </c>
      <c r="E32" s="70">
        <f>IF($A32="","",MRP!E199)</f>
        <v/>
      </c>
      <c r="F32" s="70">
        <f>IF($A32="","",MRP!F199)</f>
        <v/>
      </c>
      <c r="G32" s="70">
        <f>IF($A32="","",MRP!G199)</f>
        <v/>
      </c>
      <c r="H32" s="70">
        <f>IF($A32="","",MRP!H199)</f>
        <v/>
      </c>
      <c r="I32" s="70">
        <f>IF($A32="","",MRP!I199)</f>
        <v/>
      </c>
      <c r="J32" s="70">
        <f>IF($A32="","",MRP!J199)</f>
        <v/>
      </c>
      <c r="K32" s="70">
        <f>IF($A32="","",MRP!K199)</f>
        <v/>
      </c>
      <c r="L32" s="70">
        <f>IF($A32="","",MRP!L199)</f>
        <v/>
      </c>
      <c r="M32" s="71">
        <f>IF($A32="","",SUM(E32:L32))</f>
        <v/>
      </c>
      <c r="N32" s="72">
        <f>IF(ISNUMBER(D32),M32*D32,"")</f>
        <v/>
      </c>
      <c r="O32" s="73">
        <f>MRP!M199</f>
        <v/>
      </c>
    </row>
    <row r="33">
      <c r="A33" s="49">
        <f>IF(Materiales!$A$32="","",Materiales!$A$32)</f>
        <v/>
      </c>
      <c r="B33" s="48">
        <f>IF(Materiales!$B$32="","",Materiales!$B$32)</f>
        <v/>
      </c>
      <c r="C33" s="49">
        <f>IF(Materiales!$C$32="","",Materiales!$C$32)</f>
        <v/>
      </c>
      <c r="D33" s="69">
        <f>IF(Materiales!$D$32="","",Materiales!$D$32)</f>
        <v/>
      </c>
      <c r="E33" s="70">
        <f>IF($A33="","",MRP!E206)</f>
        <v/>
      </c>
      <c r="F33" s="70">
        <f>IF($A33="","",MRP!F206)</f>
        <v/>
      </c>
      <c r="G33" s="70">
        <f>IF($A33="","",MRP!G206)</f>
        <v/>
      </c>
      <c r="H33" s="70">
        <f>IF($A33="","",MRP!H206)</f>
        <v/>
      </c>
      <c r="I33" s="70">
        <f>IF($A33="","",MRP!I206)</f>
        <v/>
      </c>
      <c r="J33" s="70">
        <f>IF($A33="","",MRP!J206)</f>
        <v/>
      </c>
      <c r="K33" s="70">
        <f>IF($A33="","",MRP!K206)</f>
        <v/>
      </c>
      <c r="L33" s="70">
        <f>IF($A33="","",MRP!L206)</f>
        <v/>
      </c>
      <c r="M33" s="71">
        <f>IF($A33="","",SUM(E33:L33))</f>
        <v/>
      </c>
      <c r="N33" s="72">
        <f>IF(ISNUMBER(D33),M33*D33,"")</f>
        <v/>
      </c>
      <c r="O33" s="73">
        <f>MRP!M206</f>
        <v/>
      </c>
    </row>
    <row r="34">
      <c r="A34" s="49">
        <f>IF(Materiales!$A$33="","",Materiales!$A$33)</f>
        <v/>
      </c>
      <c r="B34" s="48">
        <f>IF(Materiales!$B$33="","",Materiales!$B$33)</f>
        <v/>
      </c>
      <c r="C34" s="49">
        <f>IF(Materiales!$C$33="","",Materiales!$C$33)</f>
        <v/>
      </c>
      <c r="D34" s="69">
        <f>IF(Materiales!$D$33="","",Materiales!$D$33)</f>
        <v/>
      </c>
      <c r="E34" s="70">
        <f>IF($A34="","",MRP!E213)</f>
        <v/>
      </c>
      <c r="F34" s="70">
        <f>IF($A34="","",MRP!F213)</f>
        <v/>
      </c>
      <c r="G34" s="70">
        <f>IF($A34="","",MRP!G213)</f>
        <v/>
      </c>
      <c r="H34" s="70">
        <f>IF($A34="","",MRP!H213)</f>
        <v/>
      </c>
      <c r="I34" s="70">
        <f>IF($A34="","",MRP!I213)</f>
        <v/>
      </c>
      <c r="J34" s="70">
        <f>IF($A34="","",MRP!J213)</f>
        <v/>
      </c>
      <c r="K34" s="70">
        <f>IF($A34="","",MRP!K213)</f>
        <v/>
      </c>
      <c r="L34" s="70">
        <f>IF($A34="","",MRP!L213)</f>
        <v/>
      </c>
      <c r="M34" s="71">
        <f>IF($A34="","",SUM(E34:L34))</f>
        <v/>
      </c>
      <c r="N34" s="72">
        <f>IF(ISNUMBER(D34),M34*D34,"")</f>
        <v/>
      </c>
      <c r="O34" s="73">
        <f>MRP!M213</f>
        <v/>
      </c>
    </row>
    <row r="35">
      <c r="A35" s="49">
        <f>IF(Materiales!$A$34="","",Materiales!$A$34)</f>
        <v/>
      </c>
      <c r="B35" s="48">
        <f>IF(Materiales!$B$34="","",Materiales!$B$34)</f>
        <v/>
      </c>
      <c r="C35" s="49">
        <f>IF(Materiales!$C$34="","",Materiales!$C$34)</f>
        <v/>
      </c>
      <c r="D35" s="69">
        <f>IF(Materiales!$D$34="","",Materiales!$D$34)</f>
        <v/>
      </c>
      <c r="E35" s="70">
        <f>IF($A35="","",MRP!E220)</f>
        <v/>
      </c>
      <c r="F35" s="70">
        <f>IF($A35="","",MRP!F220)</f>
        <v/>
      </c>
      <c r="G35" s="70">
        <f>IF($A35="","",MRP!G220)</f>
        <v/>
      </c>
      <c r="H35" s="70">
        <f>IF($A35="","",MRP!H220)</f>
        <v/>
      </c>
      <c r="I35" s="70">
        <f>IF($A35="","",MRP!I220)</f>
        <v/>
      </c>
      <c r="J35" s="70">
        <f>IF($A35="","",MRP!J220)</f>
        <v/>
      </c>
      <c r="K35" s="70">
        <f>IF($A35="","",MRP!K220)</f>
        <v/>
      </c>
      <c r="L35" s="70">
        <f>IF($A35="","",MRP!L220)</f>
        <v/>
      </c>
      <c r="M35" s="71">
        <f>IF($A35="","",SUM(E35:L35))</f>
        <v/>
      </c>
      <c r="N35" s="72">
        <f>IF(ISNUMBER(D35),M35*D35,"")</f>
        <v/>
      </c>
      <c r="O35" s="73">
        <f>MRP!M220</f>
        <v/>
      </c>
    </row>
    <row r="36">
      <c r="A36" s="49">
        <f>IF(Materiales!$A$35="","",Materiales!$A$35)</f>
        <v/>
      </c>
      <c r="B36" s="48">
        <f>IF(Materiales!$B$35="","",Materiales!$B$35)</f>
        <v/>
      </c>
      <c r="C36" s="49">
        <f>IF(Materiales!$C$35="","",Materiales!$C$35)</f>
        <v/>
      </c>
      <c r="D36" s="69">
        <f>IF(Materiales!$D$35="","",Materiales!$D$35)</f>
        <v/>
      </c>
      <c r="E36" s="70">
        <f>IF($A36="","",MRP!E227)</f>
        <v/>
      </c>
      <c r="F36" s="70">
        <f>IF($A36="","",MRP!F227)</f>
        <v/>
      </c>
      <c r="G36" s="70">
        <f>IF($A36="","",MRP!G227)</f>
        <v/>
      </c>
      <c r="H36" s="70">
        <f>IF($A36="","",MRP!H227)</f>
        <v/>
      </c>
      <c r="I36" s="70">
        <f>IF($A36="","",MRP!I227)</f>
        <v/>
      </c>
      <c r="J36" s="70">
        <f>IF($A36="","",MRP!J227)</f>
        <v/>
      </c>
      <c r="K36" s="70">
        <f>IF($A36="","",MRP!K227)</f>
        <v/>
      </c>
      <c r="L36" s="70">
        <f>IF($A36="","",MRP!L227)</f>
        <v/>
      </c>
      <c r="M36" s="71">
        <f>IF($A36="","",SUM(E36:L36))</f>
        <v/>
      </c>
      <c r="N36" s="72">
        <f>IF(ISNUMBER(D36),M36*D36,"")</f>
        <v/>
      </c>
      <c r="O36" s="73">
        <f>MRP!M227</f>
        <v/>
      </c>
    </row>
    <row r="37">
      <c r="A37" s="49">
        <f>IF(Materiales!$A$36="","",Materiales!$A$36)</f>
        <v/>
      </c>
      <c r="B37" s="48">
        <f>IF(Materiales!$B$36="","",Materiales!$B$36)</f>
        <v/>
      </c>
      <c r="C37" s="49">
        <f>IF(Materiales!$C$36="","",Materiales!$C$36)</f>
        <v/>
      </c>
      <c r="D37" s="69">
        <f>IF(Materiales!$D$36="","",Materiales!$D$36)</f>
        <v/>
      </c>
      <c r="E37" s="70">
        <f>IF($A37="","",MRP!E234)</f>
        <v/>
      </c>
      <c r="F37" s="70">
        <f>IF($A37="","",MRP!F234)</f>
        <v/>
      </c>
      <c r="G37" s="70">
        <f>IF($A37="","",MRP!G234)</f>
        <v/>
      </c>
      <c r="H37" s="70">
        <f>IF($A37="","",MRP!H234)</f>
        <v/>
      </c>
      <c r="I37" s="70">
        <f>IF($A37="","",MRP!I234)</f>
        <v/>
      </c>
      <c r="J37" s="70">
        <f>IF($A37="","",MRP!J234)</f>
        <v/>
      </c>
      <c r="K37" s="70">
        <f>IF($A37="","",MRP!K234)</f>
        <v/>
      </c>
      <c r="L37" s="70">
        <f>IF($A37="","",MRP!L234)</f>
        <v/>
      </c>
      <c r="M37" s="71">
        <f>IF($A37="","",SUM(E37:L37))</f>
        <v/>
      </c>
      <c r="N37" s="72">
        <f>IF(ISNUMBER(D37),M37*D37,"")</f>
        <v/>
      </c>
      <c r="O37" s="73">
        <f>MRP!M234</f>
        <v/>
      </c>
    </row>
    <row r="38">
      <c r="A38" s="49">
        <f>IF(Materiales!$A$37="","",Materiales!$A$37)</f>
        <v/>
      </c>
      <c r="B38" s="48">
        <f>IF(Materiales!$B$37="","",Materiales!$B$37)</f>
        <v/>
      </c>
      <c r="C38" s="49">
        <f>IF(Materiales!$C$37="","",Materiales!$C$37)</f>
        <v/>
      </c>
      <c r="D38" s="69">
        <f>IF(Materiales!$D$37="","",Materiales!$D$37)</f>
        <v/>
      </c>
      <c r="E38" s="70">
        <f>IF($A38="","",MRP!E241)</f>
        <v/>
      </c>
      <c r="F38" s="70">
        <f>IF($A38="","",MRP!F241)</f>
        <v/>
      </c>
      <c r="G38" s="70">
        <f>IF($A38="","",MRP!G241)</f>
        <v/>
      </c>
      <c r="H38" s="70">
        <f>IF($A38="","",MRP!H241)</f>
        <v/>
      </c>
      <c r="I38" s="70">
        <f>IF($A38="","",MRP!I241)</f>
        <v/>
      </c>
      <c r="J38" s="70">
        <f>IF($A38="","",MRP!J241)</f>
        <v/>
      </c>
      <c r="K38" s="70">
        <f>IF($A38="","",MRP!K241)</f>
        <v/>
      </c>
      <c r="L38" s="70">
        <f>IF($A38="","",MRP!L241)</f>
        <v/>
      </c>
      <c r="M38" s="71">
        <f>IF($A38="","",SUM(E38:L38))</f>
        <v/>
      </c>
      <c r="N38" s="72">
        <f>IF(ISNUMBER(D38),M38*D38,"")</f>
        <v/>
      </c>
      <c r="O38" s="73">
        <f>MRP!M241</f>
        <v/>
      </c>
    </row>
    <row r="39">
      <c r="A39" s="49">
        <f>IF(Materiales!$A$38="","",Materiales!$A$38)</f>
        <v/>
      </c>
      <c r="B39" s="48">
        <f>IF(Materiales!$B$38="","",Materiales!$B$38)</f>
        <v/>
      </c>
      <c r="C39" s="49">
        <f>IF(Materiales!$C$38="","",Materiales!$C$38)</f>
        <v/>
      </c>
      <c r="D39" s="69">
        <f>IF(Materiales!$D$38="","",Materiales!$D$38)</f>
        <v/>
      </c>
      <c r="E39" s="70">
        <f>IF($A39="","",MRP!E248)</f>
        <v/>
      </c>
      <c r="F39" s="70">
        <f>IF($A39="","",MRP!F248)</f>
        <v/>
      </c>
      <c r="G39" s="70">
        <f>IF($A39="","",MRP!G248)</f>
        <v/>
      </c>
      <c r="H39" s="70">
        <f>IF($A39="","",MRP!H248)</f>
        <v/>
      </c>
      <c r="I39" s="70">
        <f>IF($A39="","",MRP!I248)</f>
        <v/>
      </c>
      <c r="J39" s="70">
        <f>IF($A39="","",MRP!J248)</f>
        <v/>
      </c>
      <c r="K39" s="70">
        <f>IF($A39="","",MRP!K248)</f>
        <v/>
      </c>
      <c r="L39" s="70">
        <f>IF($A39="","",MRP!L248)</f>
        <v/>
      </c>
      <c r="M39" s="71">
        <f>IF($A39="","",SUM(E39:L39))</f>
        <v/>
      </c>
      <c r="N39" s="72">
        <f>IF(ISNUMBER(D39),M39*D39,"")</f>
        <v/>
      </c>
      <c r="O39" s="73">
        <f>MRP!M248</f>
        <v/>
      </c>
    </row>
    <row r="40">
      <c r="A40" s="49">
        <f>IF(Materiales!$A$39="","",Materiales!$A$39)</f>
        <v/>
      </c>
      <c r="B40" s="48">
        <f>IF(Materiales!$B$39="","",Materiales!$B$39)</f>
        <v/>
      </c>
      <c r="C40" s="49">
        <f>IF(Materiales!$C$39="","",Materiales!$C$39)</f>
        <v/>
      </c>
      <c r="D40" s="69">
        <f>IF(Materiales!$D$39="","",Materiales!$D$39)</f>
        <v/>
      </c>
      <c r="E40" s="70">
        <f>IF($A40="","",MRP!E255)</f>
        <v/>
      </c>
      <c r="F40" s="70">
        <f>IF($A40="","",MRP!F255)</f>
        <v/>
      </c>
      <c r="G40" s="70">
        <f>IF($A40="","",MRP!G255)</f>
        <v/>
      </c>
      <c r="H40" s="70">
        <f>IF($A40="","",MRP!H255)</f>
        <v/>
      </c>
      <c r="I40" s="70">
        <f>IF($A40="","",MRP!I255)</f>
        <v/>
      </c>
      <c r="J40" s="70">
        <f>IF($A40="","",MRP!J255)</f>
        <v/>
      </c>
      <c r="K40" s="70">
        <f>IF($A40="","",MRP!K255)</f>
        <v/>
      </c>
      <c r="L40" s="70">
        <f>IF($A40="","",MRP!L255)</f>
        <v/>
      </c>
      <c r="M40" s="71">
        <f>IF($A40="","",SUM(E40:L40))</f>
        <v/>
      </c>
      <c r="N40" s="72">
        <f>IF(ISNUMBER(D40),M40*D40,"")</f>
        <v/>
      </c>
      <c r="O40" s="73">
        <f>MRP!M255</f>
        <v/>
      </c>
    </row>
    <row r="41">
      <c r="A41" s="49">
        <f>IF(Materiales!$A$40="","",Materiales!$A$40)</f>
        <v/>
      </c>
      <c r="B41" s="48">
        <f>IF(Materiales!$B$40="","",Materiales!$B$40)</f>
        <v/>
      </c>
      <c r="C41" s="49">
        <f>IF(Materiales!$C$40="","",Materiales!$C$40)</f>
        <v/>
      </c>
      <c r="D41" s="69">
        <f>IF(Materiales!$D$40="","",Materiales!$D$40)</f>
        <v/>
      </c>
      <c r="E41" s="70">
        <f>IF($A41="","",MRP!E262)</f>
        <v/>
      </c>
      <c r="F41" s="70">
        <f>IF($A41="","",MRP!F262)</f>
        <v/>
      </c>
      <c r="G41" s="70">
        <f>IF($A41="","",MRP!G262)</f>
        <v/>
      </c>
      <c r="H41" s="70">
        <f>IF($A41="","",MRP!H262)</f>
        <v/>
      </c>
      <c r="I41" s="70">
        <f>IF($A41="","",MRP!I262)</f>
        <v/>
      </c>
      <c r="J41" s="70">
        <f>IF($A41="","",MRP!J262)</f>
        <v/>
      </c>
      <c r="K41" s="70">
        <f>IF($A41="","",MRP!K262)</f>
        <v/>
      </c>
      <c r="L41" s="70">
        <f>IF($A41="","",MRP!L262)</f>
        <v/>
      </c>
      <c r="M41" s="71">
        <f>IF($A41="","",SUM(E41:L41))</f>
        <v/>
      </c>
      <c r="N41" s="72">
        <f>IF(ISNUMBER(D41),M41*D41,"")</f>
        <v/>
      </c>
      <c r="O41" s="73">
        <f>MRP!M262</f>
        <v/>
      </c>
    </row>
    <row r="42">
      <c r="A42" s="49">
        <f>IF(Materiales!$A$41="","",Materiales!$A$41)</f>
        <v/>
      </c>
      <c r="B42" s="48">
        <f>IF(Materiales!$B$41="","",Materiales!$B$41)</f>
        <v/>
      </c>
      <c r="C42" s="49">
        <f>IF(Materiales!$C$41="","",Materiales!$C$41)</f>
        <v/>
      </c>
      <c r="D42" s="69">
        <f>IF(Materiales!$D$41="","",Materiales!$D$41)</f>
        <v/>
      </c>
      <c r="E42" s="70">
        <f>IF($A42="","",MRP!E269)</f>
        <v/>
      </c>
      <c r="F42" s="70">
        <f>IF($A42="","",MRP!F269)</f>
        <v/>
      </c>
      <c r="G42" s="70">
        <f>IF($A42="","",MRP!G269)</f>
        <v/>
      </c>
      <c r="H42" s="70">
        <f>IF($A42="","",MRP!H269)</f>
        <v/>
      </c>
      <c r="I42" s="70">
        <f>IF($A42="","",MRP!I269)</f>
        <v/>
      </c>
      <c r="J42" s="70">
        <f>IF($A42="","",MRP!J269)</f>
        <v/>
      </c>
      <c r="K42" s="70">
        <f>IF($A42="","",MRP!K269)</f>
        <v/>
      </c>
      <c r="L42" s="70">
        <f>IF($A42="","",MRP!L269)</f>
        <v/>
      </c>
      <c r="M42" s="71">
        <f>IF($A42="","",SUM(E42:L42))</f>
        <v/>
      </c>
      <c r="N42" s="72">
        <f>IF(ISNUMBER(D42),M42*D42,"")</f>
        <v/>
      </c>
      <c r="O42" s="73">
        <f>MRP!M269</f>
        <v/>
      </c>
    </row>
    <row r="43">
      <c r="A43" s="49">
        <f>IF(Materiales!$A$42="","",Materiales!$A$42)</f>
        <v/>
      </c>
      <c r="B43" s="48">
        <f>IF(Materiales!$B$42="","",Materiales!$B$42)</f>
        <v/>
      </c>
      <c r="C43" s="49">
        <f>IF(Materiales!$C$42="","",Materiales!$C$42)</f>
        <v/>
      </c>
      <c r="D43" s="69">
        <f>IF(Materiales!$D$42="","",Materiales!$D$42)</f>
        <v/>
      </c>
      <c r="E43" s="70">
        <f>IF($A43="","",MRP!E276)</f>
        <v/>
      </c>
      <c r="F43" s="70">
        <f>IF($A43="","",MRP!F276)</f>
        <v/>
      </c>
      <c r="G43" s="70">
        <f>IF($A43="","",MRP!G276)</f>
        <v/>
      </c>
      <c r="H43" s="70">
        <f>IF($A43="","",MRP!H276)</f>
        <v/>
      </c>
      <c r="I43" s="70">
        <f>IF($A43="","",MRP!I276)</f>
        <v/>
      </c>
      <c r="J43" s="70">
        <f>IF($A43="","",MRP!J276)</f>
        <v/>
      </c>
      <c r="K43" s="70">
        <f>IF($A43="","",MRP!K276)</f>
        <v/>
      </c>
      <c r="L43" s="70">
        <f>IF($A43="","",MRP!L276)</f>
        <v/>
      </c>
      <c r="M43" s="71">
        <f>IF($A43="","",SUM(E43:L43))</f>
        <v/>
      </c>
      <c r="N43" s="72">
        <f>IF(ISNUMBER(D43),M43*D43,"")</f>
        <v/>
      </c>
      <c r="O43" s="73">
        <f>MRP!M276</f>
        <v/>
      </c>
    </row>
    <row r="44">
      <c r="A44" s="49">
        <f>IF(Materiales!$A$43="","",Materiales!$A$43)</f>
        <v/>
      </c>
      <c r="B44" s="48">
        <f>IF(Materiales!$B$43="","",Materiales!$B$43)</f>
        <v/>
      </c>
      <c r="C44" s="49">
        <f>IF(Materiales!$C$43="","",Materiales!$C$43)</f>
        <v/>
      </c>
      <c r="D44" s="69">
        <f>IF(Materiales!$D$43="","",Materiales!$D$43)</f>
        <v/>
      </c>
      <c r="E44" s="70">
        <f>IF($A44="","",MRP!E283)</f>
        <v/>
      </c>
      <c r="F44" s="70">
        <f>IF($A44="","",MRP!F283)</f>
        <v/>
      </c>
      <c r="G44" s="70">
        <f>IF($A44="","",MRP!G283)</f>
        <v/>
      </c>
      <c r="H44" s="70">
        <f>IF($A44="","",MRP!H283)</f>
        <v/>
      </c>
      <c r="I44" s="70">
        <f>IF($A44="","",MRP!I283)</f>
        <v/>
      </c>
      <c r="J44" s="70">
        <f>IF($A44="","",MRP!J283)</f>
        <v/>
      </c>
      <c r="K44" s="70">
        <f>IF($A44="","",MRP!K283)</f>
        <v/>
      </c>
      <c r="L44" s="70">
        <f>IF($A44="","",MRP!L283)</f>
        <v/>
      </c>
      <c r="M44" s="71">
        <f>IF($A44="","",SUM(E44:L44))</f>
        <v/>
      </c>
      <c r="N44" s="72">
        <f>IF(ISNUMBER(D44),M44*D44,"")</f>
        <v/>
      </c>
      <c r="O44" s="73">
        <f>MRP!M283</f>
        <v/>
      </c>
    </row>
    <row r="45">
      <c r="A45" s="49">
        <f>IF(Materiales!$A$44="","",Materiales!$A$44)</f>
        <v/>
      </c>
      <c r="B45" s="48">
        <f>IF(Materiales!$B$44="","",Materiales!$B$44)</f>
        <v/>
      </c>
      <c r="C45" s="49">
        <f>IF(Materiales!$C$44="","",Materiales!$C$44)</f>
        <v/>
      </c>
      <c r="D45" s="69">
        <f>IF(Materiales!$D$44="","",Materiales!$D$44)</f>
        <v/>
      </c>
      <c r="E45" s="70">
        <f>IF($A45="","",MRP!E290)</f>
        <v/>
      </c>
      <c r="F45" s="70">
        <f>IF($A45="","",MRP!F290)</f>
        <v/>
      </c>
      <c r="G45" s="70">
        <f>IF($A45="","",MRP!G290)</f>
        <v/>
      </c>
      <c r="H45" s="70">
        <f>IF($A45="","",MRP!H290)</f>
        <v/>
      </c>
      <c r="I45" s="70">
        <f>IF($A45="","",MRP!I290)</f>
        <v/>
      </c>
      <c r="J45" s="70">
        <f>IF($A45="","",MRP!J290)</f>
        <v/>
      </c>
      <c r="K45" s="70">
        <f>IF($A45="","",MRP!K290)</f>
        <v/>
      </c>
      <c r="L45" s="70">
        <f>IF($A45="","",MRP!L290)</f>
        <v/>
      </c>
      <c r="M45" s="71">
        <f>IF($A45="","",SUM(E45:L45))</f>
        <v/>
      </c>
      <c r="N45" s="72">
        <f>IF(ISNUMBER(D45),M45*D45,"")</f>
        <v/>
      </c>
      <c r="O45" s="73">
        <f>MRP!M290</f>
        <v/>
      </c>
    </row>
    <row r="46">
      <c r="A46" s="49">
        <f>IF(Materiales!$A$45="","",Materiales!$A$45)</f>
        <v/>
      </c>
      <c r="B46" s="48">
        <f>IF(Materiales!$B$45="","",Materiales!$B$45)</f>
        <v/>
      </c>
      <c r="C46" s="49">
        <f>IF(Materiales!$C$45="","",Materiales!$C$45)</f>
        <v/>
      </c>
      <c r="D46" s="69">
        <f>IF(Materiales!$D$45="","",Materiales!$D$45)</f>
        <v/>
      </c>
      <c r="E46" s="70">
        <f>IF($A46="","",MRP!E297)</f>
        <v/>
      </c>
      <c r="F46" s="70">
        <f>IF($A46="","",MRP!F297)</f>
        <v/>
      </c>
      <c r="G46" s="70">
        <f>IF($A46="","",MRP!G297)</f>
        <v/>
      </c>
      <c r="H46" s="70">
        <f>IF($A46="","",MRP!H297)</f>
        <v/>
      </c>
      <c r="I46" s="70">
        <f>IF($A46="","",MRP!I297)</f>
        <v/>
      </c>
      <c r="J46" s="70">
        <f>IF($A46="","",MRP!J297)</f>
        <v/>
      </c>
      <c r="K46" s="70">
        <f>IF($A46="","",MRP!K297)</f>
        <v/>
      </c>
      <c r="L46" s="70">
        <f>IF($A46="","",MRP!L297)</f>
        <v/>
      </c>
      <c r="M46" s="71">
        <f>IF($A46="","",SUM(E46:L46))</f>
        <v/>
      </c>
      <c r="N46" s="72">
        <f>IF(ISNUMBER(D46),M46*D46,"")</f>
        <v/>
      </c>
      <c r="O46" s="73">
        <f>MRP!M297</f>
        <v/>
      </c>
    </row>
    <row r="47">
      <c r="A47" s="49">
        <f>IF(Materiales!$A$46="","",Materiales!$A$46)</f>
        <v/>
      </c>
      <c r="B47" s="48">
        <f>IF(Materiales!$B$46="","",Materiales!$B$46)</f>
        <v/>
      </c>
      <c r="C47" s="49">
        <f>IF(Materiales!$C$46="","",Materiales!$C$46)</f>
        <v/>
      </c>
      <c r="D47" s="69">
        <f>IF(Materiales!$D$46="","",Materiales!$D$46)</f>
        <v/>
      </c>
      <c r="E47" s="70">
        <f>IF($A47="","",MRP!E304)</f>
        <v/>
      </c>
      <c r="F47" s="70">
        <f>IF($A47="","",MRP!F304)</f>
        <v/>
      </c>
      <c r="G47" s="70">
        <f>IF($A47="","",MRP!G304)</f>
        <v/>
      </c>
      <c r="H47" s="70">
        <f>IF($A47="","",MRP!H304)</f>
        <v/>
      </c>
      <c r="I47" s="70">
        <f>IF($A47="","",MRP!I304)</f>
        <v/>
      </c>
      <c r="J47" s="70">
        <f>IF($A47="","",MRP!J304)</f>
        <v/>
      </c>
      <c r="K47" s="70">
        <f>IF($A47="","",MRP!K304)</f>
        <v/>
      </c>
      <c r="L47" s="70">
        <f>IF($A47="","",MRP!L304)</f>
        <v/>
      </c>
      <c r="M47" s="71">
        <f>IF($A47="","",SUM(E47:L47))</f>
        <v/>
      </c>
      <c r="N47" s="72">
        <f>IF(ISNUMBER(D47),M47*D47,"")</f>
        <v/>
      </c>
      <c r="O47" s="73">
        <f>MRP!M304</f>
        <v/>
      </c>
    </row>
    <row r="48">
      <c r="A48" s="49">
        <f>IF(Materiales!$A$47="","",Materiales!$A$47)</f>
        <v/>
      </c>
      <c r="B48" s="48">
        <f>IF(Materiales!$B$47="","",Materiales!$B$47)</f>
        <v/>
      </c>
      <c r="C48" s="49">
        <f>IF(Materiales!$C$47="","",Materiales!$C$47)</f>
        <v/>
      </c>
      <c r="D48" s="69">
        <f>IF(Materiales!$D$47="","",Materiales!$D$47)</f>
        <v/>
      </c>
      <c r="E48" s="70">
        <f>IF($A48="","",MRP!E311)</f>
        <v/>
      </c>
      <c r="F48" s="70">
        <f>IF($A48="","",MRP!F311)</f>
        <v/>
      </c>
      <c r="G48" s="70">
        <f>IF($A48="","",MRP!G311)</f>
        <v/>
      </c>
      <c r="H48" s="70">
        <f>IF($A48="","",MRP!H311)</f>
        <v/>
      </c>
      <c r="I48" s="70">
        <f>IF($A48="","",MRP!I311)</f>
        <v/>
      </c>
      <c r="J48" s="70">
        <f>IF($A48="","",MRP!J311)</f>
        <v/>
      </c>
      <c r="K48" s="70">
        <f>IF($A48="","",MRP!K311)</f>
        <v/>
      </c>
      <c r="L48" s="70">
        <f>IF($A48="","",MRP!L311)</f>
        <v/>
      </c>
      <c r="M48" s="71">
        <f>IF($A48="","",SUM(E48:L48))</f>
        <v/>
      </c>
      <c r="N48" s="72">
        <f>IF(ISNUMBER(D48),M48*D48,"")</f>
        <v/>
      </c>
      <c r="O48" s="73">
        <f>MRP!M311</f>
        <v/>
      </c>
    </row>
    <row r="49">
      <c r="A49" s="49">
        <f>IF(Materiales!$A$48="","",Materiales!$A$48)</f>
        <v/>
      </c>
      <c r="B49" s="48">
        <f>IF(Materiales!$B$48="","",Materiales!$B$48)</f>
        <v/>
      </c>
      <c r="C49" s="49">
        <f>IF(Materiales!$C$48="","",Materiales!$C$48)</f>
        <v/>
      </c>
      <c r="D49" s="69">
        <f>IF(Materiales!$D$48="","",Materiales!$D$48)</f>
        <v/>
      </c>
      <c r="E49" s="70">
        <f>IF($A49="","",MRP!E318)</f>
        <v/>
      </c>
      <c r="F49" s="70">
        <f>IF($A49="","",MRP!F318)</f>
        <v/>
      </c>
      <c r="G49" s="70">
        <f>IF($A49="","",MRP!G318)</f>
        <v/>
      </c>
      <c r="H49" s="70">
        <f>IF($A49="","",MRP!H318)</f>
        <v/>
      </c>
      <c r="I49" s="70">
        <f>IF($A49="","",MRP!I318)</f>
        <v/>
      </c>
      <c r="J49" s="70">
        <f>IF($A49="","",MRP!J318)</f>
        <v/>
      </c>
      <c r="K49" s="70">
        <f>IF($A49="","",MRP!K318)</f>
        <v/>
      </c>
      <c r="L49" s="70">
        <f>IF($A49="","",MRP!L318)</f>
        <v/>
      </c>
      <c r="M49" s="71">
        <f>IF($A49="","",SUM(E49:L49))</f>
        <v/>
      </c>
      <c r="N49" s="72">
        <f>IF(ISNUMBER(D49),M49*D49,"")</f>
        <v/>
      </c>
      <c r="O49" s="73">
        <f>MRP!M318</f>
        <v/>
      </c>
    </row>
    <row r="50">
      <c r="A50" s="49">
        <f>IF(Materiales!$A$49="","",Materiales!$A$49)</f>
        <v/>
      </c>
      <c r="B50" s="48">
        <f>IF(Materiales!$B$49="","",Materiales!$B$49)</f>
        <v/>
      </c>
      <c r="C50" s="49">
        <f>IF(Materiales!$C$49="","",Materiales!$C$49)</f>
        <v/>
      </c>
      <c r="D50" s="69">
        <f>IF(Materiales!$D$49="","",Materiales!$D$49)</f>
        <v/>
      </c>
      <c r="E50" s="70">
        <f>IF($A50="","",MRP!E325)</f>
        <v/>
      </c>
      <c r="F50" s="70">
        <f>IF($A50="","",MRP!F325)</f>
        <v/>
      </c>
      <c r="G50" s="70">
        <f>IF($A50="","",MRP!G325)</f>
        <v/>
      </c>
      <c r="H50" s="70">
        <f>IF($A50="","",MRP!H325)</f>
        <v/>
      </c>
      <c r="I50" s="70">
        <f>IF($A50="","",MRP!I325)</f>
        <v/>
      </c>
      <c r="J50" s="70">
        <f>IF($A50="","",MRP!J325)</f>
        <v/>
      </c>
      <c r="K50" s="70">
        <f>IF($A50="","",MRP!K325)</f>
        <v/>
      </c>
      <c r="L50" s="70">
        <f>IF($A50="","",MRP!L325)</f>
        <v/>
      </c>
      <c r="M50" s="71">
        <f>IF($A50="","",SUM(E50:L50))</f>
        <v/>
      </c>
      <c r="N50" s="72">
        <f>IF(ISNUMBER(D50),M50*D50,"")</f>
        <v/>
      </c>
      <c r="O50" s="73">
        <f>MRP!M325</f>
        <v/>
      </c>
    </row>
    <row r="51">
      <c r="A51" s="49">
        <f>IF(Materiales!$A$50="","",Materiales!$A$50)</f>
        <v/>
      </c>
      <c r="B51" s="48">
        <f>IF(Materiales!$B$50="","",Materiales!$B$50)</f>
        <v/>
      </c>
      <c r="C51" s="49">
        <f>IF(Materiales!$C$50="","",Materiales!$C$50)</f>
        <v/>
      </c>
      <c r="D51" s="69">
        <f>IF(Materiales!$D$50="","",Materiales!$D$50)</f>
        <v/>
      </c>
      <c r="E51" s="70">
        <f>IF($A51="","",MRP!E332)</f>
        <v/>
      </c>
      <c r="F51" s="70">
        <f>IF($A51="","",MRP!F332)</f>
        <v/>
      </c>
      <c r="G51" s="70">
        <f>IF($A51="","",MRP!G332)</f>
        <v/>
      </c>
      <c r="H51" s="70">
        <f>IF($A51="","",MRP!H332)</f>
        <v/>
      </c>
      <c r="I51" s="70">
        <f>IF($A51="","",MRP!I332)</f>
        <v/>
      </c>
      <c r="J51" s="70">
        <f>IF($A51="","",MRP!J332)</f>
        <v/>
      </c>
      <c r="K51" s="70">
        <f>IF($A51="","",MRP!K332)</f>
        <v/>
      </c>
      <c r="L51" s="70">
        <f>IF($A51="","",MRP!L332)</f>
        <v/>
      </c>
      <c r="M51" s="71">
        <f>IF($A51="","",SUM(E51:L51))</f>
        <v/>
      </c>
      <c r="N51" s="72">
        <f>IF(ISNUMBER(D51),M51*D51,"")</f>
        <v/>
      </c>
      <c r="O51" s="73">
        <f>MRP!M332</f>
        <v/>
      </c>
    </row>
    <row r="52">
      <c r="A52" s="49">
        <f>IF(Materiales!$A$51="","",Materiales!$A$51)</f>
        <v/>
      </c>
      <c r="B52" s="48">
        <f>IF(Materiales!$B$51="","",Materiales!$B$51)</f>
        <v/>
      </c>
      <c r="C52" s="49">
        <f>IF(Materiales!$C$51="","",Materiales!$C$51)</f>
        <v/>
      </c>
      <c r="D52" s="69">
        <f>IF(Materiales!$D$51="","",Materiales!$D$51)</f>
        <v/>
      </c>
      <c r="E52" s="70">
        <f>IF($A52="","",MRP!E339)</f>
        <v/>
      </c>
      <c r="F52" s="70">
        <f>IF($A52="","",MRP!F339)</f>
        <v/>
      </c>
      <c r="G52" s="70">
        <f>IF($A52="","",MRP!G339)</f>
        <v/>
      </c>
      <c r="H52" s="70">
        <f>IF($A52="","",MRP!H339)</f>
        <v/>
      </c>
      <c r="I52" s="70">
        <f>IF($A52="","",MRP!I339)</f>
        <v/>
      </c>
      <c r="J52" s="70">
        <f>IF($A52="","",MRP!J339)</f>
        <v/>
      </c>
      <c r="K52" s="70">
        <f>IF($A52="","",MRP!K339)</f>
        <v/>
      </c>
      <c r="L52" s="70">
        <f>IF($A52="","",MRP!L339)</f>
        <v/>
      </c>
      <c r="M52" s="71">
        <f>IF($A52="","",SUM(E52:L52))</f>
        <v/>
      </c>
      <c r="N52" s="72">
        <f>IF(ISNUMBER(D52),M52*D52,"")</f>
        <v/>
      </c>
      <c r="O52" s="73">
        <f>MRP!M339</f>
        <v/>
      </c>
    </row>
    <row r="53">
      <c r="A53" s="49">
        <f>IF(Materiales!$A$52="","",Materiales!$A$52)</f>
        <v/>
      </c>
      <c r="B53" s="48">
        <f>IF(Materiales!$B$52="","",Materiales!$B$52)</f>
        <v/>
      </c>
      <c r="C53" s="49">
        <f>IF(Materiales!$C$52="","",Materiales!$C$52)</f>
        <v/>
      </c>
      <c r="D53" s="69">
        <f>IF(Materiales!$D$52="","",Materiales!$D$52)</f>
        <v/>
      </c>
      <c r="E53" s="70">
        <f>IF($A53="","",MRP!E346)</f>
        <v/>
      </c>
      <c r="F53" s="70">
        <f>IF($A53="","",MRP!F346)</f>
        <v/>
      </c>
      <c r="G53" s="70">
        <f>IF($A53="","",MRP!G346)</f>
        <v/>
      </c>
      <c r="H53" s="70">
        <f>IF($A53="","",MRP!H346)</f>
        <v/>
      </c>
      <c r="I53" s="70">
        <f>IF($A53="","",MRP!I346)</f>
        <v/>
      </c>
      <c r="J53" s="70">
        <f>IF($A53="","",MRP!J346)</f>
        <v/>
      </c>
      <c r="K53" s="70">
        <f>IF($A53="","",MRP!K346)</f>
        <v/>
      </c>
      <c r="L53" s="70">
        <f>IF($A53="","",MRP!L346)</f>
        <v/>
      </c>
      <c r="M53" s="71">
        <f>IF($A53="","",SUM(E53:L53))</f>
        <v/>
      </c>
      <c r="N53" s="72">
        <f>IF(ISNUMBER(D53),M53*D53,"")</f>
        <v/>
      </c>
      <c r="O53" s="73">
        <f>MRP!M346</f>
        <v/>
      </c>
    </row>
    <row r="54">
      <c r="A54" s="49">
        <f>IF(Materiales!$A$53="","",Materiales!$A$53)</f>
        <v/>
      </c>
      <c r="B54" s="48">
        <f>IF(Materiales!$B$53="","",Materiales!$B$53)</f>
        <v/>
      </c>
      <c r="C54" s="49">
        <f>IF(Materiales!$C$53="","",Materiales!$C$53)</f>
        <v/>
      </c>
      <c r="D54" s="69">
        <f>IF(Materiales!$D$53="","",Materiales!$D$53)</f>
        <v/>
      </c>
      <c r="E54" s="70">
        <f>IF($A54="","",MRP!E353)</f>
        <v/>
      </c>
      <c r="F54" s="70">
        <f>IF($A54="","",MRP!F353)</f>
        <v/>
      </c>
      <c r="G54" s="70">
        <f>IF($A54="","",MRP!G353)</f>
        <v/>
      </c>
      <c r="H54" s="70">
        <f>IF($A54="","",MRP!H353)</f>
        <v/>
      </c>
      <c r="I54" s="70">
        <f>IF($A54="","",MRP!I353)</f>
        <v/>
      </c>
      <c r="J54" s="70">
        <f>IF($A54="","",MRP!J353)</f>
        <v/>
      </c>
      <c r="K54" s="70">
        <f>IF($A54="","",MRP!K353)</f>
        <v/>
      </c>
      <c r="L54" s="70">
        <f>IF($A54="","",MRP!L353)</f>
        <v/>
      </c>
      <c r="M54" s="71">
        <f>IF($A54="","",SUM(E54:L54))</f>
        <v/>
      </c>
      <c r="N54" s="72">
        <f>IF(ISNUMBER(D54),M54*D54,"")</f>
        <v/>
      </c>
      <c r="O54" s="73">
        <f>MRP!M353</f>
        <v/>
      </c>
    </row>
    <row r="55">
      <c r="A55" s="49">
        <f>IF(Materiales!$A$54="","",Materiales!$A$54)</f>
        <v/>
      </c>
      <c r="B55" s="48">
        <f>IF(Materiales!$B$54="","",Materiales!$B$54)</f>
        <v/>
      </c>
      <c r="C55" s="49">
        <f>IF(Materiales!$C$54="","",Materiales!$C$54)</f>
        <v/>
      </c>
      <c r="D55" s="69">
        <f>IF(Materiales!$D$54="","",Materiales!$D$54)</f>
        <v/>
      </c>
      <c r="E55" s="70">
        <f>IF($A55="","",MRP!E360)</f>
        <v/>
      </c>
      <c r="F55" s="70">
        <f>IF($A55="","",MRP!F360)</f>
        <v/>
      </c>
      <c r="G55" s="70">
        <f>IF($A55="","",MRP!G360)</f>
        <v/>
      </c>
      <c r="H55" s="70">
        <f>IF($A55="","",MRP!H360)</f>
        <v/>
      </c>
      <c r="I55" s="70">
        <f>IF($A55="","",MRP!I360)</f>
        <v/>
      </c>
      <c r="J55" s="70">
        <f>IF($A55="","",MRP!J360)</f>
        <v/>
      </c>
      <c r="K55" s="70">
        <f>IF($A55="","",MRP!K360)</f>
        <v/>
      </c>
      <c r="L55" s="70">
        <f>IF($A55="","",MRP!L360)</f>
        <v/>
      </c>
      <c r="M55" s="71">
        <f>IF($A55="","",SUM(E55:L55))</f>
        <v/>
      </c>
      <c r="N55" s="72">
        <f>IF(ISNUMBER(D55),M55*D55,"")</f>
        <v/>
      </c>
      <c r="O55" s="73">
        <f>MRP!M360</f>
        <v/>
      </c>
    </row>
    <row r="56">
      <c r="A56" s="49">
        <f>IF(Materiales!$A$55="","",Materiales!$A$55)</f>
        <v/>
      </c>
      <c r="B56" s="48">
        <f>IF(Materiales!$B$55="","",Materiales!$B$55)</f>
        <v/>
      </c>
      <c r="C56" s="49">
        <f>IF(Materiales!$C$55="","",Materiales!$C$55)</f>
        <v/>
      </c>
      <c r="D56" s="69">
        <f>IF(Materiales!$D$55="","",Materiales!$D$55)</f>
        <v/>
      </c>
      <c r="E56" s="70">
        <f>IF($A56="","",MRP!E367)</f>
        <v/>
      </c>
      <c r="F56" s="70">
        <f>IF($A56="","",MRP!F367)</f>
        <v/>
      </c>
      <c r="G56" s="70">
        <f>IF($A56="","",MRP!G367)</f>
        <v/>
      </c>
      <c r="H56" s="70">
        <f>IF($A56="","",MRP!H367)</f>
        <v/>
      </c>
      <c r="I56" s="70">
        <f>IF($A56="","",MRP!I367)</f>
        <v/>
      </c>
      <c r="J56" s="70">
        <f>IF($A56="","",MRP!J367)</f>
        <v/>
      </c>
      <c r="K56" s="70">
        <f>IF($A56="","",MRP!K367)</f>
        <v/>
      </c>
      <c r="L56" s="70">
        <f>IF($A56="","",MRP!L367)</f>
        <v/>
      </c>
      <c r="M56" s="71">
        <f>IF($A56="","",SUM(E56:L56))</f>
        <v/>
      </c>
      <c r="N56" s="72">
        <f>IF(ISNUMBER(D56),M56*D56,"")</f>
        <v/>
      </c>
      <c r="O56" s="73">
        <f>MRP!M367</f>
        <v/>
      </c>
    </row>
    <row r="57">
      <c r="A57" s="49">
        <f>IF(Materiales!$A$56="","",Materiales!$A$56)</f>
        <v/>
      </c>
      <c r="B57" s="48">
        <f>IF(Materiales!$B$56="","",Materiales!$B$56)</f>
        <v/>
      </c>
      <c r="C57" s="49">
        <f>IF(Materiales!$C$56="","",Materiales!$C$56)</f>
        <v/>
      </c>
      <c r="D57" s="69">
        <f>IF(Materiales!$D$56="","",Materiales!$D$56)</f>
        <v/>
      </c>
      <c r="E57" s="70">
        <f>IF($A57="","",MRP!E374)</f>
        <v/>
      </c>
      <c r="F57" s="70">
        <f>IF($A57="","",MRP!F374)</f>
        <v/>
      </c>
      <c r="G57" s="70">
        <f>IF($A57="","",MRP!G374)</f>
        <v/>
      </c>
      <c r="H57" s="70">
        <f>IF($A57="","",MRP!H374)</f>
        <v/>
      </c>
      <c r="I57" s="70">
        <f>IF($A57="","",MRP!I374)</f>
        <v/>
      </c>
      <c r="J57" s="70">
        <f>IF($A57="","",MRP!J374)</f>
        <v/>
      </c>
      <c r="K57" s="70">
        <f>IF($A57="","",MRP!K374)</f>
        <v/>
      </c>
      <c r="L57" s="70">
        <f>IF($A57="","",MRP!L374)</f>
        <v/>
      </c>
      <c r="M57" s="71">
        <f>IF($A57="","",SUM(E57:L57))</f>
        <v/>
      </c>
      <c r="N57" s="72">
        <f>IF(ISNUMBER(D57),M57*D57,"")</f>
        <v/>
      </c>
      <c r="O57" s="73">
        <f>MRP!M374</f>
        <v/>
      </c>
    </row>
    <row r="58">
      <c r="A58" s="49">
        <f>IF(Materiales!$A$57="","",Materiales!$A$57)</f>
        <v/>
      </c>
      <c r="B58" s="48">
        <f>IF(Materiales!$B$57="","",Materiales!$B$57)</f>
        <v/>
      </c>
      <c r="C58" s="49">
        <f>IF(Materiales!$C$57="","",Materiales!$C$57)</f>
        <v/>
      </c>
      <c r="D58" s="69">
        <f>IF(Materiales!$D$57="","",Materiales!$D$57)</f>
        <v/>
      </c>
      <c r="E58" s="70">
        <f>IF($A58="","",MRP!E381)</f>
        <v/>
      </c>
      <c r="F58" s="70">
        <f>IF($A58="","",MRP!F381)</f>
        <v/>
      </c>
      <c r="G58" s="70">
        <f>IF($A58="","",MRP!G381)</f>
        <v/>
      </c>
      <c r="H58" s="70">
        <f>IF($A58="","",MRP!H381)</f>
        <v/>
      </c>
      <c r="I58" s="70">
        <f>IF($A58="","",MRP!I381)</f>
        <v/>
      </c>
      <c r="J58" s="70">
        <f>IF($A58="","",MRP!J381)</f>
        <v/>
      </c>
      <c r="K58" s="70">
        <f>IF($A58="","",MRP!K381)</f>
        <v/>
      </c>
      <c r="L58" s="70">
        <f>IF($A58="","",MRP!L381)</f>
        <v/>
      </c>
      <c r="M58" s="71">
        <f>IF($A58="","",SUM(E58:L58))</f>
        <v/>
      </c>
      <c r="N58" s="72">
        <f>IF(ISNUMBER(D58),M58*D58,"")</f>
        <v/>
      </c>
      <c r="O58" s="73">
        <f>MRP!M381</f>
        <v/>
      </c>
    </row>
    <row r="59">
      <c r="A59" s="49">
        <f>IF(Materiales!$A$58="","",Materiales!$A$58)</f>
        <v/>
      </c>
      <c r="B59" s="48">
        <f>IF(Materiales!$B$58="","",Materiales!$B$58)</f>
        <v/>
      </c>
      <c r="C59" s="49">
        <f>IF(Materiales!$C$58="","",Materiales!$C$58)</f>
        <v/>
      </c>
      <c r="D59" s="69">
        <f>IF(Materiales!$D$58="","",Materiales!$D$58)</f>
        <v/>
      </c>
      <c r="E59" s="70">
        <f>IF($A59="","",MRP!E388)</f>
        <v/>
      </c>
      <c r="F59" s="70">
        <f>IF($A59="","",MRP!F388)</f>
        <v/>
      </c>
      <c r="G59" s="70">
        <f>IF($A59="","",MRP!G388)</f>
        <v/>
      </c>
      <c r="H59" s="70">
        <f>IF($A59="","",MRP!H388)</f>
        <v/>
      </c>
      <c r="I59" s="70">
        <f>IF($A59="","",MRP!I388)</f>
        <v/>
      </c>
      <c r="J59" s="70">
        <f>IF($A59="","",MRP!J388)</f>
        <v/>
      </c>
      <c r="K59" s="70">
        <f>IF($A59="","",MRP!K388)</f>
        <v/>
      </c>
      <c r="L59" s="70">
        <f>IF($A59="","",MRP!L388)</f>
        <v/>
      </c>
      <c r="M59" s="71">
        <f>IF($A59="","",SUM(E59:L59))</f>
        <v/>
      </c>
      <c r="N59" s="72">
        <f>IF(ISNUMBER(D59),M59*D59,"")</f>
        <v/>
      </c>
      <c r="O59" s="73">
        <f>MRP!M388</f>
        <v/>
      </c>
    </row>
    <row r="60">
      <c r="A60" s="49">
        <f>IF(Materiales!$A$59="","",Materiales!$A$59)</f>
        <v/>
      </c>
      <c r="B60" s="48">
        <f>IF(Materiales!$B$59="","",Materiales!$B$59)</f>
        <v/>
      </c>
      <c r="C60" s="49">
        <f>IF(Materiales!$C$59="","",Materiales!$C$59)</f>
        <v/>
      </c>
      <c r="D60" s="69">
        <f>IF(Materiales!$D$59="","",Materiales!$D$59)</f>
        <v/>
      </c>
      <c r="E60" s="70">
        <f>IF($A60="","",MRP!E395)</f>
        <v/>
      </c>
      <c r="F60" s="70">
        <f>IF($A60="","",MRP!F395)</f>
        <v/>
      </c>
      <c r="G60" s="70">
        <f>IF($A60="","",MRP!G395)</f>
        <v/>
      </c>
      <c r="H60" s="70">
        <f>IF($A60="","",MRP!H395)</f>
        <v/>
      </c>
      <c r="I60" s="70">
        <f>IF($A60="","",MRP!I395)</f>
        <v/>
      </c>
      <c r="J60" s="70">
        <f>IF($A60="","",MRP!J395)</f>
        <v/>
      </c>
      <c r="K60" s="70">
        <f>IF($A60="","",MRP!K395)</f>
        <v/>
      </c>
      <c r="L60" s="70">
        <f>IF($A60="","",MRP!L395)</f>
        <v/>
      </c>
      <c r="M60" s="71">
        <f>IF($A60="","",SUM(E60:L60))</f>
        <v/>
      </c>
      <c r="N60" s="72">
        <f>IF(ISNUMBER(D60),M60*D60,"")</f>
        <v/>
      </c>
      <c r="O60" s="73">
        <f>MRP!M395</f>
        <v/>
      </c>
    </row>
    <row r="61">
      <c r="A61" s="49">
        <f>IF(Materiales!$A$60="","",Materiales!$A$60)</f>
        <v/>
      </c>
      <c r="B61" s="48">
        <f>IF(Materiales!$B$60="","",Materiales!$B$60)</f>
        <v/>
      </c>
      <c r="C61" s="49">
        <f>IF(Materiales!$C$60="","",Materiales!$C$60)</f>
        <v/>
      </c>
      <c r="D61" s="69">
        <f>IF(Materiales!$D$60="","",Materiales!$D$60)</f>
        <v/>
      </c>
      <c r="E61" s="70">
        <f>IF($A61="","",MRP!E402)</f>
        <v/>
      </c>
      <c r="F61" s="70">
        <f>IF($A61="","",MRP!F402)</f>
        <v/>
      </c>
      <c r="G61" s="70">
        <f>IF($A61="","",MRP!G402)</f>
        <v/>
      </c>
      <c r="H61" s="70">
        <f>IF($A61="","",MRP!H402)</f>
        <v/>
      </c>
      <c r="I61" s="70">
        <f>IF($A61="","",MRP!I402)</f>
        <v/>
      </c>
      <c r="J61" s="70">
        <f>IF($A61="","",MRP!J402)</f>
        <v/>
      </c>
      <c r="K61" s="70">
        <f>IF($A61="","",MRP!K402)</f>
        <v/>
      </c>
      <c r="L61" s="70">
        <f>IF($A61="","",MRP!L402)</f>
        <v/>
      </c>
      <c r="M61" s="71">
        <f>IF($A61="","",SUM(E61:L61))</f>
        <v/>
      </c>
      <c r="N61" s="72">
        <f>IF(ISNUMBER(D61),M61*D61,"")</f>
        <v/>
      </c>
      <c r="O61" s="73">
        <f>MRP!M402</f>
        <v/>
      </c>
    </row>
    <row r="62">
      <c r="A62" s="49">
        <f>IF(Materiales!$A$61="","",Materiales!$A$61)</f>
        <v/>
      </c>
      <c r="B62" s="48">
        <f>IF(Materiales!$B$61="","",Materiales!$B$61)</f>
        <v/>
      </c>
      <c r="C62" s="49">
        <f>IF(Materiales!$C$61="","",Materiales!$C$61)</f>
        <v/>
      </c>
      <c r="D62" s="69">
        <f>IF(Materiales!$D$61="","",Materiales!$D$61)</f>
        <v/>
      </c>
      <c r="E62" s="70">
        <f>IF($A62="","",MRP!E409)</f>
        <v/>
      </c>
      <c r="F62" s="70">
        <f>IF($A62="","",MRP!F409)</f>
        <v/>
      </c>
      <c r="G62" s="70">
        <f>IF($A62="","",MRP!G409)</f>
        <v/>
      </c>
      <c r="H62" s="70">
        <f>IF($A62="","",MRP!H409)</f>
        <v/>
      </c>
      <c r="I62" s="70">
        <f>IF($A62="","",MRP!I409)</f>
        <v/>
      </c>
      <c r="J62" s="70">
        <f>IF($A62="","",MRP!J409)</f>
        <v/>
      </c>
      <c r="K62" s="70">
        <f>IF($A62="","",MRP!K409)</f>
        <v/>
      </c>
      <c r="L62" s="70">
        <f>IF($A62="","",MRP!L409)</f>
        <v/>
      </c>
      <c r="M62" s="71">
        <f>IF($A62="","",SUM(E62:L62))</f>
        <v/>
      </c>
      <c r="N62" s="72">
        <f>IF(ISNUMBER(D62),M62*D62,"")</f>
        <v/>
      </c>
      <c r="O62" s="73">
        <f>MRP!M409</f>
        <v/>
      </c>
    </row>
    <row r="63">
      <c r="A63" s="49">
        <f>IF(Materiales!$A$62="","",Materiales!$A$62)</f>
        <v/>
      </c>
      <c r="B63" s="48">
        <f>IF(Materiales!$B$62="","",Materiales!$B$62)</f>
        <v/>
      </c>
      <c r="C63" s="49">
        <f>IF(Materiales!$C$62="","",Materiales!$C$62)</f>
        <v/>
      </c>
      <c r="D63" s="69">
        <f>IF(Materiales!$D$62="","",Materiales!$D$62)</f>
        <v/>
      </c>
      <c r="E63" s="70">
        <f>IF($A63="","",MRP!E416)</f>
        <v/>
      </c>
      <c r="F63" s="70">
        <f>IF($A63="","",MRP!F416)</f>
        <v/>
      </c>
      <c r="G63" s="70">
        <f>IF($A63="","",MRP!G416)</f>
        <v/>
      </c>
      <c r="H63" s="70">
        <f>IF($A63="","",MRP!H416)</f>
        <v/>
      </c>
      <c r="I63" s="70">
        <f>IF($A63="","",MRP!I416)</f>
        <v/>
      </c>
      <c r="J63" s="70">
        <f>IF($A63="","",MRP!J416)</f>
        <v/>
      </c>
      <c r="K63" s="70">
        <f>IF($A63="","",MRP!K416)</f>
        <v/>
      </c>
      <c r="L63" s="70">
        <f>IF($A63="","",MRP!L416)</f>
        <v/>
      </c>
      <c r="M63" s="71">
        <f>IF($A63="","",SUM(E63:L63))</f>
        <v/>
      </c>
      <c r="N63" s="72">
        <f>IF(ISNUMBER(D63),M63*D63,"")</f>
        <v/>
      </c>
      <c r="O63" s="73">
        <f>MRP!M416</f>
        <v/>
      </c>
    </row>
    <row r="64">
      <c r="A64" s="49">
        <f>IF(Materiales!$A$63="","",Materiales!$A$63)</f>
        <v/>
      </c>
      <c r="B64" s="48">
        <f>IF(Materiales!$B$63="","",Materiales!$B$63)</f>
        <v/>
      </c>
      <c r="C64" s="49">
        <f>IF(Materiales!$C$63="","",Materiales!$C$63)</f>
        <v/>
      </c>
      <c r="D64" s="69">
        <f>IF(Materiales!$D$63="","",Materiales!$D$63)</f>
        <v/>
      </c>
      <c r="E64" s="70">
        <f>IF($A64="","",MRP!E423)</f>
        <v/>
      </c>
      <c r="F64" s="70">
        <f>IF($A64="","",MRP!F423)</f>
        <v/>
      </c>
      <c r="G64" s="70">
        <f>IF($A64="","",MRP!G423)</f>
        <v/>
      </c>
      <c r="H64" s="70">
        <f>IF($A64="","",MRP!H423)</f>
        <v/>
      </c>
      <c r="I64" s="70">
        <f>IF($A64="","",MRP!I423)</f>
        <v/>
      </c>
      <c r="J64" s="70">
        <f>IF($A64="","",MRP!J423)</f>
        <v/>
      </c>
      <c r="K64" s="70">
        <f>IF($A64="","",MRP!K423)</f>
        <v/>
      </c>
      <c r="L64" s="70">
        <f>IF($A64="","",MRP!L423)</f>
        <v/>
      </c>
      <c r="M64" s="71">
        <f>IF($A64="","",SUM(E64:L64))</f>
        <v/>
      </c>
      <c r="N64" s="72">
        <f>IF(ISNUMBER(D64),M64*D64,"")</f>
        <v/>
      </c>
      <c r="O64" s="73">
        <f>MRP!M423</f>
        <v/>
      </c>
    </row>
    <row r="65">
      <c r="A65" s="49">
        <f>IF(Materiales!$A$64="","",Materiales!$A$64)</f>
        <v/>
      </c>
      <c r="B65" s="48">
        <f>IF(Materiales!$B$64="","",Materiales!$B$64)</f>
        <v/>
      </c>
      <c r="C65" s="49">
        <f>IF(Materiales!$C$64="","",Materiales!$C$64)</f>
        <v/>
      </c>
      <c r="D65" s="69">
        <f>IF(Materiales!$D$64="","",Materiales!$D$64)</f>
        <v/>
      </c>
      <c r="E65" s="70">
        <f>IF($A65="","",MRP!E430)</f>
        <v/>
      </c>
      <c r="F65" s="70">
        <f>IF($A65="","",MRP!F430)</f>
        <v/>
      </c>
      <c r="G65" s="70">
        <f>IF($A65="","",MRP!G430)</f>
        <v/>
      </c>
      <c r="H65" s="70">
        <f>IF($A65="","",MRP!H430)</f>
        <v/>
      </c>
      <c r="I65" s="70">
        <f>IF($A65="","",MRP!I430)</f>
        <v/>
      </c>
      <c r="J65" s="70">
        <f>IF($A65="","",MRP!J430)</f>
        <v/>
      </c>
      <c r="K65" s="70">
        <f>IF($A65="","",MRP!K430)</f>
        <v/>
      </c>
      <c r="L65" s="70">
        <f>IF($A65="","",MRP!L430)</f>
        <v/>
      </c>
      <c r="M65" s="71">
        <f>IF($A65="","",SUM(E65:L65))</f>
        <v/>
      </c>
      <c r="N65" s="72">
        <f>IF(ISNUMBER(D65),M65*D65,"")</f>
        <v/>
      </c>
      <c r="O65" s="73">
        <f>MRP!M430</f>
        <v/>
      </c>
    </row>
    <row r="66">
      <c r="A66" s="49">
        <f>IF(Materiales!$A$65="","",Materiales!$A$65)</f>
        <v/>
      </c>
      <c r="B66" s="48">
        <f>IF(Materiales!$B$65="","",Materiales!$B$65)</f>
        <v/>
      </c>
      <c r="C66" s="49">
        <f>IF(Materiales!$C$65="","",Materiales!$C$65)</f>
        <v/>
      </c>
      <c r="D66" s="69">
        <f>IF(Materiales!$D$65="","",Materiales!$D$65)</f>
        <v/>
      </c>
      <c r="E66" s="70">
        <f>IF($A66="","",MRP!E437)</f>
        <v/>
      </c>
      <c r="F66" s="70">
        <f>IF($A66="","",MRP!F437)</f>
        <v/>
      </c>
      <c r="G66" s="70">
        <f>IF($A66="","",MRP!G437)</f>
        <v/>
      </c>
      <c r="H66" s="70">
        <f>IF($A66="","",MRP!H437)</f>
        <v/>
      </c>
      <c r="I66" s="70">
        <f>IF($A66="","",MRP!I437)</f>
        <v/>
      </c>
      <c r="J66" s="70">
        <f>IF($A66="","",MRP!J437)</f>
        <v/>
      </c>
      <c r="K66" s="70">
        <f>IF($A66="","",MRP!K437)</f>
        <v/>
      </c>
      <c r="L66" s="70">
        <f>IF($A66="","",MRP!L437)</f>
        <v/>
      </c>
      <c r="M66" s="71">
        <f>IF($A66="","",SUM(E66:L66))</f>
        <v/>
      </c>
      <c r="N66" s="72">
        <f>IF(ISNUMBER(D66),M66*D66,"")</f>
        <v/>
      </c>
      <c r="O66" s="73">
        <f>MRP!M437</f>
        <v/>
      </c>
    </row>
    <row r="67">
      <c r="A67" s="49">
        <f>IF(Materiales!$A$66="","",Materiales!$A$66)</f>
        <v/>
      </c>
      <c r="B67" s="48">
        <f>IF(Materiales!$B$66="","",Materiales!$B$66)</f>
        <v/>
      </c>
      <c r="C67" s="49">
        <f>IF(Materiales!$C$66="","",Materiales!$C$66)</f>
        <v/>
      </c>
      <c r="D67" s="69">
        <f>IF(Materiales!$D$66="","",Materiales!$D$66)</f>
        <v/>
      </c>
      <c r="E67" s="70">
        <f>IF($A67="","",MRP!E444)</f>
        <v/>
      </c>
      <c r="F67" s="70">
        <f>IF($A67="","",MRP!F444)</f>
        <v/>
      </c>
      <c r="G67" s="70">
        <f>IF($A67="","",MRP!G444)</f>
        <v/>
      </c>
      <c r="H67" s="70">
        <f>IF($A67="","",MRP!H444)</f>
        <v/>
      </c>
      <c r="I67" s="70">
        <f>IF($A67="","",MRP!I444)</f>
        <v/>
      </c>
      <c r="J67" s="70">
        <f>IF($A67="","",MRP!J444)</f>
        <v/>
      </c>
      <c r="K67" s="70">
        <f>IF($A67="","",MRP!K444)</f>
        <v/>
      </c>
      <c r="L67" s="70">
        <f>IF($A67="","",MRP!L444)</f>
        <v/>
      </c>
      <c r="M67" s="71">
        <f>IF($A67="","",SUM(E67:L67))</f>
        <v/>
      </c>
      <c r="N67" s="72">
        <f>IF(ISNUMBER(D67),M67*D67,"")</f>
        <v/>
      </c>
      <c r="O67" s="73">
        <f>MRP!M444</f>
        <v/>
      </c>
    </row>
    <row r="68">
      <c r="A68" s="74" t="inlineStr">
        <is>
          <t>TOTAL A COMPRAR EN EL HORIZONTE</t>
        </is>
      </c>
      <c r="B68" s="78" t="n"/>
      <c r="C68" s="78" t="n"/>
      <c r="D68" s="79" t="n"/>
      <c r="E68" s="75">
        <f>SUM(E5:E67)</f>
        <v/>
      </c>
      <c r="F68" s="75">
        <f>SUM(F5:F67)</f>
        <v/>
      </c>
      <c r="G68" s="75">
        <f>SUM(G5:G67)</f>
        <v/>
      </c>
      <c r="H68" s="75">
        <f>SUM(H5:H67)</f>
        <v/>
      </c>
      <c r="I68" s="75">
        <f>SUM(I5:I67)</f>
        <v/>
      </c>
      <c r="J68" s="75">
        <f>SUM(J5:J67)</f>
        <v/>
      </c>
      <c r="K68" s="75">
        <f>SUM(K5:K67)</f>
        <v/>
      </c>
      <c r="L68" s="75">
        <f>SUM(L5:L67)</f>
        <v/>
      </c>
      <c r="M68" s="75">
        <f>SUM(M5:M67)</f>
        <v/>
      </c>
      <c r="N68" s="76">
        <f>SUM(N5:N67)</f>
        <v/>
      </c>
      <c r="O68" s="77" t="n"/>
    </row>
  </sheetData>
  <autoFilter ref="A4:O67"/>
  <mergeCells count="3">
    <mergeCell ref="A68:D68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2026-08-24T00:48:21Z</dcterms:created>
  <dcterms:modified xsi:type="dcterms:W3CDTF">2026-08-24T00:48:22Z</dcterms:modified>
</cp:coreProperties>
</file>