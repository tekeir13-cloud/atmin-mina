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" sheetId="1" state="visible" r:id="rId1"/>
    <sheet name="Materiales" sheetId="2" state="visible" r:id="rId2"/>
    <sheet name="Plan" sheetId="3" state="visible" r:id="rId3"/>
    <sheet name="Consumo" sheetId="4" state="visible" r:id="rId4"/>
    <sheet name="Inventario" sheetId="5" state="visible" r:id="rId5"/>
    <sheet name="MRP" sheetId="6" state="visible" r:id="rId6"/>
    <sheet name="Ordenes" sheetId="7" state="visible" r:id="rId7"/>
  </sheets>
  <definedNames>
    <definedName name="_xlnm._FilterDatabase" localSheetId="1" hidden="1">'Materiales'!$A$3:$J$484</definedName>
    <definedName name="_xlnm._FilterDatabase" localSheetId="4" hidden="1">'Inventario'!$A$4:$L$505</definedName>
    <definedName name="_xlnm._FilterDatabase" localSheetId="6" hidden="1">'Ordenes'!$A$4:$O$485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S/&quot; #,##0.00;(&quot;S/&quot; #,##0.00);-"/>
    <numFmt numFmtId="165" formatCode="#,##0;(#,##0);-"/>
    <numFmt numFmtId="166" formatCode="#,##0.00;(#,##0.00);-"/>
    <numFmt numFmtId="167" formatCode="yyyy-mm-dd"/>
    <numFmt numFmtId="168" formatCode="dd/mm/yyyy"/>
    <numFmt numFmtId="169" formatCode="#,##0.0000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1E7B34"/>
      <sz val="10"/>
    </font>
    <font>
      <name val="Arial"/>
      <color rgb="001F3864"/>
      <sz val="10"/>
    </font>
    <font>
      <name val="Arial"/>
      <color rgb="000000FF"/>
      <sz val="10"/>
    </font>
    <font>
      <name val="Arial"/>
      <color rgb="00C55A11"/>
      <sz val="10"/>
    </font>
    <font>
      <name val="Arial"/>
      <color rgb="001E7B34"/>
      <sz val="10"/>
    </font>
    <font>
      <name val="Arial"/>
      <color rgb="009C0006"/>
      <sz val="10"/>
    </font>
    <font>
      <name val="Arial"/>
      <b val="1"/>
      <color rgb="001F3864"/>
      <sz val="10"/>
    </font>
    <font>
      <name val="Arial"/>
      <b val="1"/>
      <color rgb="000000FF"/>
      <sz val="10"/>
    </font>
    <font>
      <name val="Arial"/>
      <i val="1"/>
      <color rgb="00808080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color rgb="001F3864"/>
      <sz val="9"/>
    </font>
    <font>
      <name val="Arial"/>
      <b val="1"/>
      <color rgb="001F3864"/>
      <sz val="9"/>
    </font>
    <font>
      <name val="Arial"/>
      <color rgb="00008000"/>
      <sz val="9"/>
    </font>
    <font>
      <name val="Arial"/>
      <color rgb="000000FF"/>
      <sz val="9"/>
    </font>
    <font>
      <name val="Arial"/>
      <color rgb="001F3864"/>
      <sz val="8"/>
    </font>
    <font>
      <name val="Arial"/>
      <color rgb="000000FF"/>
      <sz val="8"/>
    </font>
    <font>
      <name val="Arial"/>
      <b val="1"/>
      <color rgb="00C55A11"/>
      <sz val="9"/>
    </font>
    <font>
      <name val="Arial"/>
      <color rgb="00C55A11"/>
      <sz val="8"/>
    </font>
    <font>
      <name val="Arial"/>
      <b val="1"/>
      <color rgb="00008000"/>
      <sz val="10"/>
    </font>
    <font>
      <name val="Arial"/>
      <b val="1"/>
      <color rgb="00008000"/>
      <sz val="9"/>
    </font>
    <font>
      <name val="Arial"/>
      <color rgb="00008000"/>
      <sz val="10"/>
    </font>
    <font>
      <name val="Arial"/>
      <color rgb="00808080"/>
      <sz val="9"/>
    </font>
    <font>
      <name val="Arial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0F2E4D"/>
        <bgColor rgb="000F2E4D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7F9FB"/>
        <bgColor rgb="00F7F9FB"/>
      </patternFill>
    </fill>
    <fill>
      <patternFill patternType="solid">
        <fgColor rgb="00E2EFDA"/>
        <bgColor rgb="00E2EFDA"/>
      </patternFill>
    </fill>
    <fill>
      <patternFill patternType="solid">
        <fgColor rgb="00DEEAF6"/>
        <bgColor rgb="00DEEAF6"/>
      </patternFill>
    </fill>
    <fill>
      <patternFill patternType="solid">
        <fgColor rgb="00FFF2CC"/>
        <bgColor rgb="00FFF2CC"/>
      </patternFill>
    </fill>
    <fill>
      <patternFill patternType="solid">
        <fgColor rgb="00FDE9D9"/>
        <bgColor rgb="00FDE9D9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44709D"/>
        <bgColor rgb="0044709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0" fillId="7" borderId="1" pivotButton="0" quotePrefix="0" xfId="0"/>
    <xf numFmtId="0" fontId="10" fillId="0" borderId="0" applyAlignment="1" pivotButton="0" quotePrefix="0" xfId="0">
      <alignment vertical="center" wrapText="1"/>
    </xf>
    <xf numFmtId="0" fontId="0" fillId="8" borderId="1" pivotButton="0" quotePrefix="0" xfId="0"/>
    <xf numFmtId="0" fontId="11" fillId="0" borderId="0" applyAlignment="1" pivotButton="0" quotePrefix="0" xfId="0">
      <alignment vertical="center" wrapText="1"/>
    </xf>
    <xf numFmtId="0" fontId="0" fillId="9" borderId="1" pivotButton="0" quotePrefix="0" xfId="0"/>
    <xf numFmtId="0" fontId="12" fillId="0" borderId="0" applyAlignment="1" pivotButton="0" quotePrefix="0" xfId="0">
      <alignment vertical="center" wrapText="1"/>
    </xf>
    <xf numFmtId="0" fontId="0" fillId="10" borderId="1" pivotButton="0" quotePrefix="0" xfId="0"/>
    <xf numFmtId="0" fontId="0" fillId="6" borderId="1" pivotButton="0" quotePrefix="0" xfId="0"/>
    <xf numFmtId="0" fontId="13" fillId="0" borderId="0" applyAlignment="1" pivotButton="0" quotePrefix="0" xfId="0">
      <alignment vertical="center" wrapText="1"/>
    </xf>
    <xf numFmtId="0" fontId="0" fillId="11" borderId="1" pivotButton="0" quotePrefix="0" xfId="0"/>
    <xf numFmtId="0" fontId="14" fillId="0" borderId="0" applyAlignment="1" pivotButton="0" quotePrefix="0" xfId="0">
      <alignment vertical="center" wrapText="1"/>
    </xf>
    <xf numFmtId="0" fontId="15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165" fontId="11" fillId="8" borderId="1" applyAlignment="1" pivotButton="0" quotePrefix="0" xfId="0">
      <alignment horizontal="center" vertical="center"/>
    </xf>
    <xf numFmtId="166" fontId="11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168" fontId="16" fillId="8" borderId="1" applyAlignment="1" pivotButton="0" quotePrefix="0" xfId="0">
      <alignment horizontal="center" vertical="center"/>
    </xf>
    <xf numFmtId="0" fontId="17" fillId="0" borderId="0" pivotButton="0" quotePrefix="0" xfId="0"/>
    <xf numFmtId="168" fontId="18" fillId="10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 wrapText="1"/>
    </xf>
    <xf numFmtId="166" fontId="4" fillId="10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 wrapText="1"/>
    </xf>
    <xf numFmtId="0" fontId="19" fillId="12" borderId="0" applyAlignment="1" pivotButton="0" quotePrefix="0" xfId="0">
      <alignment horizontal="left" vertical="center" indent="1"/>
    </xf>
    <xf numFmtId="0" fontId="0" fillId="12" borderId="0" pivotButton="0" quotePrefix="0" xfId="0"/>
    <xf numFmtId="0" fontId="20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center" vertical="center"/>
    </xf>
    <xf numFmtId="169" fontId="23" fillId="8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left" vertical="center" wrapText="1"/>
    </xf>
    <xf numFmtId="166" fontId="7" fillId="10" borderId="1" applyAlignment="1" pivotButton="0" quotePrefix="0" xfId="0">
      <alignment horizontal="center" vertical="center"/>
    </xf>
    <xf numFmtId="169" fontId="21" fillId="7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 wrapText="1"/>
    </xf>
    <xf numFmtId="169" fontId="26" fillId="9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left" vertical="center" wrapText="1"/>
    </xf>
    <xf numFmtId="168" fontId="29" fillId="10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28" fillId="4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indent="1"/>
    </xf>
    <xf numFmtId="166" fontId="31" fillId="10" borderId="1" applyAlignment="1" pivotButton="0" quotePrefix="0" xfId="0">
      <alignment horizontal="center" vertical="center"/>
    </xf>
    <xf numFmtId="166" fontId="7" fillId="10" borderId="1" applyAlignment="1" pivotButton="0" quotePrefix="0" xfId="0">
      <alignment horizontal="center" vertical="center"/>
    </xf>
    <xf numFmtId="0" fontId="0" fillId="0" borderId="1" pivotButton="0" quotePrefix="0" xfId="0"/>
    <xf numFmtId="166" fontId="8" fillId="4" borderId="1" applyAlignment="1" pivotButton="0" quotePrefix="0" xfId="0">
      <alignment horizontal="center" vertical="center"/>
    </xf>
    <xf numFmtId="166" fontId="32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indent="1"/>
    </xf>
    <xf numFmtId="166" fontId="9" fillId="6" borderId="1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/>
    </xf>
    <xf numFmtId="164" fontId="30" fillId="10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center" vertical="center"/>
    </xf>
    <xf numFmtId="166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right" vertical="center" indent="1"/>
    </xf>
    <xf numFmtId="166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dxfs count="1">
    <dxf>
      <font>
        <name val="Arial"/>
        <b val="1"/>
        <color rgb="009C0006"/>
        <sz val="9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E4D"/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46" customWidth="1" min="3" max="3"/>
    <col width="40" customWidth="1" min="4" max="4"/>
    <col width="44" customWidth="1" min="5" max="5"/>
  </cols>
  <sheetData>
    <row r="1" ht="26" customHeight="1">
      <c r="A1" s="1" t="inlineStr">
        <is>
          <t>MRP — Planificacion de Requerimientos de Materiales  |  ATMIN / MukiCloud</t>
        </is>
      </c>
    </row>
    <row r="2" ht="18" customHeight="1">
      <c r="A2" s="2" t="inlineStr">
        <is>
          <t>Los 481 items del maestro (productos + explosivos) ya vienen cargados con codigo, unidad, almacen y precio. Llena solo las celdas amarillas.</t>
        </is>
      </c>
    </row>
    <row r="4" ht="22" customHeight="1">
      <c r="B4" s="3" t="inlineStr">
        <is>
          <t>1.  Que responde un MRP</t>
        </is>
      </c>
    </row>
    <row r="6" ht="15" customHeight="1">
      <c r="B6" s="4" t="inlineStr">
        <is>
          <t>QUE material pedir, CUANTO pedir y CUANDO lanzar el pedido para que llegue a tiempo.</t>
        </is>
      </c>
    </row>
    <row r="8" ht="15" customHeight="1">
      <c r="B8" s="5" t="inlineStr">
        <is>
          <t>Necesidad neta  =  Necesidad bruta  −  Stock disponible  −  Ordenes en transito  +  Stock de seguridad</t>
        </is>
      </c>
    </row>
    <row r="9" ht="15" customHeight="1">
      <c r="B9" s="5" t="inlineStr">
        <is>
          <t>Fecha de pedido  =  Semana en que se necesita  −  Lead time del proveedor</t>
        </is>
      </c>
    </row>
    <row r="11" ht="22" customHeight="1">
      <c r="B11" s="3" t="inlineStr">
        <is>
          <t>2.  Orden de llenado</t>
        </is>
      </c>
    </row>
    <row r="13" ht="22" customHeight="1">
      <c r="A13" s="6" t="inlineStr">
        <is>
          <t>Paso</t>
        </is>
      </c>
      <c r="B13" s="6" t="inlineStr">
        <is>
          <t>Pestaña</t>
        </is>
      </c>
      <c r="C13" s="6" t="inlineStr">
        <is>
          <t>Que llenas ahi</t>
        </is>
      </c>
      <c r="D13" s="6" t="inlineStr">
        <is>
          <t>Ya viene cargado</t>
        </is>
      </c>
      <c r="E13" s="6" t="inlineStr">
        <is>
          <t>Ojo con esto</t>
        </is>
      </c>
    </row>
    <row r="14" ht="66" customHeight="1">
      <c r="A14" s="7" t="inlineStr">
        <is>
          <t>1</t>
        </is>
      </c>
      <c r="B14" s="8" t="inlineStr">
        <is>
          <t>Materiales</t>
        </is>
      </c>
      <c r="C14" s="9" t="inlineStr">
        <is>
          <t>Proveedor, lead time, lote de compra y stock de seguridad. El precio solo donde falte.</t>
        </is>
      </c>
      <c r="D14" s="9" t="inlineStr">
        <is>
          <t>Los 481 items del maestro: codigo, producto, unidad, almacen y precio.</t>
        </is>
      </c>
      <c r="E14" s="9" t="inlineStr">
        <is>
          <t>LEAD TIME en SEMANAS enteras. LOTE = multiplo de compra; en 0 se pide la cantidad exacta. Hay items del maestro sin precio: esos quedan en amarillo.</t>
        </is>
      </c>
    </row>
    <row r="15" ht="66" customHeight="1">
      <c r="A15" s="10" t="inlineStr">
        <is>
          <t>2</t>
        </is>
      </c>
      <c r="B15" s="11" t="inlineStr">
        <is>
          <t>Plan</t>
        </is>
      </c>
      <c r="C15" s="12" t="inlineStr">
        <is>
          <t>Metros de avance por frente y semana, y la fecha de inicio de la Semana 1.</t>
        </is>
      </c>
      <c r="D15" s="12" t="inlineStr">
        <is>
          <t>Tus 6 frentes.</t>
        </is>
      </c>
      <c r="E15" s="12" t="inlineStr">
        <is>
          <t>Trabaja en multiplos de 1.5 m (un disparo) para que las semanas cierren en disparos enteros.</t>
        </is>
      </c>
    </row>
    <row r="16" ht="66" customHeight="1">
      <c r="A16" s="7" t="inlineStr">
        <is>
          <t>3</t>
        </is>
      </c>
      <c r="B16" s="8" t="inlineStr">
        <is>
          <t>Consumo</t>
        </is>
      </c>
      <c r="C16" s="9" t="inlineStr">
        <is>
          <t>EL CORAZON DEL MRP: por cada frente, TODO lo que se consume para avanzar UN METRO. Perforacion, voladura, sostenimiento, ventilacion y servicios.</t>
        </is>
      </c>
      <c r="D16" s="9" t="inlineStr">
        <is>
          <t>Un bloque por frente con 30 renglones, y en Brenda y CRNE la lista de productos ya puesta para que solo escribas el consumo.</t>
        </is>
      </c>
      <c r="E16" s="9" t="inlineStr">
        <is>
          <t>Todo va POR METRO. Si tu dato es por disparo, dividelo entre 1.5. Saca los numeros del consumo real del Compresorista: consumo del mes / metros del mes.</t>
        </is>
      </c>
    </row>
    <row r="17" ht="66" customHeight="1">
      <c r="A17" s="10" t="inlineStr">
        <is>
          <t>4</t>
        </is>
      </c>
      <c r="B17" s="11" t="inlineStr">
        <is>
          <t>Inventario</t>
        </is>
      </c>
      <c r="C17" s="12" t="inlineStr">
        <is>
          <t>El stock actual de cada item y las ordenes ya emitidas, en la semana en que llegaran.</t>
        </is>
      </c>
      <c r="D17" s="12" t="inlineStr">
        <is>
          <t>Los 481 codigos, listos para poner el stock al costado.</t>
        </is>
      </c>
      <c r="E17" s="12" t="inlineStr">
        <is>
          <t>Este maestro NO trae stock: hay que cargarlo. Sin stock, el MRP asume cero y pide de mas.</t>
        </is>
      </c>
    </row>
    <row r="18" ht="66" customHeight="1">
      <c r="A18" s="7" t="inlineStr">
        <is>
          <t>—</t>
        </is>
      </c>
      <c r="B18" s="8" t="inlineStr">
        <is>
          <t>MRP</t>
        </is>
      </c>
      <c r="C18" s="9" t="inlineStr">
        <is>
          <t>NO SE LLENA. El calculo semana por semana, 6 renglones por item.</t>
        </is>
      </c>
      <c r="D18" s="9" t="inlineStr">
        <is>
          <t>Los 481 items.</t>
        </is>
      </c>
      <c r="E18" s="9" t="inlineStr">
        <is>
          <t>Renglon verde = la semana en que debes pedir. Stock proyectado en rojo = quiebre.</t>
        </is>
      </c>
    </row>
    <row r="19" ht="66" customHeight="1">
      <c r="A19" s="10" t="inlineStr">
        <is>
          <t>—</t>
        </is>
      </c>
      <c r="B19" s="11" t="inlineStr">
        <is>
          <t>Ordenes</t>
        </is>
      </c>
      <c r="C19" s="12" t="inlineStr">
        <is>
          <t>NO SE LLENA. El resumen de compra para Logistica.</t>
        </is>
      </c>
      <c r="D19" s="12" t="inlineStr">
        <is>
          <t>—</t>
        </is>
      </c>
      <c r="E19" s="12" t="inlineStr">
        <is>
          <t>Filtra la columna Total a pedir para ver solo lo que hay que comprar.</t>
        </is>
      </c>
    </row>
    <row r="21" ht="22" customHeight="1">
      <c r="B21" s="3" t="inlineStr">
        <is>
          <t>3.  Como sacar el consumo por metro (los tres casos)</t>
        </is>
      </c>
    </row>
    <row r="23" ht="26" customHeight="1">
      <c r="B23" s="13" t="inlineStr">
        <is>
          <t>Dato por disparo</t>
        </is>
      </c>
      <c r="C23" s="14" t="inlineStr">
        <is>
          <t>Divide entre 1.5.  Ej: 11 pernos por disparo  -&gt;  11/1.5 = 7.33 pernos por metro.</t>
        </is>
      </c>
    </row>
    <row r="24" ht="26" customHeight="1">
      <c r="B24" s="13" t="inlineStr">
        <is>
          <t>Dato por avance</t>
        </is>
      </c>
      <c r="C24" s="14" t="inlineStr">
        <is>
          <t>Divide entre los metros que cubre.  Ej: 1 malla cada 2 m  -&gt;  1/2 = 0.5 mallas por metro.</t>
        </is>
      </c>
    </row>
    <row r="25" ht="26" customHeight="1">
      <c r="B25" s="13" t="inlineStr">
        <is>
          <t>Consumo historico</t>
        </is>
      </c>
      <c r="C25" s="14" t="inlineStr">
        <is>
          <t>Toma el consumo real de un mes y divide entre los metros de ese mes. Es el metodo mas confiable para brocas, barrenos y aceites.</t>
        </is>
      </c>
    </row>
    <row r="27" ht="22" customHeight="1">
      <c r="B27" s="3" t="inlineStr">
        <is>
          <t>4.  Los 6 renglones de cada item en la hoja MRP</t>
        </is>
      </c>
    </row>
    <row r="29" ht="26" customHeight="1">
      <c r="B29" s="15" t="inlineStr">
        <is>
          <t>Necesidad bruta</t>
        </is>
      </c>
      <c r="C29" s="14" t="inlineStr">
        <is>
          <t>Lo que el plan consume esa semana = metros del frente x consumo por metro.</t>
        </is>
      </c>
    </row>
    <row r="30" ht="26" customHeight="1">
      <c r="B30" s="15" t="inlineStr">
        <is>
          <t>Recepciones programadas</t>
        </is>
      </c>
      <c r="C30" s="14" t="inlineStr">
        <is>
          <t>Lo que YA esta pedido y llega esa semana.</t>
        </is>
      </c>
    </row>
    <row r="31" ht="26" customHeight="1">
      <c r="B31" s="15" t="inlineStr">
        <is>
          <t>Stock proyectado disponible</t>
        </is>
      </c>
      <c r="C31" s="14" t="inlineStr">
        <is>
          <t>Lo que quedara al cerrar la semana. En rojo = quiebre.</t>
        </is>
      </c>
    </row>
    <row r="32" ht="26" customHeight="1">
      <c r="B32" s="15" t="inlineStr">
        <is>
          <t>Necesidad neta</t>
        </is>
      </c>
      <c r="C32" s="14" t="inlineStr">
        <is>
          <t>Lo que falta comprar, descontado el stock y lo que viene en camino.</t>
        </is>
      </c>
    </row>
    <row r="33" ht="26" customHeight="1">
      <c r="B33" s="15" t="inlineStr">
        <is>
          <t>Recepcion de orden planificada</t>
        </is>
      </c>
      <c r="C33" s="14" t="inlineStr">
        <is>
          <t>La necesidad neta redondeada al lote. Lo que debe LLEGAR esa semana.</t>
        </is>
      </c>
    </row>
    <row r="34" ht="26" customHeight="1">
      <c r="B34" s="16" t="inlineStr">
        <is>
          <t>LANZAMIENTO DE ORDEN</t>
        </is>
      </c>
      <c r="C34" s="14" t="inlineStr">
        <is>
          <t>La misma cantidad corrida hacia atras por el lead time. ES CUANDO DEBES PEDIR.</t>
        </is>
      </c>
    </row>
    <row r="36" ht="22" customHeight="1">
      <c r="B36" s="3" t="inlineStr">
        <is>
          <t>5.  Leyenda de colores</t>
        </is>
      </c>
    </row>
    <row r="38">
      <c r="B38" s="17" t="n"/>
      <c r="C38" s="18" t="inlineStr">
        <is>
          <t>Dato del maestro: ya viene cargado</t>
        </is>
      </c>
    </row>
    <row r="39">
      <c r="B39" s="19" t="n"/>
      <c r="C39" s="20" t="inlineStr">
        <is>
          <t>Celda que TU llenas</t>
        </is>
      </c>
    </row>
    <row r="40">
      <c r="B40" s="21" t="n"/>
      <c r="C40" s="22" t="inlineStr">
        <is>
          <t>SUPUESTO mio — confirmalo</t>
        </is>
      </c>
    </row>
    <row r="41">
      <c r="B41" s="23" t="n"/>
      <c r="C41" s="4" t="inlineStr">
        <is>
          <t>Celda calculada: no la toques</t>
        </is>
      </c>
    </row>
    <row r="42">
      <c r="B42" s="24" t="n"/>
      <c r="C42" s="25" t="inlineStr">
        <is>
          <t>La orden que debes lanzar</t>
        </is>
      </c>
    </row>
    <row r="43">
      <c r="B43" s="26" t="n"/>
      <c r="C43" s="27" t="inlineStr">
        <is>
          <t>Rojo = quiebre de stock esa semana</t>
        </is>
      </c>
    </row>
    <row r="45" ht="22" customHeight="1">
      <c r="B45" s="3" t="inlineStr">
        <is>
          <t>6.  Supuestos</t>
        </is>
      </c>
    </row>
    <row r="47" ht="15" customHeight="1">
      <c r="B47" s="4" t="inlineStr">
        <is>
          <t>•  Horizonte de 8 semanas. La Semana 1 arranca en la fecha de la hoja Plan (celda C3).</t>
        </is>
      </c>
    </row>
    <row r="48" ht="15" customHeight="1">
      <c r="B48" s="4" t="inlineStr">
        <is>
          <t>•  Moneda: Soles (S/).  Un disparo = 1.5 m de avance.</t>
        </is>
      </c>
    </row>
    <row r="49" ht="15" customHeight="1">
      <c r="B49" s="4" t="inlineStr">
        <is>
          <t>•  Fuente: maestro_productos_20260823.xlsx — 481 productos y explosivos, con precio.</t>
        </is>
      </c>
    </row>
    <row r="50" ht="15" customHeight="1">
      <c r="B50" s="4" t="inlineStr">
        <is>
          <t>•  El maestro no trae stock ni lead times: esos campos son tuyos.</t>
        </is>
      </c>
    </row>
    <row r="51" ht="30" customHeight="1">
      <c r="B51" s="4" t="inlineStr">
        <is>
          <t>•  Cada hoja lleva una columna clave oculta que antepone # al codigo. Es para que Excel compare los codigos como texto y no los interprete como fecha o numero. No la borres.</t>
        </is>
      </c>
    </row>
  </sheetData>
  <mergeCells count="31">
    <mergeCell ref="B9:E9"/>
    <mergeCell ref="C41:E41"/>
    <mergeCell ref="B49:E49"/>
    <mergeCell ref="C31:E31"/>
    <mergeCell ref="B6:E6"/>
    <mergeCell ref="C40:E40"/>
    <mergeCell ref="A1:E1"/>
    <mergeCell ref="B51:E51"/>
    <mergeCell ref="C43:E43"/>
    <mergeCell ref="B36:E36"/>
    <mergeCell ref="B45:E45"/>
    <mergeCell ref="B4:E4"/>
    <mergeCell ref="B50:E50"/>
    <mergeCell ref="C23:E23"/>
    <mergeCell ref="C39:E39"/>
    <mergeCell ref="B47:E47"/>
    <mergeCell ref="C32:E32"/>
    <mergeCell ref="C38:E38"/>
    <mergeCell ref="B27:E27"/>
    <mergeCell ref="A2:E2"/>
    <mergeCell ref="B21:E21"/>
    <mergeCell ref="B48:E48"/>
    <mergeCell ref="B11:E11"/>
    <mergeCell ref="C30:E30"/>
    <mergeCell ref="C34:E34"/>
    <mergeCell ref="C24:E24"/>
    <mergeCell ref="C42:E42"/>
    <mergeCell ref="C33:E33"/>
    <mergeCell ref="B8:E8"/>
    <mergeCell ref="C29:E29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F2CC"/>
    <outlinePr summaryBelow="1" summaryRight="1"/>
    <pageSetUpPr/>
  </sheetPr>
  <dimension ref="A1:K4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8" customWidth="1" min="3" max="3"/>
    <col width="13" customWidth="1" min="4" max="4"/>
    <col width="18" customWidth="1" min="5" max="5"/>
    <col width="12" customWidth="1" min="6" max="6"/>
    <col width="13" customWidth="1" min="7" max="7"/>
    <col width="13" customWidth="1" min="8" max="8"/>
    <col width="15" customWidth="1" min="9" max="9"/>
    <col width="30" customWidth="1" min="10" max="10"/>
    <col hidden="1" width="12" customWidth="1" min="11" max="11"/>
  </cols>
  <sheetData>
    <row r="1" ht="26" customHeight="1">
      <c r="A1" s="1" t="inlineStr">
        <is>
          <t>PASO 1 — Maestro de items (481)</t>
        </is>
      </c>
    </row>
    <row r="2" ht="18" customHeight="1">
      <c r="A2" s="2" t="inlineStr">
        <is>
          <t>Azul = del maestro. Amarillo = lo llenas tu. Usa el filtro de la fila 3 para ubicar un item.</t>
        </is>
      </c>
    </row>
    <row r="3" ht="32" customHeight="1">
      <c r="A3" s="6" t="inlineStr">
        <is>
          <t>Codigo</t>
        </is>
      </c>
      <c r="B3" s="6" t="inlineStr">
        <is>
          <t>Producto</t>
        </is>
      </c>
      <c r="C3" s="6" t="inlineStr">
        <is>
          <t>Unidad</t>
        </is>
      </c>
      <c r="D3" s="6" t="inlineStr">
        <is>
          <t>Precio (S/)</t>
        </is>
      </c>
      <c r="E3" s="6" t="inlineStr">
        <is>
          <t>Proveedor</t>
        </is>
      </c>
      <c r="F3" s="6" t="inlineStr">
        <is>
          <t>Lead time (semanas)</t>
        </is>
      </c>
      <c r="G3" s="6" t="inlineStr">
        <is>
          <t>Lote de compra</t>
        </is>
      </c>
      <c r="H3" s="6" t="inlineStr">
        <is>
          <t>Stock de seguridad</t>
        </is>
      </c>
      <c r="I3" s="6" t="inlineStr">
        <is>
          <t>Almacen</t>
        </is>
      </c>
      <c r="J3" s="6" t="inlineStr">
        <is>
          <t>Notas</t>
        </is>
      </c>
      <c r="K3" s="6" t="inlineStr">
        <is>
          <t>clave</t>
        </is>
      </c>
    </row>
    <row r="4">
      <c r="A4" s="28" t="inlineStr">
        <is>
          <t>1</t>
        </is>
      </c>
      <c r="B4" s="29" t="inlineStr">
        <is>
          <t>FRENO 7/8 HEXÁGONAL  RNS53F-36A</t>
        </is>
      </c>
      <c r="C4" s="30" t="inlineStr">
        <is>
          <t>PZA</t>
        </is>
      </c>
      <c r="D4" s="31" t="n">
        <v>221.41</v>
      </c>
      <c r="E4" s="32" t="n"/>
      <c r="F4" s="33" t="n"/>
      <c r="G4" s="34" t="n"/>
      <c r="H4" s="34" t="n"/>
      <c r="I4" s="30" t="inlineStr">
        <is>
          <t>Mantenimiento</t>
        </is>
      </c>
      <c r="J4" s="32" t="n"/>
      <c r="K4" s="35">
        <f>IF(A4="","","#"&amp;A4)</f>
        <v/>
      </c>
    </row>
    <row r="5">
      <c r="A5" s="28" t="inlineStr">
        <is>
          <t>2</t>
        </is>
      </c>
      <c r="B5" s="29" t="inlineStr">
        <is>
          <t>PERNO SUJETADOR   RNS53F-36TA</t>
        </is>
      </c>
      <c r="C5" s="30" t="inlineStr">
        <is>
          <t>PZA</t>
        </is>
      </c>
      <c r="D5" s="31" t="n">
        <v>149.31</v>
      </c>
      <c r="E5" s="32" t="n"/>
      <c r="F5" s="33" t="n"/>
      <c r="G5" s="34" t="n"/>
      <c r="H5" s="34" t="n"/>
      <c r="I5" s="30" t="inlineStr">
        <is>
          <t>Mantenimiento</t>
        </is>
      </c>
      <c r="J5" s="32" t="n"/>
      <c r="K5" s="35">
        <f>IF(A5="","","#"&amp;A5)</f>
        <v/>
      </c>
    </row>
    <row r="6">
      <c r="A6" s="28" t="inlineStr">
        <is>
          <t>3</t>
        </is>
      </c>
      <c r="B6" s="29" t="inlineStr">
        <is>
          <t>ANILLOS (2)   RNORP-214B</t>
        </is>
      </c>
      <c r="C6" s="30" t="inlineStr">
        <is>
          <t>PZA</t>
        </is>
      </c>
      <c r="D6" s="31" t="n">
        <v>3.8</v>
      </c>
      <c r="E6" s="32" t="n"/>
      <c r="F6" s="33" t="n"/>
      <c r="G6" s="34" t="n"/>
      <c r="H6" s="34" t="n"/>
      <c r="I6" s="30" t="inlineStr">
        <is>
          <t>Mantenimiento</t>
        </is>
      </c>
      <c r="J6" s="32" t="n"/>
      <c r="K6" s="35">
        <f>IF(A6="","","#"&amp;A6)</f>
        <v/>
      </c>
    </row>
    <row r="7">
      <c r="A7" s="28" t="inlineStr">
        <is>
          <t>4</t>
        </is>
      </c>
      <c r="B7" s="29" t="inlineStr">
        <is>
          <t>TUERCA DEL FRENO (2)   RNS53F-36N</t>
        </is>
      </c>
      <c r="C7" s="30" t="inlineStr">
        <is>
          <t>PZA</t>
        </is>
      </c>
      <c r="D7" s="31" t="n">
        <v>20.48</v>
      </c>
      <c r="E7" s="32" t="n"/>
      <c r="F7" s="33" t="n"/>
      <c r="G7" s="34" t="n"/>
      <c r="H7" s="34" t="n"/>
      <c r="I7" s="30" t="inlineStr">
        <is>
          <t>Mantenimiento</t>
        </is>
      </c>
      <c r="J7" s="32" t="n"/>
      <c r="K7" s="35">
        <f>IF(A7="","","#"&amp;A7)</f>
        <v/>
      </c>
    </row>
    <row r="8">
      <c r="A8" s="28" t="inlineStr">
        <is>
          <t>5</t>
        </is>
      </c>
      <c r="B8" s="29" t="inlineStr">
        <is>
          <t>PARTE DELANTERA (TROMPA)   RNS58F-17FC</t>
        </is>
      </c>
      <c r="C8" s="30" t="inlineStr">
        <is>
          <t>PZA</t>
        </is>
      </c>
      <c r="D8" s="31" t="n">
        <v>2208</v>
      </c>
      <c r="E8" s="32" t="n"/>
      <c r="F8" s="33" t="n"/>
      <c r="G8" s="34" t="n"/>
      <c r="H8" s="34" t="n"/>
      <c r="I8" s="30" t="inlineStr">
        <is>
          <t>Mantenimiento</t>
        </is>
      </c>
      <c r="J8" s="32" t="n"/>
      <c r="K8" s="35">
        <f>IF(A8="","","#"&amp;A8)</f>
        <v/>
      </c>
    </row>
    <row r="9">
      <c r="A9" s="28" t="inlineStr">
        <is>
          <t>6</t>
        </is>
      </c>
      <c r="B9" s="29" t="inlineStr">
        <is>
          <t>PERNO PASADOR   RNS58F-36K</t>
        </is>
      </c>
      <c r="C9" s="30" t="inlineStr">
        <is>
          <t>PZA</t>
        </is>
      </c>
      <c r="D9" s="31" t="n">
        <v>18.53</v>
      </c>
      <c r="E9" s="32" t="n"/>
      <c r="F9" s="33" t="n"/>
      <c r="G9" s="34" t="n"/>
      <c r="H9" s="34" t="n"/>
      <c r="I9" s="30" t="inlineStr">
        <is>
          <t>Mantenimiento</t>
        </is>
      </c>
      <c r="J9" s="32" t="n"/>
      <c r="K9" s="35">
        <f>IF(A9="","","#"&amp;A9)</f>
        <v/>
      </c>
    </row>
    <row r="10">
      <c r="A10" s="28" t="inlineStr">
        <is>
          <t>7</t>
        </is>
      </c>
      <c r="B10" s="29" t="inlineStr">
        <is>
          <t>TUERCA TORNILLO LATERAL   RNS58-3N</t>
        </is>
      </c>
      <c r="C10" s="30" t="inlineStr">
        <is>
          <t>PZA</t>
        </is>
      </c>
      <c r="D10" s="31" t="n">
        <v>52.13</v>
      </c>
      <c r="E10" s="32" t="n"/>
      <c r="F10" s="33" t="n"/>
      <c r="G10" s="34" t="n"/>
      <c r="H10" s="34" t="n"/>
      <c r="I10" s="30" t="inlineStr">
        <is>
          <t>Mantenimiento</t>
        </is>
      </c>
      <c r="J10" s="32" t="n"/>
      <c r="K10" s="35">
        <f>IF(A10="","","#"&amp;A10)</f>
        <v/>
      </c>
    </row>
    <row r="11">
      <c r="A11" s="28" t="inlineStr">
        <is>
          <t>8</t>
        </is>
      </c>
      <c r="B11" s="29" t="inlineStr">
        <is>
          <t>ARANDELA (2)   RND73-3S</t>
        </is>
      </c>
      <c r="C11" s="30" t="inlineStr">
        <is>
          <t>PZA</t>
        </is>
      </c>
      <c r="D11" s="31" t="n">
        <v>13.91</v>
      </c>
      <c r="E11" s="32" t="n"/>
      <c r="F11" s="33" t="n"/>
      <c r="G11" s="34" t="n"/>
      <c r="H11" s="34" t="n"/>
      <c r="I11" s="30" t="inlineStr">
        <is>
          <t>Mantenimiento</t>
        </is>
      </c>
      <c r="J11" s="32" t="n"/>
      <c r="K11" s="35">
        <f>IF(A11="","","#"&amp;A11)</f>
        <v/>
      </c>
    </row>
    <row r="12">
      <c r="A12" s="28" t="inlineStr">
        <is>
          <t>9</t>
        </is>
      </c>
      <c r="B12" s="29" t="inlineStr">
        <is>
          <t>PERNO GUÍA   RNS53F-36P</t>
        </is>
      </c>
      <c r="C12" s="30" t="inlineStr">
        <is>
          <t>PZA</t>
        </is>
      </c>
      <c r="D12" s="31" t="n">
        <v>45.29</v>
      </c>
      <c r="E12" s="32" t="n"/>
      <c r="F12" s="33" t="n"/>
      <c r="G12" s="34" t="n"/>
      <c r="H12" s="34" t="n"/>
      <c r="I12" s="30" t="inlineStr">
        <is>
          <t>Mantenimiento</t>
        </is>
      </c>
      <c r="J12" s="32" t="n"/>
      <c r="K12" s="35">
        <f>IF(A12="","","#"&amp;A12)</f>
        <v/>
      </c>
    </row>
    <row r="13">
      <c r="A13" s="28" t="inlineStr">
        <is>
          <t>10</t>
        </is>
      </c>
      <c r="B13" s="29" t="inlineStr">
        <is>
          <t>RESORTE SUJETADOR   RNS58F-36N</t>
        </is>
      </c>
      <c r="C13" s="30" t="inlineStr">
        <is>
          <t>PZA</t>
        </is>
      </c>
      <c r="D13" s="31" t="n">
        <v>24.15</v>
      </c>
      <c r="E13" s="32" t="n"/>
      <c r="F13" s="33" t="n"/>
      <c r="G13" s="34" t="n"/>
      <c r="H13" s="34" t="n"/>
      <c r="I13" s="30" t="inlineStr">
        <is>
          <t>Mantenimiento</t>
        </is>
      </c>
      <c r="J13" s="32" t="n"/>
      <c r="K13" s="35">
        <f>IF(A13="","","#"&amp;A13)</f>
        <v/>
      </c>
    </row>
    <row r="14">
      <c r="A14" s="28" t="inlineStr">
        <is>
          <t>11</t>
        </is>
      </c>
      <c r="B14" s="29" t="inlineStr">
        <is>
          <t>ANILLO   RNORP-210B</t>
        </is>
      </c>
      <c r="C14" s="30" t="inlineStr">
        <is>
          <t>PZA</t>
        </is>
      </c>
      <c r="D14" s="31" t="n">
        <v>3.8</v>
      </c>
      <c r="E14" s="32" t="n"/>
      <c r="F14" s="33" t="n"/>
      <c r="G14" s="34" t="n"/>
      <c r="H14" s="34" t="n"/>
      <c r="I14" s="30" t="inlineStr">
        <is>
          <t>Mantenimiento</t>
        </is>
      </c>
      <c r="J14" s="32" t="n"/>
      <c r="K14" s="35">
        <f>IF(A14="","","#"&amp;A14)</f>
        <v/>
      </c>
    </row>
    <row r="15">
      <c r="A15" s="28" t="inlineStr">
        <is>
          <t>12</t>
        </is>
      </c>
      <c r="B15" s="29" t="inlineStr">
        <is>
          <t>CANDADO   RNS58F-36RA</t>
        </is>
      </c>
      <c r="C15" s="30" t="inlineStr">
        <is>
          <t>PZA</t>
        </is>
      </c>
      <c r="D15" s="31" t="n">
        <v>98.47</v>
      </c>
      <c r="E15" s="32" t="n"/>
      <c r="F15" s="33" t="n"/>
      <c r="G15" s="34" t="n"/>
      <c r="H15" s="34" t="n"/>
      <c r="I15" s="30" t="inlineStr">
        <is>
          <t>Mantenimiento</t>
        </is>
      </c>
      <c r="J15" s="32" t="n"/>
      <c r="K15" s="35">
        <f>IF(A15="","","#"&amp;A15)</f>
        <v/>
      </c>
    </row>
    <row r="16">
      <c r="A16" s="28" t="inlineStr">
        <is>
          <t>13</t>
        </is>
      </c>
      <c r="B16" s="29" t="inlineStr">
        <is>
          <t>GRASERA   RNZ1</t>
        </is>
      </c>
      <c r="C16" s="30" t="inlineStr">
        <is>
          <t>PZA</t>
        </is>
      </c>
      <c r="D16" s="31" t="n">
        <v>5.76</v>
      </c>
      <c r="E16" s="32" t="n"/>
      <c r="F16" s="33" t="n"/>
      <c r="G16" s="34" t="n"/>
      <c r="H16" s="34" t="n"/>
      <c r="I16" s="30" t="inlineStr">
        <is>
          <t>Mantenimiento</t>
        </is>
      </c>
      <c r="J16" s="32" t="n"/>
      <c r="K16" s="35">
        <f>IF(A16="","","#"&amp;A16)</f>
        <v/>
      </c>
    </row>
    <row r="17">
      <c r="A17" s="28" t="inlineStr">
        <is>
          <t>14</t>
        </is>
      </c>
      <c r="B17" s="29" t="inlineStr">
        <is>
          <t>BROQUERO BOCINA 7/8"   RNS58F-7TLB</t>
        </is>
      </c>
      <c r="C17" s="30" t="inlineStr">
        <is>
          <t>PZA</t>
        </is>
      </c>
      <c r="D17" s="31" t="n">
        <v>120.54</v>
      </c>
      <c r="E17" s="32" t="n"/>
      <c r="F17" s="33" t="n"/>
      <c r="G17" s="34" t="n"/>
      <c r="H17" s="34" t="n"/>
      <c r="I17" s="30" t="inlineStr">
        <is>
          <t>Mantenimiento</t>
        </is>
      </c>
      <c r="J17" s="32" t="n"/>
      <c r="K17" s="35">
        <f>IF(A17="","","#"&amp;A17)</f>
        <v/>
      </c>
    </row>
    <row r="18">
      <c r="A18" s="28" t="inlineStr">
        <is>
          <t>15</t>
        </is>
      </c>
      <c r="B18" s="29" t="inlineStr">
        <is>
          <t>PORTABROQUERO  RNS58F-7DA</t>
        </is>
      </c>
      <c r="C18" s="30" t="inlineStr">
        <is>
          <t>PZA</t>
        </is>
      </c>
      <c r="D18" s="31" t="n">
        <v>386.78</v>
      </c>
      <c r="E18" s="32" t="n"/>
      <c r="F18" s="33" t="n"/>
      <c r="G18" s="34" t="n"/>
      <c r="H18" s="34" t="n"/>
      <c r="I18" s="30" t="inlineStr">
        <is>
          <t>Mantenimiento</t>
        </is>
      </c>
      <c r="J18" s="32" t="n"/>
      <c r="K18" s="35">
        <f>IF(A18="","","#"&amp;A18)</f>
        <v/>
      </c>
    </row>
    <row r="19">
      <c r="A19" s="28" t="inlineStr">
        <is>
          <t>16</t>
        </is>
      </c>
      <c r="B19" s="29" t="inlineStr">
        <is>
          <t>TUERCA CHUCK   RNS63F-7N</t>
        </is>
      </c>
      <c r="C19" s="30" t="inlineStr">
        <is>
          <t>PZA</t>
        </is>
      </c>
      <c r="D19" s="31" t="n">
        <v>185.36</v>
      </c>
      <c r="E19" s="32" t="n"/>
      <c r="F19" s="33" t="n"/>
      <c r="G19" s="34" t="n"/>
      <c r="H19" s="34" t="n"/>
      <c r="I19" s="30" t="inlineStr">
        <is>
          <t>Mantenimiento</t>
        </is>
      </c>
      <c r="J19" s="32" t="n"/>
      <c r="K19" s="35">
        <f>IF(A19="","","#"&amp;A19)</f>
        <v/>
      </c>
    </row>
    <row r="20">
      <c r="A20" s="28" t="inlineStr">
        <is>
          <t>17</t>
        </is>
      </c>
      <c r="B20" s="29" t="inlineStr">
        <is>
          <t>PARTE INTERMEDIA   RNS83F-1B</t>
        </is>
      </c>
      <c r="C20" s="30" t="inlineStr">
        <is>
          <t>PZA</t>
        </is>
      </c>
      <c r="D20" s="36" t="n"/>
      <c r="E20" s="32" t="n"/>
      <c r="F20" s="33" t="n"/>
      <c r="G20" s="34" t="n"/>
      <c r="H20" s="34" t="n"/>
      <c r="I20" s="30" t="inlineStr">
        <is>
          <t>Mantenimiento</t>
        </is>
      </c>
      <c r="J20" s="32" t="n"/>
      <c r="K20" s="35">
        <f>IF(A20="","","#"&amp;A20)</f>
        <v/>
      </c>
    </row>
    <row r="21">
      <c r="A21" s="28" t="inlineStr">
        <is>
          <t>18</t>
        </is>
      </c>
      <c r="B21" s="29" t="inlineStr">
        <is>
          <t>BUJE BRONCE   RNS53F-1L</t>
        </is>
      </c>
      <c r="C21" s="30" t="inlineStr">
        <is>
          <t>PZA</t>
        </is>
      </c>
      <c r="D21" s="31" t="n">
        <v>171.59</v>
      </c>
      <c r="E21" s="32" t="n"/>
      <c r="F21" s="33" t="n"/>
      <c r="G21" s="34" t="n"/>
      <c r="H21" s="34" t="n"/>
      <c r="I21" s="30" t="inlineStr">
        <is>
          <t>Mantenimiento</t>
        </is>
      </c>
      <c r="J21" s="32" t="n"/>
      <c r="K21" s="35">
        <f>IF(A21="","","#"&amp;A21)</f>
        <v/>
      </c>
    </row>
    <row r="22">
      <c r="A22" s="28" t="inlineStr">
        <is>
          <t>19</t>
        </is>
      </c>
      <c r="B22" s="29" t="inlineStr">
        <is>
          <t>PISTON  RNS83F-9A</t>
        </is>
      </c>
      <c r="C22" s="30" t="inlineStr">
        <is>
          <t>PZA</t>
        </is>
      </c>
      <c r="D22" s="31" t="n">
        <v>499.31</v>
      </c>
      <c r="E22" s="32" t="n"/>
      <c r="F22" s="33" t="n"/>
      <c r="G22" s="34" t="n"/>
      <c r="H22" s="34" t="n"/>
      <c r="I22" s="30" t="inlineStr">
        <is>
          <t>Mantenimiento</t>
        </is>
      </c>
      <c r="J22" s="32" t="n"/>
      <c r="K22" s="35">
        <f>IF(A22="","","#"&amp;A22)</f>
        <v/>
      </c>
    </row>
    <row r="23">
      <c r="A23" s="28" t="inlineStr">
        <is>
          <t>20</t>
        </is>
      </c>
      <c r="B23" s="29" t="inlineStr">
        <is>
          <t>TUERCA RIFLE   RNS83F-25-28</t>
        </is>
      </c>
      <c r="C23" s="30" t="inlineStr">
        <is>
          <t>PZA</t>
        </is>
      </c>
      <c r="D23" s="31" t="n">
        <v>154.9</v>
      </c>
      <c r="E23" s="32" t="n"/>
      <c r="F23" s="33" t="n"/>
      <c r="G23" s="34" t="n"/>
      <c r="H23" s="34" t="n"/>
      <c r="I23" s="30" t="inlineStr">
        <is>
          <t>Mantenimiento</t>
        </is>
      </c>
      <c r="J23" s="32" t="n"/>
      <c r="K23" s="35">
        <f>IF(A23="","","#"&amp;A23)</f>
        <v/>
      </c>
    </row>
    <row r="24">
      <c r="A24" s="28" t="inlineStr">
        <is>
          <t>21</t>
        </is>
      </c>
      <c r="B24" s="29" t="inlineStr">
        <is>
          <t>CILINDRO   RNS83F-1T</t>
        </is>
      </c>
      <c r="C24" s="30" t="inlineStr">
        <is>
          <t>PZA</t>
        </is>
      </c>
      <c r="D24" s="36" t="n"/>
      <c r="E24" s="32" t="n"/>
      <c r="F24" s="33" t="n"/>
      <c r="G24" s="34" t="n"/>
      <c r="H24" s="34" t="n"/>
      <c r="I24" s="30" t="inlineStr">
        <is>
          <t>Mantenimiento</t>
        </is>
      </c>
      <c r="J24" s="32" t="n"/>
      <c r="K24" s="35">
        <f>IF(A24="","","#"&amp;A24)</f>
        <v/>
      </c>
    </row>
    <row r="25">
      <c r="A25" s="28" t="inlineStr">
        <is>
          <t>22</t>
        </is>
      </c>
      <c r="B25" s="29" t="inlineStr">
        <is>
          <t>EMPAQUE TAPON (2)   RNS83F-715H</t>
        </is>
      </c>
      <c r="C25" s="30" t="inlineStr">
        <is>
          <t>PZA</t>
        </is>
      </c>
      <c r="D25" s="31" t="n">
        <v>28.3</v>
      </c>
      <c r="E25" s="32" t="n"/>
      <c r="F25" s="33" t="n"/>
      <c r="G25" s="34" t="n"/>
      <c r="H25" s="34" t="n"/>
      <c r="I25" s="30" t="inlineStr">
        <is>
          <t>Mantenimiento</t>
        </is>
      </c>
      <c r="J25" s="32" t="n"/>
      <c r="K25" s="35">
        <f>IF(A25="","","#"&amp;A25)</f>
        <v/>
      </c>
    </row>
    <row r="26">
      <c r="A26" s="28" t="inlineStr">
        <is>
          <t>23</t>
        </is>
      </c>
      <c r="B26" s="29" t="inlineStr">
        <is>
          <t>TAPA DE VÁLVULA  RNS83F-15B</t>
        </is>
      </c>
      <c r="C26" s="30" t="inlineStr">
        <is>
          <t>PZA</t>
        </is>
      </c>
      <c r="D26" s="31" t="n">
        <v>413.65</v>
      </c>
      <c r="E26" s="32" t="n"/>
      <c r="F26" s="33" t="n"/>
      <c r="G26" s="34" t="n"/>
      <c r="H26" s="34" t="n"/>
      <c r="I26" s="30" t="inlineStr">
        <is>
          <t>Mantenimiento</t>
        </is>
      </c>
      <c r="J26" s="32" t="n"/>
      <c r="K26" s="35">
        <f>IF(A26="","","#"&amp;A26)</f>
        <v/>
      </c>
    </row>
    <row r="27">
      <c r="A27" s="28" t="inlineStr">
        <is>
          <t>24</t>
        </is>
      </c>
      <c r="B27" s="29" t="inlineStr">
        <is>
          <t>VALVULA AUTOMATICA RNS83F-16</t>
        </is>
      </c>
      <c r="C27" s="30" t="inlineStr">
        <is>
          <t>PZA</t>
        </is>
      </c>
      <c r="D27" s="31" t="n">
        <v>270.5</v>
      </c>
      <c r="E27" s="32" t="n"/>
      <c r="F27" s="33" t="n"/>
      <c r="G27" s="34" t="n"/>
      <c r="H27" s="34" t="n"/>
      <c r="I27" s="30" t="inlineStr">
        <is>
          <t>Mantenimiento</t>
        </is>
      </c>
      <c r="J27" s="32" t="n"/>
      <c r="K27" s="35">
        <f>IF(A27="","","#"&amp;A27)</f>
        <v/>
      </c>
    </row>
    <row r="28">
      <c r="A28" s="28" t="inlineStr">
        <is>
          <t>25</t>
        </is>
      </c>
      <c r="B28" s="29" t="inlineStr">
        <is>
          <t>CAJA DE VÁLVULA  RNS83F-15</t>
        </is>
      </c>
      <c r="C28" s="30" t="inlineStr">
        <is>
          <t>PZA</t>
        </is>
      </c>
      <c r="D28" s="36" t="n"/>
      <c r="E28" s="32" t="n"/>
      <c r="F28" s="33" t="n"/>
      <c r="G28" s="34" t="n"/>
      <c r="H28" s="34" t="n"/>
      <c r="I28" s="30" t="inlineStr">
        <is>
          <t>Mantenimiento</t>
        </is>
      </c>
      <c r="J28" s="32" t="n"/>
      <c r="K28" s="35">
        <f>IF(A28="","","#"&amp;A28)</f>
        <v/>
      </c>
    </row>
    <row r="29">
      <c r="A29" s="28" t="inlineStr">
        <is>
          <t>26</t>
        </is>
      </c>
      <c r="B29" s="29" t="inlineStr">
        <is>
          <t>PERNO DE CAJA VÁLVULA  RNS83F-15D</t>
        </is>
      </c>
      <c r="C29" s="30" t="inlineStr">
        <is>
          <t>PZA</t>
        </is>
      </c>
      <c r="D29" s="31" t="n">
        <v>10.06</v>
      </c>
      <c r="E29" s="32" t="n"/>
      <c r="F29" s="33" t="n"/>
      <c r="G29" s="34" t="n"/>
      <c r="H29" s="34" t="n"/>
      <c r="I29" s="30" t="inlineStr">
        <is>
          <t>Mantenimiento</t>
        </is>
      </c>
      <c r="J29" s="32" t="n"/>
      <c r="K29" s="35">
        <f>IF(A29="","","#"&amp;A29)</f>
        <v/>
      </c>
    </row>
    <row r="30">
      <c r="A30" s="28" t="inlineStr">
        <is>
          <t>27</t>
        </is>
      </c>
      <c r="B30" s="29" t="inlineStr">
        <is>
          <t>BARRA DE ROTACIÓN  RNS83F-26-28</t>
        </is>
      </c>
      <c r="C30" s="30" t="inlineStr">
        <is>
          <t>PZA</t>
        </is>
      </c>
      <c r="D30" s="31" t="n">
        <v>412.01</v>
      </c>
      <c r="E30" s="32" t="n"/>
      <c r="F30" s="33" t="n"/>
      <c r="G30" s="34" t="n"/>
      <c r="H30" s="34" t="n"/>
      <c r="I30" s="30" t="inlineStr">
        <is>
          <t>Mantenimiento</t>
        </is>
      </c>
      <c r="J30" s="32" t="n"/>
      <c r="K30" s="35">
        <f>IF(A30="","","#"&amp;A30)</f>
        <v/>
      </c>
    </row>
    <row r="31">
      <c r="A31" s="28" t="inlineStr">
        <is>
          <t>28</t>
        </is>
      </c>
      <c r="B31" s="29" t="inlineStr">
        <is>
          <t>RESORTE ALETA (4)   RN711C</t>
        </is>
      </c>
      <c r="C31" s="30" t="inlineStr">
        <is>
          <t>PZA</t>
        </is>
      </c>
      <c r="D31" s="31" t="n">
        <v>5.17</v>
      </c>
      <c r="E31" s="32" t="n"/>
      <c r="F31" s="33" t="n"/>
      <c r="G31" s="34" t="n"/>
      <c r="H31" s="34" t="n"/>
      <c r="I31" s="30" t="inlineStr">
        <is>
          <t>Mantenimiento</t>
        </is>
      </c>
      <c r="J31" s="32" t="n"/>
      <c r="K31" s="35">
        <f>IF(A31="","","#"&amp;A31)</f>
        <v/>
      </c>
    </row>
    <row r="32">
      <c r="A32" s="28" t="inlineStr">
        <is>
          <t>29</t>
        </is>
      </c>
      <c r="B32" s="29" t="inlineStr">
        <is>
          <t>PERNO ALETA (4)   RN711B</t>
        </is>
      </c>
      <c r="C32" s="30" t="inlineStr">
        <is>
          <t>PZA</t>
        </is>
      </c>
      <c r="D32" s="31" t="n">
        <v>8.01</v>
      </c>
      <c r="E32" s="32" t="n"/>
      <c r="F32" s="33" t="n"/>
      <c r="G32" s="34" t="n"/>
      <c r="H32" s="34" t="n"/>
      <c r="I32" s="30" t="inlineStr">
        <is>
          <t>Mantenimiento</t>
        </is>
      </c>
      <c r="J32" s="32" t="n"/>
      <c r="K32" s="35">
        <f>IF(A32="","","#"&amp;A32)</f>
        <v/>
      </c>
    </row>
    <row r="33">
      <c r="A33" s="28" t="inlineStr">
        <is>
          <t>30</t>
        </is>
      </c>
      <c r="B33" s="29" t="inlineStr">
        <is>
          <t>ALETA   RNR91-11A</t>
        </is>
      </c>
      <c r="C33" s="30" t="inlineStr">
        <is>
          <t>PZA</t>
        </is>
      </c>
      <c r="D33" s="31" t="n">
        <v>21.34</v>
      </c>
      <c r="E33" s="32" t="n"/>
      <c r="F33" s="33" t="n"/>
      <c r="G33" s="34" t="n"/>
      <c r="H33" s="34" t="n"/>
      <c r="I33" s="30" t="inlineStr">
        <is>
          <t>Mantenimiento</t>
        </is>
      </c>
      <c r="J33" s="32" t="n"/>
      <c r="K33" s="35">
        <f>IF(A33="","","#"&amp;A33)</f>
        <v/>
      </c>
    </row>
    <row r="34">
      <c r="A34" s="28" t="inlineStr">
        <is>
          <t>31</t>
        </is>
      </c>
      <c r="B34" s="29" t="inlineStr">
        <is>
          <t>TRINQUETE   RNS83F-3335</t>
        </is>
      </c>
      <c r="C34" s="30" t="inlineStr">
        <is>
          <t>PZA</t>
        </is>
      </c>
      <c r="D34" s="31" t="n">
        <v>286.91</v>
      </c>
      <c r="E34" s="32" t="n"/>
      <c r="F34" s="33" t="n"/>
      <c r="G34" s="34" t="n"/>
      <c r="H34" s="34" t="n"/>
      <c r="I34" s="30" t="inlineStr">
        <is>
          <t>Mantenimiento</t>
        </is>
      </c>
      <c r="J34" s="32" t="n"/>
      <c r="K34" s="35">
        <f>IF(A34="","","#"&amp;A34)</f>
        <v/>
      </c>
    </row>
    <row r="35">
      <c r="A35" s="28" t="inlineStr">
        <is>
          <t>32</t>
        </is>
      </c>
      <c r="B35" s="29" t="inlineStr">
        <is>
          <t>CABEZA  RNS63F-2</t>
        </is>
      </c>
      <c r="C35" s="30" t="inlineStr">
        <is>
          <t>PZA</t>
        </is>
      </c>
      <c r="D35" s="36" t="n"/>
      <c r="E35" s="32" t="n"/>
      <c r="F35" s="33" t="n"/>
      <c r="G35" s="34" t="n"/>
      <c r="H35" s="34" t="n"/>
      <c r="I35" s="30" t="inlineStr">
        <is>
          <t>Mantenimiento</t>
        </is>
      </c>
      <c r="J35" s="32" t="n"/>
      <c r="K35" s="35">
        <f>IF(A35="","","#"&amp;A35)</f>
        <v/>
      </c>
    </row>
    <row r="36">
      <c r="A36" s="28" t="inlineStr">
        <is>
          <t>33</t>
        </is>
      </c>
      <c r="B36" s="29" t="inlineStr">
        <is>
          <t>CUÑA DE MANIJA   RNS58F-12K</t>
        </is>
      </c>
      <c r="C36" s="30" t="inlineStr">
        <is>
          <t>PZA</t>
        </is>
      </c>
      <c r="D36" s="31" t="n">
        <v>9.27</v>
      </c>
      <c r="E36" s="32" t="n"/>
      <c r="F36" s="33" t="n"/>
      <c r="G36" s="34" t="n"/>
      <c r="H36" s="34" t="n"/>
      <c r="I36" s="30" t="inlineStr">
        <is>
          <t>Mantenimiento</t>
        </is>
      </c>
      <c r="J36" s="32" t="n"/>
      <c r="K36" s="35">
        <f>IF(A36="","","#"&amp;A36)</f>
        <v/>
      </c>
    </row>
    <row r="37">
      <c r="A37" s="28" t="inlineStr">
        <is>
          <t>34</t>
        </is>
      </c>
      <c r="B37" s="29" t="inlineStr">
        <is>
          <t>MANIJA DE CONTROL   RNS58F-12E</t>
        </is>
      </c>
      <c r="C37" s="30" t="inlineStr">
        <is>
          <t>PZA</t>
        </is>
      </c>
      <c r="D37" s="31" t="n">
        <v>226.21</v>
      </c>
      <c r="E37" s="32" t="n"/>
      <c r="F37" s="33" t="n"/>
      <c r="G37" s="34" t="n"/>
      <c r="H37" s="34" t="n"/>
      <c r="I37" s="30" t="inlineStr">
        <is>
          <t>Mantenimiento</t>
        </is>
      </c>
      <c r="J37" s="32" t="n"/>
      <c r="K37" s="35">
        <f>IF(A37="","","#"&amp;A37)</f>
        <v/>
      </c>
    </row>
    <row r="38">
      <c r="A38" s="28" t="inlineStr">
        <is>
          <t>35</t>
        </is>
      </c>
      <c r="B38" s="29" t="inlineStr">
        <is>
          <t>RONDANA DE PRESIÓN  RNWP-31</t>
        </is>
      </c>
      <c r="C38" s="30" t="inlineStr">
        <is>
          <t>PZA</t>
        </is>
      </c>
      <c r="D38" s="31" t="n">
        <v>9.27</v>
      </c>
      <c r="E38" s="32" t="n"/>
      <c r="F38" s="33" t="n"/>
      <c r="G38" s="34" t="n"/>
      <c r="H38" s="34" t="n"/>
      <c r="I38" s="30" t="inlineStr">
        <is>
          <t>Mantenimiento</t>
        </is>
      </c>
      <c r="J38" s="32" t="n"/>
      <c r="K38" s="35">
        <f>IF(A38="","","#"&amp;A38)</f>
        <v/>
      </c>
    </row>
    <row r="39">
      <c r="A39" s="28" t="inlineStr">
        <is>
          <t>36</t>
        </is>
      </c>
      <c r="B39" s="29" t="inlineStr">
        <is>
          <t>TUERCA CABEZA  RNS48F-12N</t>
        </is>
      </c>
      <c r="C39" s="30" t="inlineStr">
        <is>
          <t>PZA</t>
        </is>
      </c>
      <c r="D39" s="31" t="n">
        <v>30.9</v>
      </c>
      <c r="E39" s="32" t="n"/>
      <c r="F39" s="33" t="n"/>
      <c r="G39" s="34" t="n"/>
      <c r="H39" s="34" t="n"/>
      <c r="I39" s="30" t="inlineStr">
        <is>
          <t>Mantenimiento</t>
        </is>
      </c>
      <c r="J39" s="32" t="n"/>
      <c r="K39" s="35">
        <f>IF(A39="","","#"&amp;A39)</f>
        <v/>
      </c>
    </row>
    <row r="40">
      <c r="A40" s="28" t="inlineStr">
        <is>
          <t>37</t>
        </is>
      </c>
      <c r="B40" s="29" t="inlineStr">
        <is>
          <t>RESORTE  RN72ES</t>
        </is>
      </c>
      <c r="C40" s="30" t="inlineStr">
        <is>
          <t>PZA</t>
        </is>
      </c>
      <c r="D40" s="31" t="n">
        <v>8.83</v>
      </c>
      <c r="E40" s="32" t="n"/>
      <c r="F40" s="33" t="n"/>
      <c r="G40" s="34" t="n"/>
      <c r="H40" s="34" t="n"/>
      <c r="I40" s="30" t="inlineStr">
        <is>
          <t>Mantenimiento</t>
        </is>
      </c>
      <c r="J40" s="32" t="n"/>
      <c r="K40" s="35">
        <f>IF(A40="","","#"&amp;A40)</f>
        <v/>
      </c>
    </row>
    <row r="41">
      <c r="A41" s="28" t="inlineStr">
        <is>
          <t>38</t>
        </is>
      </c>
      <c r="B41" s="29" t="inlineStr">
        <is>
          <t>RETÉN   RN72A</t>
        </is>
      </c>
      <c r="C41" s="30" t="inlineStr">
        <is>
          <t>PZA</t>
        </is>
      </c>
      <c r="D41" s="31" t="n">
        <v>18.04</v>
      </c>
      <c r="E41" s="32" t="n"/>
      <c r="F41" s="33" t="n"/>
      <c r="G41" s="34" t="n"/>
      <c r="H41" s="34" t="n"/>
      <c r="I41" s="30" t="inlineStr">
        <is>
          <t>Mantenimiento</t>
        </is>
      </c>
      <c r="J41" s="32" t="n"/>
      <c r="K41" s="35">
        <f>IF(A41="","","#"&amp;A41)</f>
        <v/>
      </c>
    </row>
    <row r="42">
      <c r="A42" s="28" t="inlineStr">
        <is>
          <t>39</t>
        </is>
      </c>
      <c r="B42" s="29" t="inlineStr">
        <is>
          <t>EMPAQUE DEL TUBO DE AGUA RN729B</t>
        </is>
      </c>
      <c r="C42" s="30" t="inlineStr">
        <is>
          <t>PZA</t>
        </is>
      </c>
      <c r="D42" s="31" t="n">
        <v>24.72</v>
      </c>
      <c r="E42" s="32" t="n"/>
      <c r="F42" s="33" t="n"/>
      <c r="G42" s="34" t="n"/>
      <c r="H42" s="34" t="n"/>
      <c r="I42" s="30" t="inlineStr">
        <is>
          <t>Mantenimiento</t>
        </is>
      </c>
      <c r="J42" s="32" t="n"/>
      <c r="K42" s="35">
        <f>IF(A42="","","#"&amp;A42)</f>
        <v/>
      </c>
    </row>
    <row r="43">
      <c r="A43" s="28" t="inlineStr">
        <is>
          <t>40</t>
        </is>
      </c>
      <c r="B43" s="29" t="inlineStr">
        <is>
          <t>RONDANA GLÁNDULA DE AGUA   RN1739A</t>
        </is>
      </c>
      <c r="C43" s="30" t="inlineStr">
        <is>
          <t>PZA</t>
        </is>
      </c>
      <c r="D43" s="31" t="n">
        <v>9.27</v>
      </c>
      <c r="E43" s="32" t="n"/>
      <c r="F43" s="33" t="n"/>
      <c r="G43" s="34" t="n"/>
      <c r="H43" s="34" t="n"/>
      <c r="I43" s="30" t="inlineStr">
        <is>
          <t>Mantenimiento</t>
        </is>
      </c>
      <c r="J43" s="32" t="n"/>
      <c r="K43" s="35">
        <f>IF(A43="","","#"&amp;A43)</f>
        <v/>
      </c>
    </row>
    <row r="44">
      <c r="A44" s="28" t="inlineStr">
        <is>
          <t>41</t>
        </is>
      </c>
      <c r="B44" s="29" t="inlineStr">
        <is>
          <t>TUBO DEL AGUA  RNS63F-27B</t>
        </is>
      </c>
      <c r="C44" s="30" t="inlineStr">
        <is>
          <t>PZA</t>
        </is>
      </c>
      <c r="D44" s="31" t="n">
        <v>42.3</v>
      </c>
      <c r="E44" s="32" t="n"/>
      <c r="F44" s="33" t="n"/>
      <c r="G44" s="34" t="n"/>
      <c r="H44" s="34" t="n"/>
      <c r="I44" s="30" t="inlineStr">
        <is>
          <t>Mantenimiento</t>
        </is>
      </c>
      <c r="J44" s="32" t="n"/>
      <c r="K44" s="35">
        <f>IF(A44="","","#"&amp;A44)</f>
        <v/>
      </c>
    </row>
    <row r="45">
      <c r="A45" s="28" t="inlineStr">
        <is>
          <t>42</t>
        </is>
      </c>
      <c r="B45" s="29" t="inlineStr">
        <is>
          <t>RETÉN DE ASIENTO   RND83N-44</t>
        </is>
      </c>
      <c r="C45" s="30" t="inlineStr">
        <is>
          <t>PZA</t>
        </is>
      </c>
      <c r="D45" s="31" t="n">
        <v>49.47</v>
      </c>
      <c r="E45" s="32" t="n"/>
      <c r="F45" s="33" t="n"/>
      <c r="G45" s="34" t="n"/>
      <c r="H45" s="34" t="n"/>
      <c r="I45" s="30" t="inlineStr">
        <is>
          <t>Mantenimiento</t>
        </is>
      </c>
      <c r="J45" s="32" t="n"/>
      <c r="K45" s="35">
        <f>IF(A45="","","#"&amp;A45)</f>
        <v/>
      </c>
    </row>
    <row r="46">
      <c r="A46" s="28" t="inlineStr">
        <is>
          <t>43</t>
        </is>
      </c>
      <c r="B46" s="29" t="inlineStr">
        <is>
          <t>EMPAQUE DE ASIENTO DE VALVULA  RNDBN83-45</t>
        </is>
      </c>
      <c r="C46" s="30" t="inlineStr">
        <is>
          <t>PZA</t>
        </is>
      </c>
      <c r="D46" s="31" t="n">
        <v>7.22</v>
      </c>
      <c r="E46" s="32" t="n"/>
      <c r="F46" s="33" t="n"/>
      <c r="G46" s="34" t="n"/>
      <c r="H46" s="34" t="n"/>
      <c r="I46" s="30" t="inlineStr">
        <is>
          <t>Mantenimiento</t>
        </is>
      </c>
      <c r="J46" s="32" t="n"/>
      <c r="K46" s="35">
        <f>IF(A46="","","#"&amp;A46)</f>
        <v/>
      </c>
    </row>
    <row r="47">
      <c r="A47" s="28" t="inlineStr">
        <is>
          <t>44</t>
        </is>
      </c>
      <c r="B47" s="29" t="inlineStr">
        <is>
          <t>ARANDELA GLÁNDULA DE AGUA   RND83-40</t>
        </is>
      </c>
      <c r="C47" s="30" t="inlineStr">
        <is>
          <t>PZA</t>
        </is>
      </c>
      <c r="D47" s="31" t="n">
        <v>11.63</v>
      </c>
      <c r="E47" s="32" t="n"/>
      <c r="F47" s="33" t="n"/>
      <c r="G47" s="34" t="n"/>
      <c r="H47" s="34" t="n"/>
      <c r="I47" s="30" t="inlineStr">
        <is>
          <t>Mantenimiento</t>
        </is>
      </c>
      <c r="J47" s="32" t="n"/>
      <c r="K47" s="35">
        <f>IF(A47="","","#"&amp;A47)</f>
        <v/>
      </c>
    </row>
    <row r="48">
      <c r="A48" s="28" t="inlineStr">
        <is>
          <t>45</t>
        </is>
      </c>
      <c r="B48" s="29" t="inlineStr">
        <is>
          <t>ANILLOS (2)   RNOR-18</t>
        </is>
      </c>
      <c r="C48" s="30" t="inlineStr">
        <is>
          <t>PZA</t>
        </is>
      </c>
      <c r="D48" s="31" t="n">
        <v>3.8</v>
      </c>
      <c r="E48" s="32" t="n"/>
      <c r="F48" s="33" t="n"/>
      <c r="G48" s="34" t="n"/>
      <c r="H48" s="34" t="n"/>
      <c r="I48" s="30" t="inlineStr">
        <is>
          <t>Mantenimiento</t>
        </is>
      </c>
      <c r="J48" s="32" t="n"/>
      <c r="K48" s="35">
        <f>IF(A48="","","#"&amp;A48)</f>
        <v/>
      </c>
    </row>
    <row r="49">
      <c r="A49" s="28" t="inlineStr">
        <is>
          <t>46</t>
        </is>
      </c>
      <c r="B49" s="29" t="inlineStr">
        <is>
          <t>GLÁNDULA DE AGUA   RND83N-40</t>
        </is>
      </c>
      <c r="C49" s="30" t="inlineStr">
        <is>
          <t>PZA</t>
        </is>
      </c>
      <c r="D49" s="31" t="n">
        <v>234.25</v>
      </c>
      <c r="E49" s="32" t="n"/>
      <c r="F49" s="33" t="n"/>
      <c r="G49" s="34" t="n"/>
      <c r="H49" s="34" t="n"/>
      <c r="I49" s="30" t="inlineStr">
        <is>
          <t>Mantenimiento</t>
        </is>
      </c>
      <c r="J49" s="32" t="n"/>
      <c r="K49" s="35">
        <f>IF(A49="","","#"&amp;A49)</f>
        <v/>
      </c>
    </row>
    <row r="50">
      <c r="A50" s="28" t="inlineStr">
        <is>
          <t>47</t>
        </is>
      </c>
      <c r="B50" s="29" t="inlineStr">
        <is>
          <t>ANILLO   RNOR-03</t>
        </is>
      </c>
      <c r="C50" s="30" t="inlineStr">
        <is>
          <t>PZA</t>
        </is>
      </c>
      <c r="D50" s="31" t="n">
        <v>3.8</v>
      </c>
      <c r="E50" s="32" t="n"/>
      <c r="F50" s="33" t="n"/>
      <c r="G50" s="34" t="n"/>
      <c r="H50" s="34" t="n"/>
      <c r="I50" s="30" t="inlineStr">
        <is>
          <t>Mantenimiento</t>
        </is>
      </c>
      <c r="J50" s="32" t="n"/>
      <c r="K50" s="35">
        <f>IF(A50="","","#"&amp;A50)</f>
        <v/>
      </c>
    </row>
    <row r="51">
      <c r="A51" s="28" t="inlineStr">
        <is>
          <t>48</t>
        </is>
      </c>
      <c r="B51" s="29" t="inlineStr">
        <is>
          <t>VÁLVULA DE GLÁNDULA DE AGUA   RND83N-41</t>
        </is>
      </c>
      <c r="C51" s="30" t="inlineStr">
        <is>
          <t>PZA</t>
        </is>
      </c>
      <c r="D51" s="31" t="n">
        <v>44.82</v>
      </c>
      <c r="E51" s="32" t="n"/>
      <c r="F51" s="33" t="n"/>
      <c r="G51" s="34" t="n"/>
      <c r="H51" s="34" t="n"/>
      <c r="I51" s="30" t="inlineStr">
        <is>
          <t>Mantenimiento</t>
        </is>
      </c>
      <c r="J51" s="32" t="n"/>
      <c r="K51" s="35">
        <f>IF(A51="","","#"&amp;A51)</f>
        <v/>
      </c>
    </row>
    <row r="52">
      <c r="A52" s="28" t="inlineStr">
        <is>
          <t>49</t>
        </is>
      </c>
      <c r="B52" s="29" t="inlineStr">
        <is>
          <t>RESORTE DE GLÁNDULA DE AGUA   RND83N-43</t>
        </is>
      </c>
      <c r="C52" s="30" t="inlineStr">
        <is>
          <t>PZA</t>
        </is>
      </c>
      <c r="D52" s="31" t="n">
        <v>15.96</v>
      </c>
      <c r="E52" s="32" t="n"/>
      <c r="F52" s="33" t="n"/>
      <c r="G52" s="34" t="n"/>
      <c r="H52" s="34" t="n"/>
      <c r="I52" s="30" t="inlineStr">
        <is>
          <t>Mantenimiento</t>
        </is>
      </c>
      <c r="J52" s="32" t="n"/>
      <c r="K52" s="35">
        <f>IF(A52="","","#"&amp;A52)</f>
        <v/>
      </c>
    </row>
    <row r="53">
      <c r="A53" s="28" t="inlineStr">
        <is>
          <t>50</t>
        </is>
      </c>
      <c r="B53" s="29" t="inlineStr">
        <is>
          <t>RETEN DE GLÁNDULA DE AGUA   RND83N-42</t>
        </is>
      </c>
      <c r="C53" s="30" t="inlineStr">
        <is>
          <t>PZA</t>
        </is>
      </c>
      <c r="D53" s="31" t="n">
        <v>36.55</v>
      </c>
      <c r="E53" s="32" t="n"/>
      <c r="F53" s="33" t="n"/>
      <c r="G53" s="34" t="n"/>
      <c r="H53" s="34" t="n"/>
      <c r="I53" s="30" t="inlineStr">
        <is>
          <t>Mantenimiento</t>
        </is>
      </c>
      <c r="J53" s="32" t="n"/>
      <c r="K53" s="35">
        <f>IF(A53="","","#"&amp;A53)</f>
        <v/>
      </c>
    </row>
    <row r="54">
      <c r="A54" s="28" t="inlineStr">
        <is>
          <t>51</t>
        </is>
      </c>
      <c r="B54" s="29" t="inlineStr">
        <is>
          <t>CANDADO   RNTRR5</t>
        </is>
      </c>
      <c r="C54" s="30" t="inlineStr">
        <is>
          <t>PZA</t>
        </is>
      </c>
      <c r="D54" s="31" t="n">
        <v>4.62</v>
      </c>
      <c r="E54" s="32" t="n"/>
      <c r="F54" s="33" t="n"/>
      <c r="G54" s="34" t="n"/>
      <c r="H54" s="34" t="n"/>
      <c r="I54" s="30" t="inlineStr">
        <is>
          <t>Mantenimiento</t>
        </is>
      </c>
      <c r="J54" s="32" t="n"/>
      <c r="K54" s="35">
        <f>IF(A54="","","#"&amp;A54)</f>
        <v/>
      </c>
    </row>
    <row r="55">
      <c r="A55" s="28" t="inlineStr">
        <is>
          <t>52</t>
        </is>
      </c>
      <c r="B55" s="29" t="inlineStr">
        <is>
          <t>TORNILLO LATERAL (2)   RNS83F-3D</t>
        </is>
      </c>
      <c r="C55" s="30" t="inlineStr">
        <is>
          <t>PZA</t>
        </is>
      </c>
      <c r="D55" s="31" t="n">
        <v>196.88</v>
      </c>
      <c r="E55" s="32" t="n"/>
      <c r="F55" s="33" t="n"/>
      <c r="G55" s="34" t="n"/>
      <c r="H55" s="34" t="n"/>
      <c r="I55" s="30" t="inlineStr">
        <is>
          <t>Mantenimiento</t>
        </is>
      </c>
      <c r="J55" s="32" t="n"/>
      <c r="K55" s="35">
        <f>IF(A55="","","#"&amp;A55)</f>
        <v/>
      </c>
    </row>
    <row r="56">
      <c r="A56" s="28" t="inlineStr">
        <is>
          <t>53</t>
        </is>
      </c>
      <c r="B56" s="29" t="inlineStr">
        <is>
          <t>PERNO MANERAL (112AB)   RNS83F-113</t>
        </is>
      </c>
      <c r="C56" s="30" t="inlineStr">
        <is>
          <t>PZA</t>
        </is>
      </c>
      <c r="D56" s="31" t="n">
        <v>9.27</v>
      </c>
      <c r="E56" s="32" t="n"/>
      <c r="F56" s="33" t="n"/>
      <c r="G56" s="34" t="n"/>
      <c r="H56" s="34" t="n"/>
      <c r="I56" s="30" t="inlineStr">
        <is>
          <t>Mantenimiento</t>
        </is>
      </c>
      <c r="J56" s="32" t="n"/>
      <c r="K56" s="35">
        <f>IF(A56="","","#"&amp;A56)</f>
        <v/>
      </c>
    </row>
    <row r="57">
      <c r="A57" s="28" t="inlineStr">
        <is>
          <t>54</t>
        </is>
      </c>
      <c r="B57" s="29" t="inlineStr">
        <is>
          <t>MANERAL IZQUIERDO COMPLETO  RNS83F-112</t>
        </is>
      </c>
      <c r="C57" s="30" t="inlineStr">
        <is>
          <t>PZA</t>
        </is>
      </c>
      <c r="D57" s="36" t="n"/>
      <c r="E57" s="32" t="n"/>
      <c r="F57" s="33" t="n"/>
      <c r="G57" s="34" t="n"/>
      <c r="H57" s="34" t="n"/>
      <c r="I57" s="30" t="inlineStr">
        <is>
          <t>Mantenimiento</t>
        </is>
      </c>
      <c r="J57" s="32" t="n"/>
      <c r="K57" s="35">
        <f>IF(A57="","","#"&amp;A57)</f>
        <v/>
      </c>
    </row>
    <row r="58">
      <c r="A58" s="28" t="inlineStr">
        <is>
          <t>55</t>
        </is>
      </c>
      <c r="B58" s="29" t="inlineStr">
        <is>
          <t>VALVULA DE CONTROL MANERAL (112 AB)  RNS83F-116C</t>
        </is>
      </c>
      <c r="C58" s="30" t="inlineStr">
        <is>
          <t>PZA</t>
        </is>
      </c>
      <c r="D58" s="36" t="n"/>
      <c r="E58" s="32" t="n"/>
      <c r="F58" s="33" t="n"/>
      <c r="G58" s="34" t="n"/>
      <c r="H58" s="34" t="n"/>
      <c r="I58" s="30" t="inlineStr">
        <is>
          <t>Mantenimiento</t>
        </is>
      </c>
      <c r="J58" s="32" t="n"/>
      <c r="K58" s="35">
        <f>IF(A58="","","#"&amp;A58)</f>
        <v/>
      </c>
    </row>
    <row r="59">
      <c r="A59" s="28" t="inlineStr">
        <is>
          <t>56</t>
        </is>
      </c>
      <c r="B59" s="29" t="inlineStr">
        <is>
          <t>RESORTE MANERAL (112 AB)  RNS83F-117</t>
        </is>
      </c>
      <c r="C59" s="30" t="inlineStr">
        <is>
          <t>PZA</t>
        </is>
      </c>
      <c r="D59" s="31" t="n">
        <v>7.38</v>
      </c>
      <c r="E59" s="32" t="n"/>
      <c r="F59" s="33" t="n"/>
      <c r="G59" s="34" t="n"/>
      <c r="H59" s="34" t="n"/>
      <c r="I59" s="30" t="inlineStr">
        <is>
          <t>Mantenimiento</t>
        </is>
      </c>
      <c r="J59" s="32" t="n"/>
      <c r="K59" s="35">
        <f>IF(A59="","","#"&amp;A59)</f>
        <v/>
      </c>
    </row>
    <row r="60">
      <c r="A60" s="28" t="inlineStr">
        <is>
          <t>57</t>
        </is>
      </c>
      <c r="B60" s="29" t="inlineStr">
        <is>
          <t>TORNILLO ALLEN MANERAL (112 AB)  RNPP2</t>
        </is>
      </c>
      <c r="C60" s="30" t="inlineStr">
        <is>
          <t>PZA</t>
        </is>
      </c>
      <c r="D60" s="31" t="n">
        <v>6.67</v>
      </c>
      <c r="E60" s="32" t="n"/>
      <c r="F60" s="33" t="n"/>
      <c r="G60" s="34" t="n"/>
      <c r="H60" s="34" t="n"/>
      <c r="I60" s="30" t="inlineStr">
        <is>
          <t>Mantenimiento</t>
        </is>
      </c>
      <c r="J60" s="32" t="n"/>
      <c r="K60" s="35">
        <f>IF(A60="","","#"&amp;A60)</f>
        <v/>
      </c>
    </row>
    <row r="61">
      <c r="A61" s="28" t="inlineStr">
        <is>
          <t>58</t>
        </is>
      </c>
      <c r="B61" s="29" t="inlineStr">
        <is>
          <t>ANILLOS (2)   RNORP-116A</t>
        </is>
      </c>
      <c r="C61" s="30" t="inlineStr">
        <is>
          <t>PZA</t>
        </is>
      </c>
      <c r="D61" s="31" t="n">
        <v>3.8</v>
      </c>
      <c r="E61" s="32" t="n"/>
      <c r="F61" s="33" t="n"/>
      <c r="G61" s="34" t="n"/>
      <c r="H61" s="34" t="n"/>
      <c r="I61" s="30" t="inlineStr">
        <is>
          <t>Mantenimiento</t>
        </is>
      </c>
      <c r="J61" s="32" t="n"/>
      <c r="K61" s="35">
        <f>IF(A61="","","#"&amp;A61)</f>
        <v/>
      </c>
    </row>
    <row r="62">
      <c r="A62" s="28" t="inlineStr">
        <is>
          <t>59</t>
        </is>
      </c>
      <c r="B62" s="29" t="inlineStr">
        <is>
          <t>MANIVELA   RNS83F-215H</t>
        </is>
      </c>
      <c r="C62" s="30" t="inlineStr">
        <is>
          <t>PZA</t>
        </is>
      </c>
      <c r="D62" s="31" t="n">
        <v>203.08</v>
      </c>
      <c r="E62" s="32" t="n"/>
      <c r="F62" s="33" t="n"/>
      <c r="G62" s="34" t="n"/>
      <c r="H62" s="34" t="n"/>
      <c r="I62" s="30" t="inlineStr">
        <is>
          <t>Mantenimiento</t>
        </is>
      </c>
      <c r="J62" s="32" t="n"/>
      <c r="K62" s="35">
        <f>IF(A62="","","#"&amp;A62)</f>
        <v/>
      </c>
    </row>
    <row r="63">
      <c r="A63" s="28" t="inlineStr">
        <is>
          <t>60</t>
        </is>
      </c>
      <c r="B63" s="29" t="inlineStr">
        <is>
          <t>PERNO ESPIRAL MANERAL (114 AB)  RNERP-6</t>
        </is>
      </c>
      <c r="C63" s="30" t="inlineStr">
        <is>
          <t>PZA</t>
        </is>
      </c>
      <c r="D63" s="31" t="n">
        <v>5.14</v>
      </c>
      <c r="E63" s="32" t="n"/>
      <c r="F63" s="33" t="n"/>
      <c r="G63" s="34" t="n"/>
      <c r="H63" s="34" t="n"/>
      <c r="I63" s="30" t="inlineStr">
        <is>
          <t>Mantenimiento</t>
        </is>
      </c>
      <c r="J63" s="32" t="n"/>
      <c r="K63" s="35">
        <f>IF(A63="","","#"&amp;A63)</f>
        <v/>
      </c>
    </row>
    <row r="64">
      <c r="A64" s="28" t="inlineStr">
        <is>
          <t>61</t>
        </is>
      </c>
      <c r="B64" s="29" t="inlineStr">
        <is>
          <t>ANILLOS (4)   RNORP-6</t>
        </is>
      </c>
      <c r="C64" s="30" t="inlineStr">
        <is>
          <t>PZA</t>
        </is>
      </c>
      <c r="D64" s="31" t="n">
        <v>3.45</v>
      </c>
      <c r="E64" s="32" t="n"/>
      <c r="F64" s="33" t="n"/>
      <c r="G64" s="34" t="n"/>
      <c r="H64" s="34" t="n"/>
      <c r="I64" s="30" t="inlineStr">
        <is>
          <t>Mantenimiento</t>
        </is>
      </c>
      <c r="J64" s="32" t="n"/>
      <c r="K64" s="35">
        <f>IF(A64="","","#"&amp;A64)</f>
        <v/>
      </c>
    </row>
    <row r="65">
      <c r="A65" s="28" t="inlineStr">
        <is>
          <t>62</t>
        </is>
      </c>
      <c r="B65" s="29" t="inlineStr">
        <is>
          <t>MANERAL DERECHO (RNS83F - 114AB)  RNS83F-114</t>
        </is>
      </c>
      <c r="C65" s="30" t="inlineStr">
        <is>
          <t>PZA</t>
        </is>
      </c>
      <c r="D65" s="36" t="n"/>
      <c r="E65" s="32" t="n"/>
      <c r="F65" s="33" t="n"/>
      <c r="G65" s="34" t="n"/>
      <c r="H65" s="34" t="n"/>
      <c r="I65" s="30" t="inlineStr">
        <is>
          <t>Mantenimiento</t>
        </is>
      </c>
      <c r="J65" s="32" t="n"/>
      <c r="K65" s="35">
        <f>IF(A65="","","#"&amp;A65)</f>
        <v/>
      </c>
    </row>
    <row r="66">
      <c r="A66" s="28" t="inlineStr">
        <is>
          <t>63</t>
        </is>
      </c>
      <c r="B66" s="29" t="inlineStr">
        <is>
          <t>ANILLO  RNOR-7</t>
        </is>
      </c>
      <c r="C66" s="30" t="inlineStr">
        <is>
          <t>PZA</t>
        </is>
      </c>
      <c r="D66" s="31" t="n">
        <v>3.45</v>
      </c>
      <c r="E66" s="32" t="n"/>
      <c r="F66" s="33" t="n"/>
      <c r="G66" s="34" t="n"/>
      <c r="H66" s="34" t="n"/>
      <c r="I66" s="30" t="inlineStr">
        <is>
          <t>Mantenimiento</t>
        </is>
      </c>
      <c r="J66" s="32" t="n"/>
      <c r="K66" s="35">
        <f>IF(A66="","","#"&amp;A66)</f>
        <v/>
      </c>
    </row>
    <row r="67">
      <c r="A67" s="28" t="inlineStr">
        <is>
          <t>64</t>
        </is>
      </c>
      <c r="B67" s="29" t="inlineStr">
        <is>
          <t>ANILLO  RNCL5-324P</t>
        </is>
      </c>
      <c r="C67" s="30" t="inlineStr">
        <is>
          <t>PZA</t>
        </is>
      </c>
      <c r="D67" s="36" t="n"/>
      <c r="E67" s="32" t="n"/>
      <c r="F67" s="33" t="n"/>
      <c r="G67" s="34" t="n"/>
      <c r="H67" s="34" t="n"/>
      <c r="I67" s="30" t="inlineStr">
        <is>
          <t>Mantenimiento</t>
        </is>
      </c>
      <c r="J67" s="32" t="n"/>
      <c r="K67" s="35">
        <f>IF(A67="","","#"&amp;A67)</f>
        <v/>
      </c>
    </row>
    <row r="68">
      <c r="A68" s="28" t="inlineStr">
        <is>
          <t>65</t>
        </is>
      </c>
      <c r="B68" s="29" t="inlineStr">
        <is>
          <t>VÁLVULA CONTROL DE MANERAL (114AB)  RNS83F-118B</t>
        </is>
      </c>
      <c r="C68" s="30" t="inlineStr">
        <is>
          <t>PZA</t>
        </is>
      </c>
      <c r="D68" s="36" t="n"/>
      <c r="E68" s="32" t="n"/>
      <c r="F68" s="33" t="n"/>
      <c r="G68" s="34" t="n"/>
      <c r="H68" s="34" t="n"/>
      <c r="I68" s="30" t="inlineStr">
        <is>
          <t>Mantenimiento</t>
        </is>
      </c>
      <c r="J68" s="32" t="n"/>
      <c r="K68" s="35">
        <f>IF(A68="","","#"&amp;A68)</f>
        <v/>
      </c>
    </row>
    <row r="69">
      <c r="A69" s="28" t="inlineStr">
        <is>
          <t>66</t>
        </is>
      </c>
      <c r="B69" s="29" t="inlineStr">
        <is>
          <t>ANILLO   RNOR-9</t>
        </is>
      </c>
      <c r="C69" s="30" t="inlineStr">
        <is>
          <t>PZA</t>
        </is>
      </c>
      <c r="D69" s="36" t="n"/>
      <c r="E69" s="32" t="n"/>
      <c r="F69" s="33" t="n"/>
      <c r="G69" s="34" t="n"/>
      <c r="H69" s="34" t="n"/>
      <c r="I69" s="30" t="inlineStr">
        <is>
          <t>Mantenimiento</t>
        </is>
      </c>
      <c r="J69" s="32" t="n"/>
      <c r="K69" s="35">
        <f>IF(A69="","","#"&amp;A69)</f>
        <v/>
      </c>
    </row>
    <row r="70">
      <c r="A70" s="28" t="inlineStr">
        <is>
          <t>67</t>
        </is>
      </c>
      <c r="B70" s="29" t="inlineStr">
        <is>
          <t>RESORTE MANERAL (114AB)  RNS83F-119B</t>
        </is>
      </c>
      <c r="C70" s="30" t="inlineStr">
        <is>
          <t>PZA</t>
        </is>
      </c>
      <c r="D70" s="36" t="n"/>
      <c r="E70" s="32" t="n"/>
      <c r="F70" s="33" t="n"/>
      <c r="G70" s="34" t="n"/>
      <c r="H70" s="34" t="n"/>
      <c r="I70" s="30" t="inlineStr">
        <is>
          <t>Mantenimiento</t>
        </is>
      </c>
      <c r="J70" s="32" t="n"/>
      <c r="K70" s="35">
        <f>IF(A70="","","#"&amp;A70)</f>
        <v/>
      </c>
    </row>
    <row r="71">
      <c r="A71" s="28" t="inlineStr">
        <is>
          <t>68</t>
        </is>
      </c>
      <c r="B71" s="29" t="inlineStr">
        <is>
          <t>RETÉN MANERAL (114AB)  RNS83F-120</t>
        </is>
      </c>
      <c r="C71" s="30" t="inlineStr">
        <is>
          <t>PZA</t>
        </is>
      </c>
      <c r="D71" s="36" t="n"/>
      <c r="E71" s="32" t="n"/>
      <c r="F71" s="33" t="n"/>
      <c r="G71" s="34" t="n"/>
      <c r="H71" s="34" t="n"/>
      <c r="I71" s="30" t="inlineStr">
        <is>
          <t>Mantenimiento</t>
        </is>
      </c>
      <c r="J71" s="32" t="n"/>
      <c r="K71" s="35">
        <f>IF(A71="","","#"&amp;A71)</f>
        <v/>
      </c>
    </row>
    <row r="72">
      <c r="A72" s="28" t="inlineStr">
        <is>
          <t>69</t>
        </is>
      </c>
      <c r="B72" s="29" t="inlineStr">
        <is>
          <t>VÁLVULA DE ACELERACIÓN   RNS83F-12BM</t>
        </is>
      </c>
      <c r="C72" s="30" t="inlineStr">
        <is>
          <t>PZA</t>
        </is>
      </c>
      <c r="D72" s="36" t="n"/>
      <c r="E72" s="32" t="n"/>
      <c r="F72" s="33" t="n"/>
      <c r="G72" s="34" t="n"/>
      <c r="H72" s="34" t="n"/>
      <c r="I72" s="30" t="inlineStr">
        <is>
          <t>Mantenimiento</t>
        </is>
      </c>
      <c r="J72" s="32" t="n"/>
      <c r="K72" s="35">
        <f>IF(A72="","","#"&amp;A72)</f>
        <v/>
      </c>
    </row>
    <row r="73">
      <c r="A73" s="28" t="inlineStr">
        <is>
          <t>70</t>
        </is>
      </c>
      <c r="B73" s="29" t="inlineStr">
        <is>
          <t>FILTRO   RN2062234</t>
        </is>
      </c>
      <c r="C73" s="30" t="inlineStr">
        <is>
          <t>PZA</t>
        </is>
      </c>
      <c r="D73" s="31" t="n">
        <v>97.81999999999999</v>
      </c>
      <c r="E73" s="32" t="n"/>
      <c r="F73" s="33" t="n"/>
      <c r="G73" s="34" t="n"/>
      <c r="H73" s="34" t="n"/>
      <c r="I73" s="30" t="inlineStr">
        <is>
          <t>Mantenimiento</t>
        </is>
      </c>
      <c r="J73" s="32" t="n"/>
      <c r="K73" s="35">
        <f>IF(A73="","","#"&amp;A73)</f>
        <v/>
      </c>
    </row>
    <row r="74">
      <c r="A74" s="28" t="inlineStr">
        <is>
          <t>71</t>
        </is>
      </c>
      <c r="B74" s="29" t="inlineStr">
        <is>
          <t>CODO DE AIRE   RNRB83-147</t>
        </is>
      </c>
      <c r="C74" s="30" t="inlineStr">
        <is>
          <t>PZA</t>
        </is>
      </c>
      <c r="D74" s="31" t="n">
        <v>135.43</v>
      </c>
      <c r="E74" s="32" t="n"/>
      <c r="F74" s="33" t="n"/>
      <c r="G74" s="34" t="n"/>
      <c r="H74" s="34" t="n"/>
      <c r="I74" s="30" t="inlineStr">
        <is>
          <t>Mantenimiento</t>
        </is>
      </c>
      <c r="J74" s="32" t="n"/>
      <c r="K74" s="35">
        <f>IF(A74="","","#"&amp;A74)</f>
        <v/>
      </c>
    </row>
    <row r="75">
      <c r="A75" s="28" t="inlineStr">
        <is>
          <t>72</t>
        </is>
      </c>
      <c r="B75" s="29" t="inlineStr">
        <is>
          <t>RONDANA   RND73H-146W</t>
        </is>
      </c>
      <c r="C75" s="30" t="inlineStr">
        <is>
          <t>PZA</t>
        </is>
      </c>
      <c r="D75" s="31" t="n">
        <v>11.31</v>
      </c>
      <c r="E75" s="32" t="n"/>
      <c r="F75" s="33" t="n"/>
      <c r="G75" s="34" t="n"/>
      <c r="H75" s="34" t="n"/>
      <c r="I75" s="30" t="inlineStr">
        <is>
          <t>Mantenimiento</t>
        </is>
      </c>
      <c r="J75" s="32" t="n"/>
      <c r="K75" s="35">
        <f>IF(A75="","","#"&amp;A75)</f>
        <v/>
      </c>
    </row>
    <row r="76">
      <c r="A76" s="28" t="inlineStr">
        <is>
          <t>73</t>
        </is>
      </c>
      <c r="B76" s="29" t="inlineStr">
        <is>
          <t>TUERCA DEL CODO DE AIRE   RNRB83-146</t>
        </is>
      </c>
      <c r="C76" s="30" t="inlineStr">
        <is>
          <t>PZA</t>
        </is>
      </c>
      <c r="D76" s="36" t="n"/>
      <c r="E76" s="32" t="n"/>
      <c r="F76" s="33" t="n"/>
      <c r="G76" s="34" t="n"/>
      <c r="H76" s="34" t="n"/>
      <c r="I76" s="30" t="inlineStr">
        <is>
          <t>Mantenimiento</t>
        </is>
      </c>
      <c r="J76" s="32" t="n"/>
      <c r="K76" s="35">
        <f>IF(A76="","","#"&amp;A76)</f>
        <v/>
      </c>
    </row>
    <row r="77">
      <c r="A77" s="28" t="inlineStr">
        <is>
          <t>74</t>
        </is>
      </c>
      <c r="B77" s="29" t="inlineStr">
        <is>
          <t>ANILLO   RNOR-21</t>
        </is>
      </c>
      <c r="C77" s="30" t="inlineStr">
        <is>
          <t>PZA</t>
        </is>
      </c>
      <c r="D77" s="31" t="n">
        <v>3.45</v>
      </c>
      <c r="E77" s="32" t="n"/>
      <c r="F77" s="33" t="n"/>
      <c r="G77" s="34" t="n"/>
      <c r="H77" s="34" t="n"/>
      <c r="I77" s="30" t="inlineStr">
        <is>
          <t>Mantenimiento</t>
        </is>
      </c>
      <c r="J77" s="32" t="n"/>
      <c r="K77" s="35">
        <f>IF(A77="","","#"&amp;A77)</f>
        <v/>
      </c>
    </row>
    <row r="78">
      <c r="A78" s="28" t="inlineStr">
        <is>
          <t>75</t>
        </is>
      </c>
      <c r="B78" s="29" t="inlineStr">
        <is>
          <t>ARANDELA   RNS48F-1W</t>
        </is>
      </c>
      <c r="C78" s="30" t="inlineStr">
        <is>
          <t>PZA</t>
        </is>
      </c>
      <c r="D78" s="31" t="n">
        <v>17.22</v>
      </c>
      <c r="E78" s="32" t="n"/>
      <c r="F78" s="33" t="n"/>
      <c r="G78" s="34" t="n"/>
      <c r="H78" s="34" t="n"/>
      <c r="I78" s="30" t="inlineStr">
        <is>
          <t>Mantenimiento</t>
        </is>
      </c>
      <c r="J78" s="32" t="n"/>
      <c r="K78" s="35">
        <f>IF(A78="","","#"&amp;A78)</f>
        <v/>
      </c>
    </row>
    <row r="79">
      <c r="A79" s="28" t="inlineStr">
        <is>
          <t>76</t>
        </is>
      </c>
      <c r="B79" s="29" t="inlineStr">
        <is>
          <t>TUERCA CONEXIÓN DE AGUA   RNS48F-13E</t>
        </is>
      </c>
      <c r="C79" s="30" t="inlineStr">
        <is>
          <t>PZA</t>
        </is>
      </c>
      <c r="D79" s="31" t="n">
        <v>80.31</v>
      </c>
      <c r="E79" s="32" t="n"/>
      <c r="F79" s="33" t="n"/>
      <c r="G79" s="34" t="n"/>
      <c r="H79" s="34" t="n"/>
      <c r="I79" s="30" t="inlineStr">
        <is>
          <t>Mantenimiento</t>
        </is>
      </c>
      <c r="J79" s="32" t="n"/>
      <c r="K79" s="35">
        <f>IF(A79="","","#"&amp;A79)</f>
        <v/>
      </c>
    </row>
    <row r="80">
      <c r="A80" s="28" t="inlineStr">
        <is>
          <t>77</t>
        </is>
      </c>
      <c r="B80" s="29" t="inlineStr">
        <is>
          <t>FILTRO DE AGUA   RNS48-13S</t>
        </is>
      </c>
      <c r="C80" s="30" t="inlineStr">
        <is>
          <t>PZA</t>
        </is>
      </c>
      <c r="D80" s="31" t="n">
        <v>46.37</v>
      </c>
      <c r="E80" s="32" t="n"/>
      <c r="F80" s="33" t="n"/>
      <c r="G80" s="34" t="n"/>
      <c r="H80" s="34" t="n"/>
      <c r="I80" s="30" t="inlineStr">
        <is>
          <t>Mantenimiento</t>
        </is>
      </c>
      <c r="J80" s="32" t="n"/>
      <c r="K80" s="35">
        <f>IF(A80="","","#"&amp;A80)</f>
        <v/>
      </c>
    </row>
    <row r="81">
      <c r="A81" s="28" t="inlineStr">
        <is>
          <t>78</t>
        </is>
      </c>
      <c r="B81" s="29" t="inlineStr">
        <is>
          <t>ANILLOS (2)   RNOR-10</t>
        </is>
      </c>
      <c r="C81" s="30" t="inlineStr">
        <is>
          <t>PZA</t>
        </is>
      </c>
      <c r="D81" s="31" t="n">
        <v>3.8</v>
      </c>
      <c r="E81" s="32" t="n"/>
      <c r="F81" s="33" t="n"/>
      <c r="G81" s="34" t="n"/>
      <c r="H81" s="34" t="n"/>
      <c r="I81" s="30" t="inlineStr">
        <is>
          <t>Mantenimiento</t>
        </is>
      </c>
      <c r="J81" s="32" t="n"/>
      <c r="K81" s="35">
        <f>IF(A81="","","#"&amp;A81)</f>
        <v/>
      </c>
    </row>
    <row r="82">
      <c r="A82" s="28" t="inlineStr">
        <is>
          <t>79</t>
        </is>
      </c>
      <c r="B82" s="29" t="inlineStr">
        <is>
          <t>CONEXIÓN DE AGUA   RNS48F-13T1</t>
        </is>
      </c>
      <c r="C82" s="30" t="inlineStr">
        <is>
          <t>PZA</t>
        </is>
      </c>
      <c r="D82" s="31" t="n">
        <v>139.02</v>
      </c>
      <c r="E82" s="32" t="n"/>
      <c r="F82" s="33" t="n"/>
      <c r="G82" s="34" t="n"/>
      <c r="H82" s="34" t="n"/>
      <c r="I82" s="30" t="inlineStr">
        <is>
          <t>Mantenimiento</t>
        </is>
      </c>
      <c r="J82" s="32" t="n"/>
      <c r="K82" s="35">
        <f>IF(A82="","","#"&amp;A82)</f>
        <v/>
      </c>
    </row>
    <row r="83">
      <c r="A83" s="28" t="inlineStr">
        <is>
          <t>80</t>
        </is>
      </c>
      <c r="B83" s="29" t="inlineStr">
        <is>
          <t>DISTRIBUIDORA DE AGUA (GAMARRILLA)  RN760</t>
        </is>
      </c>
      <c r="C83" s="30" t="inlineStr">
        <is>
          <t>PZA</t>
        </is>
      </c>
      <c r="D83" s="31" t="n">
        <v>140.54</v>
      </c>
      <c r="E83" s="32" t="n"/>
      <c r="F83" s="33" t="n"/>
      <c r="G83" s="34" t="n"/>
      <c r="H83" s="34" t="n"/>
      <c r="I83" s="30" t="inlineStr">
        <is>
          <t>Mantenimiento</t>
        </is>
      </c>
      <c r="J83" s="32" t="n"/>
      <c r="K83" s="35">
        <f>IF(A83="","","#"&amp;A83)</f>
        <v/>
      </c>
    </row>
    <row r="84">
      <c r="A84" s="28" t="inlineStr">
        <is>
          <t>81</t>
        </is>
      </c>
      <c r="B84" s="29" t="inlineStr">
        <is>
          <t>TUERCA SUPERIOR RNFL7-202</t>
        </is>
      </c>
      <c r="C84" s="30" t="inlineStr">
        <is>
          <t>PZA</t>
        </is>
      </c>
      <c r="D84" s="31" t="n">
        <v>128.76</v>
      </c>
      <c r="E84" s="32" t="n"/>
      <c r="F84" s="33" t="n"/>
      <c r="G84" s="34" t="n"/>
      <c r="H84" s="34" t="n"/>
      <c r="I84" s="30" t="inlineStr">
        <is>
          <t>Mantenimiento</t>
        </is>
      </c>
      <c r="J84" s="32" t="n"/>
      <c r="K84" s="35">
        <f>IF(A84="","","#"&amp;A84)</f>
        <v/>
      </c>
    </row>
    <row r="85">
      <c r="A85" s="28" t="inlineStr">
        <is>
          <t>82</t>
        </is>
      </c>
      <c r="B85" s="29" t="inlineStr">
        <is>
          <t>BUJE EMPUJADOR (RNFL7 - 210)  RN-1045660</t>
        </is>
      </c>
      <c r="C85" s="30" t="inlineStr">
        <is>
          <t>PZA</t>
        </is>
      </c>
      <c r="D85" s="36" t="n"/>
      <c r="E85" s="32" t="n"/>
      <c r="F85" s="33" t="n"/>
      <c r="G85" s="34" t="n"/>
      <c r="H85" s="34" t="n"/>
      <c r="I85" s="30" t="inlineStr">
        <is>
          <t>Mantenimiento</t>
        </is>
      </c>
      <c r="J85" s="32" t="n"/>
      <c r="K85" s="35">
        <f>IF(A85="","","#"&amp;A85)</f>
        <v/>
      </c>
    </row>
    <row r="86">
      <c r="A86" s="28" t="inlineStr">
        <is>
          <t>83</t>
        </is>
      </c>
      <c r="B86" s="29" t="inlineStr">
        <is>
          <t>ANILLOS  RNCL5-441</t>
        </is>
      </c>
      <c r="C86" s="30" t="inlineStr">
        <is>
          <t>PZA</t>
        </is>
      </c>
      <c r="D86" s="31" t="n">
        <v>3.8</v>
      </c>
      <c r="E86" s="32" t="n"/>
      <c r="F86" s="33" t="n"/>
      <c r="G86" s="34" t="n"/>
      <c r="H86" s="34" t="n"/>
      <c r="I86" s="30" t="inlineStr">
        <is>
          <t>Mantenimiento</t>
        </is>
      </c>
      <c r="J86" s="32" t="n"/>
      <c r="K86" s="35">
        <f>IF(A86="","","#"&amp;A86)</f>
        <v/>
      </c>
    </row>
    <row r="87">
      <c r="A87" s="28" t="inlineStr">
        <is>
          <t>84</t>
        </is>
      </c>
      <c r="B87" s="29" t="inlineStr">
        <is>
          <t>SEGURO EMPUJADOR   RNFL7-211</t>
        </is>
      </c>
      <c r="C87" s="30" t="inlineStr">
        <is>
          <t>PZA</t>
        </is>
      </c>
      <c r="D87" s="36" t="n"/>
      <c r="E87" s="32" t="n"/>
      <c r="F87" s="33" t="n"/>
      <c r="G87" s="34" t="n"/>
      <c r="H87" s="34" t="n"/>
      <c r="I87" s="30" t="inlineStr">
        <is>
          <t>Mantenimiento</t>
        </is>
      </c>
      <c r="J87" s="32" t="n"/>
      <c r="K87" s="35">
        <f>IF(A87="","","#"&amp;A87)</f>
        <v/>
      </c>
    </row>
    <row r="88">
      <c r="A88" s="28" t="inlineStr">
        <is>
          <t>85</t>
        </is>
      </c>
      <c r="B88" s="29" t="inlineStr">
        <is>
          <t>BUJE EMPUJADOR  RNFL7-203</t>
        </is>
      </c>
      <c r="C88" s="30" t="inlineStr">
        <is>
          <t>PZA</t>
        </is>
      </c>
      <c r="D88" s="36" t="n"/>
      <c r="E88" s="32" t="n"/>
      <c r="F88" s="33" t="n"/>
      <c r="G88" s="34" t="n"/>
      <c r="H88" s="34" t="n"/>
      <c r="I88" s="30" t="inlineStr">
        <is>
          <t>Mantenimiento</t>
        </is>
      </c>
      <c r="J88" s="32" t="n"/>
      <c r="K88" s="35">
        <f>IF(A88="","","#"&amp;A88)</f>
        <v/>
      </c>
    </row>
    <row r="89">
      <c r="A89" s="28" t="inlineStr">
        <is>
          <t>86</t>
        </is>
      </c>
      <c r="B89" s="29" t="inlineStr">
        <is>
          <t>TAPA SUPERIOR (CAPUCHON)  RNFL7-29</t>
        </is>
      </c>
      <c r="C89" s="30" t="inlineStr">
        <is>
          <t>PZA</t>
        </is>
      </c>
      <c r="D89" s="36" t="n"/>
      <c r="E89" s="32" t="n"/>
      <c r="F89" s="33" t="n"/>
      <c r="G89" s="34" t="n"/>
      <c r="H89" s="34" t="n"/>
      <c r="I89" s="30" t="inlineStr">
        <is>
          <t>Mantenimiento</t>
        </is>
      </c>
      <c r="J89" s="32" t="n"/>
      <c r="K89" s="35">
        <f>IF(A89="","","#"&amp;A89)</f>
        <v/>
      </c>
    </row>
    <row r="90">
      <c r="A90" s="28" t="inlineStr">
        <is>
          <t>87</t>
        </is>
      </c>
      <c r="B90" s="29" t="inlineStr">
        <is>
          <t>TUERCA EMPUJADOR F17  RNFL7-21</t>
        </is>
      </c>
      <c r="C90" s="30" t="inlineStr">
        <is>
          <t>PZA</t>
        </is>
      </c>
      <c r="D90" s="36" t="n"/>
      <c r="E90" s="32" t="n"/>
      <c r="F90" s="33" t="n"/>
      <c r="G90" s="34" t="n"/>
      <c r="H90" s="34" t="n"/>
      <c r="I90" s="30" t="inlineStr">
        <is>
          <t>Mantenimiento</t>
        </is>
      </c>
      <c r="J90" s="32" t="n"/>
      <c r="K90" s="35">
        <f>IF(A90="","","#"&amp;A90)</f>
        <v/>
      </c>
    </row>
    <row r="91">
      <c r="A91" s="28" t="inlineStr">
        <is>
          <t>88</t>
        </is>
      </c>
      <c r="B91" s="29" t="inlineStr">
        <is>
          <t>ARO RANURADO  RNFL7-206</t>
        </is>
      </c>
      <c r="C91" s="30" t="inlineStr">
        <is>
          <t>PZA</t>
        </is>
      </c>
      <c r="D91" s="36" t="n"/>
      <c r="E91" s="32" t="n"/>
      <c r="F91" s="33" t="n"/>
      <c r="G91" s="34" t="n"/>
      <c r="H91" s="34" t="n"/>
      <c r="I91" s="30" t="inlineStr">
        <is>
          <t>Mantenimiento</t>
        </is>
      </c>
      <c r="J91" s="32" t="n"/>
      <c r="K91" s="35">
        <f>IF(A91="","","#"&amp;A91)</f>
        <v/>
      </c>
    </row>
    <row r="92">
      <c r="A92" s="28" t="inlineStr">
        <is>
          <t>89</t>
        </is>
      </c>
      <c r="B92" s="29" t="inlineStr">
        <is>
          <t>ESPACIDOR DE EMPUJADOR (F17)  RNFL7-207</t>
        </is>
      </c>
      <c r="C92" s="30" t="inlineStr">
        <is>
          <t>PZA</t>
        </is>
      </c>
      <c r="D92" s="36" t="n"/>
      <c r="E92" s="32" t="n"/>
      <c r="F92" s="33" t="n"/>
      <c r="G92" s="34" t="n"/>
      <c r="H92" s="34" t="n"/>
      <c r="I92" s="30" t="inlineStr">
        <is>
          <t>Mantenimiento</t>
        </is>
      </c>
      <c r="J92" s="32" t="n"/>
      <c r="K92" s="35">
        <f>IF(A92="","","#"&amp;A92)</f>
        <v/>
      </c>
    </row>
    <row r="93">
      <c r="A93" s="28" t="inlineStr">
        <is>
          <t>90</t>
        </is>
      </c>
      <c r="B93" s="29" t="inlineStr">
        <is>
          <t>TUBO DE AIRE  RN1FL7-27B</t>
        </is>
      </c>
      <c r="C93" s="30" t="inlineStr">
        <is>
          <t>PZA</t>
        </is>
      </c>
      <c r="D93" s="31" t="n">
        <v>110.34</v>
      </c>
      <c r="E93" s="32" t="n"/>
      <c r="F93" s="33" t="n"/>
      <c r="G93" s="34" t="n"/>
      <c r="H93" s="34" t="n"/>
      <c r="I93" s="30" t="inlineStr">
        <is>
          <t>Mantenimiento</t>
        </is>
      </c>
      <c r="J93" s="32" t="n"/>
      <c r="K93" s="35">
        <f>IF(A93="","","#"&amp;A93)</f>
        <v/>
      </c>
    </row>
    <row r="94">
      <c r="A94" s="28" t="inlineStr">
        <is>
          <t>91</t>
        </is>
      </c>
      <c r="B94" s="29" t="inlineStr">
        <is>
          <t>BUJE EMPUJADOR   RNFL7-208</t>
        </is>
      </c>
      <c r="C94" s="30" t="inlineStr">
        <is>
          <t>PZA</t>
        </is>
      </c>
      <c r="D94" s="36" t="n"/>
      <c r="E94" s="32" t="n"/>
      <c r="F94" s="33" t="n"/>
      <c r="G94" s="34" t="n"/>
      <c r="H94" s="34" t="n"/>
      <c r="I94" s="30" t="inlineStr">
        <is>
          <t>Mantenimiento</t>
        </is>
      </c>
      <c r="J94" s="32" t="n"/>
      <c r="K94" s="35">
        <f>IF(A94="","","#"&amp;A94)</f>
        <v/>
      </c>
    </row>
    <row r="95">
      <c r="A95" s="28" t="inlineStr">
        <is>
          <t>92</t>
        </is>
      </c>
      <c r="B95" s="29" t="inlineStr">
        <is>
          <t>EMPAQUE IR8320D  RNRB94-20PA</t>
        </is>
      </c>
      <c r="C95" s="30" t="inlineStr">
        <is>
          <t>PZA</t>
        </is>
      </c>
      <c r="D95" s="31" t="n">
        <v>25.26</v>
      </c>
      <c r="E95" s="32" t="n"/>
      <c r="F95" s="33" t="n"/>
      <c r="G95" s="34" t="n"/>
      <c r="H95" s="34" t="n"/>
      <c r="I95" s="30" t="inlineStr">
        <is>
          <t>Mantenimiento</t>
        </is>
      </c>
      <c r="J95" s="32" t="n"/>
      <c r="K95" s="35">
        <f>IF(A95="","","#"&amp;A95)</f>
        <v/>
      </c>
    </row>
    <row r="96">
      <c r="A96" s="28" t="inlineStr">
        <is>
          <t>93</t>
        </is>
      </c>
      <c r="B96" s="29" t="inlineStr">
        <is>
          <t>PORTAEMPAQUE   RNFL7-38A</t>
        </is>
      </c>
      <c r="C96" s="30" t="inlineStr">
        <is>
          <t>PZA</t>
        </is>
      </c>
      <c r="D96" s="31" t="n">
        <v>39.61</v>
      </c>
      <c r="E96" s="32" t="n"/>
      <c r="F96" s="33" t="n"/>
      <c r="G96" s="34" t="n"/>
      <c r="H96" s="34" t="n"/>
      <c r="I96" s="30" t="inlineStr">
        <is>
          <t>Mantenimiento</t>
        </is>
      </c>
      <c r="J96" s="32" t="n"/>
      <c r="K96" s="35">
        <f>IF(A96="","","#"&amp;A96)</f>
        <v/>
      </c>
    </row>
    <row r="97">
      <c r="A97" s="28" t="inlineStr">
        <is>
          <t>94</t>
        </is>
      </c>
      <c r="B97" s="29" t="inlineStr">
        <is>
          <t>BUJE EMPUJADOR   RNFL7-209</t>
        </is>
      </c>
      <c r="C97" s="30" t="inlineStr">
        <is>
          <t>PZA</t>
        </is>
      </c>
      <c r="D97" s="36" t="n"/>
      <c r="E97" s="32" t="n"/>
      <c r="F97" s="33" t="n"/>
      <c r="G97" s="34" t="n"/>
      <c r="H97" s="34" t="n"/>
      <c r="I97" s="30" t="inlineStr">
        <is>
          <t>Mantenimiento</t>
        </is>
      </c>
      <c r="J97" s="32" t="n"/>
      <c r="K97" s="35">
        <f>IF(A97="","","#"&amp;A97)</f>
        <v/>
      </c>
    </row>
    <row r="98">
      <c r="A98" s="28" t="inlineStr">
        <is>
          <t>95</t>
        </is>
      </c>
      <c r="B98" s="29" t="inlineStr">
        <is>
          <t>FEED PISTON COMPLETO  RNFL7-33ES</t>
        </is>
      </c>
      <c r="C98" s="30" t="inlineStr">
        <is>
          <t>PZA</t>
        </is>
      </c>
      <c r="D98" s="36" t="n"/>
      <c r="E98" s="32" t="n"/>
      <c r="F98" s="33" t="n"/>
      <c r="G98" s="34" t="n"/>
      <c r="H98" s="34" t="n"/>
      <c r="I98" s="30" t="inlineStr">
        <is>
          <t>Mantenimiento</t>
        </is>
      </c>
      <c r="J98" s="32" t="n"/>
      <c r="K98" s="35">
        <f>IF(A98="","","#"&amp;A98)</f>
        <v/>
      </c>
    </row>
    <row r="99">
      <c r="A99" s="28" t="inlineStr">
        <is>
          <t>96</t>
        </is>
      </c>
      <c r="B99" s="29" t="inlineStr">
        <is>
          <t>ANILLO   RNORP-34</t>
        </is>
      </c>
      <c r="C99" s="30" t="inlineStr">
        <is>
          <t>PZA</t>
        </is>
      </c>
      <c r="D99" s="31" t="n">
        <v>3.42</v>
      </c>
      <c r="E99" s="32" t="n"/>
      <c r="F99" s="33" t="n"/>
      <c r="G99" s="34" t="n"/>
      <c r="H99" s="34" t="n"/>
      <c r="I99" s="30" t="inlineStr">
        <is>
          <t>Mantenimiento</t>
        </is>
      </c>
      <c r="J99" s="32" t="n"/>
      <c r="K99" s="35">
        <f>IF(A99="","","#"&amp;A99)</f>
        <v/>
      </c>
    </row>
    <row r="100">
      <c r="A100" s="28" t="inlineStr">
        <is>
          <t>97</t>
        </is>
      </c>
      <c r="B100" s="29" t="inlineStr">
        <is>
          <t>BUJE EMPUJADOR (RNFL7 - 31)  RN-1029902</t>
        </is>
      </c>
      <c r="C100" s="30" t="inlineStr">
        <is>
          <t>PZA</t>
        </is>
      </c>
      <c r="D100" s="31" t="n">
        <v>127.47</v>
      </c>
      <c r="E100" s="32" t="n"/>
      <c r="F100" s="33" t="n"/>
      <c r="G100" s="34" t="n"/>
      <c r="H100" s="34" t="n"/>
      <c r="I100" s="30" t="inlineStr">
        <is>
          <t>Mantenimiento</t>
        </is>
      </c>
      <c r="J100" s="32" t="n"/>
      <c r="K100" s="35">
        <f>IF(A100="","","#"&amp;A100)</f>
        <v/>
      </c>
    </row>
    <row r="101">
      <c r="A101" s="28" t="inlineStr">
        <is>
          <t>98</t>
        </is>
      </c>
      <c r="B101" s="29" t="inlineStr">
        <is>
          <t>TAPA DE CILINDRO  RNFL7-27A</t>
        </is>
      </c>
      <c r="C101" s="30" t="inlineStr">
        <is>
          <t>PZA</t>
        </is>
      </c>
      <c r="D101" s="36" t="n"/>
      <c r="E101" s="32" t="n"/>
      <c r="F101" s="33" t="n"/>
      <c r="G101" s="34" t="n"/>
      <c r="H101" s="34" t="n"/>
      <c r="I101" s="30" t="inlineStr">
        <is>
          <t>Mantenimiento</t>
        </is>
      </c>
      <c r="J101" s="32" t="n"/>
      <c r="K101" s="35">
        <f>IF(A101="","","#"&amp;A101)</f>
        <v/>
      </c>
    </row>
    <row r="102">
      <c r="A102" s="28" t="inlineStr">
        <is>
          <t>99</t>
        </is>
      </c>
      <c r="B102" s="29" t="inlineStr">
        <is>
          <t>EMPAQUE   RNUCP-1</t>
        </is>
      </c>
      <c r="C102" s="30" t="inlineStr">
        <is>
          <t>PZA</t>
        </is>
      </c>
      <c r="D102" s="31" t="n">
        <v>21.92</v>
      </c>
      <c r="E102" s="32" t="n"/>
      <c r="F102" s="33" t="n"/>
      <c r="G102" s="34" t="n"/>
      <c r="H102" s="34" t="n"/>
      <c r="I102" s="30" t="inlineStr">
        <is>
          <t>Mantenimiento</t>
        </is>
      </c>
      <c r="J102" s="32" t="n"/>
      <c r="K102" s="35">
        <f>IF(A102="","","#"&amp;A102)</f>
        <v/>
      </c>
    </row>
    <row r="103">
      <c r="A103" s="28" t="inlineStr">
        <is>
          <t>100</t>
        </is>
      </c>
      <c r="B103" s="29" t="inlineStr">
        <is>
          <t>EMPAQUE   RN1029906</t>
        </is>
      </c>
      <c r="C103" s="30" t="inlineStr">
        <is>
          <t>PZA</t>
        </is>
      </c>
      <c r="D103" s="31" t="n">
        <v>30.93</v>
      </c>
      <c r="E103" s="32" t="n"/>
      <c r="F103" s="33" t="n"/>
      <c r="G103" s="34" t="n"/>
      <c r="H103" s="34" t="n"/>
      <c r="I103" s="30" t="inlineStr">
        <is>
          <t>Mantenimiento</t>
        </is>
      </c>
      <c r="J103" s="32" t="n"/>
      <c r="K103" s="35">
        <f>IF(A103="","","#"&amp;A103)</f>
        <v/>
      </c>
    </row>
    <row r="104">
      <c r="A104" s="28" t="inlineStr">
        <is>
          <t>101</t>
        </is>
      </c>
      <c r="B104" s="29" t="inlineStr">
        <is>
          <t>PICO DE APOYO   RNFL7-39S</t>
        </is>
      </c>
      <c r="C104" s="30" t="inlineStr">
        <is>
          <t>PZA</t>
        </is>
      </c>
      <c r="D104" s="31" t="n">
        <v>252.32</v>
      </c>
      <c r="E104" s="32" t="n"/>
      <c r="F104" s="33" t="n"/>
      <c r="G104" s="34" t="n"/>
      <c r="H104" s="34" t="n"/>
      <c r="I104" s="30" t="inlineStr">
        <is>
          <t>Mantenimiento</t>
        </is>
      </c>
      <c r="J104" s="32" t="n"/>
      <c r="K104" s="35">
        <f>IF(A104="","","#"&amp;A104)</f>
        <v/>
      </c>
    </row>
    <row r="105">
      <c r="A105" s="28" t="inlineStr">
        <is>
          <t>102</t>
        </is>
      </c>
      <c r="B105" s="29" t="inlineStr">
        <is>
          <t>CILINDRO DE ALUMINIO   RNFL7-25E</t>
        </is>
      </c>
      <c r="C105" s="30" t="inlineStr">
        <is>
          <t>PZA</t>
        </is>
      </c>
      <c r="D105" s="31" t="n">
        <v>664.85</v>
      </c>
      <c r="E105" s="32" t="n"/>
      <c r="F105" s="33" t="n"/>
      <c r="G105" s="34" t="n"/>
      <c r="H105" s="34" t="n"/>
      <c r="I105" s="30" t="inlineStr">
        <is>
          <t>Mantenimiento</t>
        </is>
      </c>
      <c r="J105" s="32" t="n"/>
      <c r="K105" s="35">
        <f>IF(A105="","","#"&amp;A105)</f>
        <v/>
      </c>
    </row>
    <row r="106">
      <c r="A106" s="28" t="inlineStr">
        <is>
          <t>103</t>
        </is>
      </c>
      <c r="B106" s="29" t="inlineStr">
        <is>
          <t>AGARRADERA  RNFL7-468</t>
        </is>
      </c>
      <c r="C106" s="30" t="inlineStr">
        <is>
          <t>PZA</t>
        </is>
      </c>
      <c r="D106" s="31" t="n">
        <v>192.99</v>
      </c>
      <c r="E106" s="32" t="n"/>
      <c r="F106" s="33" t="n"/>
      <c r="G106" s="34" t="n"/>
      <c r="H106" s="34" t="n"/>
      <c r="I106" s="30" t="inlineStr">
        <is>
          <t>Mantenimiento</t>
        </is>
      </c>
      <c r="J106" s="32" t="n"/>
      <c r="K106" s="35">
        <f>IF(A106="","","#"&amp;A106)</f>
        <v/>
      </c>
    </row>
    <row r="107">
      <c r="A107" s="28" t="inlineStr">
        <is>
          <t>104</t>
        </is>
      </c>
      <c r="B107" s="29" t="inlineStr">
        <is>
          <t>TORNILLO EMPUJADOR   RNSH-75</t>
        </is>
      </c>
      <c r="C107" s="30" t="inlineStr">
        <is>
          <t>PZA</t>
        </is>
      </c>
      <c r="D107" s="31" t="n">
        <v>6.67</v>
      </c>
      <c r="E107" s="32" t="n"/>
      <c r="F107" s="33" t="n"/>
      <c r="G107" s="34" t="n"/>
      <c r="H107" s="34" t="n"/>
      <c r="I107" s="30" t="inlineStr">
        <is>
          <t>Mantenimiento</t>
        </is>
      </c>
      <c r="J107" s="32" t="n"/>
      <c r="K107" s="35">
        <f>IF(A107="","","#"&amp;A107)</f>
        <v/>
      </c>
    </row>
    <row r="108">
      <c r="A108" s="28" t="inlineStr">
        <is>
          <t>105</t>
        </is>
      </c>
      <c r="B108" s="29" t="inlineStr">
        <is>
          <t>ARANDELA   RNWP-10</t>
        </is>
      </c>
      <c r="C108" s="30" t="inlineStr">
        <is>
          <t>PZA</t>
        </is>
      </c>
      <c r="D108" s="31" t="n">
        <v>1.84</v>
      </c>
      <c r="E108" s="32" t="n"/>
      <c r="F108" s="33" t="n"/>
      <c r="G108" s="34" t="n"/>
      <c r="H108" s="34" t="n"/>
      <c r="I108" s="30" t="inlineStr">
        <is>
          <t>Mantenimiento</t>
        </is>
      </c>
      <c r="J108" s="32" t="n"/>
      <c r="K108" s="35">
        <f>IF(A108="","","#"&amp;A108)</f>
        <v/>
      </c>
    </row>
    <row r="109">
      <c r="A109" s="28" t="inlineStr">
        <is>
          <t>106</t>
        </is>
      </c>
      <c r="B109" s="29" t="inlineStr">
        <is>
          <t>TUERCA EMPUJADOR   RNNH-10</t>
        </is>
      </c>
      <c r="C109" s="30" t="inlineStr">
        <is>
          <t>PZA</t>
        </is>
      </c>
      <c r="D109" s="31" t="n">
        <v>3.62</v>
      </c>
      <c r="E109" s="32" t="n"/>
      <c r="F109" s="33" t="n"/>
      <c r="G109" s="34" t="n"/>
      <c r="H109" s="34" t="n"/>
      <c r="I109" s="30" t="inlineStr">
        <is>
          <t>Mantenimiento</t>
        </is>
      </c>
      <c r="J109" s="32" t="n"/>
      <c r="K109" s="35">
        <f>IF(A109="","","#"&amp;A109)</f>
        <v/>
      </c>
    </row>
    <row r="110">
      <c r="A110" s="28" t="inlineStr">
        <is>
          <t>108</t>
        </is>
      </c>
      <c r="B110" s="29" t="inlineStr">
        <is>
          <t>SWIVEL FL7  RNFL7-90</t>
        </is>
      </c>
      <c r="C110" s="30" t="inlineStr">
        <is>
          <t>PZA</t>
        </is>
      </c>
      <c r="D110" s="31" t="n">
        <v>601.97</v>
      </c>
      <c r="E110" s="32" t="n"/>
      <c r="F110" s="33" t="n"/>
      <c r="G110" s="34" t="n"/>
      <c r="H110" s="34" t="n"/>
      <c r="I110" s="30" t="inlineStr">
        <is>
          <t>Mantenimiento</t>
        </is>
      </c>
      <c r="J110" s="32" t="n"/>
      <c r="K110" s="35">
        <f>IF(A110="","","#"&amp;A110)</f>
        <v/>
      </c>
    </row>
    <row r="111">
      <c r="A111" s="28" t="inlineStr">
        <is>
          <t>109</t>
        </is>
      </c>
      <c r="B111" s="29" t="inlineStr">
        <is>
          <t>ANILLO   RNOR-11</t>
        </is>
      </c>
      <c r="C111" s="30" t="inlineStr">
        <is>
          <t>PZA</t>
        </is>
      </c>
      <c r="D111" s="31" t="n">
        <v>3.8</v>
      </c>
      <c r="E111" s="32" t="n"/>
      <c r="F111" s="33" t="n"/>
      <c r="G111" s="34" t="n"/>
      <c r="H111" s="34" t="n"/>
      <c r="I111" s="30" t="inlineStr">
        <is>
          <t>Mantenimiento</t>
        </is>
      </c>
      <c r="J111" s="32" t="n"/>
      <c r="K111" s="35">
        <f>IF(A111="","","#"&amp;A111)</f>
        <v/>
      </c>
    </row>
    <row r="112">
      <c r="A112" s="28" t="inlineStr">
        <is>
          <t>110</t>
        </is>
      </c>
      <c r="B112" s="29" t="inlineStr">
        <is>
          <t>PIVOTE   RNFL7-91A</t>
        </is>
      </c>
      <c r="C112" s="30" t="inlineStr">
        <is>
          <t>PZA</t>
        </is>
      </c>
      <c r="D112" s="31" t="n">
        <v>319.68</v>
      </c>
      <c r="E112" s="32" t="n"/>
      <c r="F112" s="33" t="n"/>
      <c r="G112" s="34" t="n"/>
      <c r="H112" s="34" t="n"/>
      <c r="I112" s="30" t="inlineStr">
        <is>
          <t>Mantenimiento</t>
        </is>
      </c>
      <c r="J112" s="32" t="n"/>
      <c r="K112" s="35">
        <f>IF(A112="","","#"&amp;A112)</f>
        <v/>
      </c>
    </row>
    <row r="113">
      <c r="A113" s="28" t="inlineStr">
        <is>
          <t>111</t>
        </is>
      </c>
      <c r="B113" s="29" t="inlineStr">
        <is>
          <t>PERNO SWIVEL FL7   RNFL7-200</t>
        </is>
      </c>
      <c r="C113" s="30" t="inlineStr">
        <is>
          <t>PZA</t>
        </is>
      </c>
      <c r="D113" s="31" t="n">
        <v>6.67</v>
      </c>
      <c r="E113" s="32" t="n"/>
      <c r="F113" s="33" t="n"/>
      <c r="G113" s="34" t="n"/>
      <c r="H113" s="34" t="n"/>
      <c r="I113" s="30" t="inlineStr">
        <is>
          <t>Mantenimiento</t>
        </is>
      </c>
      <c r="J113" s="32" t="n"/>
      <c r="K113" s="35">
        <f>IF(A113="","","#"&amp;A113)</f>
        <v/>
      </c>
    </row>
    <row r="114">
      <c r="A114" s="28" t="inlineStr">
        <is>
          <t>112</t>
        </is>
      </c>
      <c r="B114" s="29" t="inlineStr">
        <is>
          <t>ANILLO (2)   RNOR-21</t>
        </is>
      </c>
      <c r="C114" s="30" t="inlineStr">
        <is>
          <t>PZA</t>
        </is>
      </c>
      <c r="D114" s="31" t="n">
        <v>3.8</v>
      </c>
      <c r="E114" s="32" t="n"/>
      <c r="F114" s="33" t="n"/>
      <c r="G114" s="34" t="n"/>
      <c r="H114" s="34" t="n"/>
      <c r="I114" s="30" t="inlineStr">
        <is>
          <t>Mantenimiento</t>
        </is>
      </c>
      <c r="J114" s="32" t="n"/>
      <c r="K114" s="35">
        <f>IF(A114="","","#"&amp;A114)</f>
        <v/>
      </c>
    </row>
    <row r="115">
      <c r="A115" s="28" t="inlineStr">
        <is>
          <t>113</t>
        </is>
      </c>
      <c r="B115" s="29" t="inlineStr">
        <is>
          <t>TUERCA SWIVEL FL7 (RNNH 108-FL7)  RN-NH-108</t>
        </is>
      </c>
      <c r="C115" s="30" t="inlineStr">
        <is>
          <t>PZA</t>
        </is>
      </c>
      <c r="D115" s="31" t="n">
        <v>42.66</v>
      </c>
      <c r="E115" s="32" t="n"/>
      <c r="F115" s="33" t="n"/>
      <c r="G115" s="34" t="n"/>
      <c r="H115" s="34" t="n"/>
      <c r="I115" s="30" t="inlineStr">
        <is>
          <t>Mantenimiento</t>
        </is>
      </c>
      <c r="J115" s="32" t="n"/>
      <c r="K115" s="35">
        <f>IF(A115="","","#"&amp;A115)</f>
        <v/>
      </c>
    </row>
    <row r="116">
      <c r="A116" s="28" t="inlineStr">
        <is>
          <t>114</t>
        </is>
      </c>
      <c r="B116" s="29" t="inlineStr">
        <is>
          <t>RONDANA  RNS58F-35W</t>
        </is>
      </c>
      <c r="C116" s="30" t="inlineStr">
        <is>
          <t>PZA</t>
        </is>
      </c>
      <c r="D116" s="31" t="n">
        <v>9.039999999999999</v>
      </c>
      <c r="E116" s="32" t="n"/>
      <c r="F116" s="33" t="n"/>
      <c r="G116" s="34" t="n"/>
      <c r="H116" s="34" t="n"/>
      <c r="I116" s="30" t="inlineStr">
        <is>
          <t>Mantenimiento</t>
        </is>
      </c>
      <c r="J116" s="32" t="n"/>
      <c r="K116" s="35">
        <f>IF(A116="","","#"&amp;A116)</f>
        <v/>
      </c>
    </row>
    <row r="117">
      <c r="A117" s="28" t="inlineStr">
        <is>
          <t>115</t>
        </is>
      </c>
      <c r="B117" s="29" t="inlineStr">
        <is>
          <t>RESORTE RNFL5-97</t>
        </is>
      </c>
      <c r="C117" s="30" t="inlineStr">
        <is>
          <t>PZA</t>
        </is>
      </c>
      <c r="D117" s="31" t="n">
        <v>55.81</v>
      </c>
      <c r="E117" s="32" t="n"/>
      <c r="F117" s="33" t="n"/>
      <c r="G117" s="34" t="n"/>
      <c r="H117" s="34" t="n"/>
      <c r="I117" s="30" t="inlineStr">
        <is>
          <t>Mantenimiento</t>
        </is>
      </c>
      <c r="J117" s="32" t="n"/>
      <c r="K117" s="35">
        <f>IF(A117="","","#"&amp;A117)</f>
        <v/>
      </c>
    </row>
    <row r="118">
      <c r="A118" s="28" t="inlineStr">
        <is>
          <t>116</t>
        </is>
      </c>
      <c r="B118" s="29" t="inlineStr">
        <is>
          <t>TUERCA SWIVEL FL9   RNFL7-99</t>
        </is>
      </c>
      <c r="C118" s="30" t="inlineStr">
        <is>
          <t>PZA</t>
        </is>
      </c>
      <c r="D118" s="31" t="n">
        <v>57.83</v>
      </c>
      <c r="E118" s="32" t="n"/>
      <c r="F118" s="33" t="n"/>
      <c r="G118" s="34" t="n"/>
      <c r="H118" s="34" t="n"/>
      <c r="I118" s="30" t="inlineStr">
        <is>
          <t>Mantenimiento</t>
        </is>
      </c>
      <c r="J118" s="32" t="n"/>
      <c r="K118" s="35">
        <f>IF(A118="","","#"&amp;A118)</f>
        <v/>
      </c>
    </row>
    <row r="119">
      <c r="A119" s="28" t="inlineStr">
        <is>
          <t>117</t>
        </is>
      </c>
      <c r="B119" s="29" t="inlineStr">
        <is>
          <t>CONO DEL SWIVEL   RNFL7-201</t>
        </is>
      </c>
      <c r="C119" s="30" t="inlineStr">
        <is>
          <t>PZA</t>
        </is>
      </c>
      <c r="D119" s="31" t="n">
        <v>46.95</v>
      </c>
      <c r="E119" s="32" t="n"/>
      <c r="F119" s="33" t="n"/>
      <c r="G119" s="34" t="n"/>
      <c r="H119" s="34" t="n"/>
      <c r="I119" s="30" t="inlineStr">
        <is>
          <t>Mantenimiento</t>
        </is>
      </c>
      <c r="J119" s="32" t="n"/>
      <c r="K119" s="35">
        <f>IF(A119="","","#"&amp;A119)</f>
        <v/>
      </c>
    </row>
    <row r="120">
      <c r="A120" s="28" t="inlineStr">
        <is>
          <t>118</t>
        </is>
      </c>
      <c r="B120" s="29" t="inlineStr">
        <is>
          <t>CONEXIÓN DE AGUA   RN760-01</t>
        </is>
      </c>
      <c r="C120" s="30" t="inlineStr">
        <is>
          <t>PZA</t>
        </is>
      </c>
      <c r="D120" s="31" t="n">
        <v>29.32</v>
      </c>
      <c r="E120" s="32" t="n"/>
      <c r="F120" s="33" t="n"/>
      <c r="G120" s="34" t="n"/>
      <c r="H120" s="34" t="n"/>
      <c r="I120" s="30" t="inlineStr">
        <is>
          <t>Mantenimiento</t>
        </is>
      </c>
      <c r="J120" s="32" t="n"/>
      <c r="K120" s="35">
        <f>IF(A120="","","#"&amp;A120)</f>
        <v/>
      </c>
    </row>
    <row r="121">
      <c r="A121" s="28" t="inlineStr">
        <is>
          <t>119</t>
        </is>
      </c>
      <c r="B121" s="29" t="inlineStr">
        <is>
          <t>ADAPTADOR DE CODO DE AIRE  RNRB83-147-0</t>
        </is>
      </c>
      <c r="C121" s="30" t="inlineStr">
        <is>
          <t>PZA</t>
        </is>
      </c>
      <c r="D121" s="31" t="n">
        <v>53.12</v>
      </c>
      <c r="E121" s="32" t="n"/>
      <c r="F121" s="33" t="n"/>
      <c r="G121" s="34" t="n"/>
      <c r="H121" s="34" t="n"/>
      <c r="I121" s="30" t="inlineStr">
        <is>
          <t>Mantenimiento</t>
        </is>
      </c>
      <c r="J121" s="32" t="n"/>
      <c r="K121" s="35">
        <f>IF(A121="","","#"&amp;A121)</f>
        <v/>
      </c>
    </row>
    <row r="122">
      <c r="A122" s="28" t="inlineStr">
        <is>
          <t>120</t>
        </is>
      </c>
      <c r="B122" s="29" t="inlineStr">
        <is>
          <t>CONEXIÓN DE AIRE   RNFL-05</t>
        </is>
      </c>
      <c r="C122" s="30" t="inlineStr">
        <is>
          <t>PZA</t>
        </is>
      </c>
      <c r="D122" s="31" t="n">
        <v>37.6</v>
      </c>
      <c r="E122" s="32" t="n"/>
      <c r="F122" s="33" t="n"/>
      <c r="G122" s="34" t="n"/>
      <c r="H122" s="34" t="n"/>
      <c r="I122" s="30" t="inlineStr">
        <is>
          <t>Mantenimiento</t>
        </is>
      </c>
      <c r="J122" s="32" t="n"/>
      <c r="K122" s="35">
        <f>IF(A122="","","#"&amp;A122)</f>
        <v/>
      </c>
    </row>
    <row r="123">
      <c r="A123" s="28" t="inlineStr">
        <is>
          <t>121</t>
        </is>
      </c>
      <c r="B123" s="29" t="inlineStr">
        <is>
          <t>ADAPTADOR LUBRICADOR   RNL-06</t>
        </is>
      </c>
      <c r="C123" s="30" t="inlineStr">
        <is>
          <t>PZA</t>
        </is>
      </c>
      <c r="D123" s="31" t="n">
        <v>42.28</v>
      </c>
      <c r="E123" s="32" t="n"/>
      <c r="F123" s="33" t="n"/>
      <c r="G123" s="34" t="n"/>
      <c r="H123" s="34" t="n"/>
      <c r="I123" s="30" t="inlineStr">
        <is>
          <t>Mantenimiento</t>
        </is>
      </c>
      <c r="J123" s="32" t="n"/>
      <c r="K123" s="35">
        <f>IF(A123="","","#"&amp;A123)</f>
        <v/>
      </c>
    </row>
    <row r="124">
      <c r="A124" s="28" t="inlineStr">
        <is>
          <t>122</t>
        </is>
      </c>
      <c r="B124" s="29" t="inlineStr">
        <is>
          <t>TUERCA LUBRICADOR   RNRB-114</t>
        </is>
      </c>
      <c r="C124" s="30" t="inlineStr">
        <is>
          <t>PZA</t>
        </is>
      </c>
      <c r="D124" s="36" t="n"/>
      <c r="E124" s="32" t="n"/>
      <c r="F124" s="33" t="n"/>
      <c r="G124" s="34" t="n"/>
      <c r="H124" s="34" t="n"/>
      <c r="I124" s="30" t="inlineStr">
        <is>
          <t>Mantenimiento</t>
        </is>
      </c>
      <c r="J124" s="32" t="n"/>
      <c r="K124" s="35">
        <f>IF(A124="","","#"&amp;A124)</f>
        <v/>
      </c>
    </row>
    <row r="125">
      <c r="A125" s="28" t="inlineStr">
        <is>
          <t>123</t>
        </is>
      </c>
      <c r="B125" s="29" t="inlineStr">
        <is>
          <t>FILTRO LUBRICADOR   RNFIL-L07</t>
        </is>
      </c>
      <c r="C125" s="30" t="inlineStr">
        <is>
          <t>PZA</t>
        </is>
      </c>
      <c r="D125" s="36" t="n"/>
      <c r="E125" s="32" t="n"/>
      <c r="F125" s="33" t="n"/>
      <c r="G125" s="34" t="n"/>
      <c r="H125" s="34" t="n"/>
      <c r="I125" s="30" t="inlineStr">
        <is>
          <t>Mantenimiento</t>
        </is>
      </c>
      <c r="J125" s="32" t="n"/>
      <c r="K125" s="35">
        <f>IF(A125="","","#"&amp;A125)</f>
        <v/>
      </c>
    </row>
    <row r="126">
      <c r="A126" s="28" t="inlineStr">
        <is>
          <t>124</t>
        </is>
      </c>
      <c r="B126" s="29" t="inlineStr">
        <is>
          <t>ANILLO LUBRICADORA   RN164731</t>
        </is>
      </c>
      <c r="C126" s="30" t="inlineStr">
        <is>
          <t>PZA</t>
        </is>
      </c>
      <c r="D126" s="31" t="n">
        <v>3.8</v>
      </c>
      <c r="E126" s="32" t="n"/>
      <c r="F126" s="33" t="n"/>
      <c r="G126" s="34" t="n"/>
      <c r="H126" s="34" t="n"/>
      <c r="I126" s="30" t="inlineStr">
        <is>
          <t>Mantenimiento</t>
        </is>
      </c>
      <c r="J126" s="32" t="n"/>
      <c r="K126" s="35">
        <f>IF(A126="","","#"&amp;A126)</f>
        <v/>
      </c>
    </row>
    <row r="127">
      <c r="A127" s="28" t="inlineStr">
        <is>
          <t>125</t>
        </is>
      </c>
      <c r="B127" s="29" t="inlineStr">
        <is>
          <t>LUBRICADORA   RNL-07</t>
        </is>
      </c>
      <c r="C127" s="30" t="inlineStr">
        <is>
          <t>PZA</t>
        </is>
      </c>
      <c r="D127" s="31" t="n">
        <v>1328.25</v>
      </c>
      <c r="E127" s="32" t="n"/>
      <c r="F127" s="33" t="n"/>
      <c r="G127" s="34" t="n"/>
      <c r="H127" s="34" t="n"/>
      <c r="I127" s="30" t="inlineStr">
        <is>
          <t>Mantenimiento</t>
        </is>
      </c>
      <c r="J127" s="32" t="n"/>
      <c r="K127" s="35">
        <f>IF(A127="","","#"&amp;A127)</f>
        <v/>
      </c>
    </row>
    <row r="128">
      <c r="A128" s="28" t="inlineStr">
        <is>
          <t>126</t>
        </is>
      </c>
      <c r="B128" s="29" t="inlineStr">
        <is>
          <t>CONEXIÓN DE SALIDA LUBRICADORA   RNL-08</t>
        </is>
      </c>
      <c r="C128" s="30" t="inlineStr">
        <is>
          <t>PZA</t>
        </is>
      </c>
      <c r="D128" s="31" t="n">
        <v>36.23</v>
      </c>
      <c r="E128" s="32" t="n"/>
      <c r="F128" s="33" t="n"/>
      <c r="G128" s="34" t="n"/>
      <c r="H128" s="34" t="n"/>
      <c r="I128" s="30" t="inlineStr">
        <is>
          <t>Mantenimiento</t>
        </is>
      </c>
      <c r="J128" s="32" t="n"/>
      <c r="K128" s="35">
        <f>IF(A128="","","#"&amp;A128)</f>
        <v/>
      </c>
    </row>
    <row r="129">
      <c r="A129" s="28" t="inlineStr">
        <is>
          <t>127</t>
        </is>
      </c>
      <c r="B129" s="29" t="inlineStr">
        <is>
          <t>JEBE PARA MANERAL   RN-JM1820</t>
        </is>
      </c>
      <c r="C129" s="30" t="inlineStr">
        <is>
          <t>PZA</t>
        </is>
      </c>
      <c r="D129" s="31" t="n">
        <v>3.59</v>
      </c>
      <c r="E129" s="32" t="n"/>
      <c r="F129" s="33" t="n"/>
      <c r="G129" s="34" t="n"/>
      <c r="H129" s="34" t="n"/>
      <c r="I129" s="30" t="inlineStr">
        <is>
          <t>Mantenimiento</t>
        </is>
      </c>
      <c r="J129" s="32" t="n"/>
      <c r="K129" s="35">
        <f>IF(A129="","","#"&amp;A129)</f>
        <v/>
      </c>
    </row>
    <row r="130">
      <c r="A130" s="28" t="inlineStr">
        <is>
          <t>128</t>
        </is>
      </c>
      <c r="B130" s="29" t="inlineStr">
        <is>
          <t>ANILLO DE GAMARILLA (2)   RN-8325</t>
        </is>
      </c>
      <c r="C130" s="30" t="inlineStr">
        <is>
          <t>PZA</t>
        </is>
      </c>
      <c r="D130" s="31" t="n">
        <v>3.8</v>
      </c>
      <c r="E130" s="32" t="n"/>
      <c r="F130" s="33" t="n"/>
      <c r="G130" s="34" t="n"/>
      <c r="H130" s="34" t="n"/>
      <c r="I130" s="30" t="inlineStr">
        <is>
          <t>Mantenimiento</t>
        </is>
      </c>
      <c r="J130" s="32" t="n"/>
      <c r="K130" s="35">
        <f>IF(A130="","","#"&amp;A130)</f>
        <v/>
      </c>
    </row>
    <row r="131">
      <c r="A131" s="28" t="inlineStr">
        <is>
          <t>129</t>
        </is>
      </c>
      <c r="B131" s="29" t="inlineStr">
        <is>
          <t>CANDADO DE GAMARILLA   RNTRR3</t>
        </is>
      </c>
      <c r="C131" s="30" t="inlineStr">
        <is>
          <t>PZA</t>
        </is>
      </c>
      <c r="D131" s="31" t="n">
        <v>3.59</v>
      </c>
      <c r="E131" s="32" t="n"/>
      <c r="F131" s="33" t="n"/>
      <c r="G131" s="34" t="n"/>
      <c r="H131" s="34" t="n"/>
      <c r="I131" s="30" t="inlineStr">
        <is>
          <t>Mantenimiento</t>
        </is>
      </c>
      <c r="J131" s="32" t="n"/>
      <c r="K131" s="35">
        <f>IF(A131="","","#"&amp;A131)</f>
        <v/>
      </c>
    </row>
    <row r="132">
      <c r="A132" s="28" t="inlineStr">
        <is>
          <t>130</t>
        </is>
      </c>
      <c r="B132" s="29" t="inlineStr">
        <is>
          <t>CALIBRADOR DE BOCINA   RN-GAGE</t>
        </is>
      </c>
      <c r="C132" s="30" t="inlineStr">
        <is>
          <t>PZA</t>
        </is>
      </c>
      <c r="D132" s="36" t="n"/>
      <c r="E132" s="32" t="n"/>
      <c r="F132" s="33" t="n"/>
      <c r="G132" s="34" t="n"/>
      <c r="H132" s="34" t="n"/>
      <c r="I132" s="30" t="inlineStr">
        <is>
          <t>Mantenimiento</t>
        </is>
      </c>
      <c r="J132" s="32" t="n"/>
      <c r="K132" s="35">
        <f>IF(A132="","","#"&amp;A132)</f>
        <v/>
      </c>
    </row>
    <row r="133">
      <c r="A133" s="28" t="inlineStr">
        <is>
          <t>131</t>
        </is>
      </c>
      <c r="B133" s="29" t="inlineStr">
        <is>
          <t>MANÓMETRO COMPLETO  MAN-01</t>
        </is>
      </c>
      <c r="C133" s="30" t="inlineStr">
        <is>
          <t>PZA</t>
        </is>
      </c>
      <c r="D133" s="31" t="n">
        <v>271.7</v>
      </c>
      <c r="E133" s="32" t="n"/>
      <c r="F133" s="33" t="n"/>
      <c r="G133" s="34" t="n"/>
      <c r="H133" s="34" t="n"/>
      <c r="I133" s="30" t="inlineStr">
        <is>
          <t>Mantenimiento</t>
        </is>
      </c>
      <c r="J133" s="32" t="n"/>
      <c r="K133" s="35">
        <f>IF(A133="","","#"&amp;A133)</f>
        <v/>
      </c>
    </row>
    <row r="134">
      <c r="A134" s="28" t="inlineStr">
        <is>
          <t>4627133</t>
        </is>
      </c>
      <c r="B134" s="29" t="inlineStr">
        <is>
          <t>FILTRO DE ACEITE</t>
        </is>
      </c>
      <c r="C134" s="30" t="inlineStr">
        <is>
          <t>PZA</t>
        </is>
      </c>
      <c r="D134" s="36" t="n"/>
      <c r="E134" s="32" t="n"/>
      <c r="F134" s="33" t="n"/>
      <c r="G134" s="34" t="n"/>
      <c r="H134" s="34" t="n"/>
      <c r="I134" s="30" t="inlineStr">
        <is>
          <t>Mantenimiento</t>
        </is>
      </c>
      <c r="J134" s="32" t="n"/>
      <c r="K134" s="35">
        <f>IF(A134="","","#"&amp;A134)</f>
        <v/>
      </c>
    </row>
    <row r="135">
      <c r="A135" s="28" t="inlineStr">
        <is>
          <t>21746575</t>
        </is>
      </c>
      <c r="B135" s="29" t="inlineStr">
        <is>
          <t>FILTRO DE PETROLEO</t>
        </is>
      </c>
      <c r="C135" s="30" t="inlineStr">
        <is>
          <t>PZA</t>
        </is>
      </c>
      <c r="D135" s="36" t="n"/>
      <c r="E135" s="32" t="n"/>
      <c r="F135" s="33" t="n"/>
      <c r="G135" s="34" t="n"/>
      <c r="H135" s="34" t="n"/>
      <c r="I135" s="30" t="inlineStr">
        <is>
          <t>Mantenimiento</t>
        </is>
      </c>
      <c r="J135" s="32" t="n"/>
      <c r="K135" s="35">
        <f>IF(A135="","","#"&amp;A135)</f>
        <v/>
      </c>
    </row>
    <row r="136">
      <c r="A136" s="28" t="inlineStr">
        <is>
          <t>24063074</t>
        </is>
      </c>
      <c r="B136" s="29" t="inlineStr">
        <is>
          <t>FILTRO DE ACEITE MARCA VOLVO</t>
        </is>
      </c>
      <c r="C136" s="30" t="inlineStr">
        <is>
          <t>PZA</t>
        </is>
      </c>
      <c r="D136" s="36" t="n"/>
      <c r="E136" s="32" t="n"/>
      <c r="F136" s="33" t="n"/>
      <c r="G136" s="34" t="n"/>
      <c r="H136" s="34" t="n"/>
      <c r="I136" s="30" t="inlineStr">
        <is>
          <t>Mantenimiento</t>
        </is>
      </c>
      <c r="J136" s="32" t="n"/>
      <c r="K136" s="35">
        <f>IF(A136="","","#"&amp;A136)</f>
        <v/>
      </c>
    </row>
    <row r="137">
      <c r="A137" s="28" t="inlineStr">
        <is>
          <t>60159323</t>
        </is>
      </c>
      <c r="B137" s="29" t="inlineStr">
        <is>
          <t>FILTRO DE AIRE SECUNDARIO</t>
        </is>
      </c>
      <c r="C137" s="30" t="inlineStr">
        <is>
          <t>PZA</t>
        </is>
      </c>
      <c r="D137" s="36" t="n"/>
      <c r="E137" s="32" t="n"/>
      <c r="F137" s="33" t="n"/>
      <c r="G137" s="34" t="n"/>
      <c r="H137" s="34" t="n"/>
      <c r="I137" s="30" t="inlineStr">
        <is>
          <t>Mantenimiento</t>
        </is>
      </c>
      <c r="J137" s="32" t="n"/>
      <c r="K137" s="35">
        <f>IF(A137="","","#"&amp;A137)</f>
        <v/>
      </c>
    </row>
    <row r="138">
      <c r="A138" s="28" t="inlineStr">
        <is>
          <t>60211330</t>
        </is>
      </c>
      <c r="B138" s="29" t="inlineStr">
        <is>
          <t>FILTRO DE ALTA</t>
        </is>
      </c>
      <c r="C138" s="30" t="inlineStr">
        <is>
          <t>PZA</t>
        </is>
      </c>
      <c r="D138" s="36" t="n"/>
      <c r="E138" s="32" t="n"/>
      <c r="F138" s="33" t="n"/>
      <c r="G138" s="34" t="n"/>
      <c r="H138" s="34" t="n"/>
      <c r="I138" s="30" t="inlineStr">
        <is>
          <t>Mantenimiento</t>
        </is>
      </c>
      <c r="J138" s="32" t="n"/>
      <c r="K138" s="35">
        <f>IF(A138="","","#"&amp;A138)</f>
        <v/>
      </c>
    </row>
    <row r="139">
      <c r="A139" s="28" t="inlineStr">
        <is>
          <t>60250669</t>
        </is>
      </c>
      <c r="B139" s="29" t="inlineStr">
        <is>
          <t>FILTRO DE AIRE ACONDICIONADO</t>
        </is>
      </c>
      <c r="C139" s="30" t="inlineStr">
        <is>
          <t>PZA</t>
        </is>
      </c>
      <c r="D139" s="36" t="n"/>
      <c r="E139" s="32" t="n"/>
      <c r="F139" s="33" t="n"/>
      <c r="G139" s="34" t="n"/>
      <c r="H139" s="34" t="n"/>
      <c r="I139" s="30" t="inlineStr">
        <is>
          <t>Mantenimiento</t>
        </is>
      </c>
      <c r="J139" s="32" t="n"/>
      <c r="K139" s="35">
        <f>IF(A139="","","#"&amp;A139)</f>
        <v/>
      </c>
    </row>
    <row r="140">
      <c r="A140" s="28" t="inlineStr">
        <is>
          <t>1200000022</t>
        </is>
      </c>
      <c r="B140" s="29" t="inlineStr">
        <is>
          <t>ACEITE AIR TOOL OIL S2 A 100</t>
        </is>
      </c>
      <c r="C140" s="30" t="inlineStr">
        <is>
          <t>GLN</t>
        </is>
      </c>
      <c r="D140" s="31" t="n">
        <v>48.69</v>
      </c>
      <c r="E140" s="32" t="n"/>
      <c r="F140" s="33" t="n"/>
      <c r="G140" s="34" t="n"/>
      <c r="H140" s="34" t="n"/>
      <c r="I140" s="30" t="inlineStr">
        <is>
          <t>Insumos</t>
        </is>
      </c>
      <c r="J140" s="32" t="n"/>
      <c r="K140" s="35">
        <f>IF(A140="","","#"&amp;A140)</f>
        <v/>
      </c>
    </row>
    <row r="141">
      <c r="A141" s="28" t="inlineStr">
        <is>
          <t>1300000023</t>
        </is>
      </c>
      <c r="B141" s="29" t="inlineStr">
        <is>
          <t>BROCA DESCARTABLE DE BOTONES 32 MM</t>
        </is>
      </c>
      <c r="C141" s="30" t="inlineStr">
        <is>
          <t>PZA</t>
        </is>
      </c>
      <c r="D141" s="31" t="n">
        <v>74.91</v>
      </c>
      <c r="E141" s="32" t="n"/>
      <c r="F141" s="33" t="n"/>
      <c r="G141" s="34" t="n"/>
      <c r="H141" s="34" t="n"/>
      <c r="I141" s="30" t="inlineStr">
        <is>
          <t>Insumos</t>
        </is>
      </c>
      <c r="J141" s="32" t="n"/>
      <c r="K141" s="35">
        <f>IF(A141="","","#"&amp;A141)</f>
        <v/>
      </c>
    </row>
    <row r="142">
      <c r="A142" s="28" t="inlineStr">
        <is>
          <t>1300000026</t>
        </is>
      </c>
      <c r="B142" s="29" t="inlineStr">
        <is>
          <t>BROCA DESCARTABLE DE BOTONES 36 MM</t>
        </is>
      </c>
      <c r="C142" s="30" t="inlineStr">
        <is>
          <t>PZA</t>
        </is>
      </c>
      <c r="D142" s="31" t="n">
        <v>76.88</v>
      </c>
      <c r="E142" s="32" t="n"/>
      <c r="F142" s="33" t="n"/>
      <c r="G142" s="34" t="n"/>
      <c r="H142" s="34" t="n"/>
      <c r="I142" s="30" t="inlineStr">
        <is>
          <t>Insumos</t>
        </is>
      </c>
      <c r="J142" s="32" t="n"/>
      <c r="K142" s="35">
        <f>IF(A142="","","#"&amp;A142)</f>
        <v/>
      </c>
    </row>
    <row r="143">
      <c r="A143" s="28" t="inlineStr">
        <is>
          <t>1300000036</t>
        </is>
      </c>
      <c r="B143" s="29" t="inlineStr">
        <is>
          <t>BARRA CONICA 6' X 7/8''</t>
        </is>
      </c>
      <c r="C143" s="30" t="inlineStr">
        <is>
          <t>PZA</t>
        </is>
      </c>
      <c r="D143" s="31" t="n">
        <v>330.29</v>
      </c>
      <c r="E143" s="32" t="n"/>
      <c r="F143" s="33" t="n"/>
      <c r="G143" s="34" t="n"/>
      <c r="H143" s="34" t="n"/>
      <c r="I143" s="30" t="inlineStr">
        <is>
          <t>Insumos</t>
        </is>
      </c>
      <c r="J143" s="32" t="n"/>
      <c r="K143" s="35">
        <f>IF(A143="","","#"&amp;A143)</f>
        <v/>
      </c>
    </row>
    <row r="144">
      <c r="A144" s="28" t="inlineStr">
        <is>
          <t>1300000037</t>
        </is>
      </c>
      <c r="B144" s="29" t="inlineStr">
        <is>
          <t>BARRA CONICA 4' X 7/8''</t>
        </is>
      </c>
      <c r="C144" s="30" t="inlineStr">
        <is>
          <t>PZA</t>
        </is>
      </c>
      <c r="D144" s="31" t="n">
        <v>249.17</v>
      </c>
      <c r="E144" s="32" t="n"/>
      <c r="F144" s="33" t="n"/>
      <c r="G144" s="34" t="n"/>
      <c r="H144" s="34" t="n"/>
      <c r="I144" s="30" t="inlineStr">
        <is>
          <t>Insumos</t>
        </is>
      </c>
      <c r="J144" s="32" t="n"/>
      <c r="K144" s="35">
        <f>IF(A144="","","#"&amp;A144)</f>
        <v/>
      </c>
    </row>
    <row r="145">
      <c r="A145" s="28" t="inlineStr">
        <is>
          <t>1300000039</t>
        </is>
      </c>
      <c r="B145" s="29" t="inlineStr">
        <is>
          <t>BARRA CONICA 8' X 7/8''</t>
        </is>
      </c>
      <c r="C145" s="30" t="inlineStr">
        <is>
          <t>PZA</t>
        </is>
      </c>
      <c r="D145" s="31" t="n">
        <v>249.17</v>
      </c>
      <c r="E145" s="32" t="n"/>
      <c r="F145" s="33" t="n"/>
      <c r="G145" s="34" t="n"/>
      <c r="H145" s="34" t="n"/>
      <c r="I145" s="30" t="inlineStr">
        <is>
          <t>Insumos</t>
        </is>
      </c>
      <c r="J145" s="32" t="n"/>
      <c r="K145" s="35">
        <f>IF(A145="","","#"&amp;A145)</f>
        <v/>
      </c>
    </row>
    <row r="146">
      <c r="A146" s="28" t="inlineStr">
        <is>
          <t>1500000031</t>
        </is>
      </c>
      <c r="B146" s="29" t="inlineStr">
        <is>
          <t>ATACADORES DE MADERA 1" X 2.5 MTR</t>
        </is>
      </c>
      <c r="C146" s="30" t="inlineStr">
        <is>
          <t>PZA</t>
        </is>
      </c>
      <c r="D146" s="36" t="n"/>
      <c r="E146" s="32" t="n"/>
      <c r="F146" s="33" t="n"/>
      <c r="G146" s="34" t="n"/>
      <c r="H146" s="34" t="n"/>
      <c r="I146" s="30" t="inlineStr">
        <is>
          <t>Insumos</t>
        </is>
      </c>
      <c r="J146" s="32" t="n"/>
      <c r="K146" s="35">
        <f>IF(A146="","","#"&amp;A146)</f>
        <v/>
      </c>
    </row>
    <row r="147">
      <c r="A147" s="28" t="inlineStr">
        <is>
          <t>1500000032</t>
        </is>
      </c>
      <c r="B147" s="29" t="inlineStr">
        <is>
          <t>GUIADORES  DE MADERA 1" X 1.30 MTR</t>
        </is>
      </c>
      <c r="C147" s="30" t="inlineStr">
        <is>
          <t>PZA</t>
        </is>
      </c>
      <c r="D147" s="31" t="n">
        <v>7.67</v>
      </c>
      <c r="E147" s="32" t="n"/>
      <c r="F147" s="33" t="n"/>
      <c r="G147" s="34" t="n"/>
      <c r="H147" s="34" t="n"/>
      <c r="I147" s="30" t="inlineStr">
        <is>
          <t>Insumos</t>
        </is>
      </c>
      <c r="J147" s="32" t="n"/>
      <c r="K147" s="35">
        <f>IF(A147="","","#"&amp;A147)</f>
        <v/>
      </c>
    </row>
    <row r="148">
      <c r="A148" s="28" t="inlineStr">
        <is>
          <t>1500001431</t>
        </is>
      </c>
      <c r="B148" s="29" t="inlineStr">
        <is>
          <t>SPLIT SET CON PLATINA 5´ X 39MM</t>
        </is>
      </c>
      <c r="C148" s="30" t="inlineStr">
        <is>
          <t>JGO</t>
        </is>
      </c>
      <c r="D148" s="36" t="n"/>
      <c r="E148" s="32" t="n"/>
      <c r="F148" s="33" t="n"/>
      <c r="G148" s="34" t="n"/>
      <c r="H148" s="34" t="n"/>
      <c r="I148" s="30" t="inlineStr">
        <is>
          <t>Insumos</t>
        </is>
      </c>
      <c r="J148" s="32" t="n"/>
      <c r="K148" s="35">
        <f>IF(A148="","","#"&amp;A148)</f>
        <v/>
      </c>
    </row>
    <row r="149">
      <c r="A149" s="28" t="inlineStr">
        <is>
          <t>1500001437</t>
        </is>
      </c>
      <c r="B149" s="29" t="inlineStr">
        <is>
          <t>ALCAYATA DE FE CORRUGADO T-G 5/8"X29 CM</t>
        </is>
      </c>
      <c r="C149" s="30" t="inlineStr">
        <is>
          <t>PZA</t>
        </is>
      </c>
      <c r="D149" s="31" t="n">
        <v>9.23</v>
      </c>
      <c r="E149" s="32" t="n"/>
      <c r="F149" s="33" t="n"/>
      <c r="G149" s="34" t="n"/>
      <c r="H149" s="34" t="n"/>
      <c r="I149" s="30" t="inlineStr">
        <is>
          <t>Insumos</t>
        </is>
      </c>
      <c r="J149" s="32" t="n"/>
      <c r="K149" s="35">
        <f>IF(A149="","","#"&amp;A149)</f>
        <v/>
      </c>
    </row>
    <row r="150">
      <c r="A150" s="28" t="inlineStr">
        <is>
          <t>1500001438</t>
        </is>
      </c>
      <c r="B150" s="29" t="inlineStr">
        <is>
          <t>ALCAYATA DE FE CORRUGADO T-L 3/4"X70CM</t>
        </is>
      </c>
      <c r="C150" s="30" t="inlineStr">
        <is>
          <t>PZA</t>
        </is>
      </c>
      <c r="D150" s="31" t="n">
        <v>14.4</v>
      </c>
      <c r="E150" s="32" t="n"/>
      <c r="F150" s="33" t="n"/>
      <c r="G150" s="34" t="n"/>
      <c r="H150" s="34" t="n"/>
      <c r="I150" s="30" t="inlineStr">
        <is>
          <t>Insumos</t>
        </is>
      </c>
      <c r="J150" s="32" t="n"/>
      <c r="K150" s="35">
        <f>IF(A150="","","#"&amp;A150)</f>
        <v/>
      </c>
    </row>
    <row r="151">
      <c r="A151" s="28" t="inlineStr">
        <is>
          <t>1500001441</t>
        </is>
      </c>
      <c r="B151" s="29" t="inlineStr">
        <is>
          <t>PERNO HELICOIDAL 19 MM X 7´(2.13MTR)</t>
        </is>
      </c>
      <c r="C151" s="30" t="inlineStr">
        <is>
          <t>JGO</t>
        </is>
      </c>
      <c r="D151" s="31" t="n">
        <v>29.52</v>
      </c>
      <c r="E151" s="32" t="n"/>
      <c r="F151" s="33" t="n"/>
      <c r="G151" s="34" t="n"/>
      <c r="H151" s="34" t="n"/>
      <c r="I151" s="30" t="inlineStr">
        <is>
          <t>Insumos</t>
        </is>
      </c>
      <c r="J151" s="32" t="n"/>
      <c r="K151" s="35">
        <f>IF(A151="","","#"&amp;A151)</f>
        <v/>
      </c>
    </row>
    <row r="152">
      <c r="A152" s="28" t="inlineStr">
        <is>
          <t>1500001442</t>
        </is>
      </c>
      <c r="B152" s="29" t="inlineStr">
        <is>
          <t>PERNO HELICOIDAL 19 MM X 5´(1.52MTR)</t>
        </is>
      </c>
      <c r="C152" s="30" t="inlineStr">
        <is>
          <t>JGO</t>
        </is>
      </c>
      <c r="D152" s="36" t="n"/>
      <c r="E152" s="32" t="n"/>
      <c r="F152" s="33" t="n"/>
      <c r="G152" s="34" t="n"/>
      <c r="H152" s="34" t="n"/>
      <c r="I152" s="30" t="inlineStr">
        <is>
          <t>Insumos</t>
        </is>
      </c>
      <c r="J152" s="32" t="n"/>
      <c r="K152" s="35">
        <f>IF(A152="","","#"&amp;A152)</f>
        <v/>
      </c>
    </row>
    <row r="153">
      <c r="A153" s="28" t="inlineStr">
        <is>
          <t>1500001443</t>
        </is>
      </c>
      <c r="B153" s="29" t="inlineStr">
        <is>
          <t>PERNO HELICOIDAL 19 MM X 6´(1.83MTR)</t>
        </is>
      </c>
      <c r="C153" s="30" t="inlineStr">
        <is>
          <t>JGO</t>
        </is>
      </c>
      <c r="D153" s="36" t="n"/>
      <c r="E153" s="32" t="n"/>
      <c r="F153" s="33" t="n"/>
      <c r="G153" s="34" t="n"/>
      <c r="H153" s="34" t="n"/>
      <c r="I153" s="30" t="inlineStr">
        <is>
          <t>Insumos</t>
        </is>
      </c>
      <c r="J153" s="32" t="n"/>
      <c r="K153" s="35">
        <f>IF(A153="","","#"&amp;A153)</f>
        <v/>
      </c>
    </row>
    <row r="154">
      <c r="A154" s="28" t="inlineStr">
        <is>
          <t>1500001454</t>
        </is>
      </c>
      <c r="B154" s="29" t="inlineStr">
        <is>
          <t>ALCAYATA DE FE CORRUGADO 3/8" X 35 CM</t>
        </is>
      </c>
      <c r="C154" s="30" t="inlineStr">
        <is>
          <t>PZA</t>
        </is>
      </c>
      <c r="D154" s="31" t="n">
        <v>4.92</v>
      </c>
      <c r="E154" s="32" t="n"/>
      <c r="F154" s="33" t="n"/>
      <c r="G154" s="34" t="n"/>
      <c r="H154" s="34" t="n"/>
      <c r="I154" s="30" t="inlineStr">
        <is>
          <t>Insumos</t>
        </is>
      </c>
      <c r="J154" s="32" t="n"/>
      <c r="K154" s="35">
        <f>IF(A154="","","#"&amp;A154)</f>
        <v/>
      </c>
    </row>
    <row r="155">
      <c r="A155" s="28" t="inlineStr">
        <is>
          <t>1500001491</t>
        </is>
      </c>
      <c r="B155" s="29" t="inlineStr">
        <is>
          <t>PLANCHA ACANALADA T/ONDUL. 2X1100X1700MM</t>
        </is>
      </c>
      <c r="C155" s="30" t="inlineStr">
        <is>
          <t>PZA</t>
        </is>
      </c>
      <c r="D155" s="31" t="n">
        <v>164.38</v>
      </c>
      <c r="E155" s="32" t="n"/>
      <c r="F155" s="33" t="n"/>
      <c r="G155" s="34" t="n"/>
      <c r="H155" s="34" t="n"/>
      <c r="I155" s="30" t="inlineStr">
        <is>
          <t>Insumos</t>
        </is>
      </c>
      <c r="J155" s="32" t="n"/>
      <c r="K155" s="35">
        <f>IF(A155="","","#"&amp;A155)</f>
        <v/>
      </c>
    </row>
    <row r="156">
      <c r="A156" s="28" t="inlineStr">
        <is>
          <t>1500002431</t>
        </is>
      </c>
      <c r="B156" s="29" t="inlineStr">
        <is>
          <t>GRAPA (HEBILLA) SERIE 201SS 1/2" C-254</t>
        </is>
      </c>
      <c r="C156" s="30" t="inlineStr">
        <is>
          <t>CJ</t>
        </is>
      </c>
      <c r="D156" s="36" t="n"/>
      <c r="E156" s="32" t="n"/>
      <c r="F156" s="33" t="n"/>
      <c r="G156" s="34" t="n"/>
      <c r="H156" s="34" t="n"/>
      <c r="I156" s="30" t="inlineStr">
        <is>
          <t>Insumos</t>
        </is>
      </c>
      <c r="J156" s="32" t="n"/>
      <c r="K156" s="35">
        <f>IF(A156="","","#"&amp;A156)</f>
        <v/>
      </c>
    </row>
    <row r="157">
      <c r="A157" s="28" t="inlineStr">
        <is>
          <t>1500002432</t>
        </is>
      </c>
      <c r="B157" s="29" t="inlineStr">
        <is>
          <t>GRAPA (HEBILLA) SERIE 201SS 3/4" C-256</t>
        </is>
      </c>
      <c r="C157" s="30" t="inlineStr">
        <is>
          <t>CJ</t>
        </is>
      </c>
      <c r="D157" s="36" t="n"/>
      <c r="E157" s="32" t="n"/>
      <c r="F157" s="33" t="n"/>
      <c r="G157" s="34" t="n"/>
      <c r="H157" s="34" t="n"/>
      <c r="I157" s="30" t="inlineStr">
        <is>
          <t>Insumos</t>
        </is>
      </c>
      <c r="J157" s="32" t="n"/>
      <c r="K157" s="35">
        <f>IF(A157="","","#"&amp;A157)</f>
        <v/>
      </c>
    </row>
    <row r="158">
      <c r="A158" s="28" t="inlineStr">
        <is>
          <t>1500002649</t>
        </is>
      </c>
      <c r="B158" s="29" t="inlineStr">
        <is>
          <t>MANGUERA DE JEBE Y LONA 1/2"</t>
        </is>
      </c>
      <c r="C158" s="30" t="inlineStr">
        <is>
          <t>M</t>
        </is>
      </c>
      <c r="D158" s="36" t="n"/>
      <c r="E158" s="32" t="n"/>
      <c r="F158" s="33" t="n"/>
      <c r="G158" s="34" t="n"/>
      <c r="H158" s="34" t="n"/>
      <c r="I158" s="30" t="inlineStr">
        <is>
          <t>Insumos</t>
        </is>
      </c>
      <c r="J158" s="32" t="n"/>
      <c r="K158" s="35">
        <f>IF(A158="","","#"&amp;A158)</f>
        <v/>
      </c>
    </row>
    <row r="159">
      <c r="A159" s="28" t="inlineStr">
        <is>
          <t>1500002650</t>
        </is>
      </c>
      <c r="B159" s="29" t="inlineStr">
        <is>
          <t>MANGUERA DE JEBE Y LONA 1" 300 PSI</t>
        </is>
      </c>
      <c r="C159" s="30" t="inlineStr">
        <is>
          <t>M</t>
        </is>
      </c>
      <c r="D159" s="36" t="n"/>
      <c r="E159" s="32" t="n"/>
      <c r="F159" s="33" t="n"/>
      <c r="G159" s="34" t="n"/>
      <c r="H159" s="34" t="n"/>
      <c r="I159" s="30" t="inlineStr">
        <is>
          <t>Insumos</t>
        </is>
      </c>
      <c r="J159" s="32" t="n"/>
      <c r="K159" s="35">
        <f>IF(A159="","","#"&amp;A159)</f>
        <v/>
      </c>
    </row>
    <row r="160">
      <c r="A160" s="28" t="inlineStr">
        <is>
          <t>1500002745</t>
        </is>
      </c>
      <c r="B160" s="29" t="inlineStr">
        <is>
          <t>BARRA DE ALUMINIO PARA ACUÑAR 1" X 12</t>
        </is>
      </c>
      <c r="C160" s="30" t="inlineStr">
        <is>
          <t>PZA</t>
        </is>
      </c>
      <c r="D160" s="36" t="n"/>
      <c r="E160" s="32" t="n"/>
      <c r="F160" s="33" t="n"/>
      <c r="G160" s="34" t="n"/>
      <c r="H160" s="34" t="n"/>
      <c r="I160" s="30" t="inlineStr">
        <is>
          <t>Insumos</t>
        </is>
      </c>
      <c r="J160" s="32" t="n"/>
      <c r="K160" s="35">
        <f>IF(A160="","","#"&amp;A160)</f>
        <v/>
      </c>
    </row>
    <row r="161">
      <c r="A161" s="28" t="inlineStr">
        <is>
          <t>1500002765</t>
        </is>
      </c>
      <c r="B161" s="29" t="inlineStr">
        <is>
          <t>BARRA DE ALUMINIO PARA ACUÑAR 1" X 6´</t>
        </is>
      </c>
      <c r="C161" s="30" t="inlineStr">
        <is>
          <t>PZA</t>
        </is>
      </c>
      <c r="D161" s="36" t="n"/>
      <c r="E161" s="32" t="n"/>
      <c r="F161" s="33" t="n"/>
      <c r="G161" s="34" t="n"/>
      <c r="H161" s="34" t="n"/>
      <c r="I161" s="30" t="inlineStr">
        <is>
          <t>Insumos</t>
        </is>
      </c>
      <c r="J161" s="32" t="n"/>
      <c r="K161" s="35">
        <f>IF(A161="","","#"&amp;A161)</f>
        <v/>
      </c>
    </row>
    <row r="162">
      <c r="A162" s="28" t="inlineStr">
        <is>
          <t>1500002766</t>
        </is>
      </c>
      <c r="B162" s="29" t="inlineStr">
        <is>
          <t>BARRA DE ALUMINIO PARA ACUÑAR 1" X 4"</t>
        </is>
      </c>
      <c r="C162" s="30" t="inlineStr">
        <is>
          <t>PZA</t>
        </is>
      </c>
      <c r="D162" s="36" t="n"/>
      <c r="E162" s="32" t="n"/>
      <c r="F162" s="33" t="n"/>
      <c r="G162" s="34" t="n"/>
      <c r="H162" s="34" t="n"/>
      <c r="I162" s="30" t="inlineStr">
        <is>
          <t>Insumos</t>
        </is>
      </c>
      <c r="J162" s="32" t="n"/>
      <c r="K162" s="35">
        <f>IF(A162="","","#"&amp;A162)</f>
        <v/>
      </c>
    </row>
    <row r="163">
      <c r="A163" s="28" t="inlineStr">
        <is>
          <t>1500002859</t>
        </is>
      </c>
      <c r="B163" s="29" t="inlineStr">
        <is>
          <t>SACO METALERO POLIPROPILENO 20" X 30"</t>
        </is>
      </c>
      <c r="C163" s="30" t="inlineStr">
        <is>
          <t>PZA</t>
        </is>
      </c>
      <c r="D163" s="31" t="n">
        <v>1.02</v>
      </c>
      <c r="E163" s="32" t="n"/>
      <c r="F163" s="33" t="n"/>
      <c r="G163" s="34" t="n"/>
      <c r="H163" s="34" t="n"/>
      <c r="I163" s="30" t="inlineStr">
        <is>
          <t>Insumos</t>
        </is>
      </c>
      <c r="J163" s="32" t="n"/>
      <c r="K163" s="35">
        <f>IF(A163="","","#"&amp;A163)</f>
        <v/>
      </c>
    </row>
    <row r="164">
      <c r="A164" s="28" t="inlineStr">
        <is>
          <t>1500003013</t>
        </is>
      </c>
      <c r="B164" s="29" t="inlineStr">
        <is>
          <t>BARRA DE ALUMINIO PARA ACUÑAR 1" X 8´</t>
        </is>
      </c>
      <c r="C164" s="30" t="inlineStr">
        <is>
          <t>PZA</t>
        </is>
      </c>
      <c r="D164" s="36" t="n"/>
      <c r="E164" s="32" t="n"/>
      <c r="F164" s="33" t="n"/>
      <c r="G164" s="34" t="n"/>
      <c r="H164" s="34" t="n"/>
      <c r="I164" s="30" t="inlineStr">
        <is>
          <t>Insumos</t>
        </is>
      </c>
      <c r="J164" s="32" t="n"/>
      <c r="K164" s="35">
        <f>IF(A164="","","#"&amp;A164)</f>
        <v/>
      </c>
    </row>
    <row r="165">
      <c r="A165" s="28" t="inlineStr">
        <is>
          <t>1500003022</t>
        </is>
      </c>
      <c r="B165" s="29" t="inlineStr">
        <is>
          <t>BARRA DE ALUMINIO PARA ACUÑAR 1" X 10´</t>
        </is>
      </c>
      <c r="C165" s="30" t="inlineStr">
        <is>
          <t>PZA</t>
        </is>
      </c>
      <c r="D165" s="36" t="n"/>
      <c r="E165" s="32" t="n"/>
      <c r="F165" s="33" t="n"/>
      <c r="G165" s="34" t="n"/>
      <c r="H165" s="34" t="n"/>
      <c r="I165" s="30" t="inlineStr">
        <is>
          <t>Insumos</t>
        </is>
      </c>
      <c r="J165" s="32" t="n"/>
      <c r="K165" s="35">
        <f>IF(A165="","","#"&amp;A165)</f>
        <v/>
      </c>
    </row>
    <row r="166">
      <c r="A166" s="28" t="inlineStr">
        <is>
          <t>1500003086</t>
        </is>
      </c>
      <c r="B166" s="29" t="inlineStr">
        <is>
          <t>CEMENTO GRIS ANTISALITRE PORTL. TIPO MS</t>
        </is>
      </c>
      <c r="C166" s="30" t="inlineStr">
        <is>
          <t>BOL</t>
        </is>
      </c>
      <c r="D166" s="31" t="n">
        <v>27.73</v>
      </c>
      <c r="E166" s="32" t="n"/>
      <c r="F166" s="33" t="n"/>
      <c r="G166" s="34" t="n"/>
      <c r="H166" s="34" t="n"/>
      <c r="I166" s="30" t="inlineStr">
        <is>
          <t>Insumos</t>
        </is>
      </c>
      <c r="J166" s="32" t="n"/>
      <c r="K166" s="35">
        <f>IF(A166="","","#"&amp;A166)</f>
        <v/>
      </c>
    </row>
    <row r="167">
      <c r="A167" s="28" t="inlineStr">
        <is>
          <t>1500003087</t>
        </is>
      </c>
      <c r="B167" s="29" t="inlineStr">
        <is>
          <t>CARTUCHO DE CEMENTO 30MM X 305MM</t>
        </is>
      </c>
      <c r="C167" s="30" t="inlineStr">
        <is>
          <t>PZA</t>
        </is>
      </c>
      <c r="D167" s="31" t="n">
        <v>1.85</v>
      </c>
      <c r="E167" s="32" t="n"/>
      <c r="F167" s="33" t="n"/>
      <c r="G167" s="34" t="n"/>
      <c r="H167" s="34" t="n"/>
      <c r="I167" s="30" t="inlineStr">
        <is>
          <t>Insumos</t>
        </is>
      </c>
      <c r="J167" s="32" t="n"/>
      <c r="K167" s="35">
        <f>IF(A167="","","#"&amp;A167)</f>
        <v/>
      </c>
    </row>
    <row r="168">
      <c r="A168" s="28" t="inlineStr">
        <is>
          <t>1500003149</t>
        </is>
      </c>
      <c r="B168" s="29" t="inlineStr">
        <is>
          <t>CARRETILLA C/RUEDAS DE JEBE 4 P3</t>
        </is>
      </c>
      <c r="C168" s="30" t="inlineStr">
        <is>
          <t>PZA</t>
        </is>
      </c>
      <c r="D168" s="31" t="n">
        <v>203.67</v>
      </c>
      <c r="E168" s="32" t="n"/>
      <c r="F168" s="33" t="n"/>
      <c r="G168" s="34" t="n"/>
      <c r="H168" s="34" t="n"/>
      <c r="I168" s="30" t="inlineStr">
        <is>
          <t>Insumos</t>
        </is>
      </c>
      <c r="J168" s="32" t="n"/>
      <c r="K168" s="35">
        <f>IF(A168="","","#"&amp;A168)</f>
        <v/>
      </c>
    </row>
    <row r="169">
      <c r="A169" s="28" t="inlineStr">
        <is>
          <t>1500003164</t>
        </is>
      </c>
      <c r="B169" s="29" t="inlineStr">
        <is>
          <t>CINTA DE ACERO INOX.1/2"X0.76MM L=30.5MT</t>
        </is>
      </c>
      <c r="C169" s="30" t="inlineStr">
        <is>
          <t>CJ</t>
        </is>
      </c>
      <c r="D169" s="31" t="n">
        <v>136.34</v>
      </c>
      <c r="E169" s="32" t="n"/>
      <c r="F169" s="33" t="n"/>
      <c r="G169" s="34" t="n"/>
      <c r="H169" s="34" t="n"/>
      <c r="I169" s="30" t="inlineStr">
        <is>
          <t>Insumos</t>
        </is>
      </c>
      <c r="J169" s="32" t="n"/>
      <c r="K169" s="35">
        <f>IF(A169="","","#"&amp;A169)</f>
        <v/>
      </c>
    </row>
    <row r="170">
      <c r="A170" s="28" t="inlineStr">
        <is>
          <t>1500003165</t>
        </is>
      </c>
      <c r="B170" s="29" t="inlineStr">
        <is>
          <t>CINTA DE ACERO INOX.3/4"X0.76MM L=30.5MT</t>
        </is>
      </c>
      <c r="C170" s="30" t="inlineStr">
        <is>
          <t>CJ</t>
        </is>
      </c>
      <c r="D170" s="31" t="n">
        <v>176.59</v>
      </c>
      <c r="E170" s="32" t="n"/>
      <c r="F170" s="33" t="n"/>
      <c r="G170" s="34" t="n"/>
      <c r="H170" s="34" t="n"/>
      <c r="I170" s="30" t="inlineStr">
        <is>
          <t>Insumos</t>
        </is>
      </c>
      <c r="J170" s="32" t="n"/>
      <c r="K170" s="35">
        <f>IF(A170="","","#"&amp;A170)</f>
        <v/>
      </c>
    </row>
    <row r="171">
      <c r="A171" s="28" t="inlineStr">
        <is>
          <t>1500003182</t>
        </is>
      </c>
      <c r="B171" s="29" t="inlineStr">
        <is>
          <t>ADAPTADOR DE PERNO HELICOIDAL 22MM</t>
        </is>
      </c>
      <c r="C171" s="30" t="inlineStr">
        <is>
          <t>PZA</t>
        </is>
      </c>
      <c r="D171" s="36" t="n"/>
      <c r="E171" s="32" t="n"/>
      <c r="F171" s="33" t="n"/>
      <c r="G171" s="34" t="n"/>
      <c r="H171" s="34" t="n"/>
      <c r="I171" s="30" t="inlineStr">
        <is>
          <t>Insumos</t>
        </is>
      </c>
      <c r="J171" s="32" t="n"/>
      <c r="K171" s="35">
        <f>IF(A171="","","#"&amp;A171)</f>
        <v/>
      </c>
    </row>
    <row r="172">
      <c r="A172" s="28" t="inlineStr">
        <is>
          <t>1500003208</t>
        </is>
      </c>
      <c r="B172" s="29" t="inlineStr">
        <is>
          <t>RESINA 28 MM X 305 MM 0-60 SECOND SET</t>
        </is>
      </c>
      <c r="C172" s="30" t="inlineStr">
        <is>
          <t>PZA</t>
        </is>
      </c>
      <c r="D172" s="31" t="n">
        <v>3.22</v>
      </c>
      <c r="E172" s="32" t="n"/>
      <c r="F172" s="33" t="n"/>
      <c r="G172" s="34" t="n"/>
      <c r="H172" s="34" t="n"/>
      <c r="I172" s="30" t="inlineStr">
        <is>
          <t>Insumos</t>
        </is>
      </c>
      <c r="J172" s="32" t="n"/>
      <c r="K172" s="35">
        <f>IF(A172="","","#"&amp;A172)</f>
        <v/>
      </c>
    </row>
    <row r="173">
      <c r="A173" s="28" t="inlineStr">
        <is>
          <t>1500003358</t>
        </is>
      </c>
      <c r="B173" s="29" t="inlineStr">
        <is>
          <t>ALAMBRE NEGRO N° 16</t>
        </is>
      </c>
      <c r="C173" s="30" t="inlineStr">
        <is>
          <t>KG</t>
        </is>
      </c>
      <c r="D173" s="31" t="n">
        <v>4.67</v>
      </c>
      <c r="E173" s="32" t="n"/>
      <c r="F173" s="33" t="n"/>
      <c r="G173" s="34" t="n"/>
      <c r="H173" s="34" t="n"/>
      <c r="I173" s="30" t="inlineStr">
        <is>
          <t>Insumos</t>
        </is>
      </c>
      <c r="J173" s="32" t="n"/>
      <c r="K173" s="35">
        <f>IF(A173="","","#"&amp;A173)</f>
        <v/>
      </c>
    </row>
    <row r="174">
      <c r="A174" s="28" t="inlineStr">
        <is>
          <t>1500003364</t>
        </is>
      </c>
      <c r="B174" s="29" t="inlineStr">
        <is>
          <t>CABLE DE ACERO ALMA D/ACERO 1/2"X250MTR</t>
        </is>
      </c>
      <c r="C174" s="30" t="inlineStr">
        <is>
          <t>M</t>
        </is>
      </c>
      <c r="D174" s="36" t="n"/>
      <c r="E174" s="32" t="n"/>
      <c r="F174" s="33" t="n"/>
      <c r="G174" s="34" t="n"/>
      <c r="H174" s="34" t="n"/>
      <c r="I174" s="30" t="inlineStr">
        <is>
          <t>Insumos</t>
        </is>
      </c>
      <c r="J174" s="32" t="n"/>
      <c r="K174" s="35">
        <f>IF(A174="","","#"&amp;A174)</f>
        <v/>
      </c>
    </row>
    <row r="175">
      <c r="A175" s="28" t="inlineStr">
        <is>
          <t>1500003378</t>
        </is>
      </c>
      <c r="B175" s="29" t="inlineStr">
        <is>
          <t>CABLE DE ACERO GALVANIZADO 5/32" (6X19)</t>
        </is>
      </c>
      <c r="C175" s="30" t="inlineStr">
        <is>
          <t>M</t>
        </is>
      </c>
      <c r="D175" s="31" t="n">
        <v>1.07</v>
      </c>
      <c r="E175" s="32" t="n"/>
      <c r="F175" s="33" t="n"/>
      <c r="G175" s="34" t="n"/>
      <c r="H175" s="34" t="n"/>
      <c r="I175" s="30" t="inlineStr">
        <is>
          <t>Insumos</t>
        </is>
      </c>
      <c r="J175" s="32" t="n"/>
      <c r="K175" s="35">
        <f>IF(A175="","","#"&amp;A175)</f>
        <v/>
      </c>
    </row>
    <row r="176">
      <c r="A176" s="28" t="inlineStr">
        <is>
          <t>1500003379</t>
        </is>
      </c>
      <c r="B176" s="29" t="inlineStr">
        <is>
          <t>GRAPA DE ACERO PARA CABLE 3/16"</t>
        </is>
      </c>
      <c r="C176" s="30" t="inlineStr">
        <is>
          <t>PZA</t>
        </is>
      </c>
      <c r="D176" s="36" t="n"/>
      <c r="E176" s="32" t="n"/>
      <c r="F176" s="33" t="n"/>
      <c r="G176" s="34" t="n"/>
      <c r="H176" s="34" t="n"/>
      <c r="I176" s="30" t="inlineStr">
        <is>
          <t>Insumos</t>
        </is>
      </c>
      <c r="J176" s="32" t="n"/>
      <c r="K176" s="35">
        <f>IF(A176="","","#"&amp;A176)</f>
        <v/>
      </c>
    </row>
    <row r="177">
      <c r="A177" s="28" t="inlineStr">
        <is>
          <t>1500003424</t>
        </is>
      </c>
      <c r="B177" s="29" t="inlineStr">
        <is>
          <t>MALLA ELECTROSOLDADA 4"X4"-2.42 X 25 MTR</t>
        </is>
      </c>
      <c r="C177" s="30" t="inlineStr">
        <is>
          <t>ROLL</t>
        </is>
      </c>
      <c r="D177" s="31" t="n">
        <v>374.91</v>
      </c>
      <c r="E177" s="32" t="n"/>
      <c r="F177" s="33" t="n"/>
      <c r="G177" s="34" t="n"/>
      <c r="H177" s="34" t="n"/>
      <c r="I177" s="30" t="inlineStr">
        <is>
          <t>Insumos</t>
        </is>
      </c>
      <c r="J177" s="32" t="n"/>
      <c r="K177" s="35">
        <f>IF(A177="","","#"&amp;A177)</f>
        <v/>
      </c>
    </row>
    <row r="178">
      <c r="A178" s="28" t="inlineStr">
        <is>
          <t>1600000006</t>
        </is>
      </c>
      <c r="B178" s="29" t="inlineStr">
        <is>
          <t>ESCALERA DE MADERA  3.60 MTRX 11 PELD.</t>
        </is>
      </c>
      <c r="C178" s="30" t="inlineStr">
        <is>
          <t>PZA</t>
        </is>
      </c>
      <c r="D178" s="31" t="n">
        <v>68.52</v>
      </c>
      <c r="E178" s="32" t="n"/>
      <c r="F178" s="33" t="n"/>
      <c r="G178" s="34" t="n"/>
      <c r="H178" s="34" t="n"/>
      <c r="I178" s="30" t="inlineStr">
        <is>
          <t>Insumos</t>
        </is>
      </c>
      <c r="J178" s="32" t="n"/>
      <c r="K178" s="35">
        <f>IF(A178="","","#"&amp;A178)</f>
        <v/>
      </c>
    </row>
    <row r="179">
      <c r="A179" s="28" t="inlineStr">
        <is>
          <t>1600000008</t>
        </is>
      </c>
      <c r="B179" s="29" t="inlineStr">
        <is>
          <t>LISTON  2" X 3" X 10´</t>
        </is>
      </c>
      <c r="C179" s="30" t="inlineStr">
        <is>
          <t>PZA</t>
        </is>
      </c>
      <c r="D179" s="31" t="n">
        <v>13.92</v>
      </c>
      <c r="E179" s="32" t="n"/>
      <c r="F179" s="33" t="n"/>
      <c r="G179" s="34" t="n"/>
      <c r="H179" s="34" t="n"/>
      <c r="I179" s="30" t="inlineStr">
        <is>
          <t>Insumos</t>
        </is>
      </c>
      <c r="J179" s="32" t="n"/>
      <c r="K179" s="35">
        <f>IF(A179="","","#"&amp;A179)</f>
        <v/>
      </c>
    </row>
    <row r="180">
      <c r="A180" s="28" t="inlineStr">
        <is>
          <t>1600000009</t>
        </is>
      </c>
      <c r="B180" s="29" t="inlineStr">
        <is>
          <t>TABLA ASERRADA  2" X 8" X 10´</t>
        </is>
      </c>
      <c r="C180" s="30" t="inlineStr">
        <is>
          <t>PZA</t>
        </is>
      </c>
      <c r="D180" s="31" t="n">
        <v>25.43</v>
      </c>
      <c r="E180" s="32" t="n"/>
      <c r="F180" s="33" t="n"/>
      <c r="G180" s="34" t="n"/>
      <c r="H180" s="34" t="n"/>
      <c r="I180" s="30" t="inlineStr">
        <is>
          <t>Insumos</t>
        </is>
      </c>
      <c r="J180" s="32" t="n"/>
      <c r="K180" s="35">
        <f>IF(A180="","","#"&amp;A180)</f>
        <v/>
      </c>
    </row>
    <row r="181">
      <c r="A181" s="28" t="inlineStr">
        <is>
          <t>1700000144</t>
        </is>
      </c>
      <c r="B181" s="29" t="inlineStr">
        <is>
          <t>CIMBRA AC (2C) 3.5X3.5 MTR W6" X20 LB/FT</t>
        </is>
      </c>
      <c r="C181" s="30" t="inlineStr">
        <is>
          <t>JGO</t>
        </is>
      </c>
      <c r="D181" s="31" t="n">
        <v>2034</v>
      </c>
      <c r="E181" s="32" t="n"/>
      <c r="F181" s="33" t="n"/>
      <c r="G181" s="34" t="n"/>
      <c r="H181" s="34" t="n"/>
      <c r="I181" s="30" t="inlineStr">
        <is>
          <t>Insumos</t>
        </is>
      </c>
      <c r="J181" s="32" t="n"/>
      <c r="K181" s="35">
        <f>IF(A181="","","#"&amp;A181)</f>
        <v/>
      </c>
    </row>
    <row r="182">
      <c r="A182" s="28" t="inlineStr">
        <is>
          <t>1700000170</t>
        </is>
      </c>
      <c r="B182" s="29" t="inlineStr">
        <is>
          <t>CIMBRA AC (2C) 3 X 3M W6' X 20LB/FT</t>
        </is>
      </c>
      <c r="C182" s="30" t="inlineStr">
        <is>
          <t>JGO</t>
        </is>
      </c>
      <c r="D182" s="31" t="n">
        <v>2034</v>
      </c>
      <c r="E182" s="32" t="n"/>
      <c r="F182" s="33" t="n"/>
      <c r="G182" s="34" t="n"/>
      <c r="H182" s="34" t="n"/>
      <c r="I182" s="30" t="inlineStr">
        <is>
          <t>Insumos</t>
        </is>
      </c>
      <c r="J182" s="32" t="n"/>
      <c r="K182" s="35">
        <f>IF(A182="","","#"&amp;A182)</f>
        <v/>
      </c>
    </row>
    <row r="183">
      <c r="A183" s="28" t="inlineStr">
        <is>
          <t>1900000069</t>
        </is>
      </c>
      <c r="B183" s="29" t="inlineStr">
        <is>
          <t>UNION DE POLIPROPI. C/ROSCA 63 MM</t>
        </is>
      </c>
      <c r="C183" s="30" t="inlineStr">
        <is>
          <t>PZA</t>
        </is>
      </c>
      <c r="D183" s="31" t="n">
        <v>1</v>
      </c>
      <c r="E183" s="32" t="n"/>
      <c r="F183" s="33" t="n"/>
      <c r="G183" s="34" t="n"/>
      <c r="H183" s="34" t="n"/>
      <c r="I183" s="30" t="inlineStr">
        <is>
          <t>Insumos</t>
        </is>
      </c>
      <c r="J183" s="32" t="n"/>
      <c r="K183" s="35">
        <f>IF(A183="","","#"&amp;A183)</f>
        <v/>
      </c>
    </row>
    <row r="184">
      <c r="A184" s="28" t="inlineStr">
        <is>
          <t>1900000088</t>
        </is>
      </c>
      <c r="B184" s="29" t="inlineStr">
        <is>
          <t>UNION DE POLIPROPILENO C/ROSCA 32 MM</t>
        </is>
      </c>
      <c r="C184" s="30" t="inlineStr">
        <is>
          <t>PZA</t>
        </is>
      </c>
      <c r="D184" s="31" t="n">
        <v>1</v>
      </c>
      <c r="E184" s="32" t="n"/>
      <c r="F184" s="33" t="n"/>
      <c r="G184" s="34" t="n"/>
      <c r="H184" s="34" t="n"/>
      <c r="I184" s="30" t="inlineStr">
        <is>
          <t>Insumos</t>
        </is>
      </c>
      <c r="J184" s="32" t="n"/>
      <c r="K184" s="35">
        <f>IF(A184="","","#"&amp;A184)</f>
        <v/>
      </c>
    </row>
    <row r="185">
      <c r="A185" s="28" t="inlineStr">
        <is>
          <t>1900000106</t>
        </is>
      </c>
      <c r="B185" s="29" t="inlineStr">
        <is>
          <t>VALVULA BOLA PVC DOBLE ACOP PP 32MM</t>
        </is>
      </c>
      <c r="C185" s="30" t="inlineStr">
        <is>
          <t>PZA</t>
        </is>
      </c>
      <c r="D185" s="31" t="n">
        <v>65.41</v>
      </c>
      <c r="E185" s="32" t="n"/>
      <c r="F185" s="33" t="n"/>
      <c r="G185" s="34" t="n"/>
      <c r="H185" s="34" t="n"/>
      <c r="I185" s="30" t="inlineStr">
        <is>
          <t>Insumos</t>
        </is>
      </c>
      <c r="J185" s="32" t="n"/>
      <c r="K185" s="35">
        <f>IF(A185="","","#"&amp;A185)</f>
        <v/>
      </c>
    </row>
    <row r="186">
      <c r="A186" s="28" t="inlineStr">
        <is>
          <t>1900000107</t>
        </is>
      </c>
      <c r="B186" s="29" t="inlineStr">
        <is>
          <t>VALVULA BOLA PVC DOBLE ACOP PP 63MM</t>
        </is>
      </c>
      <c r="C186" s="30" t="inlineStr">
        <is>
          <t>PZA</t>
        </is>
      </c>
      <c r="D186" s="31" t="n">
        <v>1</v>
      </c>
      <c r="E186" s="32" t="n"/>
      <c r="F186" s="33" t="n"/>
      <c r="G186" s="34" t="n"/>
      <c r="H186" s="34" t="n"/>
      <c r="I186" s="30" t="inlineStr">
        <is>
          <t>Insumos</t>
        </is>
      </c>
      <c r="J186" s="32" t="n"/>
      <c r="K186" s="35">
        <f>IF(A186="","","#"&amp;A186)</f>
        <v/>
      </c>
    </row>
    <row r="187">
      <c r="A187" s="28" t="inlineStr">
        <is>
          <t>1900000108</t>
        </is>
      </c>
      <c r="B187" s="29" t="inlineStr">
        <is>
          <t>VALVULA BOLA PVC DOBLE ACOP PP 110MM</t>
        </is>
      </c>
      <c r="C187" s="30" t="inlineStr">
        <is>
          <t>PZA</t>
        </is>
      </c>
      <c r="D187" s="31" t="n">
        <v>1</v>
      </c>
      <c r="E187" s="32" t="n"/>
      <c r="F187" s="33" t="n"/>
      <c r="G187" s="34" t="n"/>
      <c r="H187" s="34" t="n"/>
      <c r="I187" s="30" t="inlineStr">
        <is>
          <t>Insumos</t>
        </is>
      </c>
      <c r="J187" s="32" t="n"/>
      <c r="K187" s="35">
        <f>IF(A187="","","#"&amp;A187)</f>
        <v/>
      </c>
    </row>
    <row r="188">
      <c r="A188" s="28" t="inlineStr">
        <is>
          <t>1900000184</t>
        </is>
      </c>
      <c r="B188" s="29" t="inlineStr">
        <is>
          <t>TUBO POLIETILENO NEGRO 1" PE 80 PN-10</t>
        </is>
      </c>
      <c r="C188" s="30" t="inlineStr">
        <is>
          <t>M</t>
        </is>
      </c>
      <c r="D188" s="31" t="n">
        <v>1</v>
      </c>
      <c r="E188" s="32" t="n"/>
      <c r="F188" s="33" t="n"/>
      <c r="G188" s="34" t="n"/>
      <c r="H188" s="34" t="n"/>
      <c r="I188" s="30" t="inlineStr">
        <is>
          <t>Insumos</t>
        </is>
      </c>
      <c r="J188" s="32" t="n"/>
      <c r="K188" s="35">
        <f>IF(A188="","","#"&amp;A188)</f>
        <v/>
      </c>
    </row>
    <row r="189">
      <c r="A189" s="28" t="inlineStr">
        <is>
          <t>1900000187</t>
        </is>
      </c>
      <c r="B189" s="29" t="inlineStr">
        <is>
          <t>TUBO POLIETILENO NEGRO 4" PE 80 PN-10</t>
        </is>
      </c>
      <c r="C189" s="30" t="inlineStr">
        <is>
          <t>M</t>
        </is>
      </c>
      <c r="D189" s="36" t="n"/>
      <c r="E189" s="32" t="n"/>
      <c r="F189" s="33" t="n"/>
      <c r="G189" s="34" t="n"/>
      <c r="H189" s="34" t="n"/>
      <c r="I189" s="30" t="inlineStr">
        <is>
          <t>Insumos</t>
        </is>
      </c>
      <c r="J189" s="32" t="n"/>
      <c r="K189" s="35">
        <f>IF(A189="","","#"&amp;A189)</f>
        <v/>
      </c>
    </row>
    <row r="190">
      <c r="A190" s="28" t="inlineStr">
        <is>
          <t>1900000200</t>
        </is>
      </c>
      <c r="B190" s="29" t="inlineStr">
        <is>
          <t>TUBO POLIETILENO VERDE 2" PE 80 PN-10</t>
        </is>
      </c>
      <c r="C190" s="30" t="inlineStr">
        <is>
          <t>M</t>
        </is>
      </c>
      <c r="D190" s="31" t="n">
        <v>1</v>
      </c>
      <c r="E190" s="32" t="n"/>
      <c r="F190" s="33" t="n"/>
      <c r="G190" s="34" t="n"/>
      <c r="H190" s="34" t="n"/>
      <c r="I190" s="30" t="inlineStr">
        <is>
          <t>Insumos</t>
        </is>
      </c>
      <c r="J190" s="32" t="n"/>
      <c r="K190" s="35">
        <f>IF(A190="","","#"&amp;A190)</f>
        <v/>
      </c>
    </row>
    <row r="191">
      <c r="A191" s="28" t="inlineStr">
        <is>
          <t>1900000201</t>
        </is>
      </c>
      <c r="B191" s="29" t="inlineStr">
        <is>
          <t>TUBO POLIETILENO AZUL 4" PE 80 PN-10</t>
        </is>
      </c>
      <c r="C191" s="30" t="inlineStr">
        <is>
          <t>M</t>
        </is>
      </c>
      <c r="D191" s="31" t="n">
        <v>1</v>
      </c>
      <c r="E191" s="32" t="n"/>
      <c r="F191" s="33" t="n"/>
      <c r="G191" s="34" t="n"/>
      <c r="H191" s="34" t="n"/>
      <c r="I191" s="30" t="inlineStr">
        <is>
          <t>Insumos</t>
        </is>
      </c>
      <c r="J191" s="32" t="n"/>
      <c r="K191" s="35">
        <f>IF(A191="","","#"&amp;A191)</f>
        <v/>
      </c>
    </row>
    <row r="192">
      <c r="A192" s="28" t="inlineStr">
        <is>
          <t>1900000203</t>
        </is>
      </c>
      <c r="B192" s="29" t="inlineStr">
        <is>
          <t>TUBO POLIETILENO AZUL 2" PE 80 PN-10</t>
        </is>
      </c>
      <c r="C192" s="30" t="inlineStr">
        <is>
          <t>M</t>
        </is>
      </c>
      <c r="D192" s="31" t="n">
        <v>1</v>
      </c>
      <c r="E192" s="32" t="n"/>
      <c r="F192" s="33" t="n"/>
      <c r="G192" s="34" t="n"/>
      <c r="H192" s="34" t="n"/>
      <c r="I192" s="30" t="inlineStr">
        <is>
          <t>Insumos</t>
        </is>
      </c>
      <c r="J192" s="32" t="n"/>
      <c r="K192" s="35">
        <f>IF(A192="","","#"&amp;A192)</f>
        <v/>
      </c>
    </row>
    <row r="193">
      <c r="A193" s="28" t="inlineStr">
        <is>
          <t>1900000205</t>
        </is>
      </c>
      <c r="B193" s="29" t="inlineStr">
        <is>
          <t>TUBO POLIETILENO AZUL 1" PE 80 PN-10</t>
        </is>
      </c>
      <c r="C193" s="30" t="inlineStr">
        <is>
          <t>M</t>
        </is>
      </c>
      <c r="D193" s="31" t="n">
        <v>1</v>
      </c>
      <c r="E193" s="32" t="n"/>
      <c r="F193" s="33" t="n"/>
      <c r="G193" s="34" t="n"/>
      <c r="H193" s="34" t="n"/>
      <c r="I193" s="30" t="inlineStr">
        <is>
          <t>Insumos</t>
        </is>
      </c>
      <c r="J193" s="32" t="n"/>
      <c r="K193" s="35">
        <f>IF(A193="","","#"&amp;A193)</f>
        <v/>
      </c>
    </row>
    <row r="194">
      <c r="A194" s="28" t="inlineStr">
        <is>
          <t>1900000253</t>
        </is>
      </c>
      <c r="B194" s="29" t="inlineStr">
        <is>
          <t>TEE DE POLIPROP. C/ROSCA 63MM</t>
        </is>
      </c>
      <c r="C194" s="30" t="inlineStr">
        <is>
          <t>PZA</t>
        </is>
      </c>
      <c r="D194" s="36" t="n"/>
      <c r="E194" s="32" t="n"/>
      <c r="F194" s="33" t="n"/>
      <c r="G194" s="34" t="n"/>
      <c r="H194" s="34" t="n"/>
      <c r="I194" s="30" t="inlineStr">
        <is>
          <t>Insumos</t>
        </is>
      </c>
      <c r="J194" s="32" t="n"/>
      <c r="K194" s="35">
        <f>IF(A194="","","#"&amp;A194)</f>
        <v/>
      </c>
    </row>
    <row r="195">
      <c r="A195" s="28" t="inlineStr">
        <is>
          <t>1900000254</t>
        </is>
      </c>
      <c r="B195" s="29" t="inlineStr">
        <is>
          <t>TEE DE POLIPROP. C/ROSCA 110MM</t>
        </is>
      </c>
      <c r="C195" s="30" t="inlineStr">
        <is>
          <t>PZA</t>
        </is>
      </c>
      <c r="D195" s="36" t="n"/>
      <c r="E195" s="32" t="n"/>
      <c r="F195" s="33" t="n"/>
      <c r="G195" s="34" t="n"/>
      <c r="H195" s="34" t="n"/>
      <c r="I195" s="30" t="inlineStr">
        <is>
          <t>Insumos</t>
        </is>
      </c>
      <c r="J195" s="32" t="n"/>
      <c r="K195" s="35">
        <f>IF(A195="","","#"&amp;A195)</f>
        <v/>
      </c>
    </row>
    <row r="196">
      <c r="A196" s="28" t="inlineStr">
        <is>
          <t>1900000265</t>
        </is>
      </c>
      <c r="B196" s="29" t="inlineStr">
        <is>
          <t>ACOPLE VITAULIC P/TUBERIA HDPE 4" 305</t>
        </is>
      </c>
      <c r="C196" s="30" t="inlineStr">
        <is>
          <t>PZA</t>
        </is>
      </c>
      <c r="D196" s="36" t="n"/>
      <c r="E196" s="32" t="n"/>
      <c r="F196" s="33" t="n"/>
      <c r="G196" s="34" t="n"/>
      <c r="H196" s="34" t="n"/>
      <c r="I196" s="30" t="inlineStr">
        <is>
          <t>Insumos</t>
        </is>
      </c>
      <c r="J196" s="32" t="n"/>
      <c r="K196" s="35">
        <f>IF(A196="","","#"&amp;A196)</f>
        <v/>
      </c>
    </row>
    <row r="197">
      <c r="A197" s="28" t="inlineStr">
        <is>
          <t>1900000295</t>
        </is>
      </c>
      <c r="B197" s="29" t="inlineStr">
        <is>
          <t>REDUCCION POLIP.C/ROSCA 63 A 32 MM</t>
        </is>
      </c>
      <c r="C197" s="30" t="inlineStr">
        <is>
          <t>PZA</t>
        </is>
      </c>
      <c r="D197" s="36" t="n"/>
      <c r="E197" s="32" t="n"/>
      <c r="F197" s="33" t="n"/>
      <c r="G197" s="34" t="n"/>
      <c r="H197" s="34" t="n"/>
      <c r="I197" s="30" t="inlineStr">
        <is>
          <t>Insumos</t>
        </is>
      </c>
      <c r="J197" s="32" t="n"/>
      <c r="K197" s="35">
        <f>IF(A197="","","#"&amp;A197)</f>
        <v/>
      </c>
    </row>
    <row r="198">
      <c r="A198" s="28" t="inlineStr">
        <is>
          <t>1900000296</t>
        </is>
      </c>
      <c r="B198" s="29" t="inlineStr">
        <is>
          <t>REDUCCION POLIP.C/ROSCA 110 A 63 MM</t>
        </is>
      </c>
      <c r="C198" s="30" t="inlineStr">
        <is>
          <t>PZA</t>
        </is>
      </c>
      <c r="D198" s="36" t="n"/>
      <c r="E198" s="32" t="n"/>
      <c r="F198" s="33" t="n"/>
      <c r="G198" s="34" t="n"/>
      <c r="H198" s="34" t="n"/>
      <c r="I198" s="30" t="inlineStr">
        <is>
          <t>Insumos</t>
        </is>
      </c>
      <c r="J198" s="32" t="n"/>
      <c r="K198" s="35">
        <f>IF(A198="","","#"&amp;A198)</f>
        <v/>
      </c>
    </row>
    <row r="199">
      <c r="A199" s="28" t="inlineStr">
        <is>
          <t>2100000012</t>
        </is>
      </c>
      <c r="B199" s="29" t="inlineStr">
        <is>
          <t>MANGA DE VENT. 12" X 10 MTR</t>
        </is>
      </c>
      <c r="C199" s="30" t="inlineStr">
        <is>
          <t>M</t>
        </is>
      </c>
      <c r="D199" s="31" t="n">
        <v>21.3</v>
      </c>
      <c r="E199" s="32" t="n"/>
      <c r="F199" s="33" t="n"/>
      <c r="G199" s="34" t="n"/>
      <c r="H199" s="34" t="n"/>
      <c r="I199" s="30" t="inlineStr">
        <is>
          <t>Insumos</t>
        </is>
      </c>
      <c r="J199" s="32" t="n"/>
      <c r="K199" s="35">
        <f>IF(A199="","","#"&amp;A199)</f>
        <v/>
      </c>
    </row>
    <row r="200">
      <c r="A200" s="28" t="inlineStr">
        <is>
          <t>2100000014</t>
        </is>
      </c>
      <c r="B200" s="29" t="inlineStr">
        <is>
          <t>MANGA DE VENT. 30" X 20 MTR</t>
        </is>
      </c>
      <c r="C200" s="30" t="inlineStr">
        <is>
          <t>M</t>
        </is>
      </c>
      <c r="D200" s="31" t="n">
        <v>36.14</v>
      </c>
      <c r="E200" s="32" t="n"/>
      <c r="F200" s="33" t="n"/>
      <c r="G200" s="34" t="n"/>
      <c r="H200" s="34" t="n"/>
      <c r="I200" s="30" t="inlineStr">
        <is>
          <t>Insumos</t>
        </is>
      </c>
      <c r="J200" s="32" t="n"/>
      <c r="K200" s="35">
        <f>IF(A200="","","#"&amp;A200)</f>
        <v/>
      </c>
    </row>
    <row r="201">
      <c r="A201" s="28" t="inlineStr">
        <is>
          <t>2100000018</t>
        </is>
      </c>
      <c r="B201" s="29" t="inlineStr">
        <is>
          <t>MANGA DE VENT. 30" X 100 MTR 600 GR/M2</t>
        </is>
      </c>
      <c r="C201" s="30" t="inlineStr">
        <is>
          <t>M</t>
        </is>
      </c>
      <c r="D201" s="36" t="n"/>
      <c r="E201" s="32" t="n"/>
      <c r="F201" s="33" t="n"/>
      <c r="G201" s="34" t="n"/>
      <c r="H201" s="34" t="n"/>
      <c r="I201" s="30" t="inlineStr">
        <is>
          <t>Insumos</t>
        </is>
      </c>
      <c r="J201" s="32" t="n"/>
      <c r="K201" s="35">
        <f>IF(A201="","","#"&amp;A201)</f>
        <v/>
      </c>
    </row>
    <row r="202">
      <c r="A202" s="28" t="inlineStr">
        <is>
          <t>ALM-001</t>
        </is>
      </c>
      <c r="B202" s="29" t="inlineStr">
        <is>
          <t>COMBOS 4 LB</t>
        </is>
      </c>
      <c r="C202" s="30" t="inlineStr">
        <is>
          <t>PZA</t>
        </is>
      </c>
      <c r="D202" s="36" t="n"/>
      <c r="E202" s="32" t="n"/>
      <c r="F202" s="33" t="n"/>
      <c r="G202" s="34" t="n"/>
      <c r="H202" s="34" t="n"/>
      <c r="I202" s="30" t="inlineStr">
        <is>
          <t>Insumos</t>
        </is>
      </c>
      <c r="J202" s="32" t="n"/>
      <c r="K202" s="35">
        <f>IF(A202="","","#"&amp;A202)</f>
        <v/>
      </c>
    </row>
    <row r="203">
      <c r="A203" s="28" t="inlineStr">
        <is>
          <t>ALM-002</t>
        </is>
      </c>
      <c r="B203" s="29" t="inlineStr">
        <is>
          <t>PEGAMENTO A + B</t>
        </is>
      </c>
      <c r="C203" s="30" t="inlineStr">
        <is>
          <t>PZA</t>
        </is>
      </c>
      <c r="D203" s="36" t="n"/>
      <c r="E203" s="32" t="n"/>
      <c r="F203" s="33" t="n"/>
      <c r="G203" s="34" t="n"/>
      <c r="H203" s="34" t="n"/>
      <c r="I203" s="30" t="inlineStr">
        <is>
          <t>Insumos</t>
        </is>
      </c>
      <c r="J203" s="32" t="n"/>
      <c r="K203" s="35">
        <f>IF(A203="","","#"&amp;A203)</f>
        <v/>
      </c>
    </row>
    <row r="204">
      <c r="A204" s="28" t="inlineStr">
        <is>
          <t>ALM-003</t>
        </is>
      </c>
      <c r="B204" s="29" t="inlineStr">
        <is>
          <t>GALON PINTURA ROJA</t>
        </is>
      </c>
      <c r="C204" s="30" t="inlineStr">
        <is>
          <t>PZA</t>
        </is>
      </c>
      <c r="D204" s="36" t="n"/>
      <c r="E204" s="32" t="n"/>
      <c r="F204" s="33" t="n"/>
      <c r="G204" s="34" t="n"/>
      <c r="H204" s="34" t="n"/>
      <c r="I204" s="30" t="inlineStr">
        <is>
          <t>Insumos</t>
        </is>
      </c>
      <c r="J204" s="32" t="n"/>
      <c r="K204" s="35">
        <f>IF(A204="","","#"&amp;A204)</f>
        <v/>
      </c>
    </row>
    <row r="205">
      <c r="A205" s="28" t="inlineStr">
        <is>
          <t>ALM-004</t>
        </is>
      </c>
      <c r="B205" s="29" t="inlineStr">
        <is>
          <t>GALON PINTURA NEGRA</t>
        </is>
      </c>
      <c r="C205" s="30" t="inlineStr">
        <is>
          <t>PZA</t>
        </is>
      </c>
      <c r="D205" s="36" t="n"/>
      <c r="E205" s="32" t="n"/>
      <c r="F205" s="33" t="n"/>
      <c r="G205" s="34" t="n"/>
      <c r="H205" s="34" t="n"/>
      <c r="I205" s="30" t="inlineStr">
        <is>
          <t>Insumos</t>
        </is>
      </c>
      <c r="J205" s="32" t="n"/>
      <c r="K205" s="35">
        <f>IF(A205="","","#"&amp;A205)</f>
        <v/>
      </c>
    </row>
    <row r="206">
      <c r="A206" s="28" t="inlineStr">
        <is>
          <t>ALM-005</t>
        </is>
      </c>
      <c r="B206" s="29" t="inlineStr">
        <is>
          <t>GALON PINTURA AMARILLO</t>
        </is>
      </c>
      <c r="C206" s="30" t="inlineStr">
        <is>
          <t>PZA</t>
        </is>
      </c>
      <c r="D206" s="36" t="n"/>
      <c r="E206" s="32" t="n"/>
      <c r="F206" s="33" t="n"/>
      <c r="G206" s="34" t="n"/>
      <c r="H206" s="34" t="n"/>
      <c r="I206" s="30" t="inlineStr">
        <is>
          <t>Insumos</t>
        </is>
      </c>
      <c r="J206" s="32" t="n"/>
      <c r="K206" s="35">
        <f>IF(A206="","","#"&amp;A206)</f>
        <v/>
      </c>
    </row>
    <row r="207">
      <c r="A207" s="28" t="inlineStr">
        <is>
          <t>ALM-006</t>
        </is>
      </c>
      <c r="B207" s="29" t="inlineStr">
        <is>
          <t>THINER ACRILICO</t>
        </is>
      </c>
      <c r="C207" s="30" t="inlineStr">
        <is>
          <t>PZA</t>
        </is>
      </c>
      <c r="D207" s="36" t="n"/>
      <c r="E207" s="32" t="n"/>
      <c r="F207" s="33" t="n"/>
      <c r="G207" s="34" t="n"/>
      <c r="H207" s="34" t="n"/>
      <c r="I207" s="30" t="inlineStr">
        <is>
          <t>Insumos</t>
        </is>
      </c>
      <c r="J207" s="32" t="n"/>
      <c r="K207" s="35">
        <f>IF(A207="","","#"&amp;A207)</f>
        <v/>
      </c>
    </row>
    <row r="208">
      <c r="A208" s="28" t="inlineStr">
        <is>
          <t>ALM-007</t>
        </is>
      </c>
      <c r="B208" s="29" t="inlineStr">
        <is>
          <t>EXTINTOR 2 KG</t>
        </is>
      </c>
      <c r="C208" s="30" t="inlineStr">
        <is>
          <t>PZA</t>
        </is>
      </c>
      <c r="D208" s="36" t="n"/>
      <c r="E208" s="32" t="n"/>
      <c r="F208" s="33" t="n"/>
      <c r="G208" s="34" t="n"/>
      <c r="H208" s="34" t="n"/>
      <c r="I208" s="30" t="inlineStr">
        <is>
          <t>Insumos</t>
        </is>
      </c>
      <c r="J208" s="32" t="n"/>
      <c r="K208" s="35">
        <f>IF(A208="","","#"&amp;A208)</f>
        <v/>
      </c>
    </row>
    <row r="209">
      <c r="A209" s="28" t="inlineStr">
        <is>
          <t>ALM-008</t>
        </is>
      </c>
      <c r="B209" s="29" t="inlineStr">
        <is>
          <t>MENNEKES</t>
        </is>
      </c>
      <c r="C209" s="30" t="inlineStr">
        <is>
          <t>PZA</t>
        </is>
      </c>
      <c r="D209" s="36" t="n"/>
      <c r="E209" s="32" t="n"/>
      <c r="F209" s="33" t="n"/>
      <c r="G209" s="34" t="n"/>
      <c r="H209" s="34" t="n"/>
      <c r="I209" s="30" t="inlineStr">
        <is>
          <t>Insumos</t>
        </is>
      </c>
      <c r="J209" s="32" t="n"/>
      <c r="K209" s="35">
        <f>IF(A209="","","#"&amp;A209)</f>
        <v/>
      </c>
    </row>
    <row r="210">
      <c r="A210" s="28" t="inlineStr">
        <is>
          <t>ALM-009</t>
        </is>
      </c>
      <c r="B210" s="29" t="inlineStr">
        <is>
          <t>DISCO DE CORTE DE 7"</t>
        </is>
      </c>
      <c r="C210" s="30" t="inlineStr">
        <is>
          <t>PZA</t>
        </is>
      </c>
      <c r="D210" s="36" t="n"/>
      <c r="E210" s="32" t="n"/>
      <c r="F210" s="33" t="n"/>
      <c r="G210" s="34" t="n"/>
      <c r="H210" s="34" t="n"/>
      <c r="I210" s="30" t="inlineStr">
        <is>
          <t>Insumos</t>
        </is>
      </c>
      <c r="J210" s="32" t="n"/>
      <c r="K210" s="35">
        <f>IF(A210="","","#"&amp;A210)</f>
        <v/>
      </c>
    </row>
    <row r="211">
      <c r="A211" s="28" t="inlineStr">
        <is>
          <t>ALM-010</t>
        </is>
      </c>
      <c r="B211" s="29" t="inlineStr">
        <is>
          <t>DISCO DE CORTE DE 4"</t>
        </is>
      </c>
      <c r="C211" s="30" t="inlineStr">
        <is>
          <t>PZA</t>
        </is>
      </c>
      <c r="D211" s="36" t="n"/>
      <c r="E211" s="32" t="n"/>
      <c r="F211" s="33" t="n"/>
      <c r="G211" s="34" t="n"/>
      <c r="H211" s="34" t="n"/>
      <c r="I211" s="30" t="inlineStr">
        <is>
          <t>Insumos</t>
        </is>
      </c>
      <c r="J211" s="32" t="n"/>
      <c r="K211" s="35">
        <f>IF(A211="","","#"&amp;A211)</f>
        <v/>
      </c>
    </row>
    <row r="212">
      <c r="A212" s="28" t="inlineStr">
        <is>
          <t>ALM-011</t>
        </is>
      </c>
      <c r="B212" s="29" t="inlineStr">
        <is>
          <t>DISCO DE CORTE DE 9"</t>
        </is>
      </c>
      <c r="C212" s="30" t="inlineStr">
        <is>
          <t>PZA</t>
        </is>
      </c>
      <c r="D212" s="36" t="n"/>
      <c r="E212" s="32" t="n"/>
      <c r="F212" s="33" t="n"/>
      <c r="G212" s="34" t="n"/>
      <c r="H212" s="34" t="n"/>
      <c r="I212" s="30" t="inlineStr">
        <is>
          <t>Insumos</t>
        </is>
      </c>
      <c r="J212" s="32" t="n"/>
      <c r="K212" s="35">
        <f>IF(A212="","","#"&amp;A212)</f>
        <v/>
      </c>
    </row>
    <row r="213">
      <c r="A213" s="28" t="inlineStr">
        <is>
          <t>ALM-012</t>
        </is>
      </c>
      <c r="B213" s="29" t="inlineStr">
        <is>
          <t>DISCO DE DESBASTE DE 4"</t>
        </is>
      </c>
      <c r="C213" s="30" t="inlineStr">
        <is>
          <t>PZA</t>
        </is>
      </c>
      <c r="D213" s="36" t="n"/>
      <c r="E213" s="32" t="n"/>
      <c r="F213" s="33" t="n"/>
      <c r="G213" s="34" t="n"/>
      <c r="H213" s="34" t="n"/>
      <c r="I213" s="30" t="inlineStr">
        <is>
          <t>Insumos</t>
        </is>
      </c>
      <c r="J213" s="32" t="n"/>
      <c r="K213" s="35">
        <f>IF(A213="","","#"&amp;A213)</f>
        <v/>
      </c>
    </row>
    <row r="214">
      <c r="A214" s="28" t="inlineStr">
        <is>
          <t>ALM-013</t>
        </is>
      </c>
      <c r="B214" s="29" t="inlineStr">
        <is>
          <t>DISCO DE DESBASTE DE 7"</t>
        </is>
      </c>
      <c r="C214" s="30" t="inlineStr">
        <is>
          <t>PZA</t>
        </is>
      </c>
      <c r="D214" s="36" t="n"/>
      <c r="E214" s="32" t="n"/>
      <c r="F214" s="33" t="n"/>
      <c r="G214" s="34" t="n"/>
      <c r="H214" s="34" t="n"/>
      <c r="I214" s="30" t="inlineStr">
        <is>
          <t>Insumos</t>
        </is>
      </c>
      <c r="J214" s="32" t="n"/>
      <c r="K214" s="35">
        <f>IF(A214="","","#"&amp;A214)</f>
        <v/>
      </c>
    </row>
    <row r="215">
      <c r="A215" s="28" t="inlineStr">
        <is>
          <t>ALM-014</t>
        </is>
      </c>
      <c r="B215" s="29" t="inlineStr">
        <is>
          <t>DISCO DE DESBASTE DE 9"</t>
        </is>
      </c>
      <c r="C215" s="30" t="inlineStr">
        <is>
          <t>PZA</t>
        </is>
      </c>
      <c r="D215" s="36" t="n"/>
      <c r="E215" s="32" t="n"/>
      <c r="F215" s="33" t="n"/>
      <c r="G215" s="34" t="n"/>
      <c r="H215" s="34" t="n"/>
      <c r="I215" s="30" t="inlineStr">
        <is>
          <t>Insumos</t>
        </is>
      </c>
      <c r="J215" s="32" t="n"/>
      <c r="K215" s="35">
        <f>IF(A215="","","#"&amp;A215)</f>
        <v/>
      </c>
    </row>
    <row r="216">
      <c r="A216" s="28" t="inlineStr">
        <is>
          <t>ALM-015</t>
        </is>
      </c>
      <c r="B216" s="29" t="inlineStr">
        <is>
          <t>ADAPTADOR PERNO HELICOIDAL 19 MM</t>
        </is>
      </c>
      <c r="C216" s="30" t="inlineStr">
        <is>
          <t>PZA</t>
        </is>
      </c>
      <c r="D216" s="36" t="n"/>
      <c r="E216" s="32" t="n"/>
      <c r="F216" s="33" t="n"/>
      <c r="G216" s="34" t="n"/>
      <c r="H216" s="34" t="n"/>
      <c r="I216" s="30" t="inlineStr">
        <is>
          <t>Insumos</t>
        </is>
      </c>
      <c r="J216" s="32" t="n"/>
      <c r="K216" s="35">
        <f>IF(A216="","","#"&amp;A216)</f>
        <v/>
      </c>
    </row>
    <row r="217">
      <c r="A217" s="28" t="inlineStr">
        <is>
          <t>ALM-016</t>
        </is>
      </c>
      <c r="B217" s="29" t="inlineStr">
        <is>
          <t>PRENSA</t>
        </is>
      </c>
      <c r="C217" s="30" t="inlineStr">
        <is>
          <t>PZA</t>
        </is>
      </c>
      <c r="D217" s="36" t="n"/>
      <c r="E217" s="32" t="n"/>
      <c r="F217" s="33" t="n"/>
      <c r="G217" s="34" t="n"/>
      <c r="H217" s="34" t="n"/>
      <c r="I217" s="30" t="inlineStr">
        <is>
          <t>Insumos</t>
        </is>
      </c>
      <c r="J217" s="32" t="n"/>
      <c r="K217" s="35">
        <f>IF(A217="","","#"&amp;A217)</f>
        <v/>
      </c>
    </row>
    <row r="218">
      <c r="A218" s="28" t="inlineStr">
        <is>
          <t>ALM-017</t>
        </is>
      </c>
      <c r="B218" s="29" t="inlineStr">
        <is>
          <t>LLAVE FRANCESA 18"</t>
        </is>
      </c>
      <c r="C218" s="30" t="inlineStr">
        <is>
          <t>PZA</t>
        </is>
      </c>
      <c r="D218" s="36" t="n"/>
      <c r="E218" s="32" t="n"/>
      <c r="F218" s="33" t="n"/>
      <c r="G218" s="34" t="n"/>
      <c r="H218" s="34" t="n"/>
      <c r="I218" s="30" t="inlineStr">
        <is>
          <t>Insumos</t>
        </is>
      </c>
      <c r="J218" s="32" t="n"/>
      <c r="K218" s="35">
        <f>IF(A218="","","#"&amp;A218)</f>
        <v/>
      </c>
    </row>
    <row r="219">
      <c r="A219" s="28" t="inlineStr">
        <is>
          <t>ALM-018</t>
        </is>
      </c>
      <c r="B219" s="29" t="inlineStr">
        <is>
          <t>LLAVE FRANCESA 12"</t>
        </is>
      </c>
      <c r="C219" s="30" t="inlineStr">
        <is>
          <t>PZA</t>
        </is>
      </c>
      <c r="D219" s="36" t="n"/>
      <c r="E219" s="32" t="n"/>
      <c r="F219" s="33" t="n"/>
      <c r="G219" s="34" t="n"/>
      <c r="H219" s="34" t="n"/>
      <c r="I219" s="30" t="inlineStr">
        <is>
          <t>Insumos</t>
        </is>
      </c>
      <c r="J219" s="32" t="n"/>
      <c r="K219" s="35">
        <f>IF(A219="","","#"&amp;A219)</f>
        <v/>
      </c>
    </row>
    <row r="220">
      <c r="A220" s="28" t="inlineStr">
        <is>
          <t>ALM-019</t>
        </is>
      </c>
      <c r="B220" s="29" t="inlineStr">
        <is>
          <t>LLAVE STILSON 18"</t>
        </is>
      </c>
      <c r="C220" s="30" t="inlineStr">
        <is>
          <t>PZA</t>
        </is>
      </c>
      <c r="D220" s="36" t="n"/>
      <c r="E220" s="32" t="n"/>
      <c r="F220" s="33" t="n"/>
      <c r="G220" s="34" t="n"/>
      <c r="H220" s="34" t="n"/>
      <c r="I220" s="30" t="inlineStr">
        <is>
          <t>Insumos</t>
        </is>
      </c>
      <c r="J220" s="32" t="n"/>
      <c r="K220" s="35">
        <f>IF(A220="","","#"&amp;A220)</f>
        <v/>
      </c>
    </row>
    <row r="221">
      <c r="A221" s="28" t="inlineStr">
        <is>
          <t>ALM-020</t>
        </is>
      </c>
      <c r="B221" s="29" t="inlineStr">
        <is>
          <t>ADAPTADOR SPLIT SET</t>
        </is>
      </c>
      <c r="C221" s="30" t="inlineStr">
        <is>
          <t>PZA</t>
        </is>
      </c>
      <c r="D221" s="36" t="n"/>
      <c r="E221" s="32" t="n"/>
      <c r="F221" s="33" t="n"/>
      <c r="G221" s="34" t="n"/>
      <c r="H221" s="34" t="n"/>
      <c r="I221" s="30" t="inlineStr">
        <is>
          <t>Insumos</t>
        </is>
      </c>
      <c r="J221" s="32" t="n"/>
      <c r="K221" s="35">
        <f>IF(A221="","","#"&amp;A221)</f>
        <v/>
      </c>
    </row>
    <row r="222">
      <c r="A222" s="28" t="inlineStr">
        <is>
          <t>ALM-021</t>
        </is>
      </c>
      <c r="B222" s="29" t="inlineStr">
        <is>
          <t>SACA BROCAS</t>
        </is>
      </c>
      <c r="C222" s="30" t="inlineStr">
        <is>
          <t>PZA</t>
        </is>
      </c>
      <c r="D222" s="36" t="n"/>
      <c r="E222" s="32" t="n"/>
      <c r="F222" s="33" t="n"/>
      <c r="G222" s="34" t="n"/>
      <c r="H222" s="34" t="n"/>
      <c r="I222" s="30" t="inlineStr">
        <is>
          <t>Insumos</t>
        </is>
      </c>
      <c r="J222" s="32" t="n"/>
      <c r="K222" s="35">
        <f>IF(A222="","","#"&amp;A222)</f>
        <v/>
      </c>
    </row>
    <row r="223">
      <c r="A223" s="28" t="inlineStr">
        <is>
          <t>ALM-022</t>
        </is>
      </c>
      <c r="B223" s="29" t="inlineStr">
        <is>
          <t>CAMARAS CARRITO MINERO</t>
        </is>
      </c>
      <c r="C223" s="30" t="inlineStr">
        <is>
          <t>PZA</t>
        </is>
      </c>
      <c r="D223" s="36" t="n"/>
      <c r="E223" s="32" t="n"/>
      <c r="F223" s="33" t="n"/>
      <c r="G223" s="34" t="n"/>
      <c r="H223" s="34" t="n"/>
      <c r="I223" s="30" t="inlineStr">
        <is>
          <t>Insumos</t>
        </is>
      </c>
      <c r="J223" s="32" t="n"/>
      <c r="K223" s="35">
        <f>IF(A223="","","#"&amp;A223)</f>
        <v/>
      </c>
    </row>
    <row r="224">
      <c r="A224" s="28" t="inlineStr">
        <is>
          <t>ALM-023</t>
        </is>
      </c>
      <c r="B224" s="29" t="inlineStr">
        <is>
          <t>CAMARA SCOOP</t>
        </is>
      </c>
      <c r="C224" s="30" t="inlineStr">
        <is>
          <t>PZA</t>
        </is>
      </c>
      <c r="D224" s="36" t="n"/>
      <c r="E224" s="32" t="n"/>
      <c r="F224" s="33" t="n"/>
      <c r="G224" s="34" t="n"/>
      <c r="H224" s="34" t="n"/>
      <c r="I224" s="30" t="inlineStr">
        <is>
          <t>Insumos</t>
        </is>
      </c>
      <c r="J224" s="32" t="n"/>
      <c r="K224" s="35">
        <f>IF(A224="","","#"&amp;A224)</f>
        <v/>
      </c>
    </row>
    <row r="225">
      <c r="A225" s="28" t="inlineStr">
        <is>
          <t>ALM-024</t>
        </is>
      </c>
      <c r="B225" s="29" t="inlineStr">
        <is>
          <t>MEDIDOR DE AIRE</t>
        </is>
      </c>
      <c r="C225" s="30" t="inlineStr">
        <is>
          <t>PZA</t>
        </is>
      </c>
      <c r="D225" s="36" t="n"/>
      <c r="E225" s="32" t="n"/>
      <c r="F225" s="33" t="n"/>
      <c r="G225" s="34" t="n"/>
      <c r="H225" s="34" t="n"/>
      <c r="I225" s="30" t="inlineStr">
        <is>
          <t>Insumos</t>
        </is>
      </c>
      <c r="J225" s="32" t="n"/>
      <c r="K225" s="35">
        <f>IF(A225="","","#"&amp;A225)</f>
        <v/>
      </c>
    </row>
    <row r="226">
      <c r="A226" s="28" t="inlineStr">
        <is>
          <t>ALM-025</t>
        </is>
      </c>
      <c r="B226" s="29" t="inlineStr">
        <is>
          <t>LLAVE TERMICA SCHNEIDER</t>
        </is>
      </c>
      <c r="C226" s="30" t="inlineStr">
        <is>
          <t>PZA</t>
        </is>
      </c>
      <c r="D226" s="36" t="n"/>
      <c r="E226" s="32" t="n"/>
      <c r="F226" s="33" t="n"/>
      <c r="G226" s="34" t="n"/>
      <c r="H226" s="34" t="n"/>
      <c r="I226" s="30" t="inlineStr">
        <is>
          <t>Insumos</t>
        </is>
      </c>
      <c r="J226" s="32" t="n"/>
      <c r="K226" s="35">
        <f>IF(A226="","","#"&amp;A226)</f>
        <v/>
      </c>
    </row>
    <row r="227">
      <c r="A227" s="28" t="inlineStr">
        <is>
          <t>ALM-026</t>
        </is>
      </c>
      <c r="B227" s="29" t="inlineStr">
        <is>
          <t>BUJIA</t>
        </is>
      </c>
      <c r="C227" s="30" t="inlineStr">
        <is>
          <t>PZA</t>
        </is>
      </c>
      <c r="D227" s="36" t="n"/>
      <c r="E227" s="32" t="n"/>
      <c r="F227" s="33" t="n"/>
      <c r="G227" s="34" t="n"/>
      <c r="H227" s="34" t="n"/>
      <c r="I227" s="30" t="inlineStr">
        <is>
          <t>Insumos</t>
        </is>
      </c>
      <c r="J227" s="32" t="n"/>
      <c r="K227" s="35">
        <f>IF(A227="","","#"&amp;A227)</f>
        <v/>
      </c>
    </row>
    <row r="228">
      <c r="A228" s="28" t="inlineStr">
        <is>
          <t>ALM-027</t>
        </is>
      </c>
      <c r="B228" s="29" t="inlineStr">
        <is>
          <t>HOROMETRO</t>
        </is>
      </c>
      <c r="C228" s="30" t="inlineStr">
        <is>
          <t>PZA</t>
        </is>
      </c>
      <c r="D228" s="36" t="n"/>
      <c r="E228" s="32" t="n"/>
      <c r="F228" s="33" t="n"/>
      <c r="G228" s="34" t="n"/>
      <c r="H228" s="34" t="n"/>
      <c r="I228" s="30" t="inlineStr">
        <is>
          <t>Insumos</t>
        </is>
      </c>
      <c r="J228" s="32" t="n"/>
      <c r="K228" s="35">
        <f>IF(A228="","","#"&amp;A228)</f>
        <v/>
      </c>
    </row>
    <row r="229">
      <c r="A229" s="28" t="inlineStr">
        <is>
          <t>ALM-028</t>
        </is>
      </c>
      <c r="B229" s="29" t="inlineStr">
        <is>
          <t>LIMAS DE MOTOSIERRA</t>
        </is>
      </c>
      <c r="C229" s="30" t="inlineStr">
        <is>
          <t>PZA</t>
        </is>
      </c>
      <c r="D229" s="36" t="n"/>
      <c r="E229" s="32" t="n"/>
      <c r="F229" s="33" t="n"/>
      <c r="G229" s="34" t="n"/>
      <c r="H229" s="34" t="n"/>
      <c r="I229" s="30" t="inlineStr">
        <is>
          <t>Insumos</t>
        </is>
      </c>
      <c r="J229" s="32" t="n"/>
      <c r="K229" s="35">
        <f>IF(A229="","","#"&amp;A229)</f>
        <v/>
      </c>
    </row>
    <row r="230">
      <c r="A230" s="28" t="inlineStr">
        <is>
          <t>ALM-029</t>
        </is>
      </c>
      <c r="B230" s="29" t="inlineStr">
        <is>
          <t>BROCHAS DE 6"</t>
        </is>
      </c>
      <c r="C230" s="30" t="inlineStr">
        <is>
          <t>PZA</t>
        </is>
      </c>
      <c r="D230" s="36" t="n"/>
      <c r="E230" s="32" t="n"/>
      <c r="F230" s="33" t="n"/>
      <c r="G230" s="34" t="n"/>
      <c r="H230" s="34" t="n"/>
      <c r="I230" s="30" t="inlineStr">
        <is>
          <t>Insumos</t>
        </is>
      </c>
      <c r="J230" s="32" t="n"/>
      <c r="K230" s="35">
        <f>IF(A230="","","#"&amp;A230)</f>
        <v/>
      </c>
    </row>
    <row r="231">
      <c r="A231" s="28" t="inlineStr">
        <is>
          <t>ALM-030</t>
        </is>
      </c>
      <c r="B231" s="29" t="inlineStr">
        <is>
          <t>FLEXOMETRO</t>
        </is>
      </c>
      <c r="C231" s="30" t="inlineStr">
        <is>
          <t>PZA</t>
        </is>
      </c>
      <c r="D231" s="36" t="n"/>
      <c r="E231" s="32" t="n"/>
      <c r="F231" s="33" t="n"/>
      <c r="G231" s="34" t="n"/>
      <c r="H231" s="34" t="n"/>
      <c r="I231" s="30" t="inlineStr">
        <is>
          <t>Insumos</t>
        </is>
      </c>
      <c r="J231" s="32" t="n"/>
      <c r="K231" s="35">
        <f>IF(A231="","","#"&amp;A231)</f>
        <v/>
      </c>
    </row>
    <row r="232">
      <c r="A232" s="28" t="inlineStr">
        <is>
          <t>ALM-031</t>
        </is>
      </c>
      <c r="B232" s="29" t="inlineStr">
        <is>
          <t>ARCO SIERRA</t>
        </is>
      </c>
      <c r="C232" s="30" t="inlineStr">
        <is>
          <t>PZA</t>
        </is>
      </c>
      <c r="D232" s="36" t="n"/>
      <c r="E232" s="32" t="n"/>
      <c r="F232" s="33" t="n"/>
      <c r="G232" s="34" t="n"/>
      <c r="H232" s="34" t="n"/>
      <c r="I232" s="30" t="inlineStr">
        <is>
          <t>Insumos</t>
        </is>
      </c>
      <c r="J232" s="32" t="n"/>
      <c r="K232" s="35">
        <f>IF(A232="","","#"&amp;A232)</f>
        <v/>
      </c>
    </row>
    <row r="233">
      <c r="A233" s="28" t="inlineStr">
        <is>
          <t>ALM-032</t>
        </is>
      </c>
      <c r="B233" s="29" t="inlineStr">
        <is>
          <t>HOJA SIERRA</t>
        </is>
      </c>
      <c r="C233" s="30" t="inlineStr">
        <is>
          <t>PZA</t>
        </is>
      </c>
      <c r="D233" s="36" t="n"/>
      <c r="E233" s="32" t="n"/>
      <c r="F233" s="33" t="n"/>
      <c r="G233" s="34" t="n"/>
      <c r="H233" s="34" t="n"/>
      <c r="I233" s="30" t="inlineStr">
        <is>
          <t>Insumos</t>
        </is>
      </c>
      <c r="J233" s="32" t="n"/>
      <c r="K233" s="35">
        <f>IF(A233="","","#"&amp;A233)</f>
        <v/>
      </c>
    </row>
    <row r="234">
      <c r="A234" s="28" t="inlineStr">
        <is>
          <t>ALM-033</t>
        </is>
      </c>
      <c r="B234" s="29" t="inlineStr">
        <is>
          <t>MAQUINA BANDING</t>
        </is>
      </c>
      <c r="C234" s="30" t="inlineStr">
        <is>
          <t>PZA</t>
        </is>
      </c>
      <c r="D234" s="36" t="n"/>
      <c r="E234" s="32" t="n"/>
      <c r="F234" s="33" t="n"/>
      <c r="G234" s="34" t="n"/>
      <c r="H234" s="34" t="n"/>
      <c r="I234" s="30" t="inlineStr">
        <is>
          <t>Insumos</t>
        </is>
      </c>
      <c r="J234" s="32" t="n"/>
      <c r="K234" s="35">
        <f>IF(A234="","","#"&amp;A234)</f>
        <v/>
      </c>
    </row>
    <row r="235">
      <c r="A235" s="28" t="inlineStr">
        <is>
          <t>ALM-034</t>
        </is>
      </c>
      <c r="B235" s="29" t="inlineStr">
        <is>
          <t>PALANAS</t>
        </is>
      </c>
      <c r="C235" s="30" t="inlineStr">
        <is>
          <t>PZA</t>
        </is>
      </c>
      <c r="D235" s="36" t="n"/>
      <c r="E235" s="32" t="n"/>
      <c r="F235" s="33" t="n"/>
      <c r="G235" s="34" t="n"/>
      <c r="H235" s="34" t="n"/>
      <c r="I235" s="30" t="inlineStr">
        <is>
          <t>Insumos</t>
        </is>
      </c>
      <c r="J235" s="32" t="n"/>
      <c r="K235" s="35">
        <f>IF(A235="","","#"&amp;A235)</f>
        <v/>
      </c>
    </row>
    <row r="236">
      <c r="A236" s="28" t="inlineStr">
        <is>
          <t>ALM-035</t>
        </is>
      </c>
      <c r="B236" s="29" t="inlineStr">
        <is>
          <t>GALON DE PINTURA BLANCA</t>
        </is>
      </c>
      <c r="C236" s="30" t="inlineStr">
        <is>
          <t>PZA</t>
        </is>
      </c>
      <c r="D236" s="36" t="n"/>
      <c r="E236" s="32" t="n"/>
      <c r="F236" s="33" t="n"/>
      <c r="G236" s="34" t="n"/>
      <c r="H236" s="34" t="n"/>
      <c r="I236" s="30" t="inlineStr">
        <is>
          <t>Insumos</t>
        </is>
      </c>
      <c r="J236" s="32" t="n"/>
      <c r="K236" s="35">
        <f>IF(A236="","","#"&amp;A236)</f>
        <v/>
      </c>
    </row>
    <row r="237">
      <c r="A237" s="28" t="inlineStr">
        <is>
          <t>ALM-036</t>
        </is>
      </c>
      <c r="B237" s="29" t="inlineStr">
        <is>
          <t>BALDE IMPRIMANTE BLANQUEADOR DE PAREDES BLANCO</t>
        </is>
      </c>
      <c r="C237" s="30" t="inlineStr">
        <is>
          <t>PZA</t>
        </is>
      </c>
      <c r="D237" s="36" t="n"/>
      <c r="E237" s="32" t="n"/>
      <c r="F237" s="33" t="n"/>
      <c r="G237" s="34" t="n"/>
      <c r="H237" s="34" t="n"/>
      <c r="I237" s="30" t="inlineStr">
        <is>
          <t>Insumos</t>
        </is>
      </c>
      <c r="J237" s="32" t="n"/>
      <c r="K237" s="35">
        <f>IF(A237="","","#"&amp;A237)</f>
        <v/>
      </c>
    </row>
    <row r="238">
      <c r="A238" s="28" t="inlineStr">
        <is>
          <t>ALM-037</t>
        </is>
      </c>
      <c r="B238" s="29" t="inlineStr">
        <is>
          <t>SOLDADURA SUPERCITO 7018</t>
        </is>
      </c>
      <c r="C238" s="30" t="inlineStr">
        <is>
          <t>KG</t>
        </is>
      </c>
      <c r="D238" s="36" t="n"/>
      <c r="E238" s="32" t="n"/>
      <c r="F238" s="33" t="n"/>
      <c r="G238" s="34" t="n"/>
      <c r="H238" s="34" t="n"/>
      <c r="I238" s="30" t="inlineStr">
        <is>
          <t>Insumos</t>
        </is>
      </c>
      <c r="J238" s="32" t="n"/>
      <c r="K238" s="35">
        <f>IF(A238="","","#"&amp;A238)</f>
        <v/>
      </c>
    </row>
    <row r="239">
      <c r="A239" s="28" t="inlineStr">
        <is>
          <t>ALM-038</t>
        </is>
      </c>
      <c r="B239" s="29" t="inlineStr">
        <is>
          <t>SOLDADURA 6011 PUNTO AZUL</t>
        </is>
      </c>
      <c r="C239" s="30" t="inlineStr">
        <is>
          <t>KG</t>
        </is>
      </c>
      <c r="D239" s="36" t="n"/>
      <c r="E239" s="32" t="n"/>
      <c r="F239" s="33" t="n"/>
      <c r="G239" s="34" t="n"/>
      <c r="H239" s="34" t="n"/>
      <c r="I239" s="30" t="inlineStr">
        <is>
          <t>Insumos</t>
        </is>
      </c>
      <c r="J239" s="32" t="n"/>
      <c r="K239" s="35">
        <f>IF(A239="","","#"&amp;A239)</f>
        <v/>
      </c>
    </row>
    <row r="240">
      <c r="A240" s="28" t="inlineStr">
        <is>
          <t>ALM-040</t>
        </is>
      </c>
      <c r="B240" s="29" t="inlineStr">
        <is>
          <t>SOLDADURA ELECTRODOS PREMIUN NAZCA</t>
        </is>
      </c>
      <c r="C240" s="30" t="inlineStr">
        <is>
          <t>KG</t>
        </is>
      </c>
      <c r="D240" s="36" t="n"/>
      <c r="E240" s="32" t="n"/>
      <c r="F240" s="33" t="n"/>
      <c r="G240" s="34" t="n"/>
      <c r="H240" s="34" t="n"/>
      <c r="I240" s="30" t="inlineStr">
        <is>
          <t>Insumos</t>
        </is>
      </c>
      <c r="J240" s="32" t="n"/>
      <c r="K240" s="35">
        <f>IF(A240="","","#"&amp;A240)</f>
        <v/>
      </c>
    </row>
    <row r="241">
      <c r="A241" s="28" t="inlineStr">
        <is>
          <t>ALM-041</t>
        </is>
      </c>
      <c r="B241" s="29" t="inlineStr">
        <is>
          <t>RAFIA</t>
        </is>
      </c>
      <c r="C241" s="30" t="inlineStr">
        <is>
          <t>PZA</t>
        </is>
      </c>
      <c r="D241" s="36" t="n"/>
      <c r="E241" s="32" t="n"/>
      <c r="F241" s="33" t="n"/>
      <c r="G241" s="34" t="n"/>
      <c r="H241" s="34" t="n"/>
      <c r="I241" s="30" t="inlineStr">
        <is>
          <t>Insumos</t>
        </is>
      </c>
      <c r="J241" s="32" t="n"/>
      <c r="K241" s="35">
        <f>IF(A241="","","#"&amp;A241)</f>
        <v/>
      </c>
    </row>
    <row r="242">
      <c r="A242" s="28" t="inlineStr">
        <is>
          <t>ALM-042</t>
        </is>
      </c>
      <c r="B242" s="29" t="inlineStr">
        <is>
          <t>OJOS DE GATO</t>
        </is>
      </c>
      <c r="C242" s="30" t="inlineStr">
        <is>
          <t>PZA</t>
        </is>
      </c>
      <c r="D242" s="36" t="n"/>
      <c r="E242" s="32" t="n"/>
      <c r="F242" s="33" t="n"/>
      <c r="G242" s="34" t="n"/>
      <c r="H242" s="34" t="n"/>
      <c r="I242" s="30" t="inlineStr">
        <is>
          <t>Insumos</t>
        </is>
      </c>
      <c r="J242" s="32" t="n"/>
      <c r="K242" s="35">
        <f>IF(A242="","","#"&amp;A242)</f>
        <v/>
      </c>
    </row>
    <row r="243">
      <c r="A243" s="28" t="inlineStr">
        <is>
          <t>ALM-043</t>
        </is>
      </c>
      <c r="B243" s="29" t="inlineStr">
        <is>
          <t>CINTA REFLECTIVA ROJO</t>
        </is>
      </c>
      <c r="C243" s="30" t="inlineStr">
        <is>
          <t>PZA</t>
        </is>
      </c>
      <c r="D243" s="36" t="n"/>
      <c r="E243" s="32" t="n"/>
      <c r="F243" s="33" t="n"/>
      <c r="G243" s="34" t="n"/>
      <c r="H243" s="34" t="n"/>
      <c r="I243" s="30" t="inlineStr">
        <is>
          <t>Insumos</t>
        </is>
      </c>
      <c r="J243" s="32" t="n"/>
      <c r="K243" s="35">
        <f>IF(A243="","","#"&amp;A243)</f>
        <v/>
      </c>
    </row>
    <row r="244">
      <c r="A244" s="28" t="inlineStr">
        <is>
          <t>ALM-044</t>
        </is>
      </c>
      <c r="B244" s="29" t="inlineStr">
        <is>
          <t>CINTA REFLECTIVA BLANCA</t>
        </is>
      </c>
      <c r="C244" s="30" t="inlineStr">
        <is>
          <t>PZA</t>
        </is>
      </c>
      <c r="D244" s="36" t="n"/>
      <c r="E244" s="32" t="n"/>
      <c r="F244" s="33" t="n"/>
      <c r="G244" s="34" t="n"/>
      <c r="H244" s="34" t="n"/>
      <c r="I244" s="30" t="inlineStr">
        <is>
          <t>Insumos</t>
        </is>
      </c>
      <c r="J244" s="32" t="n"/>
      <c r="K244" s="35">
        <f>IF(A244="","","#"&amp;A244)</f>
        <v/>
      </c>
    </row>
    <row r="245">
      <c r="A245" s="28" t="inlineStr">
        <is>
          <t>ALM-045</t>
        </is>
      </c>
      <c r="B245" s="29" t="inlineStr">
        <is>
          <t>CINTA REFLECTIVA AZUL</t>
        </is>
      </c>
      <c r="C245" s="30" t="inlineStr">
        <is>
          <t>PZA</t>
        </is>
      </c>
      <c r="D245" s="36" t="n"/>
      <c r="E245" s="32" t="n"/>
      <c r="F245" s="33" t="n"/>
      <c r="G245" s="34" t="n"/>
      <c r="H245" s="34" t="n"/>
      <c r="I245" s="30" t="inlineStr">
        <is>
          <t>Insumos</t>
        </is>
      </c>
      <c r="J245" s="32" t="n"/>
      <c r="K245" s="35">
        <f>IF(A245="","","#"&amp;A245)</f>
        <v/>
      </c>
    </row>
    <row r="246">
      <c r="A246" s="28" t="inlineStr">
        <is>
          <t>ALM-046</t>
        </is>
      </c>
      <c r="B246" s="29" t="inlineStr">
        <is>
          <t>CINTA REFLECTIVA VERDE</t>
        </is>
      </c>
      <c r="C246" s="30" t="inlineStr">
        <is>
          <t>PZA</t>
        </is>
      </c>
      <c r="D246" s="36" t="n"/>
      <c r="E246" s="32" t="n"/>
      <c r="F246" s="33" t="n"/>
      <c r="G246" s="34" t="n"/>
      <c r="H246" s="34" t="n"/>
      <c r="I246" s="30" t="inlineStr">
        <is>
          <t>Insumos</t>
        </is>
      </c>
      <c r="J246" s="32" t="n"/>
      <c r="K246" s="35">
        <f>IF(A246="","","#"&amp;A246)</f>
        <v/>
      </c>
    </row>
    <row r="247">
      <c r="A247" s="28" t="inlineStr">
        <is>
          <t>ALM-047</t>
        </is>
      </c>
      <c r="B247" s="29" t="inlineStr">
        <is>
          <t>CHAPAS DE PUERTA</t>
        </is>
      </c>
      <c r="C247" s="30" t="inlineStr">
        <is>
          <t>PZA</t>
        </is>
      </c>
      <c r="D247" s="36" t="n"/>
      <c r="E247" s="32" t="n"/>
      <c r="F247" s="33" t="n"/>
      <c r="G247" s="34" t="n"/>
      <c r="H247" s="34" t="n"/>
      <c r="I247" s="30" t="inlineStr">
        <is>
          <t>Insumos</t>
        </is>
      </c>
      <c r="J247" s="32" t="n"/>
      <c r="K247" s="35">
        <f>IF(A247="","","#"&amp;A247)</f>
        <v/>
      </c>
    </row>
    <row r="248">
      <c r="A248" s="28" t="inlineStr">
        <is>
          <t>ALM-048</t>
        </is>
      </c>
      <c r="B248" s="29" t="inlineStr">
        <is>
          <t>TOMA CORRIENTE</t>
        </is>
      </c>
      <c r="C248" s="30" t="inlineStr">
        <is>
          <t>PZA</t>
        </is>
      </c>
      <c r="D248" s="36" t="n"/>
      <c r="E248" s="32" t="n"/>
      <c r="F248" s="33" t="n"/>
      <c r="G248" s="34" t="n"/>
      <c r="H248" s="34" t="n"/>
      <c r="I248" s="30" t="inlineStr">
        <is>
          <t>Insumos</t>
        </is>
      </c>
      <c r="J248" s="32" t="n"/>
      <c r="K248" s="35">
        <f>IF(A248="","","#"&amp;A248)</f>
        <v/>
      </c>
    </row>
    <row r="249">
      <c r="A249" s="28" t="inlineStr">
        <is>
          <t>ALM-049</t>
        </is>
      </c>
      <c r="B249" s="29" t="inlineStr">
        <is>
          <t>INTERRUPTOR</t>
        </is>
      </c>
      <c r="C249" s="30" t="inlineStr">
        <is>
          <t>PZA</t>
        </is>
      </c>
      <c r="D249" s="36" t="n"/>
      <c r="E249" s="32" t="n"/>
      <c r="F249" s="33" t="n"/>
      <c r="G249" s="34" t="n"/>
      <c r="H249" s="34" t="n"/>
      <c r="I249" s="30" t="inlineStr">
        <is>
          <t>Insumos</t>
        </is>
      </c>
      <c r="J249" s="32" t="n"/>
      <c r="K249" s="35">
        <f>IF(A249="","","#"&amp;A249)</f>
        <v/>
      </c>
    </row>
    <row r="250">
      <c r="A250" s="28" t="inlineStr">
        <is>
          <t>ALM-050</t>
        </is>
      </c>
      <c r="B250" s="29" t="inlineStr">
        <is>
          <t>SCOTCH</t>
        </is>
      </c>
      <c r="C250" s="30" t="inlineStr">
        <is>
          <t>PZA</t>
        </is>
      </c>
      <c r="D250" s="36" t="n"/>
      <c r="E250" s="32" t="n"/>
      <c r="F250" s="33" t="n"/>
      <c r="G250" s="34" t="n"/>
      <c r="H250" s="34" t="n"/>
      <c r="I250" s="30" t="inlineStr">
        <is>
          <t>Insumos</t>
        </is>
      </c>
      <c r="J250" s="32" t="n"/>
      <c r="K250" s="35">
        <f>IF(A250="","","#"&amp;A250)</f>
        <v/>
      </c>
    </row>
    <row r="251">
      <c r="A251" s="28" t="inlineStr">
        <is>
          <t>ALM-051</t>
        </is>
      </c>
      <c r="B251" s="29" t="inlineStr">
        <is>
          <t>REFLECTORES 50W</t>
        </is>
      </c>
      <c r="C251" s="30" t="inlineStr">
        <is>
          <t>PZA</t>
        </is>
      </c>
      <c r="D251" s="36" t="n"/>
      <c r="E251" s="32" t="n"/>
      <c r="F251" s="33" t="n"/>
      <c r="G251" s="34" t="n"/>
      <c r="H251" s="34" t="n"/>
      <c r="I251" s="30" t="inlineStr">
        <is>
          <t>Insumos</t>
        </is>
      </c>
      <c r="J251" s="32" t="n"/>
      <c r="K251" s="35">
        <f>IF(A251="","","#"&amp;A251)</f>
        <v/>
      </c>
    </row>
    <row r="252">
      <c r="A252" s="28" t="inlineStr">
        <is>
          <t>ALM-052</t>
        </is>
      </c>
      <c r="B252" s="29" t="inlineStr">
        <is>
          <t>LLAVE GALVANIZADA  (DUCHA)</t>
        </is>
      </c>
      <c r="C252" s="30" t="inlineStr">
        <is>
          <t>PZA</t>
        </is>
      </c>
      <c r="D252" s="36" t="n"/>
      <c r="E252" s="32" t="n"/>
      <c r="F252" s="33" t="n"/>
      <c r="G252" s="34" t="n"/>
      <c r="H252" s="34" t="n"/>
      <c r="I252" s="30" t="inlineStr">
        <is>
          <t>Insumos</t>
        </is>
      </c>
      <c r="J252" s="32" t="n"/>
      <c r="K252" s="35">
        <f>IF(A252="","","#"&amp;A252)</f>
        <v/>
      </c>
    </row>
    <row r="253">
      <c r="A253" s="28" t="inlineStr">
        <is>
          <t>ALM-053</t>
        </is>
      </c>
      <c r="B253" s="29" t="inlineStr">
        <is>
          <t>CARBURADOR TROMPO</t>
        </is>
      </c>
      <c r="C253" s="30" t="inlineStr">
        <is>
          <t>PZA</t>
        </is>
      </c>
      <c r="D253" s="36" t="n"/>
      <c r="E253" s="32" t="n"/>
      <c r="F253" s="33" t="n"/>
      <c r="G253" s="34" t="n"/>
      <c r="H253" s="34" t="n"/>
      <c r="I253" s="30" t="inlineStr">
        <is>
          <t>Insumos</t>
        </is>
      </c>
      <c r="J253" s="32" t="n"/>
      <c r="K253" s="35">
        <f>IF(A253="","","#"&amp;A253)</f>
        <v/>
      </c>
    </row>
    <row r="254">
      <c r="A254" s="28" t="inlineStr">
        <is>
          <t>ALM-054</t>
        </is>
      </c>
      <c r="B254" s="29" t="inlineStr">
        <is>
          <t>FILTRO DE AIRE DEL MOTOR MEBA</t>
        </is>
      </c>
      <c r="C254" s="30" t="inlineStr">
        <is>
          <t>PZA</t>
        </is>
      </c>
      <c r="D254" s="36" t="n"/>
      <c r="E254" s="32" t="n"/>
      <c r="F254" s="33" t="n"/>
      <c r="G254" s="34" t="n"/>
      <c r="H254" s="34" t="n"/>
      <c r="I254" s="30" t="inlineStr">
        <is>
          <t>Insumos</t>
        </is>
      </c>
      <c r="J254" s="32" t="n"/>
      <c r="K254" s="35">
        <f>IF(A254="","","#"&amp;A254)</f>
        <v/>
      </c>
    </row>
    <row r="255">
      <c r="A255" s="28" t="inlineStr">
        <is>
          <t>ALM-055</t>
        </is>
      </c>
      <c r="B255" s="29" t="inlineStr">
        <is>
          <t>FOCOS LED</t>
        </is>
      </c>
      <c r="C255" s="30" t="inlineStr">
        <is>
          <t>PZA</t>
        </is>
      </c>
      <c r="D255" s="36" t="n"/>
      <c r="E255" s="32" t="n"/>
      <c r="F255" s="33" t="n"/>
      <c r="G255" s="34" t="n"/>
      <c r="H255" s="34" t="n"/>
      <c r="I255" s="30" t="inlineStr">
        <is>
          <t>Insumos</t>
        </is>
      </c>
      <c r="J255" s="32" t="n"/>
      <c r="K255" s="35">
        <f>IF(A255="","","#"&amp;A255)</f>
        <v/>
      </c>
    </row>
    <row r="256">
      <c r="A256" s="28" t="inlineStr">
        <is>
          <t>ALM-056</t>
        </is>
      </c>
      <c r="B256" s="29" t="inlineStr">
        <is>
          <t>CINTA AISLANTE NEGRA</t>
        </is>
      </c>
      <c r="C256" s="30" t="inlineStr">
        <is>
          <t>PZA</t>
        </is>
      </c>
      <c r="D256" s="36" t="n"/>
      <c r="E256" s="32" t="n"/>
      <c r="F256" s="33" t="n"/>
      <c r="G256" s="34" t="n"/>
      <c r="H256" s="34" t="n"/>
      <c r="I256" s="30" t="inlineStr">
        <is>
          <t>Insumos</t>
        </is>
      </c>
      <c r="J256" s="32" t="n"/>
      <c r="K256" s="35">
        <f>IF(A256="","","#"&amp;A256)</f>
        <v/>
      </c>
    </row>
    <row r="257">
      <c r="A257" s="28" t="inlineStr">
        <is>
          <t>ALM-057</t>
        </is>
      </c>
      <c r="B257" s="29" t="inlineStr">
        <is>
          <t>BOTAS DE JEBE TALLA 44</t>
        </is>
      </c>
      <c r="C257" s="30" t="inlineStr">
        <is>
          <t>PZA</t>
        </is>
      </c>
      <c r="D257" s="36" t="n"/>
      <c r="E257" s="32" t="n"/>
      <c r="F257" s="33" t="n"/>
      <c r="G257" s="34" t="n"/>
      <c r="H257" s="34" t="n"/>
      <c r="I257" s="30" t="inlineStr">
        <is>
          <t>Insumos</t>
        </is>
      </c>
      <c r="J257" s="32" t="n"/>
      <c r="K257" s="35">
        <f>IF(A257="","","#"&amp;A257)</f>
        <v/>
      </c>
    </row>
    <row r="258">
      <c r="A258" s="28" t="inlineStr">
        <is>
          <t>ALM-058</t>
        </is>
      </c>
      <c r="B258" s="29" t="inlineStr">
        <is>
          <t>CARGADOR MAKITA</t>
        </is>
      </c>
      <c r="C258" s="30" t="inlineStr">
        <is>
          <t>PZA</t>
        </is>
      </c>
      <c r="D258" s="36" t="n"/>
      <c r="E258" s="32" t="n"/>
      <c r="F258" s="33" t="n"/>
      <c r="G258" s="34" t="n"/>
      <c r="H258" s="34" t="n"/>
      <c r="I258" s="30" t="inlineStr">
        <is>
          <t>Insumos</t>
        </is>
      </c>
      <c r="J258" s="32" t="n"/>
      <c r="K258" s="35">
        <f>IF(A258="","","#"&amp;A258)</f>
        <v/>
      </c>
    </row>
    <row r="259">
      <c r="A259" s="28" t="inlineStr">
        <is>
          <t>ALM-059</t>
        </is>
      </c>
      <c r="B259" s="29" t="inlineStr">
        <is>
          <t>BATERIA MAKITA</t>
        </is>
      </c>
      <c r="C259" s="30" t="inlineStr">
        <is>
          <t>PZA</t>
        </is>
      </c>
      <c r="D259" s="36" t="n"/>
      <c r="E259" s="32" t="n"/>
      <c r="F259" s="33" t="n"/>
      <c r="G259" s="34" t="n"/>
      <c r="H259" s="34" t="n"/>
      <c r="I259" s="30" t="inlineStr">
        <is>
          <t>Insumos</t>
        </is>
      </c>
      <c r="J259" s="32" t="n"/>
      <c r="K259" s="35">
        <f>IF(A259="","","#"&amp;A259)</f>
        <v/>
      </c>
    </row>
    <row r="260">
      <c r="A260" s="28" t="inlineStr">
        <is>
          <t>ALM-060</t>
        </is>
      </c>
      <c r="B260" s="29" t="inlineStr">
        <is>
          <t>TALADRO MAKITA</t>
        </is>
      </c>
      <c r="C260" s="30" t="inlineStr">
        <is>
          <t>PZA</t>
        </is>
      </c>
      <c r="D260" s="36" t="n"/>
      <c r="E260" s="32" t="n"/>
      <c r="F260" s="33" t="n"/>
      <c r="G260" s="34" t="n"/>
      <c r="H260" s="34" t="n"/>
      <c r="I260" s="30" t="inlineStr">
        <is>
          <t>Insumos</t>
        </is>
      </c>
      <c r="J260" s="32" t="n"/>
      <c r="K260" s="35">
        <f>IF(A260="","","#"&amp;A260)</f>
        <v/>
      </c>
    </row>
    <row r="261">
      <c r="A261" s="28" t="inlineStr">
        <is>
          <t>ALM-061</t>
        </is>
      </c>
      <c r="B261" s="29" t="inlineStr">
        <is>
          <t>JUEGO BROCAS MAKITA</t>
        </is>
      </c>
      <c r="C261" s="30" t="inlineStr">
        <is>
          <t>PZA</t>
        </is>
      </c>
      <c r="D261" s="36" t="n"/>
      <c r="E261" s="32" t="n"/>
      <c r="F261" s="33" t="n"/>
      <c r="G261" s="34" t="n"/>
      <c r="H261" s="34" t="n"/>
      <c r="I261" s="30" t="inlineStr">
        <is>
          <t>Insumos</t>
        </is>
      </c>
      <c r="J261" s="32" t="n"/>
      <c r="K261" s="35">
        <f>IF(A261="","","#"&amp;A261)</f>
        <v/>
      </c>
    </row>
    <row r="262">
      <c r="A262" s="28" t="inlineStr">
        <is>
          <t>ALM-062</t>
        </is>
      </c>
      <c r="B262" s="29" t="inlineStr">
        <is>
          <t>AGUA</t>
        </is>
      </c>
      <c r="C262" s="30" t="inlineStr">
        <is>
          <t>PZA</t>
        </is>
      </c>
      <c r="D262" s="36" t="n"/>
      <c r="E262" s="32" t="n"/>
      <c r="F262" s="33" t="n"/>
      <c r="G262" s="34" t="n"/>
      <c r="H262" s="34" t="n"/>
      <c r="I262" s="30" t="inlineStr">
        <is>
          <t>Insumos</t>
        </is>
      </c>
      <c r="J262" s="32" t="n"/>
      <c r="K262" s="35">
        <f>IF(A262="","","#"&amp;A262)</f>
        <v/>
      </c>
    </row>
    <row r="263">
      <c r="A263" s="28" t="inlineStr">
        <is>
          <t>ALM-063</t>
        </is>
      </c>
      <c r="B263" s="29" t="inlineStr">
        <is>
          <t>FAJAS DE ALTERNADOR</t>
        </is>
      </c>
      <c r="C263" s="30" t="inlineStr">
        <is>
          <t>PZA</t>
        </is>
      </c>
      <c r="D263" s="36" t="n"/>
      <c r="E263" s="32" t="n"/>
      <c r="F263" s="33" t="n"/>
      <c r="G263" s="34" t="n"/>
      <c r="H263" s="34" t="n"/>
      <c r="I263" s="30" t="inlineStr">
        <is>
          <t>Mantenimiento</t>
        </is>
      </c>
      <c r="J263" s="32" t="n"/>
      <c r="K263" s="35">
        <f>IF(A263="","","#"&amp;A263)</f>
        <v/>
      </c>
    </row>
    <row r="264">
      <c r="A264" s="28" t="inlineStr">
        <is>
          <t>ALM-064</t>
        </is>
      </c>
      <c r="B264" s="29" t="inlineStr">
        <is>
          <t>FILTRO HIDRAULICO DE FRENO 308050019</t>
        </is>
      </c>
      <c r="C264" s="30" t="inlineStr">
        <is>
          <t>PZA</t>
        </is>
      </c>
      <c r="D264" s="36" t="n"/>
      <c r="E264" s="32" t="n"/>
      <c r="F264" s="33" t="n"/>
      <c r="G264" s="34" t="n"/>
      <c r="H264" s="34" t="n"/>
      <c r="I264" s="30" t="inlineStr">
        <is>
          <t>Mantenimiento</t>
        </is>
      </c>
      <c r="J264" s="32" t="n"/>
      <c r="K264" s="35">
        <f>IF(A264="","","#"&amp;A264)</f>
        <v/>
      </c>
    </row>
    <row r="265">
      <c r="A265" s="28" t="inlineStr">
        <is>
          <t>ALM-065</t>
        </is>
      </c>
      <c r="B265" s="29" t="inlineStr">
        <is>
          <t>FILTRO DE AIRE SECUNDARIO A5106</t>
        </is>
      </c>
      <c r="C265" s="30" t="inlineStr">
        <is>
          <t>PZA</t>
        </is>
      </c>
      <c r="D265" s="36" t="n"/>
      <c r="E265" s="32" t="n"/>
      <c r="F265" s="33" t="n"/>
      <c r="G265" s="34" t="n"/>
      <c r="H265" s="34" t="n"/>
      <c r="I265" s="30" t="inlineStr">
        <is>
          <t>Mantenimiento</t>
        </is>
      </c>
      <c r="J265" s="32" t="n"/>
      <c r="K265" s="35">
        <f>IF(A265="","","#"&amp;A265)</f>
        <v/>
      </c>
    </row>
    <row r="266">
      <c r="A266" s="28" t="inlineStr">
        <is>
          <t>ALM-066</t>
        </is>
      </c>
      <c r="B266" s="29" t="inlineStr">
        <is>
          <t>FILTRO DE ACEITE P553771</t>
        </is>
      </c>
      <c r="C266" s="30" t="inlineStr">
        <is>
          <t>PZA</t>
        </is>
      </c>
      <c r="D266" s="36" t="n"/>
      <c r="E266" s="32" t="n"/>
      <c r="F266" s="33" t="n"/>
      <c r="G266" s="34" t="n"/>
      <c r="H266" s="34" t="n"/>
      <c r="I266" s="30" t="inlineStr">
        <is>
          <t>Mantenimiento</t>
        </is>
      </c>
      <c r="J266" s="32" t="n"/>
      <c r="K266" s="35">
        <f>IF(A266="","","#"&amp;A266)</f>
        <v/>
      </c>
    </row>
    <row r="267">
      <c r="A267" s="28" t="inlineStr">
        <is>
          <t>ALM-067</t>
        </is>
      </c>
      <c r="B267" s="29" t="inlineStr">
        <is>
          <t>TACOMETRO</t>
        </is>
      </c>
      <c r="C267" s="30" t="inlineStr">
        <is>
          <t>PZA</t>
        </is>
      </c>
      <c r="D267" s="36" t="n"/>
      <c r="E267" s="32" t="n"/>
      <c r="F267" s="33" t="n"/>
      <c r="G267" s="34" t="n"/>
      <c r="H267" s="34" t="n"/>
      <c r="I267" s="30" t="inlineStr">
        <is>
          <t>Mantenimiento</t>
        </is>
      </c>
      <c r="J267" s="32" t="n"/>
      <c r="K267" s="35">
        <f>IF(A267="","","#"&amp;A267)</f>
        <v/>
      </c>
    </row>
    <row r="268">
      <c r="A268" s="28" t="inlineStr">
        <is>
          <t>ALM-068</t>
        </is>
      </c>
      <c r="B268" s="29" t="inlineStr">
        <is>
          <t>FAJA PARA VENTILADOR</t>
        </is>
      </c>
      <c r="C268" s="30" t="inlineStr">
        <is>
          <t>PZA</t>
        </is>
      </c>
      <c r="D268" s="36" t="n"/>
      <c r="E268" s="32" t="n"/>
      <c r="F268" s="33" t="n"/>
      <c r="G268" s="34" t="n"/>
      <c r="H268" s="34" t="n"/>
      <c r="I268" s="30" t="inlineStr">
        <is>
          <t>Mantenimiento</t>
        </is>
      </c>
      <c r="J268" s="32" t="n"/>
      <c r="K268" s="35">
        <f>IF(A268="","","#"&amp;A268)</f>
        <v/>
      </c>
    </row>
    <row r="269">
      <c r="A269" s="28" t="inlineStr">
        <is>
          <t>ALM-069</t>
        </is>
      </c>
      <c r="B269" s="29" t="inlineStr">
        <is>
          <t>FAJA PARA ALTERNADOR</t>
        </is>
      </c>
      <c r="C269" s="30" t="inlineStr">
        <is>
          <t>PZA</t>
        </is>
      </c>
      <c r="D269" s="36" t="n"/>
      <c r="E269" s="32" t="n"/>
      <c r="F269" s="33" t="n"/>
      <c r="G269" s="34" t="n"/>
      <c r="H269" s="34" t="n"/>
      <c r="I269" s="30" t="inlineStr">
        <is>
          <t>Mantenimiento</t>
        </is>
      </c>
      <c r="J269" s="32" t="n"/>
      <c r="K269" s="35">
        <f>IF(A269="","","#"&amp;A269)</f>
        <v/>
      </c>
    </row>
    <row r="270">
      <c r="A270" s="28" t="inlineStr">
        <is>
          <t>ALM-070</t>
        </is>
      </c>
      <c r="B270" s="29" t="inlineStr">
        <is>
          <t>FILTRO DE RETORNO 308050009</t>
        </is>
      </c>
      <c r="C270" s="30" t="inlineStr">
        <is>
          <t>PZA</t>
        </is>
      </c>
      <c r="D270" s="36" t="n"/>
      <c r="E270" s="32" t="n"/>
      <c r="F270" s="33" t="n"/>
      <c r="G270" s="34" t="n"/>
      <c r="H270" s="34" t="n"/>
      <c r="I270" s="30" t="inlineStr">
        <is>
          <t>Mantenimiento</t>
        </is>
      </c>
      <c r="J270" s="32" t="n"/>
      <c r="K270" s="35">
        <f>IF(A270="","","#"&amp;A270)</f>
        <v/>
      </c>
    </row>
    <row r="271">
      <c r="A271" s="28" t="inlineStr">
        <is>
          <t>ALM-071</t>
        </is>
      </c>
      <c r="B271" s="29" t="inlineStr">
        <is>
          <t>ELECTROVALVULA DE MARCHA</t>
        </is>
      </c>
      <c r="C271" s="30" t="inlineStr">
        <is>
          <t>PZA</t>
        </is>
      </c>
      <c r="D271" s="36" t="n"/>
      <c r="E271" s="32" t="n"/>
      <c r="F271" s="33" t="n"/>
      <c r="G271" s="34" t="n"/>
      <c r="H271" s="34" t="n"/>
      <c r="I271" s="30" t="inlineStr">
        <is>
          <t>Mantenimiento</t>
        </is>
      </c>
      <c r="J271" s="32" t="n"/>
      <c r="K271" s="35">
        <f>IF(A271="","","#"&amp;A271)</f>
        <v/>
      </c>
    </row>
    <row r="272">
      <c r="A272" s="28" t="inlineStr">
        <is>
          <t>ALM-072</t>
        </is>
      </c>
      <c r="B272" s="29" t="inlineStr">
        <is>
          <t>EMPAQUE DE TAPA DE VALENCINES</t>
        </is>
      </c>
      <c r="C272" s="30" t="inlineStr">
        <is>
          <t>PZA</t>
        </is>
      </c>
      <c r="D272" s="36" t="n"/>
      <c r="E272" s="32" t="n"/>
      <c r="F272" s="33" t="n"/>
      <c r="G272" s="34" t="n"/>
      <c r="H272" s="34" t="n"/>
      <c r="I272" s="30" t="inlineStr">
        <is>
          <t>Mantenimiento</t>
        </is>
      </c>
      <c r="J272" s="32" t="n"/>
      <c r="K272" s="35">
        <f>IF(A272="","","#"&amp;A272)</f>
        <v/>
      </c>
    </row>
    <row r="273">
      <c r="A273" s="28" t="inlineStr">
        <is>
          <t>ALM-073</t>
        </is>
      </c>
      <c r="B273" s="29" t="inlineStr">
        <is>
          <t>FILTRO DE TRANSMISION P550445</t>
        </is>
      </c>
      <c r="C273" s="30" t="inlineStr">
        <is>
          <t>PZA</t>
        </is>
      </c>
      <c r="D273" s="36" t="n"/>
      <c r="E273" s="32" t="n"/>
      <c r="F273" s="33" t="n"/>
      <c r="G273" s="34" t="n"/>
      <c r="H273" s="34" t="n"/>
      <c r="I273" s="30" t="inlineStr">
        <is>
          <t>Mantenimiento</t>
        </is>
      </c>
      <c r="J273" s="32" t="n"/>
      <c r="K273" s="35">
        <f>IF(A273="","","#"&amp;A273)</f>
        <v/>
      </c>
    </row>
    <row r="274">
      <c r="A274" s="28" t="inlineStr">
        <is>
          <t>ALM-074</t>
        </is>
      </c>
      <c r="B274" s="29" t="inlineStr">
        <is>
          <t>EMPAQUE DE CILINDRO DE DIRECCION</t>
        </is>
      </c>
      <c r="C274" s="30" t="inlineStr">
        <is>
          <t>PZA</t>
        </is>
      </c>
      <c r="D274" s="36" t="n"/>
      <c r="E274" s="32" t="n"/>
      <c r="F274" s="33" t="n"/>
      <c r="G274" s="34" t="n"/>
      <c r="H274" s="34" t="n"/>
      <c r="I274" s="30" t="inlineStr">
        <is>
          <t>Mantenimiento</t>
        </is>
      </c>
      <c r="J274" s="32" t="n"/>
      <c r="K274" s="35">
        <f>IF(A274="","","#"&amp;A274)</f>
        <v/>
      </c>
    </row>
    <row r="275">
      <c r="A275" s="28" t="inlineStr">
        <is>
          <t>ALM-075</t>
        </is>
      </c>
      <c r="B275" s="29" t="inlineStr">
        <is>
          <t>VALVULA CHOTTP</t>
        </is>
      </c>
      <c r="C275" s="30" t="inlineStr">
        <is>
          <t>PZA</t>
        </is>
      </c>
      <c r="D275" s="36" t="n"/>
      <c r="E275" s="32" t="n"/>
      <c r="F275" s="33" t="n"/>
      <c r="G275" s="34" t="n"/>
      <c r="H275" s="34" t="n"/>
      <c r="I275" s="30" t="inlineStr">
        <is>
          <t>Mantenimiento</t>
        </is>
      </c>
      <c r="J275" s="32" t="n"/>
      <c r="K275" s="35">
        <f>IF(A275="","","#"&amp;A275)</f>
        <v/>
      </c>
    </row>
    <row r="276">
      <c r="A276" s="28" t="inlineStr">
        <is>
          <t>ALM-076</t>
        </is>
      </c>
      <c r="B276" s="29" t="inlineStr">
        <is>
          <t>CUPLIN</t>
        </is>
      </c>
      <c r="C276" s="30" t="inlineStr">
        <is>
          <t>PZA</t>
        </is>
      </c>
      <c r="D276" s="36" t="n"/>
      <c r="E276" s="32" t="n"/>
      <c r="F276" s="33" t="n"/>
      <c r="G276" s="34" t="n"/>
      <c r="H276" s="34" t="n"/>
      <c r="I276" s="30" t="inlineStr">
        <is>
          <t>Mantenimiento</t>
        </is>
      </c>
      <c r="J276" s="32" t="n"/>
      <c r="K276" s="35">
        <f>IF(A276="","","#"&amp;A276)</f>
        <v/>
      </c>
    </row>
    <row r="277">
      <c r="A277" s="28" t="inlineStr">
        <is>
          <t>ALM-077</t>
        </is>
      </c>
      <c r="B277" s="29" t="inlineStr">
        <is>
          <t>RETEN DE EJE POSTERIOR</t>
        </is>
      </c>
      <c r="C277" s="30" t="inlineStr">
        <is>
          <t>PZA</t>
        </is>
      </c>
      <c r="D277" s="36" t="n"/>
      <c r="E277" s="32" t="n"/>
      <c r="F277" s="33" t="n"/>
      <c r="G277" s="34" t="n"/>
      <c r="H277" s="34" t="n"/>
      <c r="I277" s="30" t="inlineStr">
        <is>
          <t>Mantenimiento</t>
        </is>
      </c>
      <c r="J277" s="32" t="n"/>
      <c r="K277" s="35">
        <f>IF(A277="","","#"&amp;A277)</f>
        <v/>
      </c>
    </row>
    <row r="278">
      <c r="A278" s="28" t="inlineStr">
        <is>
          <t>ALM-080</t>
        </is>
      </c>
      <c r="B278" s="29" t="inlineStr">
        <is>
          <t>BALDE DE ACEITE DE HD30 PARA TRANSMISION</t>
        </is>
      </c>
      <c r="C278" s="30" t="inlineStr">
        <is>
          <t>PZA</t>
        </is>
      </c>
      <c r="D278" s="36" t="n"/>
      <c r="E278" s="32" t="n"/>
      <c r="F278" s="33" t="n"/>
      <c r="G278" s="34" t="n"/>
      <c r="H278" s="34" t="n"/>
      <c r="I278" s="30" t="inlineStr">
        <is>
          <t>Mantenimiento</t>
        </is>
      </c>
      <c r="J278" s="32" t="n"/>
      <c r="K278" s="35">
        <f>IF(A278="","","#"&amp;A278)</f>
        <v/>
      </c>
    </row>
    <row r="279">
      <c r="A279" s="28" t="inlineStr">
        <is>
          <t>ALM-085</t>
        </is>
      </c>
      <c r="B279" s="29" t="inlineStr">
        <is>
          <t>ACEITE MOOTUL 20 W 50 7100</t>
        </is>
      </c>
      <c r="C279" s="30" t="inlineStr">
        <is>
          <t>PZA</t>
        </is>
      </c>
      <c r="D279" s="36" t="n"/>
      <c r="E279" s="32" t="n"/>
      <c r="F279" s="33" t="n"/>
      <c r="G279" s="34" t="n"/>
      <c r="H279" s="34" t="n"/>
      <c r="I279" s="30" t="inlineStr">
        <is>
          <t>Mantenimiento</t>
        </is>
      </c>
      <c r="J279" s="32" t="n"/>
      <c r="K279" s="35">
        <f>IF(A279="","","#"&amp;A279)</f>
        <v/>
      </c>
    </row>
    <row r="280">
      <c r="A280" s="28" t="inlineStr">
        <is>
          <t>ART-00001</t>
        </is>
      </c>
      <c r="B280" s="29" t="inlineStr">
        <is>
          <t>HILO PAVILO</t>
        </is>
      </c>
      <c r="C280" s="30" t="inlineStr">
        <is>
          <t>PZA</t>
        </is>
      </c>
      <c r="D280" s="36" t="n"/>
      <c r="E280" s="32" t="n"/>
      <c r="F280" s="33" t="n"/>
      <c r="G280" s="34" t="n"/>
      <c r="H280" s="34" t="n"/>
      <c r="I280" s="30" t="inlineStr">
        <is>
          <t>Insumos</t>
        </is>
      </c>
      <c r="J280" s="32" t="n"/>
      <c r="K280" s="35">
        <f>IF(A280="","","#"&amp;A280)</f>
        <v/>
      </c>
    </row>
    <row r="281">
      <c r="A281" s="28" t="inlineStr">
        <is>
          <t>ART-00002</t>
        </is>
      </c>
      <c r="B281" s="29" t="inlineStr">
        <is>
          <t>CUCHILLA 25 AMPERIOS</t>
        </is>
      </c>
      <c r="C281" s="30" t="inlineStr">
        <is>
          <t>PZA</t>
        </is>
      </c>
      <c r="D281" s="36" t="n"/>
      <c r="E281" s="32" t="n"/>
      <c r="F281" s="33" t="n"/>
      <c r="G281" s="34" t="n"/>
      <c r="H281" s="34" t="n"/>
      <c r="I281" s="30" t="inlineStr">
        <is>
          <t>Insumos</t>
        </is>
      </c>
      <c r="J281" s="32" t="n"/>
      <c r="K281" s="35">
        <f>IF(A281="","","#"&amp;A281)</f>
        <v/>
      </c>
    </row>
    <row r="282">
      <c r="A282" s="28" t="inlineStr">
        <is>
          <t>ART-00003</t>
        </is>
      </c>
      <c r="B282" s="29" t="inlineStr">
        <is>
          <t>NIVEL</t>
        </is>
      </c>
      <c r="C282" s="30" t="inlineStr">
        <is>
          <t>PZA</t>
        </is>
      </c>
      <c r="D282" s="36" t="n"/>
      <c r="E282" s="32" t="n"/>
      <c r="F282" s="33" t="n"/>
      <c r="G282" s="34" t="n"/>
      <c r="H282" s="34" t="n"/>
      <c r="I282" s="30" t="inlineStr">
        <is>
          <t>Insumos</t>
        </is>
      </c>
      <c r="J282" s="32" t="n"/>
      <c r="K282" s="35">
        <f>IF(A282="","","#"&amp;A282)</f>
        <v/>
      </c>
    </row>
    <row r="283">
      <c r="A283" s="28" t="inlineStr">
        <is>
          <t>ART-00004</t>
        </is>
      </c>
      <c r="B283" s="29" t="inlineStr">
        <is>
          <t>SCOTCH BLUE</t>
        </is>
      </c>
      <c r="C283" s="30" t="inlineStr">
        <is>
          <t>PZA</t>
        </is>
      </c>
      <c r="D283" s="36" t="n"/>
      <c r="E283" s="32" t="n"/>
      <c r="F283" s="33" t="n"/>
      <c r="G283" s="34" t="n"/>
      <c r="H283" s="34" t="n"/>
      <c r="I283" s="30" t="inlineStr">
        <is>
          <t>Insumos</t>
        </is>
      </c>
      <c r="J283" s="32" t="n"/>
      <c r="K283" s="35">
        <f>IF(A283="","","#"&amp;A283)</f>
        <v/>
      </c>
    </row>
    <row r="284">
      <c r="A284" s="28" t="inlineStr">
        <is>
          <t>ART-00005</t>
        </is>
      </c>
      <c r="B284" s="29" t="inlineStr">
        <is>
          <t>ACEITE MOVIL 85W 140</t>
        </is>
      </c>
      <c r="C284" s="30" t="inlineStr">
        <is>
          <t>PZA</t>
        </is>
      </c>
      <c r="D284" s="36" t="n"/>
      <c r="E284" s="32" t="n"/>
      <c r="F284" s="33" t="n"/>
      <c r="G284" s="34" t="n"/>
      <c r="H284" s="34" t="n"/>
      <c r="I284" s="30" t="inlineStr">
        <is>
          <t>Insumos</t>
        </is>
      </c>
      <c r="J284" s="32" t="n"/>
      <c r="K284" s="35">
        <f>IF(A284="","","#"&amp;A284)</f>
        <v/>
      </c>
    </row>
    <row r="285">
      <c r="A285" s="28" t="inlineStr">
        <is>
          <t>ART-00006</t>
        </is>
      </c>
      <c r="B285" s="29" t="inlineStr">
        <is>
          <t>ACEITE MOVIL 80W 90</t>
        </is>
      </c>
      <c r="C285" s="30" t="inlineStr">
        <is>
          <t>PZA</t>
        </is>
      </c>
      <c r="D285" s="36" t="n"/>
      <c r="E285" s="32" t="n"/>
      <c r="F285" s="33" t="n"/>
      <c r="G285" s="34" t="n"/>
      <c r="H285" s="34" t="n"/>
      <c r="I285" s="30" t="inlineStr">
        <is>
          <t>Insumos</t>
        </is>
      </c>
      <c r="J285" s="32" t="n"/>
      <c r="K285" s="35">
        <f>IF(A285="","","#"&amp;A285)</f>
        <v/>
      </c>
    </row>
    <row r="286">
      <c r="A286" s="28" t="inlineStr">
        <is>
          <t>ART-00007</t>
        </is>
      </c>
      <c r="B286" s="29" t="inlineStr">
        <is>
          <t>ACEITE SHELL 15W 40</t>
        </is>
      </c>
      <c r="C286" s="30" t="inlineStr">
        <is>
          <t>PZA</t>
        </is>
      </c>
      <c r="D286" s="36" t="n"/>
      <c r="E286" s="32" t="n"/>
      <c r="F286" s="33" t="n"/>
      <c r="G286" s="34" t="n"/>
      <c r="H286" s="34" t="n"/>
      <c r="I286" s="30" t="inlineStr">
        <is>
          <t>Insumos</t>
        </is>
      </c>
      <c r="J286" s="32" t="n"/>
      <c r="K286" s="35">
        <f>IF(A286="","","#"&amp;A286)</f>
        <v/>
      </c>
    </row>
    <row r="287">
      <c r="A287" s="28" t="inlineStr">
        <is>
          <t>ART-00008</t>
        </is>
      </c>
      <c r="B287" s="29" t="inlineStr">
        <is>
          <t>BALDE DE REFRIGERANTE VISTONY</t>
        </is>
      </c>
      <c r="C287" s="30" t="inlineStr">
        <is>
          <t>PZA</t>
        </is>
      </c>
      <c r="D287" s="36" t="n"/>
      <c r="E287" s="32" t="n"/>
      <c r="F287" s="33" t="n"/>
      <c r="G287" s="34" t="n"/>
      <c r="H287" s="34" t="n"/>
      <c r="I287" s="30" t="inlineStr">
        <is>
          <t>Insumos</t>
        </is>
      </c>
      <c r="J287" s="32" t="n"/>
      <c r="K287" s="35">
        <f>IF(A287="","","#"&amp;A287)</f>
        <v/>
      </c>
    </row>
    <row r="288">
      <c r="A288" s="28" t="inlineStr">
        <is>
          <t>ART-00009</t>
        </is>
      </c>
      <c r="B288" s="29" t="inlineStr">
        <is>
          <t>BALDE DE GRASA COLOR AZUL VISTONY</t>
        </is>
      </c>
      <c r="C288" s="30" t="inlineStr">
        <is>
          <t>PZA</t>
        </is>
      </c>
      <c r="D288" s="36" t="n"/>
      <c r="E288" s="32" t="n"/>
      <c r="F288" s="33" t="n"/>
      <c r="G288" s="34" t="n"/>
      <c r="H288" s="34" t="n"/>
      <c r="I288" s="30" t="inlineStr">
        <is>
          <t>Insumos</t>
        </is>
      </c>
      <c r="J288" s="32" t="n"/>
      <c r="K288" s="35">
        <f>IF(A288="","","#"&amp;A288)</f>
        <v/>
      </c>
    </row>
    <row r="289">
      <c r="A289" s="28" t="inlineStr">
        <is>
          <t>ART-00010</t>
        </is>
      </c>
      <c r="B289" s="29" t="inlineStr">
        <is>
          <t>BALDE DE ACEITE 15W 40 MARCA TOTAL</t>
        </is>
      </c>
      <c r="C289" s="30" t="inlineStr">
        <is>
          <t>PZA</t>
        </is>
      </c>
      <c r="D289" s="36" t="n"/>
      <c r="E289" s="32" t="n"/>
      <c r="F289" s="33" t="n"/>
      <c r="G289" s="34" t="n"/>
      <c r="H289" s="34" t="n"/>
      <c r="I289" s="30" t="inlineStr">
        <is>
          <t>Mantenimiento</t>
        </is>
      </c>
      <c r="J289" s="32" t="n"/>
      <c r="K289" s="35">
        <f>IF(A289="","","#"&amp;A289)</f>
        <v/>
      </c>
    </row>
    <row r="290">
      <c r="A290" s="28" t="inlineStr">
        <is>
          <t>ART-00011</t>
        </is>
      </c>
      <c r="B290" s="29" t="inlineStr">
        <is>
          <t>FILTRO DE ACEITE P553000</t>
        </is>
      </c>
      <c r="C290" s="30" t="inlineStr">
        <is>
          <t>PZA</t>
        </is>
      </c>
      <c r="D290" s="36" t="n"/>
      <c r="E290" s="32" t="n"/>
      <c r="F290" s="33" t="n"/>
      <c r="G290" s="34" t="n"/>
      <c r="H290" s="34" t="n"/>
      <c r="I290" s="30" t="inlineStr">
        <is>
          <t>Insumos</t>
        </is>
      </c>
      <c r="J290" s="32" t="n"/>
      <c r="K290" s="35">
        <f>IF(A290="","","#"&amp;A290)</f>
        <v/>
      </c>
    </row>
    <row r="291">
      <c r="A291" s="28" t="inlineStr">
        <is>
          <t>ART-00012</t>
        </is>
      </c>
      <c r="B291" s="29" t="inlineStr">
        <is>
          <t>FILTRO DE TRANSMISION 6C52639010</t>
        </is>
      </c>
      <c r="C291" s="30" t="inlineStr">
        <is>
          <t>PZA</t>
        </is>
      </c>
      <c r="D291" s="36" t="n"/>
      <c r="E291" s="32" t="n"/>
      <c r="F291" s="33" t="n"/>
      <c r="G291" s="34" t="n"/>
      <c r="H291" s="34" t="n"/>
      <c r="I291" s="30" t="inlineStr">
        <is>
          <t>Insumos</t>
        </is>
      </c>
      <c r="J291" s="32" t="n"/>
      <c r="K291" s="35">
        <f>IF(A291="","","#"&amp;A291)</f>
        <v/>
      </c>
    </row>
    <row r="292">
      <c r="A292" s="28" t="inlineStr">
        <is>
          <t>ART-00016</t>
        </is>
      </c>
      <c r="B292" s="29" t="inlineStr">
        <is>
          <t>FILTRO SEPARADOR DE PETROLEO GLQ007357390</t>
        </is>
      </c>
      <c r="C292" s="30" t="inlineStr">
        <is>
          <t>PZA</t>
        </is>
      </c>
      <c r="D292" s="36" t="n"/>
      <c r="E292" s="32" t="n"/>
      <c r="F292" s="33" t="n"/>
      <c r="G292" s="34" t="n"/>
      <c r="H292" s="34" t="n"/>
      <c r="I292" s="30" t="inlineStr">
        <is>
          <t>Mantenimiento</t>
        </is>
      </c>
      <c r="J292" s="32" t="n"/>
      <c r="K292" s="35">
        <f>IF(A292="","","#"&amp;A292)</f>
        <v/>
      </c>
    </row>
    <row r="293">
      <c r="A293" s="28" t="inlineStr">
        <is>
          <t>ART-00017</t>
        </is>
      </c>
      <c r="B293" s="29" t="inlineStr">
        <is>
          <t>FILTRO DE PETROLEO 1606040255B</t>
        </is>
      </c>
      <c r="C293" s="30" t="inlineStr">
        <is>
          <t>PZA</t>
        </is>
      </c>
      <c r="D293" s="36" t="n"/>
      <c r="E293" s="32" t="n"/>
      <c r="F293" s="33" t="n"/>
      <c r="G293" s="34" t="n"/>
      <c r="H293" s="34" t="n"/>
      <c r="I293" s="30" t="inlineStr">
        <is>
          <t>Mantenimiento</t>
        </is>
      </c>
      <c r="J293" s="32" t="n"/>
      <c r="K293" s="35">
        <f>IF(A293="","","#"&amp;A293)</f>
        <v/>
      </c>
    </row>
    <row r="294">
      <c r="A294" s="28" t="inlineStr">
        <is>
          <t>ART-00018</t>
        </is>
      </c>
      <c r="B294" s="29" t="inlineStr">
        <is>
          <t>FILTRO DE PETROLEO 160603020043B</t>
        </is>
      </c>
      <c r="C294" s="30" t="inlineStr">
        <is>
          <t>PZA</t>
        </is>
      </c>
      <c r="D294" s="36" t="n"/>
      <c r="E294" s="32" t="n"/>
      <c r="F294" s="33" t="n"/>
      <c r="G294" s="34" t="n"/>
      <c r="H294" s="34" t="n"/>
      <c r="I294" s="30" t="inlineStr">
        <is>
          <t>Mantenimiento</t>
        </is>
      </c>
      <c r="J294" s="32" t="n"/>
      <c r="K294" s="35">
        <f>IF(A294="","","#"&amp;A294)</f>
        <v/>
      </c>
    </row>
    <row r="295">
      <c r="A295" s="28" t="inlineStr">
        <is>
          <t>ART-00019</t>
        </is>
      </c>
      <c r="B295" s="29" t="inlineStr">
        <is>
          <t>FILTRO DE AIRE ACONDICIONADO 6025069</t>
        </is>
      </c>
      <c r="C295" s="30" t="inlineStr">
        <is>
          <t>PZA</t>
        </is>
      </c>
      <c r="D295" s="36" t="n"/>
      <c r="E295" s="32" t="n"/>
      <c r="F295" s="33" t="n"/>
      <c r="G295" s="34" t="n"/>
      <c r="H295" s="34" t="n"/>
      <c r="I295" s="30" t="inlineStr">
        <is>
          <t>Mantenimiento</t>
        </is>
      </c>
      <c r="J295" s="32" t="n"/>
      <c r="K295" s="35">
        <f>IF(A295="","","#"&amp;A295)</f>
        <v/>
      </c>
    </row>
    <row r="296">
      <c r="A296" s="28" t="inlineStr">
        <is>
          <t>ART-00020</t>
        </is>
      </c>
      <c r="B296" s="29" t="inlineStr">
        <is>
          <t>FILTRO DE AIRE A6306</t>
        </is>
      </c>
      <c r="C296" s="30" t="inlineStr">
        <is>
          <t>PZA</t>
        </is>
      </c>
      <c r="D296" s="36" t="n"/>
      <c r="E296" s="32" t="n"/>
      <c r="F296" s="33" t="n"/>
      <c r="G296" s="34" t="n"/>
      <c r="H296" s="34" t="n"/>
      <c r="I296" s="30" t="inlineStr">
        <is>
          <t>Mantenimiento</t>
        </is>
      </c>
      <c r="J296" s="32" t="n"/>
      <c r="K296" s="35">
        <f>IF(A296="","","#"&amp;A296)</f>
        <v/>
      </c>
    </row>
    <row r="297">
      <c r="A297" s="28" t="inlineStr">
        <is>
          <t>ART-00021</t>
        </is>
      </c>
      <c r="B297" s="29" t="inlineStr">
        <is>
          <t>FILTRO DE AIRE A6305</t>
        </is>
      </c>
      <c r="C297" s="30" t="inlineStr">
        <is>
          <t>PZA</t>
        </is>
      </c>
      <c r="D297" s="36" t="n"/>
      <c r="E297" s="32" t="n"/>
      <c r="F297" s="33" t="n"/>
      <c r="G297" s="34" t="n"/>
      <c r="H297" s="34" t="n"/>
      <c r="I297" s="30" t="inlineStr">
        <is>
          <t>Mantenimiento</t>
        </is>
      </c>
      <c r="J297" s="32" t="n"/>
      <c r="K297" s="35">
        <f>IF(A297="","","#"&amp;A297)</f>
        <v/>
      </c>
    </row>
    <row r="298">
      <c r="A298" s="28" t="inlineStr">
        <is>
          <t>ART-00022</t>
        </is>
      </c>
      <c r="B298" s="29" t="inlineStr">
        <is>
          <t>FILTRO DE AIRE A5107</t>
        </is>
      </c>
      <c r="C298" s="30" t="inlineStr">
        <is>
          <t>PZA</t>
        </is>
      </c>
      <c r="D298" s="36" t="n"/>
      <c r="E298" s="32" t="n"/>
      <c r="F298" s="33" t="n"/>
      <c r="G298" s="34" t="n"/>
      <c r="H298" s="34" t="n"/>
      <c r="I298" s="30" t="inlineStr">
        <is>
          <t>Mantenimiento</t>
        </is>
      </c>
      <c r="J298" s="32" t="n"/>
      <c r="K298" s="35">
        <f>IF(A298="","","#"&amp;A298)</f>
        <v/>
      </c>
    </row>
    <row r="299">
      <c r="A299" s="28" t="inlineStr">
        <is>
          <t>ART-00023</t>
        </is>
      </c>
      <c r="B299" s="29" t="inlineStr">
        <is>
          <t>FILTRO DE AIRE AF26357</t>
        </is>
      </c>
      <c r="C299" s="30" t="inlineStr">
        <is>
          <t>PZA</t>
        </is>
      </c>
      <c r="D299" s="36" t="n"/>
      <c r="E299" s="32" t="n"/>
      <c r="F299" s="33" t="n"/>
      <c r="G299" s="34" t="n"/>
      <c r="H299" s="34" t="n"/>
      <c r="I299" s="30" t="inlineStr">
        <is>
          <t>Mantenimiento</t>
        </is>
      </c>
      <c r="J299" s="32" t="n"/>
      <c r="K299" s="35">
        <f>IF(A299="","","#"&amp;A299)</f>
        <v/>
      </c>
    </row>
    <row r="300">
      <c r="A300" s="28" t="inlineStr">
        <is>
          <t>ART-00024</t>
        </is>
      </c>
      <c r="B300" s="29" t="inlineStr">
        <is>
          <t>FILTRO DE AIRE AF26398</t>
        </is>
      </c>
      <c r="C300" s="30" t="inlineStr">
        <is>
          <t>PZA</t>
        </is>
      </c>
      <c r="D300" s="36" t="n"/>
      <c r="E300" s="32" t="n"/>
      <c r="F300" s="33" t="n"/>
      <c r="G300" s="34" t="n"/>
      <c r="H300" s="34" t="n"/>
      <c r="I300" s="30" t="inlineStr">
        <is>
          <t>Mantenimiento</t>
        </is>
      </c>
      <c r="J300" s="32" t="n"/>
      <c r="K300" s="35">
        <f>IF(A300="","","#"&amp;A300)</f>
        <v/>
      </c>
    </row>
    <row r="301">
      <c r="A301" s="28" t="inlineStr">
        <is>
          <t>ART-00025</t>
        </is>
      </c>
      <c r="B301" s="29" t="inlineStr">
        <is>
          <t>ACEITES MOTOOL 7100</t>
        </is>
      </c>
      <c r="C301" s="30" t="inlineStr">
        <is>
          <t>PZA</t>
        </is>
      </c>
      <c r="D301" s="36" t="n"/>
      <c r="E301" s="32" t="n"/>
      <c r="F301" s="33" t="n"/>
      <c r="G301" s="34" t="n"/>
      <c r="H301" s="34" t="n"/>
      <c r="I301" s="30" t="inlineStr">
        <is>
          <t>Mantenimiento</t>
        </is>
      </c>
      <c r="J301" s="32" t="n"/>
      <c r="K301" s="35">
        <f>IF(A301="","","#"&amp;A301)</f>
        <v/>
      </c>
    </row>
    <row r="302">
      <c r="A302" s="28" t="inlineStr">
        <is>
          <t>ART-00026</t>
        </is>
      </c>
      <c r="B302" s="29" t="inlineStr">
        <is>
          <t>COMBO DE 8 LIBRAS</t>
        </is>
      </c>
      <c r="C302" s="30" t="inlineStr">
        <is>
          <t>PZA</t>
        </is>
      </c>
      <c r="D302" s="31" t="n">
        <v>53</v>
      </c>
      <c r="E302" s="32" t="n"/>
      <c r="F302" s="33" t="n"/>
      <c r="G302" s="34" t="n"/>
      <c r="H302" s="34" t="n"/>
      <c r="I302" s="30" t="inlineStr">
        <is>
          <t>Insumos</t>
        </is>
      </c>
      <c r="J302" s="32" t="n"/>
      <c r="K302" s="35">
        <f>IF(A302="","","#"&amp;A302)</f>
        <v/>
      </c>
    </row>
    <row r="303">
      <c r="A303" s="28" t="inlineStr">
        <is>
          <t>ART-00027</t>
        </is>
      </c>
      <c r="B303" s="29" t="inlineStr">
        <is>
          <t>BALDE DE ACEITE HIDRAULICO</t>
        </is>
      </c>
      <c r="C303" s="30" t="inlineStr">
        <is>
          <t>PZA</t>
        </is>
      </c>
      <c r="D303" s="36" t="n"/>
      <c r="E303" s="32" t="n"/>
      <c r="F303" s="33" t="n"/>
      <c r="G303" s="34" t="n"/>
      <c r="H303" s="34" t="n"/>
      <c r="I303" s="30" t="inlineStr">
        <is>
          <t>Mantenimiento</t>
        </is>
      </c>
      <c r="J303" s="32" t="n"/>
      <c r="K303" s="35">
        <f>IF(A303="","","#"&amp;A303)</f>
        <v/>
      </c>
    </row>
    <row r="304">
      <c r="A304" s="28" t="inlineStr">
        <is>
          <t>ART-00028</t>
        </is>
      </c>
      <c r="B304" s="29" t="inlineStr">
        <is>
          <t>BALDE 15 W 40 ACEITE TOTAL</t>
        </is>
      </c>
      <c r="C304" s="30" t="inlineStr">
        <is>
          <t>PZA</t>
        </is>
      </c>
      <c r="D304" s="36" t="n"/>
      <c r="E304" s="32" t="n"/>
      <c r="F304" s="33" t="n"/>
      <c r="G304" s="34" t="n"/>
      <c r="H304" s="34" t="n"/>
      <c r="I304" s="30" t="inlineStr">
        <is>
          <t>Mantenimiento</t>
        </is>
      </c>
      <c r="J304" s="32" t="n"/>
      <c r="K304" s="35">
        <f>IF(A304="","","#"&amp;A304)</f>
        <v/>
      </c>
    </row>
    <row r="305">
      <c r="A305" s="28" t="inlineStr">
        <is>
          <t>ART-00029</t>
        </is>
      </c>
      <c r="B305" s="29" t="inlineStr">
        <is>
          <t>FILTRO DE PETROLEO GLQ007074643</t>
        </is>
      </c>
      <c r="C305" s="30" t="inlineStr">
        <is>
          <t>PZA</t>
        </is>
      </c>
      <c r="D305" s="36" t="n"/>
      <c r="E305" s="32" t="n"/>
      <c r="F305" s="33" t="n"/>
      <c r="G305" s="34" t="n"/>
      <c r="H305" s="34" t="n"/>
      <c r="I305" s="30" t="inlineStr">
        <is>
          <t>Mantenimiento</t>
        </is>
      </c>
      <c r="J305" s="32" t="n"/>
      <c r="K305" s="35">
        <f>IF(A305="","","#"&amp;A305)</f>
        <v/>
      </c>
    </row>
    <row r="306">
      <c r="A306" s="28" t="inlineStr">
        <is>
          <t>ART-00030</t>
        </is>
      </c>
      <c r="B306" s="29" t="inlineStr">
        <is>
          <t>FILTRO DE PETROLEO GLQ007237341</t>
        </is>
      </c>
      <c r="C306" s="30" t="inlineStr">
        <is>
          <t>PZA</t>
        </is>
      </c>
      <c r="D306" s="36" t="n"/>
      <c r="E306" s="32" t="n"/>
      <c r="F306" s="33" t="n"/>
      <c r="G306" s="34" t="n"/>
      <c r="H306" s="34" t="n"/>
      <c r="I306" s="30" t="inlineStr">
        <is>
          <t>Mantenimiento</t>
        </is>
      </c>
      <c r="J306" s="32" t="n"/>
      <c r="K306" s="35">
        <f>IF(A306="","","#"&amp;A306)</f>
        <v/>
      </c>
    </row>
    <row r="307">
      <c r="A307" s="28" t="inlineStr">
        <is>
          <t>ART-00031</t>
        </is>
      </c>
      <c r="B307" s="29" t="inlineStr">
        <is>
          <t>FILTRO SEPARADOR DE PETROLEO 60242352</t>
        </is>
      </c>
      <c r="C307" s="30" t="inlineStr">
        <is>
          <t>PZA</t>
        </is>
      </c>
      <c r="D307" s="36" t="n"/>
      <c r="E307" s="32" t="n"/>
      <c r="F307" s="33" t="n"/>
      <c r="G307" s="34" t="n"/>
      <c r="H307" s="34" t="n"/>
      <c r="I307" s="30" t="inlineStr">
        <is>
          <t>Mantenimiento</t>
        </is>
      </c>
      <c r="J307" s="32" t="n"/>
      <c r="K307" s="35">
        <f>IF(A307="","","#"&amp;A307)</f>
        <v/>
      </c>
    </row>
    <row r="308">
      <c r="A308" s="28" t="inlineStr">
        <is>
          <t>ART-00032</t>
        </is>
      </c>
      <c r="B308" s="29" t="inlineStr">
        <is>
          <t>CALIPER</t>
        </is>
      </c>
      <c r="C308" s="30" t="inlineStr">
        <is>
          <t>PZA</t>
        </is>
      </c>
      <c r="D308" s="31" t="n">
        <v>1600</v>
      </c>
      <c r="E308" s="32" t="n"/>
      <c r="F308" s="33" t="n"/>
      <c r="G308" s="34" t="n"/>
      <c r="H308" s="34" t="n"/>
      <c r="I308" s="30" t="inlineStr">
        <is>
          <t>Mantenimiento</t>
        </is>
      </c>
      <c r="J308" s="32" t="n"/>
      <c r="K308" s="35">
        <f>IF(A308="","","#"&amp;A308)</f>
        <v/>
      </c>
    </row>
    <row r="309">
      <c r="A309" s="28" t="inlineStr">
        <is>
          <t>ART-00033</t>
        </is>
      </c>
      <c r="B309" s="29" t="inlineStr">
        <is>
          <t>PARCHE PARA LLANTA N°6</t>
        </is>
      </c>
      <c r="C309" s="30" t="inlineStr">
        <is>
          <t>PZA</t>
        </is>
      </c>
      <c r="D309" s="31" t="n">
        <v>65</v>
      </c>
      <c r="E309" s="32" t="n"/>
      <c r="F309" s="33" t="n"/>
      <c r="G309" s="34" t="n"/>
      <c r="H309" s="34" t="n"/>
      <c r="I309" s="30" t="inlineStr">
        <is>
          <t>Mantenimiento</t>
        </is>
      </c>
      <c r="J309" s="32" t="n"/>
      <c r="K309" s="35">
        <f>IF(A309="","","#"&amp;A309)</f>
        <v/>
      </c>
    </row>
    <row r="310">
      <c r="A310" s="28" t="inlineStr">
        <is>
          <t>ART-00034</t>
        </is>
      </c>
      <c r="B310" s="29" t="inlineStr">
        <is>
          <t>PARCHE PARA LLANAT N° 05</t>
        </is>
      </c>
      <c r="C310" s="30" t="inlineStr">
        <is>
          <t>PZA</t>
        </is>
      </c>
      <c r="D310" s="31" t="n">
        <v>45</v>
      </c>
      <c r="E310" s="32" t="n"/>
      <c r="F310" s="33" t="n"/>
      <c r="G310" s="34" t="n"/>
      <c r="H310" s="34" t="n"/>
      <c r="I310" s="30" t="inlineStr">
        <is>
          <t>Insumos</t>
        </is>
      </c>
      <c r="J310" s="32" t="n"/>
      <c r="K310" s="35">
        <f>IF(A310="","","#"&amp;A310)</f>
        <v/>
      </c>
    </row>
    <row r="311">
      <c r="A311" s="28" t="inlineStr">
        <is>
          <t>ART-00035</t>
        </is>
      </c>
      <c r="B311" s="29" t="inlineStr">
        <is>
          <t>TARRO VIPAL PEGAMENTO</t>
        </is>
      </c>
      <c r="C311" s="30" t="inlineStr">
        <is>
          <t>PZA</t>
        </is>
      </c>
      <c r="D311" s="31" t="n">
        <v>80</v>
      </c>
      <c r="E311" s="32" t="n"/>
      <c r="F311" s="33" t="n"/>
      <c r="G311" s="34" t="n"/>
      <c r="H311" s="34" t="n"/>
      <c r="I311" s="30" t="inlineStr">
        <is>
          <t>Mantenimiento</t>
        </is>
      </c>
      <c r="J311" s="32" t="n"/>
      <c r="K311" s="35">
        <f>IF(A311="","","#"&amp;A311)</f>
        <v/>
      </c>
    </row>
    <row r="312">
      <c r="A312" s="28" t="inlineStr">
        <is>
          <t>ART-00036</t>
        </is>
      </c>
      <c r="B312" s="29" t="inlineStr">
        <is>
          <t>POLO CINTA REFLECTIVA TALLA S</t>
        </is>
      </c>
      <c r="C312" s="30" t="inlineStr">
        <is>
          <t>PZA</t>
        </is>
      </c>
      <c r="D312" s="31" t="n">
        <v>21</v>
      </c>
      <c r="E312" s="32" t="n"/>
      <c r="F312" s="33" t="n"/>
      <c r="G312" s="34" t="n"/>
      <c r="H312" s="34" t="n"/>
      <c r="I312" s="30" t="inlineStr">
        <is>
          <t>Insumos</t>
        </is>
      </c>
      <c r="J312" s="32" t="n"/>
      <c r="K312" s="35">
        <f>IF(A312="","","#"&amp;A312)</f>
        <v/>
      </c>
    </row>
    <row r="313">
      <c r="A313" s="28" t="inlineStr">
        <is>
          <t>ART-00037</t>
        </is>
      </c>
      <c r="B313" s="29" t="inlineStr">
        <is>
          <t>UNION DE POLIPROPILENO C/ROSCA 110 MM</t>
        </is>
      </c>
      <c r="C313" s="30" t="inlineStr">
        <is>
          <t>PZA</t>
        </is>
      </c>
      <c r="D313" s="36" t="n"/>
      <c r="E313" s="32" t="n"/>
      <c r="F313" s="33" t="n"/>
      <c r="G313" s="34" t="n"/>
      <c r="H313" s="34" t="n"/>
      <c r="I313" s="30" t="inlineStr">
        <is>
          <t>Insumos</t>
        </is>
      </c>
      <c r="J313" s="32" t="n"/>
      <c r="K313" s="35">
        <f>IF(A313="","","#"&amp;A313)</f>
        <v/>
      </c>
    </row>
    <row r="314">
      <c r="A314" s="28" t="inlineStr">
        <is>
          <t>ART-00038</t>
        </is>
      </c>
      <c r="B314" s="29" t="inlineStr">
        <is>
          <t>PUNTERA DE ENGRASE</t>
        </is>
      </c>
      <c r="C314" s="30" t="inlineStr">
        <is>
          <t>PZA</t>
        </is>
      </c>
      <c r="D314" s="31" t="n">
        <v>40</v>
      </c>
      <c r="E314" s="32" t="n"/>
      <c r="F314" s="33" t="n"/>
      <c r="G314" s="34" t="n"/>
      <c r="H314" s="34" t="n"/>
      <c r="I314" s="30" t="inlineStr">
        <is>
          <t>Mantenimiento</t>
        </is>
      </c>
      <c r="J314" s="32" t="n"/>
      <c r="K314" s="35">
        <f>IF(A314="","","#"&amp;A314)</f>
        <v/>
      </c>
    </row>
    <row r="315">
      <c r="A315" s="28" t="inlineStr">
        <is>
          <t>ART-00039</t>
        </is>
      </c>
      <c r="B315" s="29" t="inlineStr">
        <is>
          <t>COMBO 10 LIBRAS</t>
        </is>
      </c>
      <c r="C315" s="30" t="inlineStr">
        <is>
          <t>PZA</t>
        </is>
      </c>
      <c r="D315" s="31" t="n">
        <v>80</v>
      </c>
      <c r="E315" s="32" t="n"/>
      <c r="F315" s="33" t="n"/>
      <c r="G315" s="34" t="n"/>
      <c r="H315" s="34" t="n"/>
      <c r="I315" s="30" t="inlineStr">
        <is>
          <t>Insumos</t>
        </is>
      </c>
      <c r="J315" s="32" t="n"/>
      <c r="K315" s="35">
        <f>IF(A315="","","#"&amp;A315)</f>
        <v/>
      </c>
    </row>
    <row r="316">
      <c r="A316" s="28" t="inlineStr">
        <is>
          <t>ART-00040</t>
        </is>
      </c>
      <c r="B316" s="29" t="inlineStr">
        <is>
          <t>LLAVE STILSON N° 12</t>
        </is>
      </c>
      <c r="C316" s="30" t="inlineStr">
        <is>
          <t>PZA</t>
        </is>
      </c>
      <c r="D316" s="31" t="n">
        <v>20.8</v>
      </c>
      <c r="E316" s="32" t="n"/>
      <c r="F316" s="33" t="n"/>
      <c r="G316" s="34" t="n"/>
      <c r="H316" s="34" t="n"/>
      <c r="I316" s="30" t="inlineStr">
        <is>
          <t>Insumos</t>
        </is>
      </c>
      <c r="J316" s="32" t="n"/>
      <c r="K316" s="35">
        <f>IF(A316="","","#"&amp;A316)</f>
        <v/>
      </c>
    </row>
    <row r="317">
      <c r="A317" s="28" t="inlineStr">
        <is>
          <t>ART-00041</t>
        </is>
      </c>
      <c r="B317" s="29" t="inlineStr">
        <is>
          <t>LLAVE STILSON N°14</t>
        </is>
      </c>
      <c r="C317" s="30" t="inlineStr">
        <is>
          <t>PZA</t>
        </is>
      </c>
      <c r="D317" s="31" t="n">
        <v>27.4</v>
      </c>
      <c r="E317" s="32" t="n"/>
      <c r="F317" s="33" t="n"/>
      <c r="G317" s="34" t="n"/>
      <c r="H317" s="34" t="n"/>
      <c r="I317" s="30" t="inlineStr">
        <is>
          <t>Insumos</t>
        </is>
      </c>
      <c r="J317" s="32" t="n"/>
      <c r="K317" s="35">
        <f>IF(A317="","","#"&amp;A317)</f>
        <v/>
      </c>
    </row>
    <row r="318">
      <c r="A318" s="28" t="inlineStr">
        <is>
          <t>ART-00042</t>
        </is>
      </c>
      <c r="B318" s="29" t="inlineStr">
        <is>
          <t>LENTES TRANSPARENTES CONTRA POLVO</t>
        </is>
      </c>
      <c r="C318" s="30" t="inlineStr">
        <is>
          <t>PZA</t>
        </is>
      </c>
      <c r="D318" s="36" t="n"/>
      <c r="E318" s="32" t="n"/>
      <c r="F318" s="33" t="n"/>
      <c r="G318" s="34" t="n"/>
      <c r="H318" s="34" t="n"/>
      <c r="I318" s="30" t="inlineStr">
        <is>
          <t>Insumos</t>
        </is>
      </c>
      <c r="J318" s="32" t="n"/>
      <c r="K318" s="35">
        <f>IF(A318="","","#"&amp;A318)</f>
        <v/>
      </c>
    </row>
    <row r="319">
      <c r="A319" s="28" t="inlineStr">
        <is>
          <t>ART-00043</t>
        </is>
      </c>
      <c r="B319" s="29" t="inlineStr">
        <is>
          <t>MARTILLO T/CARPINTERO</t>
        </is>
      </c>
      <c r="C319" s="30" t="inlineStr">
        <is>
          <t>PZA</t>
        </is>
      </c>
      <c r="D319" s="36" t="n"/>
      <c r="E319" s="32" t="n"/>
      <c r="F319" s="33" t="n"/>
      <c r="G319" s="34" t="n"/>
      <c r="H319" s="34" t="n"/>
      <c r="I319" s="30" t="inlineStr">
        <is>
          <t>Insumos</t>
        </is>
      </c>
      <c r="J319" s="32" t="n"/>
      <c r="K319" s="35">
        <f>IF(A319="","","#"&amp;A319)</f>
        <v/>
      </c>
    </row>
    <row r="320">
      <c r="A320" s="28" t="inlineStr">
        <is>
          <t>ART-00044</t>
        </is>
      </c>
      <c r="B320" s="29" t="inlineStr">
        <is>
          <t>ALAMBRE NEGRO NRO.8</t>
        </is>
      </c>
      <c r="C320" s="30" t="inlineStr">
        <is>
          <t>KGR</t>
        </is>
      </c>
      <c r="D320" s="36" t="n"/>
      <c r="E320" s="32" t="n"/>
      <c r="F320" s="33" t="n"/>
      <c r="G320" s="34" t="n"/>
      <c r="H320" s="34" t="n"/>
      <c r="I320" s="30" t="inlineStr">
        <is>
          <t>Insumos</t>
        </is>
      </c>
      <c r="J320" s="32" t="n"/>
      <c r="K320" s="35">
        <f>IF(A320="","","#"&amp;A320)</f>
        <v/>
      </c>
    </row>
    <row r="321">
      <c r="A321" s="28" t="inlineStr">
        <is>
          <t>ART-00045</t>
        </is>
      </c>
      <c r="B321" s="29" t="inlineStr">
        <is>
          <t>VALVULA BOLA DE ACERO 1/2"</t>
        </is>
      </c>
      <c r="C321" s="30" t="inlineStr">
        <is>
          <t>PZA</t>
        </is>
      </c>
      <c r="D321" s="36" t="n"/>
      <c r="E321" s="32" t="n"/>
      <c r="F321" s="33" t="n"/>
      <c r="G321" s="34" t="n"/>
      <c r="H321" s="34" t="n"/>
      <c r="I321" s="30" t="inlineStr">
        <is>
          <t>Insumos</t>
        </is>
      </c>
      <c r="J321" s="32" t="n"/>
      <c r="K321" s="35">
        <f>IF(A321="","","#"&amp;A321)</f>
        <v/>
      </c>
    </row>
    <row r="322">
      <c r="A322" s="28" t="inlineStr">
        <is>
          <t>ART-00046</t>
        </is>
      </c>
      <c r="B322" s="29" t="inlineStr">
        <is>
          <t>CLAVO DE FE. NEGRO DE 4"</t>
        </is>
      </c>
      <c r="C322" s="30" t="inlineStr">
        <is>
          <t>KGR</t>
        </is>
      </c>
      <c r="D322" s="36" t="n"/>
      <c r="E322" s="32" t="n"/>
      <c r="F322" s="33" t="n"/>
      <c r="G322" s="34" t="n"/>
      <c r="H322" s="34" t="n"/>
      <c r="I322" s="30" t="inlineStr">
        <is>
          <t>Insumos</t>
        </is>
      </c>
      <c r="J322" s="32" t="n"/>
      <c r="K322" s="35">
        <f>IF(A322="","","#"&amp;A322)</f>
        <v/>
      </c>
    </row>
    <row r="323">
      <c r="A323" s="28" t="inlineStr">
        <is>
          <t>ART-00047</t>
        </is>
      </c>
      <c r="B323" s="29" t="inlineStr">
        <is>
          <t>CLAVO DE FE. NEGRO DE 5"</t>
        </is>
      </c>
      <c r="C323" s="30" t="inlineStr">
        <is>
          <t>KGR</t>
        </is>
      </c>
      <c r="D323" s="36" t="n"/>
      <c r="E323" s="32" t="n"/>
      <c r="F323" s="33" t="n"/>
      <c r="G323" s="34" t="n"/>
      <c r="H323" s="34" t="n"/>
      <c r="I323" s="30" t="inlineStr">
        <is>
          <t>Insumos</t>
        </is>
      </c>
      <c r="J323" s="32" t="n"/>
      <c r="K323" s="35">
        <f>IF(A323="","","#"&amp;A323)</f>
        <v/>
      </c>
    </row>
    <row r="324">
      <c r="A324" s="28" t="inlineStr">
        <is>
          <t>ART-00048</t>
        </is>
      </c>
      <c r="B324" s="29" t="inlineStr">
        <is>
          <t>CINTA TEFLON</t>
        </is>
      </c>
      <c r="C324" s="30" t="inlineStr">
        <is>
          <t>PZA</t>
        </is>
      </c>
      <c r="D324" s="36" t="n"/>
      <c r="E324" s="32" t="n"/>
      <c r="F324" s="33" t="n"/>
      <c r="G324" s="34" t="n"/>
      <c r="H324" s="34" t="n"/>
      <c r="I324" s="30" t="inlineStr">
        <is>
          <t>Insumos</t>
        </is>
      </c>
      <c r="J324" s="32" t="n"/>
      <c r="K324" s="35">
        <f>IF(A324="","","#"&amp;A324)</f>
        <v/>
      </c>
    </row>
    <row r="325">
      <c r="A325" s="28" t="inlineStr">
        <is>
          <t>ART-00049</t>
        </is>
      </c>
      <c r="B325" s="29" t="inlineStr">
        <is>
          <t>LECHE GLORIA 390g ROJA</t>
        </is>
      </c>
      <c r="C325" s="30" t="inlineStr">
        <is>
          <t>PZA</t>
        </is>
      </c>
      <c r="D325" s="31" t="n">
        <v>4.2</v>
      </c>
      <c r="E325" s="32" t="n"/>
      <c r="F325" s="33" t="n"/>
      <c r="G325" s="34" t="n"/>
      <c r="H325" s="34" t="n"/>
      <c r="I325" s="30" t="inlineStr">
        <is>
          <t>Insumos</t>
        </is>
      </c>
      <c r="J325" s="32" t="n"/>
      <c r="K325" s="35">
        <f>IF(A325="","","#"&amp;A325)</f>
        <v/>
      </c>
    </row>
    <row r="326">
      <c r="A326" s="28" t="inlineStr">
        <is>
          <t>ART-00050</t>
        </is>
      </c>
      <c r="B326" s="29" t="inlineStr">
        <is>
          <t>LECHE GLORIA 170g (ROJA)</t>
        </is>
      </c>
      <c r="C326" s="30" t="inlineStr">
        <is>
          <t>PZA</t>
        </is>
      </c>
      <c r="D326" s="31" t="n">
        <v>2.8</v>
      </c>
      <c r="E326" s="32" t="n"/>
      <c r="F326" s="33" t="n"/>
      <c r="G326" s="34" t="n"/>
      <c r="H326" s="34" t="n"/>
      <c r="I326" s="30" t="inlineStr">
        <is>
          <t>Insumos</t>
        </is>
      </c>
      <c r="J326" s="32" t="n"/>
      <c r="K326" s="35">
        <f>IF(A326="","","#"&amp;A326)</f>
        <v/>
      </c>
    </row>
    <row r="327">
      <c r="A327" s="28" t="inlineStr">
        <is>
          <t>ART-00051</t>
        </is>
      </c>
      <c r="B327" s="29" t="inlineStr">
        <is>
          <t>COLCHON CON RESORTE 1.1/2 PLAZA</t>
        </is>
      </c>
      <c r="C327" s="30" t="inlineStr">
        <is>
          <t>PZA</t>
        </is>
      </c>
      <c r="D327" s="31" t="n">
        <v>250</v>
      </c>
      <c r="E327" s="32" t="n"/>
      <c r="F327" s="33" t="n"/>
      <c r="G327" s="34" t="n"/>
      <c r="H327" s="34" t="n"/>
      <c r="I327" s="30" t="inlineStr">
        <is>
          <t>Insumos</t>
        </is>
      </c>
      <c r="J327" s="32" t="n"/>
      <c r="K327" s="35">
        <f>IF(A327="","","#"&amp;A327)</f>
        <v/>
      </c>
    </row>
    <row r="328">
      <c r="A328" s="28" t="inlineStr">
        <is>
          <t>ART-00052</t>
        </is>
      </c>
      <c r="B328" s="29" t="inlineStr">
        <is>
          <t>COLCHON DE ESPUMA 1.1/2 PLAZA</t>
        </is>
      </c>
      <c r="C328" s="30" t="inlineStr">
        <is>
          <t>PZA</t>
        </is>
      </c>
      <c r="D328" s="31" t="n">
        <v>200</v>
      </c>
      <c r="E328" s="32" t="n"/>
      <c r="F328" s="33" t="n"/>
      <c r="G328" s="34" t="n"/>
      <c r="H328" s="34" t="n"/>
      <c r="I328" s="30" t="inlineStr">
        <is>
          <t>Insumos</t>
        </is>
      </c>
      <c r="J328" s="32" t="n"/>
      <c r="K328" s="35">
        <f>IF(A328="","","#"&amp;A328)</f>
        <v/>
      </c>
    </row>
    <row r="329">
      <c r="A329" s="28" t="inlineStr">
        <is>
          <t>ART-00053</t>
        </is>
      </c>
      <c r="B329" s="29" t="inlineStr">
        <is>
          <t>CUTER (CUCHILLA DE CORTE)</t>
        </is>
      </c>
      <c r="C329" s="30" t="inlineStr">
        <is>
          <t>PZA</t>
        </is>
      </c>
      <c r="D329" s="36" t="n"/>
      <c r="E329" s="32" t="n"/>
      <c r="F329" s="33" t="n"/>
      <c r="G329" s="34" t="n"/>
      <c r="H329" s="34" t="n"/>
      <c r="I329" s="30" t="inlineStr">
        <is>
          <t>Insumos</t>
        </is>
      </c>
      <c r="J329" s="32" t="n"/>
      <c r="K329" s="35">
        <f>IF(A329="","","#"&amp;A329)</f>
        <v/>
      </c>
    </row>
    <row r="330">
      <c r="A330" s="28" t="inlineStr">
        <is>
          <t>ART-00054</t>
        </is>
      </c>
      <c r="B330" s="29" t="inlineStr">
        <is>
          <t>RODILLO PARA PINTAR 9"</t>
        </is>
      </c>
      <c r="C330" s="30" t="inlineStr">
        <is>
          <t>PZA</t>
        </is>
      </c>
      <c r="D330" s="36" t="n"/>
      <c r="E330" s="32" t="n"/>
      <c r="F330" s="33" t="n"/>
      <c r="G330" s="34" t="n"/>
      <c r="H330" s="34" t="n"/>
      <c r="I330" s="30" t="inlineStr">
        <is>
          <t>Insumos</t>
        </is>
      </c>
      <c r="J330" s="32" t="n"/>
      <c r="K330" s="35">
        <f>IF(A330="","","#"&amp;A330)</f>
        <v/>
      </c>
    </row>
    <row r="331">
      <c r="A331" s="28" t="inlineStr">
        <is>
          <t>ART-00055</t>
        </is>
      </c>
      <c r="B331" s="29" t="inlineStr">
        <is>
          <t>TUBO DE PVC P/AGUA 1/2"</t>
        </is>
      </c>
      <c r="C331" s="30" t="inlineStr">
        <is>
          <t>PZA</t>
        </is>
      </c>
      <c r="D331" s="36" t="n"/>
      <c r="E331" s="32" t="n"/>
      <c r="F331" s="33" t="n"/>
      <c r="G331" s="34" t="n"/>
      <c r="H331" s="34" t="n"/>
      <c r="I331" s="30" t="inlineStr">
        <is>
          <t>Insumos</t>
        </is>
      </c>
      <c r="J331" s="32" t="n"/>
      <c r="K331" s="35">
        <f>IF(A331="","","#"&amp;A331)</f>
        <v/>
      </c>
    </row>
    <row r="332">
      <c r="A332" s="28" t="inlineStr">
        <is>
          <t>EPP-003</t>
        </is>
      </c>
      <c r="B332" s="29" t="inlineStr">
        <is>
          <t>FILTRO HIDRAULICO ALFA PARA SCOOP</t>
        </is>
      </c>
      <c r="C332" s="30" t="inlineStr">
        <is>
          <t>PZA</t>
        </is>
      </c>
      <c r="D332" s="36" t="n"/>
      <c r="E332" s="32" t="n"/>
      <c r="F332" s="33" t="n"/>
      <c r="G332" s="34" t="n"/>
      <c r="H332" s="34" t="n"/>
      <c r="I332" s="30" t="inlineStr">
        <is>
          <t>Mantenimiento</t>
        </is>
      </c>
      <c r="J332" s="32" t="n"/>
      <c r="K332" s="35">
        <f>IF(A332="","","#"&amp;A332)</f>
        <v/>
      </c>
    </row>
    <row r="333">
      <c r="A333" s="28" t="inlineStr">
        <is>
          <t>EPP-005</t>
        </is>
      </c>
      <c r="B333" s="29" t="inlineStr">
        <is>
          <t>FILTRO HIDRAULICO DE FRENO</t>
        </is>
      </c>
      <c r="C333" s="30" t="inlineStr">
        <is>
          <t>PZA</t>
        </is>
      </c>
      <c r="D333" s="36" t="n"/>
      <c r="E333" s="32" t="n"/>
      <c r="F333" s="33" t="n"/>
      <c r="G333" s="34" t="n"/>
      <c r="H333" s="34" t="n"/>
      <c r="I333" s="30" t="inlineStr">
        <is>
          <t>Mantenimiento</t>
        </is>
      </c>
      <c r="J333" s="32" t="n"/>
      <c r="K333" s="35">
        <f>IF(A333="","","#"&amp;A333)</f>
        <v/>
      </c>
    </row>
    <row r="334">
      <c r="A334" s="28" t="inlineStr">
        <is>
          <t>EPP-029</t>
        </is>
      </c>
      <c r="B334" s="29" t="inlineStr">
        <is>
          <t>BALDE DE ACEITE 68</t>
        </is>
      </c>
      <c r="C334" s="30" t="inlineStr">
        <is>
          <t>PZA</t>
        </is>
      </c>
      <c r="D334" s="36" t="n"/>
      <c r="E334" s="32" t="n"/>
      <c r="F334" s="33" t="n"/>
      <c r="G334" s="34" t="n"/>
      <c r="H334" s="34" t="n"/>
      <c r="I334" s="30" t="inlineStr">
        <is>
          <t>Mantenimiento</t>
        </is>
      </c>
      <c r="J334" s="32" t="n"/>
      <c r="K334" s="35">
        <f>IF(A334="","","#"&amp;A334)</f>
        <v/>
      </c>
    </row>
    <row r="335">
      <c r="A335" s="28" t="inlineStr">
        <is>
          <t>EPP-030</t>
        </is>
      </c>
      <c r="B335" s="29" t="inlineStr">
        <is>
          <t>BALDES DE 80 W90</t>
        </is>
      </c>
      <c r="C335" s="30" t="inlineStr">
        <is>
          <t>PZA</t>
        </is>
      </c>
      <c r="D335" s="36" t="n"/>
      <c r="E335" s="32" t="n"/>
      <c r="F335" s="33" t="n"/>
      <c r="G335" s="34" t="n"/>
      <c r="H335" s="34" t="n"/>
      <c r="I335" s="30" t="inlineStr">
        <is>
          <t>Mantenimiento</t>
        </is>
      </c>
      <c r="J335" s="32" t="n"/>
      <c r="K335" s="35">
        <f>IF(A335="","","#"&amp;A335)</f>
        <v/>
      </c>
    </row>
    <row r="336">
      <c r="A336" s="28" t="inlineStr">
        <is>
          <t>EPP-036</t>
        </is>
      </c>
      <c r="B336" s="29" t="inlineStr">
        <is>
          <t>FILTRO DE AIRE EXTERNO</t>
        </is>
      </c>
      <c r="C336" s="30" t="inlineStr">
        <is>
          <t>PZA</t>
        </is>
      </c>
      <c r="D336" s="36" t="n"/>
      <c r="E336" s="32" t="n"/>
      <c r="F336" s="33" t="n"/>
      <c r="G336" s="34" t="n"/>
      <c r="H336" s="34" t="n"/>
      <c r="I336" s="30" t="inlineStr">
        <is>
          <t>Mantenimiento</t>
        </is>
      </c>
      <c r="J336" s="32" t="n"/>
      <c r="K336" s="35">
        <f>IF(A336="","","#"&amp;A336)</f>
        <v/>
      </c>
    </row>
    <row r="337">
      <c r="A337" s="28" t="inlineStr">
        <is>
          <t>EPP-037</t>
        </is>
      </c>
      <c r="B337" s="29" t="inlineStr">
        <is>
          <t>FILTRO DE AIRE INTERNO</t>
        </is>
      </c>
      <c r="C337" s="30" t="inlineStr">
        <is>
          <t>PZA</t>
        </is>
      </c>
      <c r="D337" s="36" t="n"/>
      <c r="E337" s="32" t="n"/>
      <c r="F337" s="33" t="n"/>
      <c r="G337" s="34" t="n"/>
      <c r="H337" s="34" t="n"/>
      <c r="I337" s="30" t="inlineStr">
        <is>
          <t>Mantenimiento</t>
        </is>
      </c>
      <c r="J337" s="32" t="n"/>
      <c r="K337" s="35">
        <f>IF(A337="","","#"&amp;A337)</f>
        <v/>
      </c>
    </row>
    <row r="338">
      <c r="A338" s="28" t="inlineStr">
        <is>
          <t>EPP-038</t>
        </is>
      </c>
      <c r="B338" s="29" t="inlineStr">
        <is>
          <t>CASCO TIPO SOMBRERO V-GARD C/PORTALAMP. - VERDE</t>
        </is>
      </c>
      <c r="C338" s="30" t="inlineStr">
        <is>
          <t>PZA</t>
        </is>
      </c>
      <c r="D338" s="36" t="n"/>
      <c r="E338" s="32" t="n"/>
      <c r="F338" s="33" t="n"/>
      <c r="G338" s="34" t="n"/>
      <c r="H338" s="34" t="n"/>
      <c r="I338" s="30" t="inlineStr">
        <is>
          <t>Insumos</t>
        </is>
      </c>
      <c r="J338" s="32" t="n"/>
      <c r="K338" s="35">
        <f>IF(A338="","","#"&amp;A338)</f>
        <v/>
      </c>
    </row>
    <row r="339">
      <c r="A339" s="28" t="inlineStr">
        <is>
          <t>EPP-039</t>
        </is>
      </c>
      <c r="B339" s="29" t="inlineStr">
        <is>
          <t>CASCO TIPO SOMBRERO V-GARD C/PORTALAMP. - BLANCO</t>
        </is>
      </c>
      <c r="C339" s="30" t="inlineStr">
        <is>
          <t>PZA</t>
        </is>
      </c>
      <c r="D339" s="36" t="n"/>
      <c r="E339" s="32" t="n"/>
      <c r="F339" s="33" t="n"/>
      <c r="G339" s="34" t="n"/>
      <c r="H339" s="34" t="n"/>
      <c r="I339" s="30" t="inlineStr">
        <is>
          <t>Insumos</t>
        </is>
      </c>
      <c r="J339" s="32" t="n"/>
      <c r="K339" s="35">
        <f>IF(A339="","","#"&amp;A339)</f>
        <v/>
      </c>
    </row>
    <row r="340">
      <c r="A340" s="28" t="inlineStr">
        <is>
          <t>EPP-040</t>
        </is>
      </c>
      <c r="B340" s="29" t="inlineStr">
        <is>
          <t>BARBIQUEJO PARA CASCO</t>
        </is>
      </c>
      <c r="C340" s="30" t="inlineStr">
        <is>
          <t>PZA</t>
        </is>
      </c>
      <c r="D340" s="36" t="n"/>
      <c r="E340" s="32" t="n"/>
      <c r="F340" s="33" t="n"/>
      <c r="G340" s="34" t="n"/>
      <c r="H340" s="34" t="n"/>
      <c r="I340" s="30" t="inlineStr">
        <is>
          <t>Insumos</t>
        </is>
      </c>
      <c r="J340" s="32" t="n"/>
      <c r="K340" s="35">
        <f>IF(A340="","","#"&amp;A340)</f>
        <v/>
      </c>
    </row>
    <row r="341">
      <c r="A341" s="28" t="inlineStr">
        <is>
          <t>EPP-041</t>
        </is>
      </c>
      <c r="B341" s="29" t="inlineStr">
        <is>
          <t>TAFILETE P/CASCO MINERO 1-06-00286266</t>
        </is>
      </c>
      <c r="C341" s="30" t="inlineStr">
        <is>
          <t>PZA</t>
        </is>
      </c>
      <c r="D341" s="36" t="n"/>
      <c r="E341" s="32" t="n"/>
      <c r="F341" s="33" t="n"/>
      <c r="G341" s="34" t="n"/>
      <c r="H341" s="34" t="n"/>
      <c r="I341" s="30" t="inlineStr">
        <is>
          <t>Insumos</t>
        </is>
      </c>
      <c r="J341" s="32" t="n"/>
      <c r="K341" s="35">
        <f>IF(A341="","","#"&amp;A341)</f>
        <v/>
      </c>
    </row>
    <row r="342">
      <c r="A342" s="28" t="inlineStr">
        <is>
          <t>EPP-042</t>
        </is>
      </c>
      <c r="B342" s="29" t="inlineStr">
        <is>
          <t>TAPON AUDITIVO T/COPA EP01AS</t>
        </is>
      </c>
      <c r="C342" s="30" t="inlineStr">
        <is>
          <t>PZA</t>
        </is>
      </c>
      <c r="D342" s="36" t="n"/>
      <c r="E342" s="32" t="n"/>
      <c r="F342" s="33" t="n"/>
      <c r="G342" s="34" t="n"/>
      <c r="H342" s="34" t="n"/>
      <c r="I342" s="30" t="inlineStr">
        <is>
          <t>Insumos</t>
        </is>
      </c>
      <c r="J342" s="32" t="n"/>
      <c r="K342" s="35">
        <f>IF(A342="","","#"&amp;A342)</f>
        <v/>
      </c>
    </row>
    <row r="343">
      <c r="A343" s="28" t="inlineStr">
        <is>
          <t>EPP-043</t>
        </is>
      </c>
      <c r="B343" s="29" t="inlineStr">
        <is>
          <t>LENTE CON MALLA FORESTER NORTH</t>
        </is>
      </c>
      <c r="C343" s="30" t="inlineStr">
        <is>
          <t>PZA</t>
        </is>
      </c>
      <c r="D343" s="36" t="n"/>
      <c r="E343" s="32" t="n"/>
      <c r="F343" s="33" t="n"/>
      <c r="G343" s="34" t="n"/>
      <c r="H343" s="34" t="n"/>
      <c r="I343" s="30" t="inlineStr">
        <is>
          <t>Insumos</t>
        </is>
      </c>
      <c r="J343" s="32" t="n"/>
      <c r="K343" s="35">
        <f>IF(A343="","","#"&amp;A343)</f>
        <v/>
      </c>
    </row>
    <row r="344">
      <c r="A344" s="28" t="inlineStr">
        <is>
          <t>EPP-044</t>
        </is>
      </c>
      <c r="B344" s="29" t="inlineStr">
        <is>
          <t>RESPIRADOR 3M</t>
        </is>
      </c>
      <c r="C344" s="30" t="inlineStr">
        <is>
          <t>PZA</t>
        </is>
      </c>
      <c r="D344" s="36" t="n"/>
      <c r="E344" s="32" t="n"/>
      <c r="F344" s="33" t="n"/>
      <c r="G344" s="34" t="n"/>
      <c r="H344" s="34" t="n"/>
      <c r="I344" s="30" t="inlineStr">
        <is>
          <t>Insumos</t>
        </is>
      </c>
      <c r="J344" s="32" t="n"/>
      <c r="K344" s="35">
        <f>IF(A344="","","#"&amp;A344)</f>
        <v/>
      </c>
    </row>
    <row r="345">
      <c r="A345" s="28" t="inlineStr">
        <is>
          <t>EPP-045</t>
        </is>
      </c>
      <c r="B345" s="29" t="inlineStr">
        <is>
          <t>FILTRO CONTRA POLVO</t>
        </is>
      </c>
      <c r="C345" s="30" t="inlineStr">
        <is>
          <t>PZA</t>
        </is>
      </c>
      <c r="D345" s="36" t="n"/>
      <c r="E345" s="32" t="n"/>
      <c r="F345" s="33" t="n"/>
      <c r="G345" s="34" t="n"/>
      <c r="H345" s="34" t="n"/>
      <c r="I345" s="30" t="inlineStr">
        <is>
          <t>Insumos</t>
        </is>
      </c>
      <c r="J345" s="32" t="n"/>
      <c r="K345" s="35">
        <f>IF(A345="","","#"&amp;A345)</f>
        <v/>
      </c>
    </row>
    <row r="346">
      <c r="A346" s="28" t="inlineStr">
        <is>
          <t>EPP-046</t>
        </is>
      </c>
      <c r="B346" s="29" t="inlineStr">
        <is>
          <t>FILTRO CONTRA GASES</t>
        </is>
      </c>
      <c r="C346" s="30" t="inlineStr">
        <is>
          <t>PZA</t>
        </is>
      </c>
      <c r="D346" s="36" t="n"/>
      <c r="E346" s="32" t="n"/>
      <c r="F346" s="33" t="n"/>
      <c r="G346" s="34" t="n"/>
      <c r="H346" s="34" t="n"/>
      <c r="I346" s="30" t="inlineStr">
        <is>
          <t>Insumos</t>
        </is>
      </c>
      <c r="J346" s="32" t="n"/>
      <c r="K346" s="35">
        <f>IF(A346="","","#"&amp;A346)</f>
        <v/>
      </c>
    </row>
    <row r="347">
      <c r="A347" s="28" t="inlineStr">
        <is>
          <t>EPP-047</t>
        </is>
      </c>
      <c r="B347" s="29" t="inlineStr">
        <is>
          <t>LAMPARA MINERA</t>
        </is>
      </c>
      <c r="C347" s="30" t="inlineStr">
        <is>
          <t>PZA</t>
        </is>
      </c>
      <c r="D347" s="36" t="n"/>
      <c r="E347" s="32" t="n"/>
      <c r="F347" s="33" t="n"/>
      <c r="G347" s="34" t="n"/>
      <c r="H347" s="34" t="n"/>
      <c r="I347" s="30" t="inlineStr">
        <is>
          <t>Insumos</t>
        </is>
      </c>
      <c r="J347" s="32" t="n"/>
      <c r="K347" s="35">
        <f>IF(A347="","","#"&amp;A347)</f>
        <v/>
      </c>
    </row>
    <row r="348">
      <c r="A348" s="28" t="inlineStr">
        <is>
          <t>EPP-048</t>
        </is>
      </c>
      <c r="B348" s="29" t="inlineStr">
        <is>
          <t>CARGADOR DE LAMPARA</t>
        </is>
      </c>
      <c r="C348" s="30" t="inlineStr">
        <is>
          <t>PZA</t>
        </is>
      </c>
      <c r="D348" s="36" t="n"/>
      <c r="E348" s="32" t="n"/>
      <c r="F348" s="33" t="n"/>
      <c r="G348" s="34" t="n"/>
      <c r="H348" s="34" t="n"/>
      <c r="I348" s="30" t="inlineStr">
        <is>
          <t>Insumos</t>
        </is>
      </c>
      <c r="J348" s="32" t="n"/>
      <c r="K348" s="35">
        <f>IF(A348="","","#"&amp;A348)</f>
        <v/>
      </c>
    </row>
    <row r="349">
      <c r="A349" s="28" t="inlineStr">
        <is>
          <t>EPP-049</t>
        </is>
      </c>
      <c r="B349" s="29" t="inlineStr">
        <is>
          <t>UNIFORME CAMISA TALLA M</t>
        </is>
      </c>
      <c r="C349" s="30" t="inlineStr">
        <is>
          <t>PZA</t>
        </is>
      </c>
      <c r="D349" s="36" t="n"/>
      <c r="E349" s="32" t="n"/>
      <c r="F349" s="33" t="n"/>
      <c r="G349" s="34" t="n"/>
      <c r="H349" s="34" t="n"/>
      <c r="I349" s="30" t="inlineStr">
        <is>
          <t>Insumos</t>
        </is>
      </c>
      <c r="J349" s="32" t="n"/>
      <c r="K349" s="35">
        <f>IF(A349="","","#"&amp;A349)</f>
        <v/>
      </c>
    </row>
    <row r="350">
      <c r="A350" s="28" t="inlineStr">
        <is>
          <t>EPP-050</t>
        </is>
      </c>
      <c r="B350" s="29" t="inlineStr">
        <is>
          <t>UNIFORME CAMISA TALLA L</t>
        </is>
      </c>
      <c r="C350" s="30" t="inlineStr">
        <is>
          <t>PZA</t>
        </is>
      </c>
      <c r="D350" s="36" t="n"/>
      <c r="E350" s="32" t="n"/>
      <c r="F350" s="33" t="n"/>
      <c r="G350" s="34" t="n"/>
      <c r="H350" s="34" t="n"/>
      <c r="I350" s="30" t="inlineStr">
        <is>
          <t>Insumos</t>
        </is>
      </c>
      <c r="J350" s="32" t="n"/>
      <c r="K350" s="35">
        <f>IF(A350="","","#"&amp;A350)</f>
        <v/>
      </c>
    </row>
    <row r="351">
      <c r="A351" s="28" t="inlineStr">
        <is>
          <t>EPP-051</t>
        </is>
      </c>
      <c r="B351" s="29" t="inlineStr">
        <is>
          <t>UNIFORME CAMISA TALLA XL</t>
        </is>
      </c>
      <c r="C351" s="30" t="inlineStr">
        <is>
          <t>PZA</t>
        </is>
      </c>
      <c r="D351" s="36" t="n"/>
      <c r="E351" s="32" t="n"/>
      <c r="F351" s="33" t="n"/>
      <c r="G351" s="34" t="n"/>
      <c r="H351" s="34" t="n"/>
      <c r="I351" s="30" t="inlineStr">
        <is>
          <t>Insumos</t>
        </is>
      </c>
      <c r="J351" s="32" t="n"/>
      <c r="K351" s="35">
        <f>IF(A351="","","#"&amp;A351)</f>
        <v/>
      </c>
    </row>
    <row r="352">
      <c r="A352" s="28" t="inlineStr">
        <is>
          <t>EPP-052</t>
        </is>
      </c>
      <c r="B352" s="29" t="inlineStr">
        <is>
          <t>UNIFORME CAMISA TALLA XXL</t>
        </is>
      </c>
      <c r="C352" s="30" t="inlineStr">
        <is>
          <t>PZA</t>
        </is>
      </c>
      <c r="D352" s="36" t="n"/>
      <c r="E352" s="32" t="n"/>
      <c r="F352" s="33" t="n"/>
      <c r="G352" s="34" t="n"/>
      <c r="H352" s="34" t="n"/>
      <c r="I352" s="30" t="inlineStr">
        <is>
          <t>Insumos</t>
        </is>
      </c>
      <c r="J352" s="32" t="n"/>
      <c r="K352" s="35">
        <f>IF(A352="","","#"&amp;A352)</f>
        <v/>
      </c>
    </row>
    <row r="353">
      <c r="A353" s="28" t="inlineStr">
        <is>
          <t>EPP-053</t>
        </is>
      </c>
      <c r="B353" s="29" t="inlineStr">
        <is>
          <t>UNIFORME PANTALON TALLA M</t>
        </is>
      </c>
      <c r="C353" s="30" t="inlineStr">
        <is>
          <t>PZA</t>
        </is>
      </c>
      <c r="D353" s="36" t="n"/>
      <c r="E353" s="32" t="n"/>
      <c r="F353" s="33" t="n"/>
      <c r="G353" s="34" t="n"/>
      <c r="H353" s="34" t="n"/>
      <c r="I353" s="30" t="inlineStr">
        <is>
          <t>Insumos</t>
        </is>
      </c>
      <c r="J353" s="32" t="n"/>
      <c r="K353" s="35">
        <f>IF(A353="","","#"&amp;A353)</f>
        <v/>
      </c>
    </row>
    <row r="354">
      <c r="A354" s="28" t="inlineStr">
        <is>
          <t>EPP-054</t>
        </is>
      </c>
      <c r="B354" s="29" t="inlineStr">
        <is>
          <t>UNIFORME PANTALON TALLA L</t>
        </is>
      </c>
      <c r="C354" s="30" t="inlineStr">
        <is>
          <t>PZA</t>
        </is>
      </c>
      <c r="D354" s="36" t="n"/>
      <c r="E354" s="32" t="n"/>
      <c r="F354" s="33" t="n"/>
      <c r="G354" s="34" t="n"/>
      <c r="H354" s="34" t="n"/>
      <c r="I354" s="30" t="inlineStr">
        <is>
          <t>Insumos</t>
        </is>
      </c>
      <c r="J354" s="32" t="n"/>
      <c r="K354" s="35">
        <f>IF(A354="","","#"&amp;A354)</f>
        <v/>
      </c>
    </row>
    <row r="355">
      <c r="A355" s="28" t="inlineStr">
        <is>
          <t>EPP-055</t>
        </is>
      </c>
      <c r="B355" s="29" t="inlineStr">
        <is>
          <t>UNIFORME PANTALON TALLA XL</t>
        </is>
      </c>
      <c r="C355" s="30" t="inlineStr">
        <is>
          <t>PZA</t>
        </is>
      </c>
      <c r="D355" s="36" t="n"/>
      <c r="E355" s="32" t="n"/>
      <c r="F355" s="33" t="n"/>
      <c r="G355" s="34" t="n"/>
      <c r="H355" s="34" t="n"/>
      <c r="I355" s="30" t="inlineStr">
        <is>
          <t>Insumos</t>
        </is>
      </c>
      <c r="J355" s="32" t="n"/>
      <c r="K355" s="35">
        <f>IF(A355="","","#"&amp;A355)</f>
        <v/>
      </c>
    </row>
    <row r="356">
      <c r="A356" s="28" t="inlineStr">
        <is>
          <t>EPP-056</t>
        </is>
      </c>
      <c r="B356" s="29" t="inlineStr">
        <is>
          <t>UNIFORME PANTALON TALLA XXL</t>
        </is>
      </c>
      <c r="C356" s="30" t="inlineStr">
        <is>
          <t>PZA</t>
        </is>
      </c>
      <c r="D356" s="36" t="n"/>
      <c r="E356" s="32" t="n"/>
      <c r="F356" s="33" t="n"/>
      <c r="G356" s="34" t="n"/>
      <c r="H356" s="34" t="n"/>
      <c r="I356" s="30" t="inlineStr">
        <is>
          <t>Insumos</t>
        </is>
      </c>
      <c r="J356" s="32" t="n"/>
      <c r="K356" s="35">
        <f>IF(A356="","","#"&amp;A356)</f>
        <v/>
      </c>
    </row>
    <row r="357">
      <c r="A357" s="28" t="inlineStr">
        <is>
          <t>EPP-057</t>
        </is>
      </c>
      <c r="B357" s="29" t="inlineStr">
        <is>
          <t>UNIFORME PANTALON TALLA XXXL</t>
        </is>
      </c>
      <c r="C357" s="30" t="inlineStr">
        <is>
          <t>PZA</t>
        </is>
      </c>
      <c r="D357" s="36" t="n"/>
      <c r="E357" s="32" t="n"/>
      <c r="F357" s="33" t="n"/>
      <c r="G357" s="34" t="n"/>
      <c r="H357" s="34" t="n"/>
      <c r="I357" s="30" t="inlineStr">
        <is>
          <t>Insumos</t>
        </is>
      </c>
      <c r="J357" s="32" t="n"/>
      <c r="K357" s="35">
        <f>IF(A357="","","#"&amp;A357)</f>
        <v/>
      </c>
    </row>
    <row r="358">
      <c r="A358" s="28" t="inlineStr">
        <is>
          <t>EPP-058</t>
        </is>
      </c>
      <c r="B358" s="29" t="inlineStr">
        <is>
          <t>POLO DE MAYA M</t>
        </is>
      </c>
      <c r="C358" s="30" t="inlineStr">
        <is>
          <t>PZA</t>
        </is>
      </c>
      <c r="D358" s="36" t="n"/>
      <c r="E358" s="32" t="n"/>
      <c r="F358" s="33" t="n"/>
      <c r="G358" s="34" t="n"/>
      <c r="H358" s="34" t="n"/>
      <c r="I358" s="30" t="inlineStr">
        <is>
          <t>Insumos</t>
        </is>
      </c>
      <c r="J358" s="32" t="n"/>
      <c r="K358" s="35">
        <f>IF(A358="","","#"&amp;A358)</f>
        <v/>
      </c>
    </row>
    <row r="359">
      <c r="A359" s="28" t="inlineStr">
        <is>
          <t>EPP-059</t>
        </is>
      </c>
      <c r="B359" s="29" t="inlineStr">
        <is>
          <t>POLO DE MAYA L</t>
        </is>
      </c>
      <c r="C359" s="30" t="inlineStr">
        <is>
          <t>PZA</t>
        </is>
      </c>
      <c r="D359" s="36" t="n"/>
      <c r="E359" s="32" t="n"/>
      <c r="F359" s="33" t="n"/>
      <c r="G359" s="34" t="n"/>
      <c r="H359" s="34" t="n"/>
      <c r="I359" s="30" t="inlineStr">
        <is>
          <t>Insumos</t>
        </is>
      </c>
      <c r="J359" s="32" t="n"/>
      <c r="K359" s="35">
        <f>IF(A359="","","#"&amp;A359)</f>
        <v/>
      </c>
    </row>
    <row r="360">
      <c r="A360" s="28" t="inlineStr">
        <is>
          <t>EPP-060</t>
        </is>
      </c>
      <c r="B360" s="29" t="inlineStr">
        <is>
          <t>POLO DE MAYA XL</t>
        </is>
      </c>
      <c r="C360" s="30" t="inlineStr">
        <is>
          <t>PZA</t>
        </is>
      </c>
      <c r="D360" s="36" t="n"/>
      <c r="E360" s="32" t="n"/>
      <c r="F360" s="33" t="n"/>
      <c r="G360" s="34" t="n"/>
      <c r="H360" s="34" t="n"/>
      <c r="I360" s="30" t="inlineStr">
        <is>
          <t>Insumos</t>
        </is>
      </c>
      <c r="J360" s="32" t="n"/>
      <c r="K360" s="35">
        <f>IF(A360="","","#"&amp;A360)</f>
        <v/>
      </c>
    </row>
    <row r="361">
      <c r="A361" s="28" t="inlineStr">
        <is>
          <t>EPP-061</t>
        </is>
      </c>
      <c r="B361" s="29" t="inlineStr">
        <is>
          <t>POLO DE MAYA XXL</t>
        </is>
      </c>
      <c r="C361" s="30" t="inlineStr">
        <is>
          <t>PZA</t>
        </is>
      </c>
      <c r="D361" s="36" t="n"/>
      <c r="E361" s="32" t="n"/>
      <c r="F361" s="33" t="n"/>
      <c r="G361" s="34" t="n"/>
      <c r="H361" s="34" t="n"/>
      <c r="I361" s="30" t="inlineStr">
        <is>
          <t>Insumos</t>
        </is>
      </c>
      <c r="J361" s="32" t="n"/>
      <c r="K361" s="35">
        <f>IF(A361="","","#"&amp;A361)</f>
        <v/>
      </c>
    </row>
    <row r="362">
      <c r="A362" s="28" t="inlineStr">
        <is>
          <t>EPP-062</t>
        </is>
      </c>
      <c r="B362" s="29" t="inlineStr">
        <is>
          <t>CAMISA DE JEBE TALLA 40</t>
        </is>
      </c>
      <c r="C362" s="30" t="inlineStr">
        <is>
          <t>PZA</t>
        </is>
      </c>
      <c r="D362" s="36" t="n"/>
      <c r="E362" s="32" t="n"/>
      <c r="F362" s="33" t="n"/>
      <c r="G362" s="34" t="n"/>
      <c r="H362" s="34" t="n"/>
      <c r="I362" s="30" t="inlineStr">
        <is>
          <t>Insumos</t>
        </is>
      </c>
      <c r="J362" s="32" t="n"/>
      <c r="K362" s="35">
        <f>IF(A362="","","#"&amp;A362)</f>
        <v/>
      </c>
    </row>
    <row r="363">
      <c r="A363" s="28" t="inlineStr">
        <is>
          <t>EPP-063</t>
        </is>
      </c>
      <c r="B363" s="29" t="inlineStr">
        <is>
          <t>CAMISA DE JEBE TALLA 41</t>
        </is>
      </c>
      <c r="C363" s="30" t="inlineStr">
        <is>
          <t>PZA</t>
        </is>
      </c>
      <c r="D363" s="36" t="n"/>
      <c r="E363" s="32" t="n"/>
      <c r="F363" s="33" t="n"/>
      <c r="G363" s="34" t="n"/>
      <c r="H363" s="34" t="n"/>
      <c r="I363" s="30" t="inlineStr">
        <is>
          <t>Insumos</t>
        </is>
      </c>
      <c r="J363" s="32" t="n"/>
      <c r="K363" s="35">
        <f>IF(A363="","","#"&amp;A363)</f>
        <v/>
      </c>
    </row>
    <row r="364">
      <c r="A364" s="28" t="inlineStr">
        <is>
          <t>EPP-064</t>
        </is>
      </c>
      <c r="B364" s="29" t="inlineStr">
        <is>
          <t>CAMISA DE JEBE TALLA 42</t>
        </is>
      </c>
      <c r="C364" s="30" t="inlineStr">
        <is>
          <t>PZA</t>
        </is>
      </c>
      <c r="D364" s="36" t="n"/>
      <c r="E364" s="32" t="n"/>
      <c r="F364" s="33" t="n"/>
      <c r="G364" s="34" t="n"/>
      <c r="H364" s="34" t="n"/>
      <c r="I364" s="30" t="inlineStr">
        <is>
          <t>Insumos</t>
        </is>
      </c>
      <c r="J364" s="32" t="n"/>
      <c r="K364" s="35">
        <f>IF(A364="","","#"&amp;A364)</f>
        <v/>
      </c>
    </row>
    <row r="365">
      <c r="A365" s="28" t="inlineStr">
        <is>
          <t>EPP-065</t>
        </is>
      </c>
      <c r="B365" s="29" t="inlineStr">
        <is>
          <t>CAMISA DE JEBE TALLA 43</t>
        </is>
      </c>
      <c r="C365" s="30" t="inlineStr">
        <is>
          <t>PZA</t>
        </is>
      </c>
      <c r="D365" s="36" t="n"/>
      <c r="E365" s="32" t="n"/>
      <c r="F365" s="33" t="n"/>
      <c r="G365" s="34" t="n"/>
      <c r="H365" s="34" t="n"/>
      <c r="I365" s="30" t="inlineStr">
        <is>
          <t>Insumos</t>
        </is>
      </c>
      <c r="J365" s="32" t="n"/>
      <c r="K365" s="35">
        <f>IF(A365="","","#"&amp;A365)</f>
        <v/>
      </c>
    </row>
    <row r="366">
      <c r="A366" s="28" t="inlineStr">
        <is>
          <t>EPP-066</t>
        </is>
      </c>
      <c r="B366" s="29" t="inlineStr">
        <is>
          <t>CAMISA DE JEBE TALLA 44</t>
        </is>
      </c>
      <c r="C366" s="30" t="inlineStr">
        <is>
          <t>PZA</t>
        </is>
      </c>
      <c r="D366" s="36" t="n"/>
      <c r="E366" s="32" t="n"/>
      <c r="F366" s="33" t="n"/>
      <c r="G366" s="34" t="n"/>
      <c r="H366" s="34" t="n"/>
      <c r="I366" s="30" t="inlineStr">
        <is>
          <t>Insumos</t>
        </is>
      </c>
      <c r="J366" s="32" t="n"/>
      <c r="K366" s="35">
        <f>IF(A366="","","#"&amp;A366)</f>
        <v/>
      </c>
    </row>
    <row r="367">
      <c r="A367" s="28" t="inlineStr">
        <is>
          <t>EPP-067</t>
        </is>
      </c>
      <c r="B367" s="29" t="inlineStr">
        <is>
          <t>PANTALON DE JEBE TALLA 40</t>
        </is>
      </c>
      <c r="C367" s="30" t="inlineStr">
        <is>
          <t>PZA</t>
        </is>
      </c>
      <c r="D367" s="36" t="n"/>
      <c r="E367" s="32" t="n"/>
      <c r="F367" s="33" t="n"/>
      <c r="G367" s="34" t="n"/>
      <c r="H367" s="34" t="n"/>
      <c r="I367" s="30" t="inlineStr">
        <is>
          <t>Insumos</t>
        </is>
      </c>
      <c r="J367" s="32" t="n"/>
      <c r="K367" s="35">
        <f>IF(A367="","","#"&amp;A367)</f>
        <v/>
      </c>
    </row>
    <row r="368">
      <c r="A368" s="28" t="inlineStr">
        <is>
          <t>EPP-068</t>
        </is>
      </c>
      <c r="B368" s="29" t="inlineStr">
        <is>
          <t>PANTALON DE JEBE TALLA 41</t>
        </is>
      </c>
      <c r="C368" s="30" t="inlineStr">
        <is>
          <t>PZA</t>
        </is>
      </c>
      <c r="D368" s="36" t="n"/>
      <c r="E368" s="32" t="n"/>
      <c r="F368" s="33" t="n"/>
      <c r="G368" s="34" t="n"/>
      <c r="H368" s="34" t="n"/>
      <c r="I368" s="30" t="inlineStr">
        <is>
          <t>Insumos</t>
        </is>
      </c>
      <c r="J368" s="32" t="n"/>
      <c r="K368" s="35">
        <f>IF(A368="","","#"&amp;A368)</f>
        <v/>
      </c>
    </row>
    <row r="369">
      <c r="A369" s="28" t="inlineStr">
        <is>
          <t>EPP-069</t>
        </is>
      </c>
      <c r="B369" s="29" t="inlineStr">
        <is>
          <t>PANTALON DE JEBE TALLA 42</t>
        </is>
      </c>
      <c r="C369" s="30" t="inlineStr">
        <is>
          <t>PZA</t>
        </is>
      </c>
      <c r="D369" s="36" t="n"/>
      <c r="E369" s="32" t="n"/>
      <c r="F369" s="33" t="n"/>
      <c r="G369" s="34" t="n"/>
      <c r="H369" s="34" t="n"/>
      <c r="I369" s="30" t="inlineStr">
        <is>
          <t>Insumos</t>
        </is>
      </c>
      <c r="J369" s="32" t="n"/>
      <c r="K369" s="35">
        <f>IF(A369="","","#"&amp;A369)</f>
        <v/>
      </c>
    </row>
    <row r="370">
      <c r="A370" s="28" t="inlineStr">
        <is>
          <t>EPP-070</t>
        </is>
      </c>
      <c r="B370" s="29" t="inlineStr">
        <is>
          <t>PANTALON DE JEBE TALLA 43</t>
        </is>
      </c>
      <c r="C370" s="30" t="inlineStr">
        <is>
          <t>PZA</t>
        </is>
      </c>
      <c r="D370" s="36" t="n"/>
      <c r="E370" s="32" t="n"/>
      <c r="F370" s="33" t="n"/>
      <c r="G370" s="34" t="n"/>
      <c r="H370" s="34" t="n"/>
      <c r="I370" s="30" t="inlineStr">
        <is>
          <t>Insumos</t>
        </is>
      </c>
      <c r="J370" s="32" t="n"/>
      <c r="K370" s="35">
        <f>IF(A370="","","#"&amp;A370)</f>
        <v/>
      </c>
    </row>
    <row r="371">
      <c r="A371" s="28" t="inlineStr">
        <is>
          <t>EPP-071</t>
        </is>
      </c>
      <c r="B371" s="29" t="inlineStr">
        <is>
          <t>PANTALON DE JEBE TALLA 44</t>
        </is>
      </c>
      <c r="C371" s="30" t="inlineStr">
        <is>
          <t>PZA</t>
        </is>
      </c>
      <c r="D371" s="36" t="n"/>
      <c r="E371" s="32" t="n"/>
      <c r="F371" s="33" t="n"/>
      <c r="G371" s="34" t="n"/>
      <c r="H371" s="34" t="n"/>
      <c r="I371" s="30" t="inlineStr">
        <is>
          <t>Insumos</t>
        </is>
      </c>
      <c r="J371" s="32" t="n"/>
      <c r="K371" s="35">
        <f>IF(A371="","","#"&amp;A371)</f>
        <v/>
      </c>
    </row>
    <row r="372">
      <c r="A372" s="28" t="inlineStr">
        <is>
          <t>EPP-072</t>
        </is>
      </c>
      <c r="B372" s="29" t="inlineStr">
        <is>
          <t>CHALECO VERDE TALLA M</t>
        </is>
      </c>
      <c r="C372" s="30" t="inlineStr">
        <is>
          <t>PZA</t>
        </is>
      </c>
      <c r="D372" s="36" t="n"/>
      <c r="E372" s="32" t="n"/>
      <c r="F372" s="33" t="n"/>
      <c r="G372" s="34" t="n"/>
      <c r="H372" s="34" t="n"/>
      <c r="I372" s="30" t="inlineStr">
        <is>
          <t>Insumos</t>
        </is>
      </c>
      <c r="J372" s="32" t="n"/>
      <c r="K372" s="35">
        <f>IF(A372="","","#"&amp;A372)</f>
        <v/>
      </c>
    </row>
    <row r="373">
      <c r="A373" s="28" t="inlineStr">
        <is>
          <t>EPP-073</t>
        </is>
      </c>
      <c r="B373" s="29" t="inlineStr">
        <is>
          <t>CHALECO VERDE TALLA L</t>
        </is>
      </c>
      <c r="C373" s="30" t="inlineStr">
        <is>
          <t>PZA</t>
        </is>
      </c>
      <c r="D373" s="36" t="n"/>
      <c r="E373" s="32" t="n"/>
      <c r="F373" s="33" t="n"/>
      <c r="G373" s="34" t="n"/>
      <c r="H373" s="34" t="n"/>
      <c r="I373" s="30" t="inlineStr">
        <is>
          <t>Insumos</t>
        </is>
      </c>
      <c r="J373" s="32" t="n"/>
      <c r="K373" s="35">
        <f>IF(A373="","","#"&amp;A373)</f>
        <v/>
      </c>
    </row>
    <row r="374">
      <c r="A374" s="28" t="inlineStr">
        <is>
          <t>EPP-074</t>
        </is>
      </c>
      <c r="B374" s="29" t="inlineStr">
        <is>
          <t>CHALECO VERDE TALLA XL</t>
        </is>
      </c>
      <c r="C374" s="30" t="inlineStr">
        <is>
          <t>PZA</t>
        </is>
      </c>
      <c r="D374" s="36" t="n"/>
      <c r="E374" s="32" t="n"/>
      <c r="F374" s="33" t="n"/>
      <c r="G374" s="34" t="n"/>
      <c r="H374" s="34" t="n"/>
      <c r="I374" s="30" t="inlineStr">
        <is>
          <t>Insumos</t>
        </is>
      </c>
      <c r="J374" s="32" t="n"/>
      <c r="K374" s="35">
        <f>IF(A374="","","#"&amp;A374)</f>
        <v/>
      </c>
    </row>
    <row r="375">
      <c r="A375" s="28" t="inlineStr">
        <is>
          <t>EPP-075</t>
        </is>
      </c>
      <c r="B375" s="29" t="inlineStr">
        <is>
          <t>CHALECO VERDE TALLA XXL</t>
        </is>
      </c>
      <c r="C375" s="30" t="inlineStr">
        <is>
          <t>PZA</t>
        </is>
      </c>
      <c r="D375" s="36" t="n"/>
      <c r="E375" s="32" t="n"/>
      <c r="F375" s="33" t="n"/>
      <c r="G375" s="34" t="n"/>
      <c r="H375" s="34" t="n"/>
      <c r="I375" s="30" t="inlineStr">
        <is>
          <t>Insumos</t>
        </is>
      </c>
      <c r="J375" s="32" t="n"/>
      <c r="K375" s="35">
        <f>IF(A375="","","#"&amp;A375)</f>
        <v/>
      </c>
    </row>
    <row r="376">
      <c r="A376" s="28" t="inlineStr">
        <is>
          <t>EPP-076</t>
        </is>
      </c>
      <c r="B376" s="29" t="inlineStr">
        <is>
          <t>CORREA PORTA LAMPARA</t>
        </is>
      </c>
      <c r="C376" s="30" t="inlineStr">
        <is>
          <t>PZA</t>
        </is>
      </c>
      <c r="D376" s="36" t="n"/>
      <c r="E376" s="32" t="n"/>
      <c r="F376" s="33" t="n"/>
      <c r="G376" s="34" t="n"/>
      <c r="H376" s="34" t="n"/>
      <c r="I376" s="30" t="inlineStr">
        <is>
          <t>Insumos</t>
        </is>
      </c>
      <c r="J376" s="32" t="n"/>
      <c r="K376" s="35">
        <f>IF(A376="","","#"&amp;A376)</f>
        <v/>
      </c>
    </row>
    <row r="377">
      <c r="A377" s="28" t="inlineStr">
        <is>
          <t>EPP-077</t>
        </is>
      </c>
      <c r="B377" s="29" t="inlineStr">
        <is>
          <t>GUANTE BADANA</t>
        </is>
      </c>
      <c r="C377" s="30" t="inlineStr">
        <is>
          <t>PZA</t>
        </is>
      </c>
      <c r="D377" s="36" t="n"/>
      <c r="E377" s="32" t="n"/>
      <c r="F377" s="33" t="n"/>
      <c r="G377" s="34" t="n"/>
      <c r="H377" s="34" t="n"/>
      <c r="I377" s="30" t="inlineStr">
        <is>
          <t>Insumos</t>
        </is>
      </c>
      <c r="J377" s="32" t="n"/>
      <c r="K377" s="35">
        <f>IF(A377="","","#"&amp;A377)</f>
        <v/>
      </c>
    </row>
    <row r="378">
      <c r="A378" s="28" t="inlineStr">
        <is>
          <t>EPP-078</t>
        </is>
      </c>
      <c r="B378" s="29" t="inlineStr">
        <is>
          <t>GUANTES HYCRON</t>
        </is>
      </c>
      <c r="C378" s="30" t="inlineStr">
        <is>
          <t>PZA</t>
        </is>
      </c>
      <c r="D378" s="36" t="n"/>
      <c r="E378" s="32" t="n"/>
      <c r="F378" s="33" t="n"/>
      <c r="G378" s="34" t="n"/>
      <c r="H378" s="34" t="n"/>
      <c r="I378" s="30" t="inlineStr">
        <is>
          <t>Insumos</t>
        </is>
      </c>
      <c r="J378" s="32" t="n"/>
      <c r="K378" s="35">
        <f>IF(A378="","","#"&amp;A378)</f>
        <v/>
      </c>
    </row>
    <row r="379">
      <c r="A379" s="28" t="inlineStr">
        <is>
          <t>EPP-079</t>
        </is>
      </c>
      <c r="B379" s="29" t="inlineStr">
        <is>
          <t>BOTAS DE JEBE TALLA 38</t>
        </is>
      </c>
      <c r="C379" s="30" t="inlineStr">
        <is>
          <t>PZA</t>
        </is>
      </c>
      <c r="D379" s="36" t="n"/>
      <c r="E379" s="32" t="n"/>
      <c r="F379" s="33" t="n"/>
      <c r="G379" s="34" t="n"/>
      <c r="H379" s="34" t="n"/>
      <c r="I379" s="30" t="inlineStr">
        <is>
          <t>Insumos</t>
        </is>
      </c>
      <c r="J379" s="32" t="n"/>
      <c r="K379" s="35">
        <f>IF(A379="","","#"&amp;A379)</f>
        <v/>
      </c>
    </row>
    <row r="380">
      <c r="A380" s="28" t="inlineStr">
        <is>
          <t>EPP-080</t>
        </is>
      </c>
      <c r="B380" s="29" t="inlineStr">
        <is>
          <t>BOTAS DE JEBE TALLA 39</t>
        </is>
      </c>
      <c r="C380" s="30" t="inlineStr">
        <is>
          <t>PZA</t>
        </is>
      </c>
      <c r="D380" s="36" t="n"/>
      <c r="E380" s="32" t="n"/>
      <c r="F380" s="33" t="n"/>
      <c r="G380" s="34" t="n"/>
      <c r="H380" s="34" t="n"/>
      <c r="I380" s="30" t="inlineStr">
        <is>
          <t>Insumos</t>
        </is>
      </c>
      <c r="J380" s="32" t="n"/>
      <c r="K380" s="35">
        <f>IF(A380="","","#"&amp;A380)</f>
        <v/>
      </c>
    </row>
    <row r="381">
      <c r="A381" s="28" t="inlineStr">
        <is>
          <t>EPP-081</t>
        </is>
      </c>
      <c r="B381" s="29" t="inlineStr">
        <is>
          <t>BOTAS DE JEBE TALLA 40</t>
        </is>
      </c>
      <c r="C381" s="30" t="inlineStr">
        <is>
          <t>PZA</t>
        </is>
      </c>
      <c r="D381" s="36" t="n"/>
      <c r="E381" s="32" t="n"/>
      <c r="F381" s="33" t="n"/>
      <c r="G381" s="34" t="n"/>
      <c r="H381" s="34" t="n"/>
      <c r="I381" s="30" t="inlineStr">
        <is>
          <t>Insumos</t>
        </is>
      </c>
      <c r="J381" s="32" t="n"/>
      <c r="K381" s="35">
        <f>IF(A381="","","#"&amp;A381)</f>
        <v/>
      </c>
    </row>
    <row r="382">
      <c r="A382" s="28" t="inlineStr">
        <is>
          <t>EPP-082</t>
        </is>
      </c>
      <c r="B382" s="29" t="inlineStr">
        <is>
          <t>BOTAS DE JEBE TALLA 41</t>
        </is>
      </c>
      <c r="C382" s="30" t="inlineStr">
        <is>
          <t>PZA</t>
        </is>
      </c>
      <c r="D382" s="36" t="n"/>
      <c r="E382" s="32" t="n"/>
      <c r="F382" s="33" t="n"/>
      <c r="G382" s="34" t="n"/>
      <c r="H382" s="34" t="n"/>
      <c r="I382" s="30" t="inlineStr">
        <is>
          <t>Insumos</t>
        </is>
      </c>
      <c r="J382" s="32" t="n"/>
      <c r="K382" s="35">
        <f>IF(A382="","","#"&amp;A382)</f>
        <v/>
      </c>
    </row>
    <row r="383">
      <c r="A383" s="28" t="inlineStr">
        <is>
          <t>EPP-083</t>
        </is>
      </c>
      <c r="B383" s="29" t="inlineStr">
        <is>
          <t>BOTAS DE JEBE TALLA 42</t>
        </is>
      </c>
      <c r="C383" s="30" t="inlineStr">
        <is>
          <t>PZA</t>
        </is>
      </c>
      <c r="D383" s="36" t="n"/>
      <c r="E383" s="32" t="n"/>
      <c r="F383" s="33" t="n"/>
      <c r="G383" s="34" t="n"/>
      <c r="H383" s="34" t="n"/>
      <c r="I383" s="30" t="inlineStr">
        <is>
          <t>Insumos</t>
        </is>
      </c>
      <c r="J383" s="32" t="n"/>
      <c r="K383" s="35">
        <f>IF(A383="","","#"&amp;A383)</f>
        <v/>
      </c>
    </row>
    <row r="384">
      <c r="A384" s="28" t="inlineStr">
        <is>
          <t>EPP-084</t>
        </is>
      </c>
      <c r="B384" s="29" t="inlineStr">
        <is>
          <t>BOTAS DE JEBE TALLA 43</t>
        </is>
      </c>
      <c r="C384" s="30" t="inlineStr">
        <is>
          <t>PZA</t>
        </is>
      </c>
      <c r="D384" s="36" t="n"/>
      <c r="E384" s="32" t="n"/>
      <c r="F384" s="33" t="n"/>
      <c r="G384" s="34" t="n"/>
      <c r="H384" s="34" t="n"/>
      <c r="I384" s="30" t="inlineStr">
        <is>
          <t>Insumos</t>
        </is>
      </c>
      <c r="J384" s="32" t="n"/>
      <c r="K384" s="35">
        <f>IF(A384="","","#"&amp;A384)</f>
        <v/>
      </c>
    </row>
    <row r="385">
      <c r="A385" s="28" t="inlineStr">
        <is>
          <t>EPP-085</t>
        </is>
      </c>
      <c r="B385" s="29" t="inlineStr">
        <is>
          <t>OREJERAS PARA CASCO</t>
        </is>
      </c>
      <c r="C385" s="30" t="inlineStr">
        <is>
          <t>PZA</t>
        </is>
      </c>
      <c r="D385" s="36" t="n"/>
      <c r="E385" s="32" t="n"/>
      <c r="F385" s="33" t="n"/>
      <c r="G385" s="34" t="n"/>
      <c r="H385" s="34" t="n"/>
      <c r="I385" s="30" t="inlineStr">
        <is>
          <t>Insumos</t>
        </is>
      </c>
      <c r="J385" s="32" t="n"/>
      <c r="K385" s="35">
        <f>IF(A385="","","#"&amp;A385)</f>
        <v/>
      </c>
    </row>
    <row r="386">
      <c r="A386" s="28" t="inlineStr">
        <is>
          <t>EPP-086</t>
        </is>
      </c>
      <c r="B386" s="29" t="inlineStr">
        <is>
          <t>LAMPARA INALAMBRICA</t>
        </is>
      </c>
      <c r="C386" s="30" t="inlineStr">
        <is>
          <t>PZA</t>
        </is>
      </c>
      <c r="D386" s="36" t="n"/>
      <c r="E386" s="32" t="n"/>
      <c r="F386" s="33" t="n"/>
      <c r="G386" s="34" t="n"/>
      <c r="H386" s="34" t="n"/>
      <c r="I386" s="30" t="inlineStr">
        <is>
          <t>Insumos</t>
        </is>
      </c>
      <c r="J386" s="32" t="n"/>
      <c r="K386" s="35">
        <f>IF(A386="","","#"&amp;A386)</f>
        <v/>
      </c>
    </row>
    <row r="387">
      <c r="A387" s="28" t="inlineStr">
        <is>
          <t>EPP-087</t>
        </is>
      </c>
      <c r="B387" s="29" t="inlineStr">
        <is>
          <t>ADAPTADOR PARA FILTROS 3M</t>
        </is>
      </c>
      <c r="C387" s="30" t="inlineStr">
        <is>
          <t>PZA</t>
        </is>
      </c>
      <c r="D387" s="36" t="n"/>
      <c r="E387" s="32" t="n"/>
      <c r="F387" s="33" t="n"/>
      <c r="G387" s="34" t="n"/>
      <c r="H387" s="34" t="n"/>
      <c r="I387" s="30" t="inlineStr">
        <is>
          <t>Insumos</t>
        </is>
      </c>
      <c r="J387" s="32" t="n"/>
      <c r="K387" s="35">
        <f>IF(A387="","","#"&amp;A387)</f>
        <v/>
      </c>
    </row>
    <row r="388">
      <c r="A388" s="28" t="inlineStr">
        <is>
          <t>EPP-088</t>
        </is>
      </c>
      <c r="B388" s="29" t="inlineStr">
        <is>
          <t>LENTES TRANSPARENTES</t>
        </is>
      </c>
      <c r="C388" s="30" t="inlineStr">
        <is>
          <t>PZA</t>
        </is>
      </c>
      <c r="D388" s="36" t="n"/>
      <c r="E388" s="32" t="n"/>
      <c r="F388" s="33" t="n"/>
      <c r="G388" s="34" t="n"/>
      <c r="H388" s="34" t="n"/>
      <c r="I388" s="30" t="inlineStr">
        <is>
          <t>Insumos</t>
        </is>
      </c>
      <c r="J388" s="32" t="n"/>
      <c r="K388" s="35">
        <f>IF(A388="","","#"&amp;A388)</f>
        <v/>
      </c>
    </row>
    <row r="389">
      <c r="A389" s="28" t="inlineStr">
        <is>
          <t>EPP-089</t>
        </is>
      </c>
      <c r="B389" s="29" t="inlineStr">
        <is>
          <t>PINTURA SPRAY</t>
        </is>
      </c>
      <c r="C389" s="30" t="inlineStr">
        <is>
          <t>PZA</t>
        </is>
      </c>
      <c r="D389" s="36" t="n"/>
      <c r="E389" s="32" t="n"/>
      <c r="F389" s="33" t="n"/>
      <c r="G389" s="34" t="n"/>
      <c r="H389" s="34" t="n"/>
      <c r="I389" s="30" t="inlineStr">
        <is>
          <t>Insumos</t>
        </is>
      </c>
      <c r="J389" s="32" t="n"/>
      <c r="K389" s="35">
        <f>IF(A389="","","#"&amp;A389)</f>
        <v/>
      </c>
    </row>
    <row r="390">
      <c r="A390" s="28" t="inlineStr">
        <is>
          <t>EPP-090</t>
        </is>
      </c>
      <c r="B390" s="29" t="inlineStr">
        <is>
          <t>MOCHILAS SPLOSIVOS</t>
        </is>
      </c>
      <c r="C390" s="30" t="inlineStr">
        <is>
          <t>PZA</t>
        </is>
      </c>
      <c r="D390" s="36" t="n"/>
      <c r="E390" s="32" t="n"/>
      <c r="F390" s="33" t="n"/>
      <c r="G390" s="34" t="n"/>
      <c r="H390" s="34" t="n"/>
      <c r="I390" s="30" t="inlineStr">
        <is>
          <t>Insumos</t>
        </is>
      </c>
      <c r="J390" s="32" t="n"/>
      <c r="K390" s="35">
        <f>IF(A390="","","#"&amp;A390)</f>
        <v/>
      </c>
    </row>
    <row r="391">
      <c r="A391" s="28" t="inlineStr">
        <is>
          <t>EPP-91</t>
        </is>
      </c>
      <c r="B391" s="29" t="inlineStr">
        <is>
          <t>POLO CINTA REFLECTIVA TALLA L</t>
        </is>
      </c>
      <c r="C391" s="30" t="inlineStr">
        <is>
          <t>PZA</t>
        </is>
      </c>
      <c r="D391" s="36" t="n"/>
      <c r="E391" s="32" t="n"/>
      <c r="F391" s="33" t="n"/>
      <c r="G391" s="34" t="n"/>
      <c r="H391" s="34" t="n"/>
      <c r="I391" s="30" t="inlineStr">
        <is>
          <t>Insumos</t>
        </is>
      </c>
      <c r="J391" s="32" t="n"/>
      <c r="K391" s="35">
        <f>IF(A391="","","#"&amp;A391)</f>
        <v/>
      </c>
    </row>
    <row r="392">
      <c r="A392" s="28" t="inlineStr">
        <is>
          <t>EPP-92</t>
        </is>
      </c>
      <c r="B392" s="29" t="inlineStr">
        <is>
          <t>POLO CINTA REFLECTIVA TALLA XL</t>
        </is>
      </c>
      <c r="C392" s="30" t="inlineStr">
        <is>
          <t>PZA</t>
        </is>
      </c>
      <c r="D392" s="36" t="n"/>
      <c r="E392" s="32" t="n"/>
      <c r="F392" s="33" t="n"/>
      <c r="G392" s="34" t="n"/>
      <c r="H392" s="34" t="n"/>
      <c r="I392" s="30" t="inlineStr">
        <is>
          <t>Insumos</t>
        </is>
      </c>
      <c r="J392" s="32" t="n"/>
      <c r="K392" s="35">
        <f>IF(A392="","","#"&amp;A392)</f>
        <v/>
      </c>
    </row>
    <row r="393">
      <c r="A393" s="28" t="inlineStr">
        <is>
          <t>EPP-93</t>
        </is>
      </c>
      <c r="B393" s="29" t="inlineStr">
        <is>
          <t>POLO CINTA REFLECTIVA TALLA M</t>
        </is>
      </c>
      <c r="C393" s="30" t="inlineStr">
        <is>
          <t>PZA</t>
        </is>
      </c>
      <c r="D393" s="36" t="n"/>
      <c r="E393" s="32" t="n"/>
      <c r="F393" s="33" t="n"/>
      <c r="G393" s="34" t="n"/>
      <c r="H393" s="34" t="n"/>
      <c r="I393" s="30" t="inlineStr">
        <is>
          <t>Insumos</t>
        </is>
      </c>
      <c r="J393" s="32" t="n"/>
      <c r="K393" s="35">
        <f>IF(A393="","","#"&amp;A393)</f>
        <v/>
      </c>
    </row>
    <row r="394">
      <c r="A394" s="28" t="inlineStr">
        <is>
          <t>EPP-129</t>
        </is>
      </c>
      <c r="B394" s="29" t="inlineStr">
        <is>
          <t>SOLDADURA SELLOCORT</t>
        </is>
      </c>
      <c r="C394" s="30" t="inlineStr">
        <is>
          <t>KG</t>
        </is>
      </c>
      <c r="D394" s="31" t="n">
        <v>17.5</v>
      </c>
      <c r="E394" s="32" t="n"/>
      <c r="F394" s="33" t="n"/>
      <c r="G394" s="34" t="n"/>
      <c r="H394" s="34" t="n"/>
      <c r="I394" s="30" t="inlineStr">
        <is>
          <t>Insumos</t>
        </is>
      </c>
      <c r="J394" s="32" t="n"/>
      <c r="K394" s="35">
        <f>IF(A394="","","#"&amp;A394)</f>
        <v/>
      </c>
    </row>
    <row r="395">
      <c r="A395" s="28" t="inlineStr">
        <is>
          <t>FIL-001</t>
        </is>
      </c>
      <c r="B395" s="29" t="inlineStr">
        <is>
          <t>FILTRO SEPARADOR DE AGUA FS1095</t>
        </is>
      </c>
      <c r="C395" s="30" t="inlineStr">
        <is>
          <t>PZA</t>
        </is>
      </c>
      <c r="D395" s="36" t="n"/>
      <c r="E395" s="32" t="n"/>
      <c r="F395" s="33" t="n"/>
      <c r="G395" s="34" t="n"/>
      <c r="H395" s="34" t="n"/>
      <c r="I395" s="30" t="inlineStr">
        <is>
          <t>Mantenimiento</t>
        </is>
      </c>
      <c r="J395" s="32" t="n"/>
      <c r="K395" s="35">
        <f>IF(A395="","","#"&amp;A395)</f>
        <v/>
      </c>
    </row>
    <row r="396">
      <c r="A396" s="28" t="inlineStr">
        <is>
          <t>FIL-002</t>
        </is>
      </c>
      <c r="B396" s="29" t="inlineStr">
        <is>
          <t>FILTRO SEPARADOR DE AGUA FS19532</t>
        </is>
      </c>
      <c r="C396" s="30" t="inlineStr">
        <is>
          <t>PZA</t>
        </is>
      </c>
      <c r="D396" s="36" t="n"/>
      <c r="E396" s="32" t="n"/>
      <c r="F396" s="33" t="n"/>
      <c r="G396" s="34" t="n"/>
      <c r="H396" s="34" t="n"/>
      <c r="I396" s="30" t="inlineStr">
        <is>
          <t>Mantenimiento</t>
        </is>
      </c>
      <c r="J396" s="32" t="n"/>
      <c r="K396" s="35">
        <f>IF(A396="","","#"&amp;A396)</f>
        <v/>
      </c>
    </row>
    <row r="397">
      <c r="A397" s="28" t="inlineStr">
        <is>
          <t>FIL-003</t>
        </is>
      </c>
      <c r="B397" s="29" t="inlineStr">
        <is>
          <t>FILTRO DE HIDRAULICO 6C52639010</t>
        </is>
      </c>
      <c r="C397" s="30" t="inlineStr">
        <is>
          <t>PZA</t>
        </is>
      </c>
      <c r="D397" s="36" t="n"/>
      <c r="E397" s="32" t="n"/>
      <c r="F397" s="33" t="n"/>
      <c r="G397" s="34" t="n"/>
      <c r="H397" s="34" t="n"/>
      <c r="I397" s="30" t="inlineStr">
        <is>
          <t>Mantenimiento</t>
        </is>
      </c>
      <c r="J397" s="32" t="n"/>
      <c r="K397" s="35">
        <f>IF(A397="","","#"&amp;A397)</f>
        <v/>
      </c>
    </row>
    <row r="398">
      <c r="A398" s="28" t="inlineStr">
        <is>
          <t>FIL-004</t>
        </is>
      </c>
      <c r="B398" s="29" t="inlineStr">
        <is>
          <t>FILTRO DE PETROLEO 6C35658330</t>
        </is>
      </c>
      <c r="C398" s="30" t="inlineStr">
        <is>
          <t>PZA</t>
        </is>
      </c>
      <c r="D398" s="36" t="n"/>
      <c r="E398" s="32" t="n"/>
      <c r="F398" s="33" t="n"/>
      <c r="G398" s="34" t="n"/>
      <c r="H398" s="34" t="n"/>
      <c r="I398" s="30" t="inlineStr">
        <is>
          <t>Mantenimiento</t>
        </is>
      </c>
      <c r="J398" s="32" t="n"/>
      <c r="K398" s="35">
        <f>IF(A398="","","#"&amp;A398)</f>
        <v/>
      </c>
    </row>
    <row r="399">
      <c r="A399" s="28" t="inlineStr">
        <is>
          <t>FIL-005</t>
        </is>
      </c>
      <c r="B399" s="29" t="inlineStr">
        <is>
          <t>FILTRO DE AIRE AF1658K</t>
        </is>
      </c>
      <c r="C399" s="30" t="inlineStr">
        <is>
          <t>PZA</t>
        </is>
      </c>
      <c r="D399" s="36" t="n"/>
      <c r="E399" s="32" t="n"/>
      <c r="F399" s="33" t="n"/>
      <c r="G399" s="34" t="n"/>
      <c r="H399" s="34" t="n"/>
      <c r="I399" s="30" t="inlineStr">
        <is>
          <t>Mantenimiento</t>
        </is>
      </c>
      <c r="J399" s="32" t="n"/>
      <c r="K399" s="35">
        <f>IF(A399="","","#"&amp;A399)</f>
        <v/>
      </c>
    </row>
    <row r="400">
      <c r="A400" s="28" t="inlineStr">
        <is>
          <t>FIL-006</t>
        </is>
      </c>
      <c r="B400" s="29" t="inlineStr">
        <is>
          <t>FILTRO SEPARADOR DE AGUA FS20112</t>
        </is>
      </c>
      <c r="C400" s="30" t="inlineStr">
        <is>
          <t>PZA</t>
        </is>
      </c>
      <c r="D400" s="36" t="n"/>
      <c r="E400" s="32" t="n"/>
      <c r="F400" s="33" t="n"/>
      <c r="G400" s="34" t="n"/>
      <c r="H400" s="34" t="n"/>
      <c r="I400" s="30" t="inlineStr">
        <is>
          <t>Mantenimiento</t>
        </is>
      </c>
      <c r="J400" s="32" t="n"/>
      <c r="K400" s="35">
        <f>IF(A400="","","#"&amp;A400)</f>
        <v/>
      </c>
    </row>
    <row r="401">
      <c r="A401" s="28" t="inlineStr">
        <is>
          <t>FIL-007</t>
        </is>
      </c>
      <c r="B401" s="29" t="inlineStr">
        <is>
          <t>FILTRO SEPARADOR DE AGUA FS36230</t>
        </is>
      </c>
      <c r="C401" s="30" t="inlineStr">
        <is>
          <t>PZA</t>
        </is>
      </c>
      <c r="D401" s="36" t="n"/>
      <c r="E401" s="32" t="n"/>
      <c r="F401" s="33" t="n"/>
      <c r="G401" s="34" t="n"/>
      <c r="H401" s="34" t="n"/>
      <c r="I401" s="30" t="inlineStr">
        <is>
          <t>Mantenimiento</t>
        </is>
      </c>
      <c r="J401" s="32" t="n"/>
      <c r="K401" s="35">
        <f>IF(A401="","","#"&amp;A401)</f>
        <v/>
      </c>
    </row>
    <row r="402">
      <c r="A402" s="28" t="inlineStr">
        <is>
          <t>FIL-008</t>
        </is>
      </c>
      <c r="B402" s="29" t="inlineStr">
        <is>
          <t>FILTRO DE COMBUSTIBLE GLQ007074643</t>
        </is>
      </c>
      <c r="C402" s="30" t="inlineStr">
        <is>
          <t>PZA</t>
        </is>
      </c>
      <c r="D402" s="36" t="n"/>
      <c r="E402" s="32" t="n"/>
      <c r="F402" s="33" t="n"/>
      <c r="G402" s="34" t="n"/>
      <c r="H402" s="34" t="n"/>
      <c r="I402" s="30" t="inlineStr">
        <is>
          <t>Mantenimiento</t>
        </is>
      </c>
      <c r="J402" s="32" t="n"/>
      <c r="K402" s="35">
        <f>IF(A402="","","#"&amp;A402)</f>
        <v/>
      </c>
    </row>
    <row r="403">
      <c r="A403" s="28" t="inlineStr">
        <is>
          <t>FIL-011</t>
        </is>
      </c>
      <c r="B403" s="29" t="inlineStr">
        <is>
          <t>FILTRO HIDRAULICO DE ALTA GLQ009244827</t>
        </is>
      </c>
      <c r="C403" s="30" t="inlineStr">
        <is>
          <t>PZA</t>
        </is>
      </c>
      <c r="D403" s="36" t="n"/>
      <c r="E403" s="32" t="n"/>
      <c r="F403" s="33" t="n"/>
      <c r="G403" s="34" t="n"/>
      <c r="H403" s="34" t="n"/>
      <c r="I403" s="30" t="inlineStr">
        <is>
          <t>Mantenimiento</t>
        </is>
      </c>
      <c r="J403" s="32" t="n"/>
      <c r="K403" s="35">
        <f>IF(A403="","","#"&amp;A403)</f>
        <v/>
      </c>
    </row>
    <row r="404">
      <c r="A404" s="28" t="inlineStr">
        <is>
          <t>FIL-012</t>
        </is>
      </c>
      <c r="B404" s="29" t="inlineStr">
        <is>
          <t>FILTRO DE PEROLEO FF5785</t>
        </is>
      </c>
      <c r="C404" s="30" t="inlineStr">
        <is>
          <t>PZA</t>
        </is>
      </c>
      <c r="D404" s="36" t="n"/>
      <c r="E404" s="32" t="n"/>
      <c r="F404" s="33" t="n"/>
      <c r="G404" s="34" t="n"/>
      <c r="H404" s="34" t="n"/>
      <c r="I404" s="30" t="inlineStr">
        <is>
          <t>Mantenimiento</t>
        </is>
      </c>
      <c r="J404" s="32" t="n"/>
      <c r="K404" s="35">
        <f>IF(A404="","","#"&amp;A404)</f>
        <v/>
      </c>
    </row>
    <row r="405">
      <c r="A405" s="28" t="inlineStr">
        <is>
          <t>FIL-013</t>
        </is>
      </c>
      <c r="B405" s="29" t="inlineStr">
        <is>
          <t>FILTRO DE PETROLEO 26561118</t>
        </is>
      </c>
      <c r="C405" s="30" t="inlineStr">
        <is>
          <t>PZA</t>
        </is>
      </c>
      <c r="D405" s="36" t="n"/>
      <c r="E405" s="32" t="n"/>
      <c r="F405" s="33" t="n"/>
      <c r="G405" s="34" t="n"/>
      <c r="H405" s="34" t="n"/>
      <c r="I405" s="30" t="inlineStr">
        <is>
          <t>Mantenimiento</t>
        </is>
      </c>
      <c r="J405" s="32" t="n"/>
      <c r="K405" s="35">
        <f>IF(A405="","","#"&amp;A405)</f>
        <v/>
      </c>
    </row>
    <row r="406">
      <c r="A406" s="28" t="inlineStr">
        <is>
          <t>FIL-015</t>
        </is>
      </c>
      <c r="B406" s="29" t="inlineStr">
        <is>
          <t>FILTRO DE BOMBA DE COMBUSTIBLE 60333882</t>
        </is>
      </c>
      <c r="C406" s="30" t="inlineStr">
        <is>
          <t>PZA</t>
        </is>
      </c>
      <c r="D406" s="36" t="n"/>
      <c r="E406" s="32" t="n"/>
      <c r="F406" s="33" t="n"/>
      <c r="G406" s="34" t="n"/>
      <c r="H406" s="34" t="n"/>
      <c r="I406" s="30" t="inlineStr">
        <is>
          <t>Mantenimiento</t>
        </is>
      </c>
      <c r="J406" s="32" t="n"/>
      <c r="K406" s="35">
        <f>IF(A406="","","#"&amp;A406)</f>
        <v/>
      </c>
    </row>
    <row r="407">
      <c r="A407" s="28" t="inlineStr">
        <is>
          <t>FIL-016</t>
        </is>
      </c>
      <c r="B407" s="29" t="inlineStr">
        <is>
          <t>FILTRO DE PETROLEO FF5956</t>
        </is>
      </c>
      <c r="C407" s="30" t="inlineStr">
        <is>
          <t>PZA</t>
        </is>
      </c>
      <c r="D407" s="36" t="n"/>
      <c r="E407" s="32" t="n"/>
      <c r="F407" s="33" t="n"/>
      <c r="G407" s="34" t="n"/>
      <c r="H407" s="34" t="n"/>
      <c r="I407" s="30" t="inlineStr">
        <is>
          <t>Mantenimiento</t>
        </is>
      </c>
      <c r="J407" s="32" t="n"/>
      <c r="K407" s="35">
        <f>IF(A407="","","#"&amp;A407)</f>
        <v/>
      </c>
    </row>
    <row r="408">
      <c r="A408" s="28" t="inlineStr">
        <is>
          <t>FIL-017</t>
        </is>
      </c>
      <c r="B408" s="29" t="inlineStr">
        <is>
          <t>FILTRO DE AIRE AF26399</t>
        </is>
      </c>
      <c r="C408" s="30" t="inlineStr">
        <is>
          <t>PZA</t>
        </is>
      </c>
      <c r="D408" s="36" t="n"/>
      <c r="E408" s="32" t="n"/>
      <c r="F408" s="33" t="n"/>
      <c r="G408" s="34" t="n"/>
      <c r="H408" s="34" t="n"/>
      <c r="I408" s="30" t="inlineStr">
        <is>
          <t>Mantenimiento</t>
        </is>
      </c>
      <c r="J408" s="32" t="n"/>
      <c r="K408" s="35">
        <f>IF(A408="","","#"&amp;A408)</f>
        <v/>
      </c>
    </row>
    <row r="409">
      <c r="A409" s="28" t="inlineStr">
        <is>
          <t>FIL-018</t>
        </is>
      </c>
      <c r="B409" s="29" t="inlineStr">
        <is>
          <t>FILTRO DE AIRE SECUNDARIO 60159323</t>
        </is>
      </c>
      <c r="C409" s="30" t="inlineStr">
        <is>
          <t>PZA</t>
        </is>
      </c>
      <c r="D409" s="36" t="n"/>
      <c r="E409" s="32" t="n"/>
      <c r="F409" s="33" t="n"/>
      <c r="G409" s="34" t="n"/>
      <c r="H409" s="34" t="n"/>
      <c r="I409" s="30" t="inlineStr">
        <is>
          <t>Mantenimiento</t>
        </is>
      </c>
      <c r="J409" s="32" t="n"/>
      <c r="K409" s="35">
        <f>IF(A409="","","#"&amp;A409)</f>
        <v/>
      </c>
    </row>
    <row r="410">
      <c r="A410" s="28" t="inlineStr">
        <is>
          <t>FIL-019</t>
        </is>
      </c>
      <c r="B410" s="29" t="inlineStr">
        <is>
          <t>FILTRO DE AIRE PRIMARIO 60207265</t>
        </is>
      </c>
      <c r="C410" s="30" t="inlineStr">
        <is>
          <t>PZA</t>
        </is>
      </c>
      <c r="D410" s="36" t="n"/>
      <c r="E410" s="32" t="n"/>
      <c r="F410" s="33" t="n"/>
      <c r="G410" s="34" t="n"/>
      <c r="H410" s="34" t="n"/>
      <c r="I410" s="30" t="inlineStr">
        <is>
          <t>Mantenimiento</t>
        </is>
      </c>
      <c r="J410" s="32" t="n"/>
      <c r="K410" s="35">
        <f>IF(A410="","","#"&amp;A410)</f>
        <v/>
      </c>
    </row>
    <row r="411">
      <c r="A411" s="28" t="inlineStr">
        <is>
          <t>FIL-020</t>
        </is>
      </c>
      <c r="B411" s="29" t="inlineStr">
        <is>
          <t>FILTRO DE ALTA 60211330</t>
        </is>
      </c>
      <c r="C411" s="30" t="inlineStr">
        <is>
          <t>PZA</t>
        </is>
      </c>
      <c r="D411" s="36" t="n"/>
      <c r="E411" s="32" t="n"/>
      <c r="F411" s="33" t="n"/>
      <c r="G411" s="34" t="n"/>
      <c r="H411" s="34" t="n"/>
      <c r="I411" s="30" t="inlineStr">
        <is>
          <t>Mantenimiento</t>
        </is>
      </c>
      <c r="J411" s="32" t="n"/>
      <c r="K411" s="35">
        <f>IF(A411="","","#"&amp;A411)</f>
        <v/>
      </c>
    </row>
    <row r="412">
      <c r="A412" s="28" t="inlineStr">
        <is>
          <t>FIL-022</t>
        </is>
      </c>
      <c r="B412" s="29" t="inlineStr">
        <is>
          <t>FILTRO DE AIRE ACONDICIONADO 60305487</t>
        </is>
      </c>
      <c r="C412" s="30" t="inlineStr">
        <is>
          <t>PZA</t>
        </is>
      </c>
      <c r="D412" s="36" t="n"/>
      <c r="E412" s="32" t="n"/>
      <c r="F412" s="33" t="n"/>
      <c r="G412" s="34" t="n"/>
      <c r="H412" s="34" t="n"/>
      <c r="I412" s="30" t="inlineStr">
        <is>
          <t>Mantenimiento</t>
        </is>
      </c>
      <c r="J412" s="32" t="n"/>
      <c r="K412" s="35">
        <f>IF(A412="","","#"&amp;A412)</f>
        <v/>
      </c>
    </row>
    <row r="413">
      <c r="A413" s="28" t="inlineStr">
        <is>
          <t>FIL-023</t>
        </is>
      </c>
      <c r="B413" s="29" t="inlineStr">
        <is>
          <t>FILTRO SEPARADOR DE COMBUSTIBLE 160603020043B</t>
        </is>
      </c>
      <c r="C413" s="30" t="inlineStr">
        <is>
          <t>PZA</t>
        </is>
      </c>
      <c r="D413" s="36" t="n"/>
      <c r="E413" s="32" t="n"/>
      <c r="F413" s="33" t="n"/>
      <c r="G413" s="34" t="n"/>
      <c r="H413" s="34" t="n"/>
      <c r="I413" s="30" t="inlineStr">
        <is>
          <t>Mantenimiento</t>
        </is>
      </c>
      <c r="J413" s="32" t="n"/>
      <c r="K413" s="35">
        <f>IF(A413="","","#"&amp;A413)</f>
        <v/>
      </c>
    </row>
    <row r="414">
      <c r="A414" s="28" t="inlineStr">
        <is>
          <t>FIL-024</t>
        </is>
      </c>
      <c r="B414" s="29" t="inlineStr">
        <is>
          <t>FILTRO DE ACEITE HIDRAULICO 1613610500</t>
        </is>
      </c>
      <c r="C414" s="30" t="inlineStr">
        <is>
          <t>PZA</t>
        </is>
      </c>
      <c r="D414" s="36" t="n"/>
      <c r="E414" s="32" t="n"/>
      <c r="F414" s="33" t="n"/>
      <c r="G414" s="34" t="n"/>
      <c r="H414" s="34" t="n"/>
      <c r="I414" s="30" t="inlineStr">
        <is>
          <t>Mantenimiento</t>
        </is>
      </c>
      <c r="J414" s="32" t="n"/>
      <c r="K414" s="35">
        <f>IF(A414="","","#"&amp;A414)</f>
        <v/>
      </c>
    </row>
    <row r="415">
      <c r="A415" s="28" t="inlineStr">
        <is>
          <t>FIL-025</t>
        </is>
      </c>
      <c r="B415" s="29" t="inlineStr">
        <is>
          <t>FILTRO DE ACEITE MARCA VOLVO 24063074</t>
        </is>
      </c>
      <c r="C415" s="30" t="inlineStr">
        <is>
          <t>PZA</t>
        </is>
      </c>
      <c r="D415" s="36" t="n"/>
      <c r="E415" s="32" t="n"/>
      <c r="F415" s="33" t="n"/>
      <c r="G415" s="34" t="n"/>
      <c r="H415" s="34" t="n"/>
      <c r="I415" s="30" t="inlineStr">
        <is>
          <t>Mantenimiento</t>
        </is>
      </c>
      <c r="J415" s="32" t="n"/>
      <c r="K415" s="35">
        <f>IF(A415="","","#"&amp;A415)</f>
        <v/>
      </c>
    </row>
    <row r="416">
      <c r="A416" s="28" t="inlineStr">
        <is>
          <t>FIL-026</t>
        </is>
      </c>
      <c r="B416" s="29" t="inlineStr">
        <is>
          <t>FILTRO DE AIRE PRIMARIO 2652C831</t>
        </is>
      </c>
      <c r="C416" s="30" t="inlineStr">
        <is>
          <t>PZA</t>
        </is>
      </c>
      <c r="D416" s="36" t="n"/>
      <c r="E416" s="32" t="n"/>
      <c r="F416" s="33" t="n"/>
      <c r="G416" s="34" t="n"/>
      <c r="H416" s="34" t="n"/>
      <c r="I416" s="30" t="inlineStr">
        <is>
          <t>Mantenimiento</t>
        </is>
      </c>
      <c r="J416" s="32" t="n"/>
      <c r="K416" s="35">
        <f>IF(A416="","","#"&amp;A416)</f>
        <v/>
      </c>
    </row>
    <row r="417">
      <c r="A417" s="28" t="inlineStr">
        <is>
          <t>FIL-027</t>
        </is>
      </c>
      <c r="B417" s="29" t="inlineStr">
        <is>
          <t>FILTRO DE AIRE SECUNDARIO 2652C832</t>
        </is>
      </c>
      <c r="C417" s="30" t="inlineStr">
        <is>
          <t>PZA</t>
        </is>
      </c>
      <c r="D417" s="36" t="n"/>
      <c r="E417" s="32" t="n"/>
      <c r="F417" s="33" t="n"/>
      <c r="G417" s="34" t="n"/>
      <c r="H417" s="34" t="n"/>
      <c r="I417" s="30" t="inlineStr">
        <is>
          <t>Mantenimiento</t>
        </is>
      </c>
      <c r="J417" s="32" t="n"/>
      <c r="K417" s="35">
        <f>IF(A417="","","#"&amp;A417)</f>
        <v/>
      </c>
    </row>
    <row r="418">
      <c r="A418" s="28" t="inlineStr">
        <is>
          <t>FIL-028</t>
        </is>
      </c>
      <c r="B418" s="29" t="inlineStr">
        <is>
          <t>FILTRO DE COMBUSTIBLE</t>
        </is>
      </c>
      <c r="C418" s="30" t="inlineStr">
        <is>
          <t>PZA</t>
        </is>
      </c>
      <c r="D418" s="36" t="n"/>
      <c r="E418" s="32" t="n"/>
      <c r="F418" s="33" t="n"/>
      <c r="G418" s="34" t="n"/>
      <c r="H418" s="34" t="n"/>
      <c r="I418" s="30" t="inlineStr">
        <is>
          <t>Mantenimiento</t>
        </is>
      </c>
      <c r="J418" s="32" t="n"/>
      <c r="K418" s="35">
        <f>IF(A418="","","#"&amp;A418)</f>
        <v/>
      </c>
    </row>
    <row r="419">
      <c r="A419" s="28" t="inlineStr">
        <is>
          <t>FIL-029</t>
        </is>
      </c>
      <c r="B419" s="29" t="inlineStr">
        <is>
          <t>FILTRO DE ACEITE 4627133</t>
        </is>
      </c>
      <c r="C419" s="30" t="inlineStr">
        <is>
          <t>PZA</t>
        </is>
      </c>
      <c r="D419" s="36" t="n"/>
      <c r="E419" s="32" t="n"/>
      <c r="F419" s="33" t="n"/>
      <c r="G419" s="34" t="n"/>
      <c r="H419" s="34" t="n"/>
      <c r="I419" s="30" t="inlineStr">
        <is>
          <t>Mantenimiento</t>
        </is>
      </c>
      <c r="J419" s="32" t="n"/>
      <c r="K419" s="35">
        <f>IF(A419="","","#"&amp;A419)</f>
        <v/>
      </c>
    </row>
    <row r="420">
      <c r="A420" s="28" t="inlineStr">
        <is>
          <t>FIL-030</t>
        </is>
      </c>
      <c r="B420" s="29" t="inlineStr">
        <is>
          <t>FILTRO SEPARADOR DE COMBUSTIBLE 4415122</t>
        </is>
      </c>
      <c r="C420" s="30" t="inlineStr">
        <is>
          <t>PZA</t>
        </is>
      </c>
      <c r="D420" s="36" t="n"/>
      <c r="E420" s="32" t="n"/>
      <c r="F420" s="33" t="n"/>
      <c r="G420" s="34" t="n"/>
      <c r="H420" s="34" t="n"/>
      <c r="I420" s="30" t="inlineStr">
        <is>
          <t>Mantenimiento</t>
        </is>
      </c>
      <c r="J420" s="32" t="n"/>
      <c r="K420" s="35">
        <f>IF(A420="","","#"&amp;A420)</f>
        <v/>
      </c>
    </row>
    <row r="421">
      <c r="A421" s="28" t="inlineStr">
        <is>
          <t>FIL-031</t>
        </is>
      </c>
      <c r="B421" s="29" t="inlineStr">
        <is>
          <t>FILTRO DE AIRE AF26353</t>
        </is>
      </c>
      <c r="C421" s="30" t="inlineStr">
        <is>
          <t>PZA</t>
        </is>
      </c>
      <c r="D421" s="36" t="n"/>
      <c r="E421" s="32" t="n"/>
      <c r="F421" s="33" t="n"/>
      <c r="G421" s="34" t="n"/>
      <c r="H421" s="34" t="n"/>
      <c r="I421" s="30" t="inlineStr">
        <is>
          <t>Mantenimiento</t>
        </is>
      </c>
      <c r="J421" s="32" t="n"/>
      <c r="K421" s="35">
        <f>IF(A421="","","#"&amp;A421)</f>
        <v/>
      </c>
    </row>
    <row r="422">
      <c r="A422" s="28" t="inlineStr">
        <is>
          <t>FIL-032</t>
        </is>
      </c>
      <c r="B422" s="29" t="inlineStr">
        <is>
          <t>FILTRO DE AIRE PRIMARIO AF26397</t>
        </is>
      </c>
      <c r="C422" s="30" t="inlineStr">
        <is>
          <t>PZA</t>
        </is>
      </c>
      <c r="D422" s="36" t="n"/>
      <c r="E422" s="32" t="n"/>
      <c r="F422" s="33" t="n"/>
      <c r="G422" s="34" t="n"/>
      <c r="H422" s="34" t="n"/>
      <c r="I422" s="30" t="inlineStr">
        <is>
          <t>Mantenimiento</t>
        </is>
      </c>
      <c r="J422" s="32" t="n"/>
      <c r="K422" s="35">
        <f>IF(A422="","","#"&amp;A422)</f>
        <v/>
      </c>
    </row>
    <row r="423">
      <c r="A423" s="28" t="inlineStr">
        <is>
          <t>FIL-034</t>
        </is>
      </c>
      <c r="B423" s="29" t="inlineStr">
        <is>
          <t>FILTRO DE ACEITE B222100000494</t>
        </is>
      </c>
      <c r="C423" s="30" t="inlineStr">
        <is>
          <t>PZA</t>
        </is>
      </c>
      <c r="D423" s="36" t="n"/>
      <c r="E423" s="32" t="n"/>
      <c r="F423" s="33" t="n"/>
      <c r="G423" s="34" t="n"/>
      <c r="H423" s="34" t="n"/>
      <c r="I423" s="30" t="inlineStr">
        <is>
          <t>Mantenimiento</t>
        </is>
      </c>
      <c r="J423" s="32" t="n"/>
      <c r="K423" s="35">
        <f>IF(A423="","","#"&amp;A423)</f>
        <v/>
      </c>
    </row>
    <row r="424">
      <c r="A424" s="28" t="inlineStr">
        <is>
          <t>FIL-035</t>
        </is>
      </c>
      <c r="B424" s="29" t="inlineStr">
        <is>
          <t>FILTRO DE PETROLEO P553004</t>
        </is>
      </c>
      <c r="C424" s="30" t="inlineStr">
        <is>
          <t>PZA</t>
        </is>
      </c>
      <c r="D424" s="36" t="n"/>
      <c r="E424" s="32" t="n"/>
      <c r="F424" s="33" t="n"/>
      <c r="G424" s="34" t="n"/>
      <c r="H424" s="34" t="n"/>
      <c r="I424" s="30" t="inlineStr">
        <is>
          <t>Mantenimiento</t>
        </is>
      </c>
      <c r="J424" s="32" t="n"/>
      <c r="K424" s="35">
        <f>IF(A424="","","#"&amp;A424)</f>
        <v/>
      </c>
    </row>
    <row r="425">
      <c r="A425" s="28" t="inlineStr">
        <is>
          <t>FIL-036</t>
        </is>
      </c>
      <c r="B425" s="29" t="inlineStr">
        <is>
          <t>FILTRO DE AIRE PRIMARIO AF26393</t>
        </is>
      </c>
      <c r="C425" s="30" t="inlineStr">
        <is>
          <t>PZA</t>
        </is>
      </c>
      <c r="D425" s="36" t="n"/>
      <c r="E425" s="32" t="n"/>
      <c r="F425" s="33" t="n"/>
      <c r="G425" s="34" t="n"/>
      <c r="H425" s="34" t="n"/>
      <c r="I425" s="30" t="inlineStr">
        <is>
          <t>Mantenimiento</t>
        </is>
      </c>
      <c r="J425" s="32" t="n"/>
      <c r="K425" s="35">
        <f>IF(A425="","","#"&amp;A425)</f>
        <v/>
      </c>
    </row>
    <row r="426">
      <c r="A426" s="28" t="inlineStr">
        <is>
          <t>FIL-037</t>
        </is>
      </c>
      <c r="B426" s="29" t="inlineStr">
        <is>
          <t>FILTRO DE AIRE SECUNDARIO AF26394</t>
        </is>
      </c>
      <c r="C426" s="30" t="inlineStr">
        <is>
          <t>PZA</t>
        </is>
      </c>
      <c r="D426" s="36" t="n"/>
      <c r="E426" s="32" t="n"/>
      <c r="F426" s="33" t="n"/>
      <c r="G426" s="34" t="n"/>
      <c r="H426" s="34" t="n"/>
      <c r="I426" s="30" t="inlineStr">
        <is>
          <t>Mantenimiento</t>
        </is>
      </c>
      <c r="J426" s="32" t="n"/>
      <c r="K426" s="35">
        <f>IF(A426="","","#"&amp;A426)</f>
        <v/>
      </c>
    </row>
    <row r="427">
      <c r="A427" s="28" t="inlineStr">
        <is>
          <t>FIL-038</t>
        </is>
      </c>
      <c r="B427" s="29" t="inlineStr">
        <is>
          <t>FILTRO DE AIRE PRIMARIO A5105</t>
        </is>
      </c>
      <c r="C427" s="30" t="inlineStr">
        <is>
          <t>PZA</t>
        </is>
      </c>
      <c r="D427" s="36" t="n"/>
      <c r="E427" s="32" t="n"/>
      <c r="F427" s="33" t="n"/>
      <c r="G427" s="34" t="n"/>
      <c r="H427" s="34" t="n"/>
      <c r="I427" s="30" t="inlineStr">
        <is>
          <t>Mantenimiento</t>
        </is>
      </c>
      <c r="J427" s="32" t="n"/>
      <c r="K427" s="35">
        <f>IF(A427="","","#"&amp;A427)</f>
        <v/>
      </c>
    </row>
    <row r="428">
      <c r="A428" s="28" t="inlineStr">
        <is>
          <t>FIL-039</t>
        </is>
      </c>
      <c r="B428" s="29" t="inlineStr">
        <is>
          <t>FILTRO DE AIRE P838813</t>
        </is>
      </c>
      <c r="C428" s="30" t="inlineStr">
        <is>
          <t>PZA</t>
        </is>
      </c>
      <c r="D428" s="36" t="n"/>
      <c r="E428" s="32" t="n"/>
      <c r="F428" s="33" t="n"/>
      <c r="G428" s="34" t="n"/>
      <c r="H428" s="34" t="n"/>
      <c r="I428" s="30" t="inlineStr">
        <is>
          <t>Mantenimiento</t>
        </is>
      </c>
      <c r="J428" s="32" t="n"/>
      <c r="K428" s="35">
        <f>IF(A428="","","#"&amp;A428)</f>
        <v/>
      </c>
    </row>
    <row r="429">
      <c r="A429" s="28" t="inlineStr">
        <is>
          <t>M1000</t>
        </is>
      </c>
      <c r="B429" s="29" t="inlineStr">
        <is>
          <t>EMULNOR 1000 1" X 7"</t>
        </is>
      </c>
      <c r="C429" s="30" t="inlineStr">
        <is>
          <t>UND</t>
        </is>
      </c>
      <c r="D429" s="31" t="n">
        <v>1.36</v>
      </c>
      <c r="E429" s="32" t="n"/>
      <c r="F429" s="33" t="n"/>
      <c r="G429" s="34" t="n"/>
      <c r="H429" s="34" t="n"/>
      <c r="I429" s="30" t="inlineStr">
        <is>
          <t>Explosivos</t>
        </is>
      </c>
      <c r="J429" s="32" t="n"/>
      <c r="K429" s="35">
        <f>IF(A429="","","#"&amp;A429)</f>
        <v/>
      </c>
    </row>
    <row r="430">
      <c r="A430" s="28" t="inlineStr">
        <is>
          <t>M3000</t>
        </is>
      </c>
      <c r="B430" s="29" t="inlineStr">
        <is>
          <t>EMULNOR 3000 1" X 8"</t>
        </is>
      </c>
      <c r="C430" s="30" t="inlineStr">
        <is>
          <t>UND</t>
        </is>
      </c>
      <c r="D430" s="31" t="n">
        <v>1.54</v>
      </c>
      <c r="E430" s="32" t="n"/>
      <c r="F430" s="33" t="n"/>
      <c r="G430" s="34" t="n"/>
      <c r="H430" s="34" t="n"/>
      <c r="I430" s="30" t="inlineStr">
        <is>
          <t>Explosivos</t>
        </is>
      </c>
      <c r="J430" s="32" t="n"/>
      <c r="K430" s="35">
        <f>IF(A430="","","#"&amp;A430)</f>
        <v/>
      </c>
    </row>
    <row r="431">
      <c r="A431" s="28" t="inlineStr">
        <is>
          <t>M5000</t>
        </is>
      </c>
      <c r="B431" s="29" t="inlineStr">
        <is>
          <t>EMULNOR 5000 1" X 8"</t>
        </is>
      </c>
      <c r="C431" s="30" t="inlineStr">
        <is>
          <t>UND</t>
        </is>
      </c>
      <c r="D431" s="31" t="n">
        <v>2.34</v>
      </c>
      <c r="E431" s="32" t="n"/>
      <c r="F431" s="33" t="n"/>
      <c r="G431" s="34" t="n"/>
      <c r="H431" s="34" t="n"/>
      <c r="I431" s="30" t="inlineStr">
        <is>
          <t>Explosivos</t>
        </is>
      </c>
      <c r="J431" s="32" t="n"/>
      <c r="K431" s="35">
        <f>IF(A431="","","#"&amp;A431)</f>
        <v/>
      </c>
    </row>
    <row r="432">
      <c r="A432" s="28" t="inlineStr">
        <is>
          <t>CARMEX18</t>
        </is>
      </c>
      <c r="B432" s="29" t="inlineStr">
        <is>
          <t>CARMEX 1.8" MTRS</t>
        </is>
      </c>
      <c r="C432" s="30" t="inlineStr">
        <is>
          <t>UND</t>
        </is>
      </c>
      <c r="D432" s="31" t="n">
        <v>3.81</v>
      </c>
      <c r="E432" s="32" t="n"/>
      <c r="F432" s="33" t="n"/>
      <c r="G432" s="34" t="n"/>
      <c r="H432" s="34" t="n"/>
      <c r="I432" s="30" t="inlineStr">
        <is>
          <t>Explosivos</t>
        </is>
      </c>
      <c r="J432" s="32" t="n"/>
      <c r="K432" s="35">
        <f>IF(A432="","","#"&amp;A432)</f>
        <v/>
      </c>
    </row>
    <row r="433">
      <c r="A433" s="28" t="inlineStr">
        <is>
          <t>CARMEX240</t>
        </is>
      </c>
      <c r="B433" s="29" t="inlineStr">
        <is>
          <t>CARMEX 2.40" MTRS</t>
        </is>
      </c>
      <c r="C433" s="30" t="inlineStr">
        <is>
          <t>UND</t>
        </is>
      </c>
      <c r="D433" s="31" t="n">
        <v>4.1</v>
      </c>
      <c r="E433" s="32" t="n"/>
      <c r="F433" s="33" t="n"/>
      <c r="G433" s="34" t="n"/>
      <c r="H433" s="34" t="n"/>
      <c r="I433" s="30" t="inlineStr">
        <is>
          <t>Explosivos</t>
        </is>
      </c>
      <c r="J433" s="32" t="n"/>
      <c r="K433" s="35">
        <f>IF(A433="","","#"&amp;A433)</f>
        <v/>
      </c>
    </row>
    <row r="434">
      <c r="A434" s="28" t="inlineStr">
        <is>
          <t>FAMECORTE</t>
        </is>
      </c>
      <c r="B434" s="29" t="inlineStr">
        <is>
          <t>FAME CORTE</t>
        </is>
      </c>
      <c r="C434" s="30" t="inlineStr">
        <is>
          <t>UND</t>
        </is>
      </c>
      <c r="D434" s="31" t="n">
        <v>4</v>
      </c>
      <c r="E434" s="32" t="n"/>
      <c r="F434" s="33" t="n"/>
      <c r="G434" s="34" t="n"/>
      <c r="H434" s="34" t="n"/>
      <c r="I434" s="30" t="inlineStr">
        <is>
          <t>Explosivos</t>
        </is>
      </c>
      <c r="J434" s="32" t="n"/>
      <c r="K434" s="35">
        <f>IF(A434="","","#"&amp;A434)</f>
        <v/>
      </c>
    </row>
    <row r="435">
      <c r="A435" s="28" t="inlineStr">
        <is>
          <t>NEITHER</t>
        </is>
      </c>
      <c r="B435" s="29" t="inlineStr">
        <is>
          <t>MECHA RAPIDA DE IGNISION</t>
        </is>
      </c>
      <c r="C435" s="30" t="inlineStr">
        <is>
          <t>UND</t>
        </is>
      </c>
      <c r="D435" s="31" t="n">
        <v>2</v>
      </c>
      <c r="E435" s="32" t="n"/>
      <c r="F435" s="33" t="n"/>
      <c r="G435" s="34" t="n"/>
      <c r="H435" s="34" t="n"/>
      <c r="I435" s="30" t="inlineStr">
        <is>
          <t>Explosivos</t>
        </is>
      </c>
      <c r="J435" s="32" t="n"/>
      <c r="K435" s="35">
        <f>IF(A435="","","#"&amp;A435)</f>
        <v/>
      </c>
    </row>
    <row r="436">
      <c r="A436" s="28" t="inlineStr">
        <is>
          <t>CORDON5G</t>
        </is>
      </c>
      <c r="B436" s="29" t="inlineStr">
        <is>
          <t>CORDON DETONANTE 5G</t>
        </is>
      </c>
      <c r="C436" s="30" t="inlineStr">
        <is>
          <t>UND</t>
        </is>
      </c>
      <c r="D436" s="31" t="n">
        <v>0.959</v>
      </c>
      <c r="E436" s="32" t="n"/>
      <c r="F436" s="33" t="n"/>
      <c r="G436" s="34" t="n"/>
      <c r="H436" s="34" t="n"/>
      <c r="I436" s="30" t="inlineStr">
        <is>
          <t>Explosivos</t>
        </is>
      </c>
      <c r="J436" s="32" t="n"/>
      <c r="K436" s="35">
        <f>IF(A436="","","#"&amp;A436)</f>
        <v/>
      </c>
    </row>
    <row r="437">
      <c r="A437" s="28" t="inlineStr">
        <is>
          <t>FANEL3_1</t>
        </is>
      </c>
      <c r="B437" s="29" t="inlineStr">
        <is>
          <t>DETONADOR NO ELECTRICO FANEL 3 N° 1</t>
        </is>
      </c>
      <c r="C437" s="30" t="inlineStr">
        <is>
          <t>UND</t>
        </is>
      </c>
      <c r="D437" s="31" t="n">
        <v>4.73</v>
      </c>
      <c r="E437" s="32" t="n"/>
      <c r="F437" s="33" t="n"/>
      <c r="G437" s="34" t="n"/>
      <c r="H437" s="34" t="n"/>
      <c r="I437" s="30" t="inlineStr">
        <is>
          <t>Explosivos</t>
        </is>
      </c>
      <c r="J437" s="32" t="n"/>
      <c r="K437" s="35">
        <f>IF(A437="","","#"&amp;A437)</f>
        <v/>
      </c>
    </row>
    <row r="438">
      <c r="A438" s="28" t="inlineStr">
        <is>
          <t>FANEL3_2</t>
        </is>
      </c>
      <c r="B438" s="29" t="inlineStr">
        <is>
          <t>DETONADOR NO ELECTRICO FANEL 3 N° 2</t>
        </is>
      </c>
      <c r="C438" s="30" t="inlineStr">
        <is>
          <t>UND</t>
        </is>
      </c>
      <c r="D438" s="31" t="n">
        <v>4.76</v>
      </c>
      <c r="E438" s="32" t="n"/>
      <c r="F438" s="33" t="n"/>
      <c r="G438" s="34" t="n"/>
      <c r="H438" s="34" t="n"/>
      <c r="I438" s="30" t="inlineStr">
        <is>
          <t>Explosivos</t>
        </is>
      </c>
      <c r="J438" s="32" t="n"/>
      <c r="K438" s="35">
        <f>IF(A438="","","#"&amp;A438)</f>
        <v/>
      </c>
    </row>
    <row r="439">
      <c r="A439" s="28" t="inlineStr">
        <is>
          <t>FANEL3_3</t>
        </is>
      </c>
      <c r="B439" s="29" t="inlineStr">
        <is>
          <t>DETONADOR NO ELECTRICO FANEL 3 N° 3</t>
        </is>
      </c>
      <c r="C439" s="30" t="inlineStr">
        <is>
          <t>UND</t>
        </is>
      </c>
      <c r="D439" s="31" t="n">
        <v>4.76</v>
      </c>
      <c r="E439" s="32" t="n"/>
      <c r="F439" s="33" t="n"/>
      <c r="G439" s="34" t="n"/>
      <c r="H439" s="34" t="n"/>
      <c r="I439" s="30" t="inlineStr">
        <is>
          <t>Explosivos</t>
        </is>
      </c>
      <c r="J439" s="32" t="n"/>
      <c r="K439" s="35">
        <f>IF(A439="","","#"&amp;A439)</f>
        <v/>
      </c>
    </row>
    <row r="440">
      <c r="A440" s="28" t="inlineStr">
        <is>
          <t>FANEL3_4</t>
        </is>
      </c>
      <c r="B440" s="29" t="inlineStr">
        <is>
          <t>DETONADOR NO ELECTRICO FANEL 3 N° 4</t>
        </is>
      </c>
      <c r="C440" s="30" t="inlineStr">
        <is>
          <t>UND</t>
        </is>
      </c>
      <c r="D440" s="31" t="n">
        <v>4.85</v>
      </c>
      <c r="E440" s="32" t="n"/>
      <c r="F440" s="33" t="n"/>
      <c r="G440" s="34" t="n"/>
      <c r="H440" s="34" t="n"/>
      <c r="I440" s="30" t="inlineStr">
        <is>
          <t>Explosivos</t>
        </is>
      </c>
      <c r="J440" s="32" t="n"/>
      <c r="K440" s="35">
        <f>IF(A440="","","#"&amp;A440)</f>
        <v/>
      </c>
    </row>
    <row r="441">
      <c r="A441" s="28" t="inlineStr">
        <is>
          <t>FANEL3_5</t>
        </is>
      </c>
      <c r="B441" s="29" t="inlineStr">
        <is>
          <t>DETONADOR NO ELECTRICO FANEL 3 N° 5</t>
        </is>
      </c>
      <c r="C441" s="30" t="inlineStr">
        <is>
          <t>UND</t>
        </is>
      </c>
      <c r="D441" s="31" t="n">
        <v>4.83</v>
      </c>
      <c r="E441" s="32" t="n"/>
      <c r="F441" s="33" t="n"/>
      <c r="G441" s="34" t="n"/>
      <c r="H441" s="34" t="n"/>
      <c r="I441" s="30" t="inlineStr">
        <is>
          <t>Explosivos</t>
        </is>
      </c>
      <c r="J441" s="32" t="n"/>
      <c r="K441" s="35">
        <f>IF(A441="","","#"&amp;A441)</f>
        <v/>
      </c>
    </row>
    <row r="442">
      <c r="A442" s="28" t="inlineStr">
        <is>
          <t>FANEL3_6</t>
        </is>
      </c>
      <c r="B442" s="29" t="inlineStr">
        <is>
          <t>DETONADOR NO ELECTRICO FANEL 3 N° 6</t>
        </is>
      </c>
      <c r="C442" s="30" t="inlineStr">
        <is>
          <t>UND</t>
        </is>
      </c>
      <c r="D442" s="31" t="n">
        <v>4.85</v>
      </c>
      <c r="E442" s="32" t="n"/>
      <c r="F442" s="33" t="n"/>
      <c r="G442" s="34" t="n"/>
      <c r="H442" s="34" t="n"/>
      <c r="I442" s="30" t="inlineStr">
        <is>
          <t>Explosivos</t>
        </is>
      </c>
      <c r="J442" s="32" t="n"/>
      <c r="K442" s="35">
        <f>IF(A442="","","#"&amp;A442)</f>
        <v/>
      </c>
    </row>
    <row r="443">
      <c r="A443" s="28" t="inlineStr">
        <is>
          <t>FANEL3_7</t>
        </is>
      </c>
      <c r="B443" s="29" t="inlineStr">
        <is>
          <t>DETONADOR NO ELECTRICO FANEL 3 N° 7</t>
        </is>
      </c>
      <c r="C443" s="30" t="inlineStr">
        <is>
          <t>UND</t>
        </is>
      </c>
      <c r="D443" s="31" t="n">
        <v>4.86</v>
      </c>
      <c r="E443" s="32" t="n"/>
      <c r="F443" s="33" t="n"/>
      <c r="G443" s="34" t="n"/>
      <c r="H443" s="34" t="n"/>
      <c r="I443" s="30" t="inlineStr">
        <is>
          <t>Explosivos</t>
        </is>
      </c>
      <c r="J443" s="32" t="n"/>
      <c r="K443" s="35">
        <f>IF(A443="","","#"&amp;A443)</f>
        <v/>
      </c>
    </row>
    <row r="444">
      <c r="A444" s="28" t="inlineStr">
        <is>
          <t>FANEL3_8</t>
        </is>
      </c>
      <c r="B444" s="29" t="inlineStr">
        <is>
          <t>DETONADOR NO ELECTRICO FANEL 3 N° 8</t>
        </is>
      </c>
      <c r="C444" s="30" t="inlineStr">
        <is>
          <t>UND</t>
        </is>
      </c>
      <c r="D444" s="31" t="n">
        <v>4.95</v>
      </c>
      <c r="E444" s="32" t="n"/>
      <c r="F444" s="33" t="n"/>
      <c r="G444" s="34" t="n"/>
      <c r="H444" s="34" t="n"/>
      <c r="I444" s="30" t="inlineStr">
        <is>
          <t>Explosivos</t>
        </is>
      </c>
      <c r="J444" s="32" t="n"/>
      <c r="K444" s="35">
        <f>IF(A444="","","#"&amp;A444)</f>
        <v/>
      </c>
    </row>
    <row r="445">
      <c r="A445" s="28" t="inlineStr">
        <is>
          <t>FANEL3_9</t>
        </is>
      </c>
      <c r="B445" s="29" t="inlineStr">
        <is>
          <t>DETONADOR NO ELECTRICO FANEL 3 N° 9</t>
        </is>
      </c>
      <c r="C445" s="30" t="inlineStr">
        <is>
          <t>UND</t>
        </is>
      </c>
      <c r="D445" s="31" t="n">
        <v>5.01</v>
      </c>
      <c r="E445" s="32" t="n"/>
      <c r="F445" s="33" t="n"/>
      <c r="G445" s="34" t="n"/>
      <c r="H445" s="34" t="n"/>
      <c r="I445" s="30" t="inlineStr">
        <is>
          <t>Explosivos</t>
        </is>
      </c>
      <c r="J445" s="32" t="n"/>
      <c r="K445" s="35">
        <f>IF(A445="","","#"&amp;A445)</f>
        <v/>
      </c>
    </row>
    <row r="446">
      <c r="A446" s="28" t="inlineStr">
        <is>
          <t>FANEL3_10</t>
        </is>
      </c>
      <c r="B446" s="29" t="inlineStr">
        <is>
          <t>DETONADOR NO ELECTRICO FANEL 3 N° 10</t>
        </is>
      </c>
      <c r="C446" s="30" t="inlineStr">
        <is>
          <t>UND</t>
        </is>
      </c>
      <c r="D446" s="31" t="n">
        <v>4.99</v>
      </c>
      <c r="E446" s="32" t="n"/>
      <c r="F446" s="33" t="n"/>
      <c r="G446" s="34" t="n"/>
      <c r="H446" s="34" t="n"/>
      <c r="I446" s="30" t="inlineStr">
        <is>
          <t>Explosivos</t>
        </is>
      </c>
      <c r="J446" s="32" t="n"/>
      <c r="K446" s="35">
        <f>IF(A446="","","#"&amp;A446)</f>
        <v/>
      </c>
    </row>
    <row r="447">
      <c r="A447" s="28" t="inlineStr">
        <is>
          <t>FANEL3_11</t>
        </is>
      </c>
      <c r="B447" s="29" t="inlineStr">
        <is>
          <t>DETONADOR NO ELECTRICO FANEL 3 N° 11</t>
        </is>
      </c>
      <c r="C447" s="30" t="inlineStr">
        <is>
          <t>UND</t>
        </is>
      </c>
      <c r="D447" s="31" t="n">
        <v>4.98</v>
      </c>
      <c r="E447" s="32" t="n"/>
      <c r="F447" s="33" t="n"/>
      <c r="G447" s="34" t="n"/>
      <c r="H447" s="34" t="n"/>
      <c r="I447" s="30" t="inlineStr">
        <is>
          <t>Explosivos</t>
        </is>
      </c>
      <c r="J447" s="32" t="n"/>
      <c r="K447" s="35">
        <f>IF(A447="","","#"&amp;A447)</f>
        <v/>
      </c>
    </row>
    <row r="448">
      <c r="A448" s="28" t="inlineStr">
        <is>
          <t>FANEL3_12</t>
        </is>
      </c>
      <c r="B448" s="29" t="inlineStr">
        <is>
          <t>DETONADOR NO ELECTRICO FANEL 3 N° 12</t>
        </is>
      </c>
      <c r="C448" s="30" t="inlineStr">
        <is>
          <t>UND</t>
        </is>
      </c>
      <c r="D448" s="31" t="n">
        <v>4.97</v>
      </c>
      <c r="E448" s="32" t="n"/>
      <c r="F448" s="33" t="n"/>
      <c r="G448" s="34" t="n"/>
      <c r="H448" s="34" t="n"/>
      <c r="I448" s="30" t="inlineStr">
        <is>
          <t>Explosivos</t>
        </is>
      </c>
      <c r="J448" s="32" t="n"/>
      <c r="K448" s="35">
        <f>IF(A448="","","#"&amp;A448)</f>
        <v/>
      </c>
    </row>
    <row r="449">
      <c r="A449" s="28" t="inlineStr">
        <is>
          <t>FANEL3_13</t>
        </is>
      </c>
      <c r="B449" s="29" t="inlineStr">
        <is>
          <t>DETONADOR NO ELECTRICO FANEL 3 N° 13</t>
        </is>
      </c>
      <c r="C449" s="30" t="inlineStr">
        <is>
          <t>UND</t>
        </is>
      </c>
      <c r="D449" s="31" t="n">
        <v>4.96</v>
      </c>
      <c r="E449" s="32" t="n"/>
      <c r="F449" s="33" t="n"/>
      <c r="G449" s="34" t="n"/>
      <c r="H449" s="34" t="n"/>
      <c r="I449" s="30" t="inlineStr">
        <is>
          <t>Explosivos</t>
        </is>
      </c>
      <c r="J449" s="32" t="n"/>
      <c r="K449" s="35">
        <f>IF(A449="","","#"&amp;A449)</f>
        <v/>
      </c>
    </row>
    <row r="450">
      <c r="A450" s="28" t="inlineStr">
        <is>
          <t>FANEL3_14</t>
        </is>
      </c>
      <c r="B450" s="29" t="inlineStr">
        <is>
          <t>DETONADOR NO ELECTRICO FANEL 3 N° 14</t>
        </is>
      </c>
      <c r="C450" s="30" t="inlineStr">
        <is>
          <t>UND</t>
        </is>
      </c>
      <c r="D450" s="31" t="n">
        <v>4.91</v>
      </c>
      <c r="E450" s="32" t="n"/>
      <c r="F450" s="33" t="n"/>
      <c r="G450" s="34" t="n"/>
      <c r="H450" s="34" t="n"/>
      <c r="I450" s="30" t="inlineStr">
        <is>
          <t>Explosivos</t>
        </is>
      </c>
      <c r="J450" s="32" t="n"/>
      <c r="K450" s="35">
        <f>IF(A450="","","#"&amp;A450)</f>
        <v/>
      </c>
    </row>
    <row r="451">
      <c r="A451" s="28" t="inlineStr">
        <is>
          <t>FANEL3_15</t>
        </is>
      </c>
      <c r="B451" s="29" t="inlineStr">
        <is>
          <t>DETONADOR NO ELECTRICO FANEL 3 N° 15</t>
        </is>
      </c>
      <c r="C451" s="30" t="inlineStr">
        <is>
          <t>UND</t>
        </is>
      </c>
      <c r="D451" s="31" t="n">
        <v>4.82</v>
      </c>
      <c r="E451" s="32" t="n"/>
      <c r="F451" s="33" t="n"/>
      <c r="G451" s="34" t="n"/>
      <c r="H451" s="34" t="n"/>
      <c r="I451" s="30" t="inlineStr">
        <is>
          <t>Explosivos</t>
        </is>
      </c>
      <c r="J451" s="32" t="n"/>
      <c r="K451" s="35">
        <f>IF(A451="","","#"&amp;A451)</f>
        <v/>
      </c>
    </row>
    <row r="452">
      <c r="A452" s="28" t="inlineStr">
        <is>
          <t>FANEL3_16</t>
        </is>
      </c>
      <c r="B452" s="29" t="inlineStr">
        <is>
          <t>DETONADOR NO ELECTRICO FANEL 3 N° 16</t>
        </is>
      </c>
      <c r="C452" s="30" t="inlineStr">
        <is>
          <t>UND</t>
        </is>
      </c>
      <c r="D452" s="31" t="n">
        <v>4.81</v>
      </c>
      <c r="E452" s="32" t="n"/>
      <c r="F452" s="33" t="n"/>
      <c r="G452" s="34" t="n"/>
      <c r="H452" s="34" t="n"/>
      <c r="I452" s="30" t="inlineStr">
        <is>
          <t>Explosivos</t>
        </is>
      </c>
      <c r="J452" s="32" t="n"/>
      <c r="K452" s="35">
        <f>IF(A452="","","#"&amp;A452)</f>
        <v/>
      </c>
    </row>
    <row r="453">
      <c r="A453" s="28" t="inlineStr">
        <is>
          <t>FANEL42_1</t>
        </is>
      </c>
      <c r="B453" s="29" t="inlineStr">
        <is>
          <t>DETONADOR NO ELECTRICO FANEL 4.2 N° 1</t>
        </is>
      </c>
      <c r="C453" s="30" t="inlineStr">
        <is>
          <t>UND</t>
        </is>
      </c>
      <c r="D453" s="31" t="n">
        <v>4.73</v>
      </c>
      <c r="E453" s="32" t="n"/>
      <c r="F453" s="33" t="n"/>
      <c r="G453" s="34" t="n"/>
      <c r="H453" s="34" t="n"/>
      <c r="I453" s="30" t="inlineStr">
        <is>
          <t>Explosivos</t>
        </is>
      </c>
      <c r="J453" s="32" t="n"/>
      <c r="K453" s="35">
        <f>IF(A453="","","#"&amp;A453)</f>
        <v/>
      </c>
    </row>
    <row r="454">
      <c r="A454" s="28" t="inlineStr">
        <is>
          <t>FANEL42_2</t>
        </is>
      </c>
      <c r="B454" s="29" t="inlineStr">
        <is>
          <t>DETONADOR NO ELECTRICO FANEL 4.2 N° 2</t>
        </is>
      </c>
      <c r="C454" s="30" t="inlineStr">
        <is>
          <t>UND</t>
        </is>
      </c>
      <c r="D454" s="31" t="n">
        <v>4.76</v>
      </c>
      <c r="E454" s="32" t="n"/>
      <c r="F454" s="33" t="n"/>
      <c r="G454" s="34" t="n"/>
      <c r="H454" s="34" t="n"/>
      <c r="I454" s="30" t="inlineStr">
        <is>
          <t>Explosivos</t>
        </is>
      </c>
      <c r="J454" s="32" t="n"/>
      <c r="K454" s="35">
        <f>IF(A454="","","#"&amp;A454)</f>
        <v/>
      </c>
    </row>
    <row r="455">
      <c r="A455" s="28" t="inlineStr">
        <is>
          <t>FANEL42_3</t>
        </is>
      </c>
      <c r="B455" s="29" t="inlineStr">
        <is>
          <t>DETONADOR NO ELECTRICO FANEL 4.2 N° 3</t>
        </is>
      </c>
      <c r="C455" s="30" t="inlineStr">
        <is>
          <t>UND</t>
        </is>
      </c>
      <c r="D455" s="31" t="n">
        <v>4.76</v>
      </c>
      <c r="E455" s="32" t="n"/>
      <c r="F455" s="33" t="n"/>
      <c r="G455" s="34" t="n"/>
      <c r="H455" s="34" t="n"/>
      <c r="I455" s="30" t="inlineStr">
        <is>
          <t>Explosivos</t>
        </is>
      </c>
      <c r="J455" s="32" t="n"/>
      <c r="K455" s="35">
        <f>IF(A455="","","#"&amp;A455)</f>
        <v/>
      </c>
    </row>
    <row r="456">
      <c r="A456" s="28" t="inlineStr">
        <is>
          <t>FANEL42_4</t>
        </is>
      </c>
      <c r="B456" s="29" t="inlineStr">
        <is>
          <t>DETONADOR NO ELECTRICO FANEL 4.2 N° 4</t>
        </is>
      </c>
      <c r="C456" s="30" t="inlineStr">
        <is>
          <t>UND</t>
        </is>
      </c>
      <c r="D456" s="31" t="n">
        <v>4.85</v>
      </c>
      <c r="E456" s="32" t="n"/>
      <c r="F456" s="33" t="n"/>
      <c r="G456" s="34" t="n"/>
      <c r="H456" s="34" t="n"/>
      <c r="I456" s="30" t="inlineStr">
        <is>
          <t>Explosivos</t>
        </is>
      </c>
      <c r="J456" s="32" t="n"/>
      <c r="K456" s="35">
        <f>IF(A456="","","#"&amp;A456)</f>
        <v/>
      </c>
    </row>
    <row r="457">
      <c r="A457" s="28" t="inlineStr">
        <is>
          <t>FANEL42_5</t>
        </is>
      </c>
      <c r="B457" s="29" t="inlineStr">
        <is>
          <t>DETONADOR NO ELECTRICO FANEL 4.2 N° 5</t>
        </is>
      </c>
      <c r="C457" s="30" t="inlineStr">
        <is>
          <t>UND</t>
        </is>
      </c>
      <c r="D457" s="31" t="n">
        <v>4.83</v>
      </c>
      <c r="E457" s="32" t="n"/>
      <c r="F457" s="33" t="n"/>
      <c r="G457" s="34" t="n"/>
      <c r="H457" s="34" t="n"/>
      <c r="I457" s="30" t="inlineStr">
        <is>
          <t>Explosivos</t>
        </is>
      </c>
      <c r="J457" s="32" t="n"/>
      <c r="K457" s="35">
        <f>IF(A457="","","#"&amp;A457)</f>
        <v/>
      </c>
    </row>
    <row r="458">
      <c r="A458" s="28" t="inlineStr">
        <is>
          <t>FANEL42_6</t>
        </is>
      </c>
      <c r="B458" s="29" t="inlineStr">
        <is>
          <t>DETONADOR NO ELECTRICO FANEL 4.2 N° 6</t>
        </is>
      </c>
      <c r="C458" s="30" t="inlineStr">
        <is>
          <t>UND</t>
        </is>
      </c>
      <c r="D458" s="31" t="n">
        <v>4.85</v>
      </c>
      <c r="E458" s="32" t="n"/>
      <c r="F458" s="33" t="n"/>
      <c r="G458" s="34" t="n"/>
      <c r="H458" s="34" t="n"/>
      <c r="I458" s="30" t="inlineStr">
        <is>
          <t>Explosivos</t>
        </is>
      </c>
      <c r="J458" s="32" t="n"/>
      <c r="K458" s="35">
        <f>IF(A458="","","#"&amp;A458)</f>
        <v/>
      </c>
    </row>
    <row r="459">
      <c r="A459" s="28" t="inlineStr">
        <is>
          <t>FANEL42_7</t>
        </is>
      </c>
      <c r="B459" s="29" t="inlineStr">
        <is>
          <t>DETONADOR NO ELECTRICO FANEL 4.2 N° 7</t>
        </is>
      </c>
      <c r="C459" s="30" t="inlineStr">
        <is>
          <t>UND</t>
        </is>
      </c>
      <c r="D459" s="31" t="n">
        <v>4.86</v>
      </c>
      <c r="E459" s="32" t="n"/>
      <c r="F459" s="33" t="n"/>
      <c r="G459" s="34" t="n"/>
      <c r="H459" s="34" t="n"/>
      <c r="I459" s="30" t="inlineStr">
        <is>
          <t>Explosivos</t>
        </is>
      </c>
      <c r="J459" s="32" t="n"/>
      <c r="K459" s="35">
        <f>IF(A459="","","#"&amp;A459)</f>
        <v/>
      </c>
    </row>
    <row r="460">
      <c r="A460" s="28" t="inlineStr">
        <is>
          <t>FANEL42_8</t>
        </is>
      </c>
      <c r="B460" s="29" t="inlineStr">
        <is>
          <t>DETONADOR NO ELECTRICO FANEL 4.2 N° 8</t>
        </is>
      </c>
      <c r="C460" s="30" t="inlineStr">
        <is>
          <t>UND</t>
        </is>
      </c>
      <c r="D460" s="31" t="n">
        <v>4.95</v>
      </c>
      <c r="E460" s="32" t="n"/>
      <c r="F460" s="33" t="n"/>
      <c r="G460" s="34" t="n"/>
      <c r="H460" s="34" t="n"/>
      <c r="I460" s="30" t="inlineStr">
        <is>
          <t>Explosivos</t>
        </is>
      </c>
      <c r="J460" s="32" t="n"/>
      <c r="K460" s="35">
        <f>IF(A460="","","#"&amp;A460)</f>
        <v/>
      </c>
    </row>
    <row r="461">
      <c r="A461" s="28" t="inlineStr">
        <is>
          <t>FANEL42_9</t>
        </is>
      </c>
      <c r="B461" s="29" t="inlineStr">
        <is>
          <t>DETONADOR NO ELECTRICO FANEL 4.2 N° 9</t>
        </is>
      </c>
      <c r="C461" s="30" t="inlineStr">
        <is>
          <t>UND</t>
        </is>
      </c>
      <c r="D461" s="31" t="n">
        <v>5.01</v>
      </c>
      <c r="E461" s="32" t="n"/>
      <c r="F461" s="33" t="n"/>
      <c r="G461" s="34" t="n"/>
      <c r="H461" s="34" t="n"/>
      <c r="I461" s="30" t="inlineStr">
        <is>
          <t>Explosivos</t>
        </is>
      </c>
      <c r="J461" s="32" t="n"/>
      <c r="K461" s="35">
        <f>IF(A461="","","#"&amp;A461)</f>
        <v/>
      </c>
    </row>
    <row r="462">
      <c r="A462" s="28" t="inlineStr">
        <is>
          <t>FANEL42_10</t>
        </is>
      </c>
      <c r="B462" s="29" t="inlineStr">
        <is>
          <t>DETONADOR NO ELECTRICO FANEL 4.2 N° 10</t>
        </is>
      </c>
      <c r="C462" s="30" t="inlineStr">
        <is>
          <t>UND</t>
        </is>
      </c>
      <c r="D462" s="31" t="n">
        <v>4.99</v>
      </c>
      <c r="E462" s="32" t="n"/>
      <c r="F462" s="33" t="n"/>
      <c r="G462" s="34" t="n"/>
      <c r="H462" s="34" t="n"/>
      <c r="I462" s="30" t="inlineStr">
        <is>
          <t>Explosivos</t>
        </is>
      </c>
      <c r="J462" s="32" t="n"/>
      <c r="K462" s="35">
        <f>IF(A462="","","#"&amp;A462)</f>
        <v/>
      </c>
    </row>
    <row r="463">
      <c r="A463" s="28" t="inlineStr">
        <is>
          <t>FANEL42_11</t>
        </is>
      </c>
      <c r="B463" s="29" t="inlineStr">
        <is>
          <t>DETONADOR NO ELECTRICO FANEL 4.2 N° 11</t>
        </is>
      </c>
      <c r="C463" s="30" t="inlineStr">
        <is>
          <t>UND</t>
        </is>
      </c>
      <c r="D463" s="31" t="n">
        <v>4.98</v>
      </c>
      <c r="E463" s="32" t="n"/>
      <c r="F463" s="33" t="n"/>
      <c r="G463" s="34" t="n"/>
      <c r="H463" s="34" t="n"/>
      <c r="I463" s="30" t="inlineStr">
        <is>
          <t>Explosivos</t>
        </is>
      </c>
      <c r="J463" s="32" t="n"/>
      <c r="K463" s="35">
        <f>IF(A463="","","#"&amp;A463)</f>
        <v/>
      </c>
    </row>
    <row r="464">
      <c r="A464" s="28" t="inlineStr">
        <is>
          <t>FANEL42_12</t>
        </is>
      </c>
      <c r="B464" s="29" t="inlineStr">
        <is>
          <t>DETONADOR NO ELECTRICO FANEL 4.2 N° 12</t>
        </is>
      </c>
      <c r="C464" s="30" t="inlineStr">
        <is>
          <t>UND</t>
        </is>
      </c>
      <c r="D464" s="31" t="n">
        <v>4.97</v>
      </c>
      <c r="E464" s="32" t="n"/>
      <c r="F464" s="33" t="n"/>
      <c r="G464" s="34" t="n"/>
      <c r="H464" s="34" t="n"/>
      <c r="I464" s="30" t="inlineStr">
        <is>
          <t>Explosivos</t>
        </is>
      </c>
      <c r="J464" s="32" t="n"/>
      <c r="K464" s="35">
        <f>IF(A464="","","#"&amp;A464)</f>
        <v/>
      </c>
    </row>
    <row r="465">
      <c r="A465" s="28" t="inlineStr">
        <is>
          <t>FANEL42_13</t>
        </is>
      </c>
      <c r="B465" s="29" t="inlineStr">
        <is>
          <t>DETONADOR NO ELECTRICO FANEL 4.2 N° 13</t>
        </is>
      </c>
      <c r="C465" s="30" t="inlineStr">
        <is>
          <t>UND</t>
        </is>
      </c>
      <c r="D465" s="31" t="n">
        <v>4.96</v>
      </c>
      <c r="E465" s="32" t="n"/>
      <c r="F465" s="33" t="n"/>
      <c r="G465" s="34" t="n"/>
      <c r="H465" s="34" t="n"/>
      <c r="I465" s="30" t="inlineStr">
        <is>
          <t>Explosivos</t>
        </is>
      </c>
      <c r="J465" s="32" t="n"/>
      <c r="K465" s="35">
        <f>IF(A465="","","#"&amp;A465)</f>
        <v/>
      </c>
    </row>
    <row r="466">
      <c r="A466" s="28" t="inlineStr">
        <is>
          <t>FANEL42_14</t>
        </is>
      </c>
      <c r="B466" s="29" t="inlineStr">
        <is>
          <t>DETONADOR NO ELECTRICO FANEL 4.2 N° 14</t>
        </is>
      </c>
      <c r="C466" s="30" t="inlineStr">
        <is>
          <t>UND</t>
        </is>
      </c>
      <c r="D466" s="31" t="n">
        <v>4.91</v>
      </c>
      <c r="E466" s="32" t="n"/>
      <c r="F466" s="33" t="n"/>
      <c r="G466" s="34" t="n"/>
      <c r="H466" s="34" t="n"/>
      <c r="I466" s="30" t="inlineStr">
        <is>
          <t>Explosivos</t>
        </is>
      </c>
      <c r="J466" s="32" t="n"/>
      <c r="K466" s="35">
        <f>IF(A466="","","#"&amp;A466)</f>
        <v/>
      </c>
    </row>
    <row r="467">
      <c r="A467" s="28" t="inlineStr">
        <is>
          <t>FANEL42_15</t>
        </is>
      </c>
      <c r="B467" s="29" t="inlineStr">
        <is>
          <t>DETONADOR NO ELECTRICO FANEL 4.2 N° 15</t>
        </is>
      </c>
      <c r="C467" s="30" t="inlineStr">
        <is>
          <t>UND</t>
        </is>
      </c>
      <c r="D467" s="31" t="n">
        <v>4.82</v>
      </c>
      <c r="E467" s="32" t="n"/>
      <c r="F467" s="33" t="n"/>
      <c r="G467" s="34" t="n"/>
      <c r="H467" s="34" t="n"/>
      <c r="I467" s="30" t="inlineStr">
        <is>
          <t>Explosivos</t>
        </is>
      </c>
      <c r="J467" s="32" t="n"/>
      <c r="K467" s="35">
        <f>IF(A467="","","#"&amp;A467)</f>
        <v/>
      </c>
    </row>
    <row r="468">
      <c r="A468" s="28" t="inlineStr">
        <is>
          <t>FANEL42_16</t>
        </is>
      </c>
      <c r="B468" s="29" t="inlineStr">
        <is>
          <t>DETONADOR NO ELECTRICO FANEL 4.2 N° 16</t>
        </is>
      </c>
      <c r="C468" s="30" t="inlineStr">
        <is>
          <t>UND</t>
        </is>
      </c>
      <c r="D468" s="31" t="n">
        <v>4.81</v>
      </c>
      <c r="E468" s="32" t="n"/>
      <c r="F468" s="33" t="n"/>
      <c r="G468" s="34" t="n"/>
      <c r="H468" s="34" t="n"/>
      <c r="I468" s="30" t="inlineStr">
        <is>
          <t>Explosivos</t>
        </is>
      </c>
      <c r="J468" s="32" t="n"/>
      <c r="K468" s="35">
        <f>IF(A468="","","#"&amp;A468)</f>
        <v/>
      </c>
    </row>
    <row r="469">
      <c r="A469" s="28" t="inlineStr">
        <is>
          <t>FANEL240_1</t>
        </is>
      </c>
      <c r="B469" s="29" t="inlineStr">
        <is>
          <t>DETONADOR NO ELECTRICO FANEL 2.40 N° 1</t>
        </is>
      </c>
      <c r="C469" s="30" t="inlineStr">
        <is>
          <t>UND</t>
        </is>
      </c>
      <c r="D469" s="31" t="n">
        <v>4.73</v>
      </c>
      <c r="E469" s="32" t="n"/>
      <c r="F469" s="33" t="n"/>
      <c r="G469" s="34" t="n"/>
      <c r="H469" s="34" t="n"/>
      <c r="I469" s="30" t="inlineStr">
        <is>
          <t>Explosivos</t>
        </is>
      </c>
      <c r="J469" s="32" t="n"/>
      <c r="K469" s="35">
        <f>IF(A469="","","#"&amp;A469)</f>
        <v/>
      </c>
    </row>
    <row r="470">
      <c r="A470" s="28" t="inlineStr">
        <is>
          <t>FANEL240_2</t>
        </is>
      </c>
      <c r="B470" s="29" t="inlineStr">
        <is>
          <t>DETONADOR NO ELECTRICO FANEL 2.40 N° 2</t>
        </is>
      </c>
      <c r="C470" s="30" t="inlineStr">
        <is>
          <t>UND</t>
        </is>
      </c>
      <c r="D470" s="31" t="n">
        <v>4.76</v>
      </c>
      <c r="E470" s="32" t="n"/>
      <c r="F470" s="33" t="n"/>
      <c r="G470" s="34" t="n"/>
      <c r="H470" s="34" t="n"/>
      <c r="I470" s="30" t="inlineStr">
        <is>
          <t>Explosivos</t>
        </is>
      </c>
      <c r="J470" s="32" t="n"/>
      <c r="K470" s="35">
        <f>IF(A470="","","#"&amp;A470)</f>
        <v/>
      </c>
    </row>
    <row r="471">
      <c r="A471" s="28" t="inlineStr">
        <is>
          <t>FANEL240_3</t>
        </is>
      </c>
      <c r="B471" s="29" t="inlineStr">
        <is>
          <t>DETONADOR NO ELECTRICO FANEL 2.40 N° 3</t>
        </is>
      </c>
      <c r="C471" s="30" t="inlineStr">
        <is>
          <t>UND</t>
        </is>
      </c>
      <c r="D471" s="31" t="n">
        <v>4.76</v>
      </c>
      <c r="E471" s="32" t="n"/>
      <c r="F471" s="33" t="n"/>
      <c r="G471" s="34" t="n"/>
      <c r="H471" s="34" t="n"/>
      <c r="I471" s="30" t="inlineStr">
        <is>
          <t>Explosivos</t>
        </is>
      </c>
      <c r="J471" s="32" t="n"/>
      <c r="K471" s="35">
        <f>IF(A471="","","#"&amp;A471)</f>
        <v/>
      </c>
    </row>
    <row r="472">
      <c r="A472" s="28" t="inlineStr">
        <is>
          <t>FANEL240_4</t>
        </is>
      </c>
      <c r="B472" s="29" t="inlineStr">
        <is>
          <t>DETONADOR NO ELECTRICO FANEL 2.40 N° 4</t>
        </is>
      </c>
      <c r="C472" s="30" t="inlineStr">
        <is>
          <t>UND</t>
        </is>
      </c>
      <c r="D472" s="31" t="n">
        <v>4.85</v>
      </c>
      <c r="E472" s="32" t="n"/>
      <c r="F472" s="33" t="n"/>
      <c r="G472" s="34" t="n"/>
      <c r="H472" s="34" t="n"/>
      <c r="I472" s="30" t="inlineStr">
        <is>
          <t>Explosivos</t>
        </is>
      </c>
      <c r="J472" s="32" t="n"/>
      <c r="K472" s="35">
        <f>IF(A472="","","#"&amp;A472)</f>
        <v/>
      </c>
    </row>
    <row r="473">
      <c r="A473" s="28" t="inlineStr">
        <is>
          <t>FANEL240_5</t>
        </is>
      </c>
      <c r="B473" s="29" t="inlineStr">
        <is>
          <t>DETONADOR NO ELECTRICO FANEL 2.40 N° 5</t>
        </is>
      </c>
      <c r="C473" s="30" t="inlineStr">
        <is>
          <t>UND</t>
        </is>
      </c>
      <c r="D473" s="31" t="n">
        <v>4.83</v>
      </c>
      <c r="E473" s="32" t="n"/>
      <c r="F473" s="33" t="n"/>
      <c r="G473" s="34" t="n"/>
      <c r="H473" s="34" t="n"/>
      <c r="I473" s="30" t="inlineStr">
        <is>
          <t>Explosivos</t>
        </is>
      </c>
      <c r="J473" s="32" t="n"/>
      <c r="K473" s="35">
        <f>IF(A473="","","#"&amp;A473)</f>
        <v/>
      </c>
    </row>
    <row r="474">
      <c r="A474" s="28" t="inlineStr">
        <is>
          <t>FANEL240_6</t>
        </is>
      </c>
      <c r="B474" s="29" t="inlineStr">
        <is>
          <t>DETONADOR NO ELECTRICO FANEL 2.40 N° 6</t>
        </is>
      </c>
      <c r="C474" s="30" t="inlineStr">
        <is>
          <t>UND</t>
        </is>
      </c>
      <c r="D474" s="31" t="n">
        <v>4.85</v>
      </c>
      <c r="E474" s="32" t="n"/>
      <c r="F474" s="33" t="n"/>
      <c r="G474" s="34" t="n"/>
      <c r="H474" s="34" t="n"/>
      <c r="I474" s="30" t="inlineStr">
        <is>
          <t>Explosivos</t>
        </is>
      </c>
      <c r="J474" s="32" t="n"/>
      <c r="K474" s="35">
        <f>IF(A474="","","#"&amp;A474)</f>
        <v/>
      </c>
    </row>
    <row r="475">
      <c r="A475" s="28" t="inlineStr">
        <is>
          <t>FANEL240_7</t>
        </is>
      </c>
      <c r="B475" s="29" t="inlineStr">
        <is>
          <t>DETONADOR NO ELECTRICO FANEL 2.40 N° 7</t>
        </is>
      </c>
      <c r="C475" s="30" t="inlineStr">
        <is>
          <t>UND</t>
        </is>
      </c>
      <c r="D475" s="31" t="n">
        <v>4.86</v>
      </c>
      <c r="E475" s="32" t="n"/>
      <c r="F475" s="33" t="n"/>
      <c r="G475" s="34" t="n"/>
      <c r="H475" s="34" t="n"/>
      <c r="I475" s="30" t="inlineStr">
        <is>
          <t>Explosivos</t>
        </is>
      </c>
      <c r="J475" s="32" t="n"/>
      <c r="K475" s="35">
        <f>IF(A475="","","#"&amp;A475)</f>
        <v/>
      </c>
    </row>
    <row r="476">
      <c r="A476" s="28" t="inlineStr">
        <is>
          <t>FANEL240_8</t>
        </is>
      </c>
      <c r="B476" s="29" t="inlineStr">
        <is>
          <t>DETONADOR NO ELECTRICO FANEL 2.40 N° 8</t>
        </is>
      </c>
      <c r="C476" s="30" t="inlineStr">
        <is>
          <t>UND</t>
        </is>
      </c>
      <c r="D476" s="31" t="n">
        <v>4.95</v>
      </c>
      <c r="E476" s="32" t="n"/>
      <c r="F476" s="33" t="n"/>
      <c r="G476" s="34" t="n"/>
      <c r="H476" s="34" t="n"/>
      <c r="I476" s="30" t="inlineStr">
        <is>
          <t>Explosivos</t>
        </is>
      </c>
      <c r="J476" s="32" t="n"/>
      <c r="K476" s="35">
        <f>IF(A476="","","#"&amp;A476)</f>
        <v/>
      </c>
    </row>
    <row r="477">
      <c r="A477" s="28" t="inlineStr">
        <is>
          <t>FANEL240_9</t>
        </is>
      </c>
      <c r="B477" s="29" t="inlineStr">
        <is>
          <t>DETONADOR NO ELECTRICO FANEL 2.40 N° 9</t>
        </is>
      </c>
      <c r="C477" s="30" t="inlineStr">
        <is>
          <t>UND</t>
        </is>
      </c>
      <c r="D477" s="31" t="n">
        <v>5.01</v>
      </c>
      <c r="E477" s="32" t="n"/>
      <c r="F477" s="33" t="n"/>
      <c r="G477" s="34" t="n"/>
      <c r="H477" s="34" t="n"/>
      <c r="I477" s="30" t="inlineStr">
        <is>
          <t>Explosivos</t>
        </is>
      </c>
      <c r="J477" s="32" t="n"/>
      <c r="K477" s="35">
        <f>IF(A477="","","#"&amp;A477)</f>
        <v/>
      </c>
    </row>
    <row r="478">
      <c r="A478" s="28" t="inlineStr">
        <is>
          <t>FANEL240_10</t>
        </is>
      </c>
      <c r="B478" s="29" t="inlineStr">
        <is>
          <t>DETONADOR NO ELECTRICO FANEL 2.40 N° 10</t>
        </is>
      </c>
      <c r="C478" s="30" t="inlineStr">
        <is>
          <t>UND</t>
        </is>
      </c>
      <c r="D478" s="31" t="n">
        <v>4.99</v>
      </c>
      <c r="E478" s="32" t="n"/>
      <c r="F478" s="33" t="n"/>
      <c r="G478" s="34" t="n"/>
      <c r="H478" s="34" t="n"/>
      <c r="I478" s="30" t="inlineStr">
        <is>
          <t>Explosivos</t>
        </is>
      </c>
      <c r="J478" s="32" t="n"/>
      <c r="K478" s="35">
        <f>IF(A478="","","#"&amp;A478)</f>
        <v/>
      </c>
    </row>
    <row r="479">
      <c r="A479" s="28" t="inlineStr">
        <is>
          <t>FANEL240_11</t>
        </is>
      </c>
      <c r="B479" s="29" t="inlineStr">
        <is>
          <t>DETONADOR NO ELECTRICO FANEL 2.40 N° 11</t>
        </is>
      </c>
      <c r="C479" s="30" t="inlineStr">
        <is>
          <t>UND</t>
        </is>
      </c>
      <c r="D479" s="31" t="n">
        <v>4.98</v>
      </c>
      <c r="E479" s="32" t="n"/>
      <c r="F479" s="33" t="n"/>
      <c r="G479" s="34" t="n"/>
      <c r="H479" s="34" t="n"/>
      <c r="I479" s="30" t="inlineStr">
        <is>
          <t>Explosivos</t>
        </is>
      </c>
      <c r="J479" s="32" t="n"/>
      <c r="K479" s="35">
        <f>IF(A479="","","#"&amp;A479)</f>
        <v/>
      </c>
    </row>
    <row r="480">
      <c r="A480" s="28" t="inlineStr">
        <is>
          <t>FANEL240_12</t>
        </is>
      </c>
      <c r="B480" s="29" t="inlineStr">
        <is>
          <t>DETONADOR NO ELECTRICO FANEL 2.40 N° 12</t>
        </is>
      </c>
      <c r="C480" s="30" t="inlineStr">
        <is>
          <t>UND</t>
        </is>
      </c>
      <c r="D480" s="31" t="n">
        <v>4.97</v>
      </c>
      <c r="E480" s="32" t="n"/>
      <c r="F480" s="33" t="n"/>
      <c r="G480" s="34" t="n"/>
      <c r="H480" s="34" t="n"/>
      <c r="I480" s="30" t="inlineStr">
        <is>
          <t>Explosivos</t>
        </is>
      </c>
      <c r="J480" s="32" t="n"/>
      <c r="K480" s="35">
        <f>IF(A480="","","#"&amp;A480)</f>
        <v/>
      </c>
    </row>
    <row r="481">
      <c r="A481" s="28" t="inlineStr">
        <is>
          <t>FANEL240_13</t>
        </is>
      </c>
      <c r="B481" s="29" t="inlineStr">
        <is>
          <t>DETONADOR NO ELECTRICO FANEL 2.40 N° 13</t>
        </is>
      </c>
      <c r="C481" s="30" t="inlineStr">
        <is>
          <t>UND</t>
        </is>
      </c>
      <c r="D481" s="31" t="n">
        <v>4.96</v>
      </c>
      <c r="E481" s="32" t="n"/>
      <c r="F481" s="33" t="n"/>
      <c r="G481" s="34" t="n"/>
      <c r="H481" s="34" t="n"/>
      <c r="I481" s="30" t="inlineStr">
        <is>
          <t>Explosivos</t>
        </is>
      </c>
      <c r="J481" s="32" t="n"/>
      <c r="K481" s="35">
        <f>IF(A481="","","#"&amp;A481)</f>
        <v/>
      </c>
    </row>
    <row r="482">
      <c r="A482" s="28" t="inlineStr">
        <is>
          <t>FANEL240_14</t>
        </is>
      </c>
      <c r="B482" s="29" t="inlineStr">
        <is>
          <t>DETONADOR NO ELECTRICO FANEL 2.40 N° 14</t>
        </is>
      </c>
      <c r="C482" s="30" t="inlineStr">
        <is>
          <t>UND</t>
        </is>
      </c>
      <c r="D482" s="31" t="n">
        <v>4.91</v>
      </c>
      <c r="E482" s="32" t="n"/>
      <c r="F482" s="33" t="n"/>
      <c r="G482" s="34" t="n"/>
      <c r="H482" s="34" t="n"/>
      <c r="I482" s="30" t="inlineStr">
        <is>
          <t>Explosivos</t>
        </is>
      </c>
      <c r="J482" s="32" t="n"/>
      <c r="K482" s="35">
        <f>IF(A482="","","#"&amp;A482)</f>
        <v/>
      </c>
    </row>
    <row r="483">
      <c r="A483" s="28" t="inlineStr">
        <is>
          <t>FANEL240_15</t>
        </is>
      </c>
      <c r="B483" s="29" t="inlineStr">
        <is>
          <t>DETONADOR NO ELECTRICO FANEL 2.40 N° 15</t>
        </is>
      </c>
      <c r="C483" s="30" t="inlineStr">
        <is>
          <t>UND</t>
        </is>
      </c>
      <c r="D483" s="31" t="n">
        <v>4.82</v>
      </c>
      <c r="E483" s="32" t="n"/>
      <c r="F483" s="33" t="n"/>
      <c r="G483" s="34" t="n"/>
      <c r="H483" s="34" t="n"/>
      <c r="I483" s="30" t="inlineStr">
        <is>
          <t>Explosivos</t>
        </is>
      </c>
      <c r="J483" s="32" t="n"/>
      <c r="K483" s="35">
        <f>IF(A483="","","#"&amp;A483)</f>
        <v/>
      </c>
    </row>
    <row r="484">
      <c r="A484" s="28" t="inlineStr">
        <is>
          <t>FANEL240_16</t>
        </is>
      </c>
      <c r="B484" s="29" t="inlineStr">
        <is>
          <t>DETONADOR NO ELECTRICO FANEL 2.40 N° 16</t>
        </is>
      </c>
      <c r="C484" s="30" t="inlineStr">
        <is>
          <t>UND</t>
        </is>
      </c>
      <c r="D484" s="31" t="n">
        <v>4.81</v>
      </c>
      <c r="E484" s="32" t="n"/>
      <c r="F484" s="33" t="n"/>
      <c r="G484" s="34" t="n"/>
      <c r="H484" s="34" t="n"/>
      <c r="I484" s="30" t="inlineStr">
        <is>
          <t>Explosivos</t>
        </is>
      </c>
      <c r="J484" s="32" t="n"/>
      <c r="K484" s="35">
        <f>IF(A484="","","#"&amp;A484)</f>
        <v/>
      </c>
    </row>
  </sheetData>
  <autoFilter ref="A3:J484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2CC"/>
    <outlinePr summaryBelow="1" summaryRight="1"/>
    <pageSetUpPr/>
  </sheetPr>
  <dimension ref="A1:M2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hidden="1" width="12" customWidth="1" min="13" max="13"/>
  </cols>
  <sheetData>
    <row r="1" ht="26" customHeight="1">
      <c r="A1" s="1" t="inlineStr">
        <is>
          <t>PASO 2 — Plan de avance por frente y semana (MPS)</t>
        </is>
      </c>
    </row>
    <row r="2" ht="18" customHeight="1">
      <c r="A2" s="2" t="inlineStr">
        <is>
          <t>Metros de avance de cada frente en cada semana. Un disparo = 1.5 m.</t>
        </is>
      </c>
    </row>
    <row r="3">
      <c r="A3" s="37" t="inlineStr">
        <is>
          <t>Fecha de inicio de la Semana 1  →</t>
        </is>
      </c>
      <c r="C3" s="38" t="n">
        <v>46265</v>
      </c>
      <c r="D3" s="39" t="inlineStr">
        <is>
          <t>(un lunes)</t>
        </is>
      </c>
      <c r="E3" s="40">
        <f>$C$3</f>
        <v/>
      </c>
      <c r="F3" s="40">
        <f>E3+7</f>
        <v/>
      </c>
      <c r="G3" s="40">
        <f>F3+7</f>
        <v/>
      </c>
      <c r="H3" s="40">
        <f>G3+7</f>
        <v/>
      </c>
      <c r="I3" s="40">
        <f>H3+7</f>
        <v/>
      </c>
      <c r="J3" s="40">
        <f>I3+7</f>
        <v/>
      </c>
      <c r="K3" s="40">
        <f>J3+7</f>
        <v/>
      </c>
      <c r="L3" s="40">
        <f>K3+7</f>
        <v/>
      </c>
    </row>
    <row r="4" ht="32" customHeight="1">
      <c r="A4" s="6" t="inlineStr">
        <is>
          <t>Frente</t>
        </is>
      </c>
      <c r="B4" s="6" t="inlineStr">
        <is>
          <t>Unidad de produccion</t>
        </is>
      </c>
      <c r="C4" s="6" t="inlineStr">
        <is>
          <t>Total horizonte</t>
        </is>
      </c>
      <c r="D4" s="6" t="inlineStr">
        <is>
          <t>Notas</t>
        </is>
      </c>
      <c r="E4" s="6" t="inlineStr">
        <is>
          <t>Sem 1</t>
        </is>
      </c>
      <c r="F4" s="6" t="inlineStr">
        <is>
          <t>Sem 2</t>
        </is>
      </c>
      <c r="G4" s="6" t="inlineStr">
        <is>
          <t>Sem 3</t>
        </is>
      </c>
      <c r="H4" s="6" t="inlineStr">
        <is>
          <t>Sem 4</t>
        </is>
      </c>
      <c r="I4" s="6" t="inlineStr">
        <is>
          <t>Sem 5</t>
        </is>
      </c>
      <c r="J4" s="6" t="inlineStr">
        <is>
          <t>Sem 6</t>
        </is>
      </c>
      <c r="K4" s="6" t="inlineStr">
        <is>
          <t>Sem 7</t>
        </is>
      </c>
      <c r="L4" s="6" t="inlineStr">
        <is>
          <t>Sem 8</t>
        </is>
      </c>
      <c r="M4" s="6" t="inlineStr">
        <is>
          <t>clave</t>
        </is>
      </c>
    </row>
    <row r="5">
      <c r="A5" s="41" t="inlineStr">
        <is>
          <t>RA Brenda</t>
        </is>
      </c>
      <c r="B5" s="32" t="inlineStr">
        <is>
          <t>Metros de avance</t>
        </is>
      </c>
      <c r="C5" s="42">
        <f>IF($A5="","",SUM(E5:L5))</f>
        <v/>
      </c>
      <c r="D5" s="32" t="n"/>
      <c r="E5" s="34" t="n"/>
      <c r="F5" s="34" t="n"/>
      <c r="G5" s="34" t="n"/>
      <c r="H5" s="34" t="n"/>
      <c r="I5" s="34" t="n"/>
      <c r="J5" s="34" t="n"/>
      <c r="K5" s="34" t="n"/>
      <c r="L5" s="34" t="n"/>
      <c r="M5" s="35">
        <f>IF(A5="","","#"&amp;A5)</f>
        <v/>
      </c>
    </row>
    <row r="6">
      <c r="A6" s="41" t="inlineStr">
        <is>
          <t>CRNE (Cortada Noreste)</t>
        </is>
      </c>
      <c r="B6" s="32" t="inlineStr">
        <is>
          <t>Metros de avance</t>
        </is>
      </c>
      <c r="C6" s="42">
        <f>IF($A6="","",SUM(E6:L6))</f>
        <v/>
      </c>
      <c r="D6" s="32" t="n"/>
      <c r="E6" s="34" t="n"/>
      <c r="F6" s="34" t="n"/>
      <c r="G6" s="34" t="n"/>
      <c r="H6" s="34" t="n"/>
      <c r="I6" s="34" t="n"/>
      <c r="J6" s="34" t="n"/>
      <c r="K6" s="34" t="n"/>
      <c r="L6" s="34" t="n"/>
      <c r="M6" s="35">
        <f>IF(A6="","","#"&amp;A6)</f>
        <v/>
      </c>
    </row>
    <row r="7">
      <c r="A7" s="41" t="inlineStr">
        <is>
          <t>GLSE-2</t>
        </is>
      </c>
      <c r="B7" s="32" t="inlineStr">
        <is>
          <t>Metros de avance</t>
        </is>
      </c>
      <c r="C7" s="42">
        <f>IF($A7="","",SUM(E7:L7))</f>
        <v/>
      </c>
      <c r="D7" s="32" t="n"/>
      <c r="E7" s="34" t="n"/>
      <c r="F7" s="34" t="n"/>
      <c r="G7" s="34" t="n"/>
      <c r="H7" s="34" t="n"/>
      <c r="I7" s="34" t="n"/>
      <c r="J7" s="34" t="n"/>
      <c r="K7" s="34" t="n"/>
      <c r="L7" s="34" t="n"/>
      <c r="M7" s="35">
        <f>IF(A7="","","#"&amp;A7)</f>
        <v/>
      </c>
    </row>
    <row r="8">
      <c r="A8" s="41" t="inlineStr">
        <is>
          <t>ESCM 4430</t>
        </is>
      </c>
      <c r="B8" s="32" t="inlineStr">
        <is>
          <t>Metros de avance</t>
        </is>
      </c>
      <c r="C8" s="42">
        <f>IF($A8="","",SUM(E8:L8))</f>
        <v/>
      </c>
      <c r="D8" s="32" t="n"/>
      <c r="E8" s="34" t="n"/>
      <c r="F8" s="34" t="n"/>
      <c r="G8" s="34" t="n"/>
      <c r="H8" s="34" t="n"/>
      <c r="I8" s="34" t="n"/>
      <c r="J8" s="34" t="n"/>
      <c r="K8" s="34" t="n"/>
      <c r="L8" s="34" t="n"/>
      <c r="M8" s="35">
        <f>IF(A8="","","#"&amp;A8)</f>
        <v/>
      </c>
    </row>
    <row r="9">
      <c r="A9" s="41" t="inlineStr">
        <is>
          <t>ESCM 4410</t>
        </is>
      </c>
      <c r="B9" s="32" t="inlineStr">
        <is>
          <t>Metros de avance</t>
        </is>
      </c>
      <c r="C9" s="42">
        <f>IF($A9="","",SUM(E9:L9))</f>
        <v/>
      </c>
      <c r="D9" s="32" t="n"/>
      <c r="E9" s="34" t="n"/>
      <c r="F9" s="34" t="n"/>
      <c r="G9" s="34" t="n"/>
      <c r="H9" s="34" t="n"/>
      <c r="I9" s="34" t="n"/>
      <c r="J9" s="34" t="n"/>
      <c r="K9" s="34" t="n"/>
      <c r="L9" s="34" t="n"/>
      <c r="M9" s="35">
        <f>IF(A9="","","#"&amp;A9)</f>
        <v/>
      </c>
    </row>
    <row r="10">
      <c r="A10" s="41" t="inlineStr">
        <is>
          <t>SN 5100 NW</t>
        </is>
      </c>
      <c r="B10" s="32" t="inlineStr">
        <is>
          <t>Metros de avance</t>
        </is>
      </c>
      <c r="C10" s="42">
        <f>IF($A10="","",SUM(E10:L10))</f>
        <v/>
      </c>
      <c r="D10" s="32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5">
        <f>IF(A10="","","#"&amp;A10)</f>
        <v/>
      </c>
    </row>
    <row r="11">
      <c r="A11" s="43" t="n"/>
      <c r="B11" s="32" t="n"/>
      <c r="C11" s="42">
        <f>IF($A11="","",SUM(E11:L11))</f>
        <v/>
      </c>
      <c r="D11" s="32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5">
        <f>IF(A11="","","#"&amp;A11)</f>
        <v/>
      </c>
    </row>
    <row r="12">
      <c r="A12" s="43" t="n"/>
      <c r="B12" s="32" t="n"/>
      <c r="C12" s="42">
        <f>IF($A12="","",SUM(E12:L12))</f>
        <v/>
      </c>
      <c r="D12" s="32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5">
        <f>IF(A12="","","#"&amp;A12)</f>
        <v/>
      </c>
    </row>
    <row r="13">
      <c r="A13" s="43" t="n"/>
      <c r="B13" s="32" t="n"/>
      <c r="C13" s="42">
        <f>IF($A13="","",SUM(E13:L13))</f>
        <v/>
      </c>
      <c r="D13" s="32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5">
        <f>IF(A13="","","#"&amp;A13)</f>
        <v/>
      </c>
    </row>
    <row r="14">
      <c r="A14" s="43" t="n"/>
      <c r="B14" s="32" t="n"/>
      <c r="C14" s="42">
        <f>IF($A14="","",SUM(E14:L14))</f>
        <v/>
      </c>
      <c r="D14" s="32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5">
        <f>IF(A14="","","#"&amp;A14)</f>
        <v/>
      </c>
    </row>
    <row r="15">
      <c r="A15" s="43" t="n"/>
      <c r="B15" s="32" t="n"/>
      <c r="C15" s="42">
        <f>IF($A15="","",SUM(E15:L15))</f>
        <v/>
      </c>
      <c r="D15" s="32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5">
        <f>IF(A15="","","#"&amp;A15)</f>
        <v/>
      </c>
    </row>
    <row r="16">
      <c r="A16" s="43" t="n"/>
      <c r="B16" s="32" t="n"/>
      <c r="C16" s="42">
        <f>IF($A16="","",SUM(E16:L16))</f>
        <v/>
      </c>
      <c r="D16" s="32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5">
        <f>IF(A16="","","#"&amp;A16)</f>
        <v/>
      </c>
    </row>
    <row r="17">
      <c r="A17" s="43" t="n"/>
      <c r="B17" s="32" t="n"/>
      <c r="C17" s="42">
        <f>IF($A17="","",SUM(E17:L17))</f>
        <v/>
      </c>
      <c r="D17" s="32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5">
        <f>IF(A17="","","#"&amp;A17)</f>
        <v/>
      </c>
    </row>
    <row r="18">
      <c r="A18" s="43" t="n"/>
      <c r="B18" s="32" t="n"/>
      <c r="C18" s="42">
        <f>IF($A18="","",SUM(E18:L18))</f>
        <v/>
      </c>
      <c r="D18" s="32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5">
        <f>IF(A18="","","#"&amp;A18)</f>
        <v/>
      </c>
    </row>
    <row r="19">
      <c r="A19" s="43" t="n"/>
      <c r="B19" s="32" t="n"/>
      <c r="C19" s="42">
        <f>IF($A19="","",SUM(E19:L19))</f>
        <v/>
      </c>
      <c r="D19" s="32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5">
        <f>IF(A19="","","#"&amp;A19)</f>
        <v/>
      </c>
    </row>
    <row r="20">
      <c r="A20" s="43" t="n"/>
      <c r="B20" s="32" t="n"/>
      <c r="C20" s="42">
        <f>IF($A20="","",SUM(E20:L20))</f>
        <v/>
      </c>
      <c r="D20" s="32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5">
        <f>IF(A20="","","#"&amp;A20)</f>
        <v/>
      </c>
    </row>
    <row r="21">
      <c r="A21" s="43" t="n"/>
      <c r="B21" s="32" t="n"/>
      <c r="C21" s="42">
        <f>IF($A21="","",SUM(E21:L21))</f>
        <v/>
      </c>
      <c r="D21" s="32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5">
        <f>IF(A21="","","#"&amp;A21)</f>
        <v/>
      </c>
    </row>
    <row r="22">
      <c r="A22" s="43" t="n"/>
      <c r="B22" s="32" t="n"/>
      <c r="C22" s="42">
        <f>IF($A22="","",SUM(E22:L22))</f>
        <v/>
      </c>
      <c r="D22" s="32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5">
        <f>IF(A22="","","#"&amp;A22)</f>
        <v/>
      </c>
    </row>
    <row r="23">
      <c r="A23" s="43" t="n"/>
      <c r="B23" s="32" t="n"/>
      <c r="C23" s="42">
        <f>IF($A23="","",SUM(E23:L23))</f>
        <v/>
      </c>
      <c r="D23" s="32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5">
        <f>IF(A23="","","#"&amp;A23)</f>
        <v/>
      </c>
    </row>
    <row r="24">
      <c r="A24" s="43" t="n"/>
      <c r="B24" s="32" t="n"/>
      <c r="C24" s="42">
        <f>IF($A24="","",SUM(E24:L24))</f>
        <v/>
      </c>
      <c r="D24" s="32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5">
        <f>IF(A24="","","#"&amp;A24)</f>
        <v/>
      </c>
    </row>
  </sheetData>
  <mergeCells count="3">
    <mergeCell ref="A3:B3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2CC"/>
    <outlinePr summaryBelow="1" summaryRight="1"/>
    <pageSetUpPr/>
  </sheetPr>
  <dimension ref="A1:Q18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44" customWidth="1" min="3" max="3"/>
    <col width="9" customWidth="1" min="4" max="4"/>
    <col width="15" customWidth="1" min="5" max="5"/>
    <col width="15" customWidth="1" min="6" max="6"/>
    <col width="5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hidden="1" width="12" customWidth="1" min="16" max="16"/>
    <col hidden="1" width="12" customWidth="1" min="17" max="17"/>
  </cols>
  <sheetData>
    <row r="1" ht="26" customHeight="1">
      <c r="A1" s="1" t="inlineStr">
        <is>
          <t>PASO 3 — Todo lo que consume UN METRO de avance, por frente (BOM)</t>
        </is>
      </c>
    </row>
    <row r="2" ht="18" customHeight="1">
      <c r="A2" s="2" t="inlineStr">
        <is>
          <t>Un bloque por frente. Escribe el consumo POR METRO de cada producto. Si tu dato es por disparo, dividelo entre 1.5. Agrega los productos que falten en los renglones vacios.</t>
        </is>
      </c>
    </row>
    <row r="3" ht="32" customHeight="1">
      <c r="A3" s="6" t="inlineStr">
        <is>
          <t>Frente</t>
        </is>
      </c>
      <c r="B3" s="6" t="inlineStr">
        <is>
          <t>Codigo</t>
        </is>
      </c>
      <c r="C3" s="6" t="inlineStr">
        <is>
          <t>Producto (auto)</t>
        </is>
      </c>
      <c r="D3" s="6" t="inlineStr">
        <is>
          <t>Unidad (auto)</t>
        </is>
      </c>
      <c r="E3" s="6" t="inlineStr">
        <is>
          <t>Consumo por METRO</t>
        </is>
      </c>
      <c r="F3" s="6" t="inlineStr">
        <is>
          <t>Etapa</t>
        </is>
      </c>
      <c r="G3" s="6" t="inlineStr">
        <is>
          <t>Notas / de donde sale el numero</t>
        </is>
      </c>
      <c r="H3" s="6" t="inlineStr">
        <is>
          <t>Demanda Sem 1</t>
        </is>
      </c>
      <c r="I3" s="6" t="inlineStr">
        <is>
          <t>Demanda Sem 2</t>
        </is>
      </c>
      <c r="J3" s="6" t="inlineStr">
        <is>
          <t>Demanda Sem 3</t>
        </is>
      </c>
      <c r="K3" s="6" t="inlineStr">
        <is>
          <t>Demanda Sem 4</t>
        </is>
      </c>
      <c r="L3" s="6" t="inlineStr">
        <is>
          <t>Demanda Sem 5</t>
        </is>
      </c>
      <c r="M3" s="6" t="inlineStr">
        <is>
          <t>Demanda Sem 6</t>
        </is>
      </c>
      <c r="N3" s="6" t="inlineStr">
        <is>
          <t>Demanda Sem 7</t>
        </is>
      </c>
      <c r="O3" s="6" t="inlineStr">
        <is>
          <t>Demanda Sem 8</t>
        </is>
      </c>
      <c r="P3" s="6" t="inlineStr">
        <is>
          <t>clave mat</t>
        </is>
      </c>
      <c r="Q3" s="6" t="inlineStr">
        <is>
          <t>clave frente</t>
        </is>
      </c>
    </row>
    <row r="4" ht="20" customHeight="1">
      <c r="A4" s="44" t="inlineStr">
        <is>
          <t>FRENTE:  RA Brenda   —   consumo por CADA metro de avance</t>
        </is>
      </c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</row>
    <row r="5" ht="26" customHeight="1">
      <c r="A5" s="46" t="inlineStr">
        <is>
          <t>RA Brenda</t>
        </is>
      </c>
      <c r="B5" s="47" t="inlineStr">
        <is>
          <t>1300000026</t>
        </is>
      </c>
      <c r="C5" s="48">
        <f>IFERROR(INDEX(Materiales!$B$4:$B$484,MATCH("#"&amp;$B5,Materiales!$K$4:$K$484,0)),"")</f>
        <v/>
      </c>
      <c r="D5" s="49">
        <f>IFERROR(INDEX(Materiales!$C$4:$C$484,MATCH("#"&amp;$B5,Materiales!$K$4:$K$484,0)),"")</f>
        <v/>
      </c>
      <c r="E5" s="50" t="n"/>
      <c r="F5" s="51" t="inlineStr">
        <is>
          <t>Perforacion</t>
        </is>
      </c>
      <c r="G5" s="52" t="inlineStr">
        <is>
          <t>Brocas por metro: (brocas gastadas al mes) / (metros del mes)</t>
        </is>
      </c>
      <c r="H5" s="53">
        <f>IF($B5="",0,$E5*SUMIF(Plan!$M$5:$M$24,"#"&amp;$A5,Plan!E$5:E$24))</f>
        <v/>
      </c>
      <c r="I5" s="53">
        <f>IF($B5="",0,$E5*SUMIF(Plan!$M$5:$M$24,"#"&amp;$A5,Plan!F$5:F$24))</f>
        <v/>
      </c>
      <c r="J5" s="53">
        <f>IF($B5="",0,$E5*SUMIF(Plan!$M$5:$M$24,"#"&amp;$A5,Plan!G$5:G$24))</f>
        <v/>
      </c>
      <c r="K5" s="53">
        <f>IF($B5="",0,$E5*SUMIF(Plan!$M$5:$M$24,"#"&amp;$A5,Plan!H$5:H$24))</f>
        <v/>
      </c>
      <c r="L5" s="53">
        <f>IF($B5="",0,$E5*SUMIF(Plan!$M$5:$M$24,"#"&amp;$A5,Plan!I$5:I$24))</f>
        <v/>
      </c>
      <c r="M5" s="53">
        <f>IF($B5="",0,$E5*SUMIF(Plan!$M$5:$M$24,"#"&amp;$A5,Plan!J$5:J$24))</f>
        <v/>
      </c>
      <c r="N5" s="53">
        <f>IF($B5="",0,$E5*SUMIF(Plan!$M$5:$M$24,"#"&amp;$A5,Plan!K$5:K$24))</f>
        <v/>
      </c>
      <c r="O5" s="53">
        <f>IF($B5="",0,$E5*SUMIF(Plan!$M$5:$M$24,"#"&amp;$A5,Plan!L$5:L$24))</f>
        <v/>
      </c>
      <c r="P5" s="35">
        <f>IF(B5="","","#"&amp;B5)</f>
        <v/>
      </c>
      <c r="Q5" s="35">
        <f>IF(A5="","","#"&amp;A5)</f>
        <v/>
      </c>
    </row>
    <row r="6" ht="26" customHeight="1">
      <c r="A6" s="46" t="inlineStr">
        <is>
          <t>RA Brenda</t>
        </is>
      </c>
      <c r="B6" s="47" t="inlineStr">
        <is>
          <t>1300000023</t>
        </is>
      </c>
      <c r="C6" s="48">
        <f>IFERROR(INDEX(Materiales!$B$4:$B$484,MATCH("#"&amp;$B6,Materiales!$K$4:$K$484,0)),"")</f>
        <v/>
      </c>
      <c r="D6" s="49">
        <f>IFERROR(INDEX(Materiales!$C$4:$C$484,MATCH("#"&amp;$B6,Materiales!$K$4:$K$484,0)),"")</f>
        <v/>
      </c>
      <c r="E6" s="50" t="n"/>
      <c r="F6" s="51" t="inlineStr">
        <is>
          <t>Perforacion</t>
        </is>
      </c>
      <c r="G6" s="52" t="inlineStr">
        <is>
          <t>Broca de 32 mm, si se usa</t>
        </is>
      </c>
      <c r="H6" s="53">
        <f>IF($B6="",0,$E6*SUMIF(Plan!$M$5:$M$24,"#"&amp;$A6,Plan!E$5:E$24))</f>
        <v/>
      </c>
      <c r="I6" s="53">
        <f>IF($B6="",0,$E6*SUMIF(Plan!$M$5:$M$24,"#"&amp;$A6,Plan!F$5:F$24))</f>
        <v/>
      </c>
      <c r="J6" s="53">
        <f>IF($B6="",0,$E6*SUMIF(Plan!$M$5:$M$24,"#"&amp;$A6,Plan!G$5:G$24))</f>
        <v/>
      </c>
      <c r="K6" s="53">
        <f>IF($B6="",0,$E6*SUMIF(Plan!$M$5:$M$24,"#"&amp;$A6,Plan!H$5:H$24))</f>
        <v/>
      </c>
      <c r="L6" s="53">
        <f>IF($B6="",0,$E6*SUMIF(Plan!$M$5:$M$24,"#"&amp;$A6,Plan!I$5:I$24))</f>
        <v/>
      </c>
      <c r="M6" s="53">
        <f>IF($B6="",0,$E6*SUMIF(Plan!$M$5:$M$24,"#"&amp;$A6,Plan!J$5:J$24))</f>
        <v/>
      </c>
      <c r="N6" s="53">
        <f>IF($B6="",0,$E6*SUMIF(Plan!$M$5:$M$24,"#"&amp;$A6,Plan!K$5:K$24))</f>
        <v/>
      </c>
      <c r="O6" s="53">
        <f>IF($B6="",0,$E6*SUMIF(Plan!$M$5:$M$24,"#"&amp;$A6,Plan!L$5:L$24))</f>
        <v/>
      </c>
      <c r="P6" s="35">
        <f>IF(B6="","","#"&amp;B6)</f>
        <v/>
      </c>
      <c r="Q6" s="35">
        <f>IF(A6="","","#"&amp;A6)</f>
        <v/>
      </c>
    </row>
    <row r="7" ht="26" customHeight="1">
      <c r="A7" s="46" t="inlineStr">
        <is>
          <t>RA Brenda</t>
        </is>
      </c>
      <c r="B7" s="47" t="inlineStr">
        <is>
          <t>1300000036</t>
        </is>
      </c>
      <c r="C7" s="48">
        <f>IFERROR(INDEX(Materiales!$B$4:$B$484,MATCH("#"&amp;$B7,Materiales!$K$4:$K$484,0)),"")</f>
        <v/>
      </c>
      <c r="D7" s="49">
        <f>IFERROR(INDEX(Materiales!$C$4:$C$484,MATCH("#"&amp;$B7,Materiales!$K$4:$K$484,0)),"")</f>
        <v/>
      </c>
      <c r="E7" s="50" t="n"/>
      <c r="F7" s="51" t="inlineStr">
        <is>
          <t>Perforacion</t>
        </is>
      </c>
      <c r="G7" s="52" t="inlineStr">
        <is>
          <t>Barreno / barra conica 6'. Vida util: metros perforados antes de descarte</t>
        </is>
      </c>
      <c r="H7" s="53">
        <f>IF($B7="",0,$E7*SUMIF(Plan!$M$5:$M$24,"#"&amp;$A7,Plan!E$5:E$24))</f>
        <v/>
      </c>
      <c r="I7" s="53">
        <f>IF($B7="",0,$E7*SUMIF(Plan!$M$5:$M$24,"#"&amp;$A7,Plan!F$5:F$24))</f>
        <v/>
      </c>
      <c r="J7" s="53">
        <f>IF($B7="",0,$E7*SUMIF(Plan!$M$5:$M$24,"#"&amp;$A7,Plan!G$5:G$24))</f>
        <v/>
      </c>
      <c r="K7" s="53">
        <f>IF($B7="",0,$E7*SUMIF(Plan!$M$5:$M$24,"#"&amp;$A7,Plan!H$5:H$24))</f>
        <v/>
      </c>
      <c r="L7" s="53">
        <f>IF($B7="",0,$E7*SUMIF(Plan!$M$5:$M$24,"#"&amp;$A7,Plan!I$5:I$24))</f>
        <v/>
      </c>
      <c r="M7" s="53">
        <f>IF($B7="",0,$E7*SUMIF(Plan!$M$5:$M$24,"#"&amp;$A7,Plan!J$5:J$24))</f>
        <v/>
      </c>
      <c r="N7" s="53">
        <f>IF($B7="",0,$E7*SUMIF(Plan!$M$5:$M$24,"#"&amp;$A7,Plan!K$5:K$24))</f>
        <v/>
      </c>
      <c r="O7" s="53">
        <f>IF($B7="",0,$E7*SUMIF(Plan!$M$5:$M$24,"#"&amp;$A7,Plan!L$5:L$24))</f>
        <v/>
      </c>
      <c r="P7" s="35">
        <f>IF(B7="","","#"&amp;B7)</f>
        <v/>
      </c>
      <c r="Q7" s="35">
        <f>IF(A7="","","#"&amp;A7)</f>
        <v/>
      </c>
    </row>
    <row r="8" ht="26" customHeight="1">
      <c r="A8" s="46" t="inlineStr">
        <is>
          <t>RA Brenda</t>
        </is>
      </c>
      <c r="B8" s="47" t="inlineStr">
        <is>
          <t>1300000037</t>
        </is>
      </c>
      <c r="C8" s="48">
        <f>IFERROR(INDEX(Materiales!$B$4:$B$484,MATCH("#"&amp;$B8,Materiales!$K$4:$K$484,0)),"")</f>
        <v/>
      </c>
      <c r="D8" s="49">
        <f>IFERROR(INDEX(Materiales!$C$4:$C$484,MATCH("#"&amp;$B8,Materiales!$K$4:$K$484,0)),"")</f>
        <v/>
      </c>
      <c r="E8" s="50" t="n"/>
      <c r="F8" s="51" t="inlineStr">
        <is>
          <t>Perforacion</t>
        </is>
      </c>
      <c r="G8" s="52" t="inlineStr">
        <is>
          <t>Barreno / barra conica 4'</t>
        </is>
      </c>
      <c r="H8" s="53">
        <f>IF($B8="",0,$E8*SUMIF(Plan!$M$5:$M$24,"#"&amp;$A8,Plan!E$5:E$24))</f>
        <v/>
      </c>
      <c r="I8" s="53">
        <f>IF($B8="",0,$E8*SUMIF(Plan!$M$5:$M$24,"#"&amp;$A8,Plan!F$5:F$24))</f>
        <v/>
      </c>
      <c r="J8" s="53">
        <f>IF($B8="",0,$E8*SUMIF(Plan!$M$5:$M$24,"#"&amp;$A8,Plan!G$5:G$24))</f>
        <v/>
      </c>
      <c r="K8" s="53">
        <f>IF($B8="",0,$E8*SUMIF(Plan!$M$5:$M$24,"#"&amp;$A8,Plan!H$5:H$24))</f>
        <v/>
      </c>
      <c r="L8" s="53">
        <f>IF($B8="",0,$E8*SUMIF(Plan!$M$5:$M$24,"#"&amp;$A8,Plan!I$5:I$24))</f>
        <v/>
      </c>
      <c r="M8" s="53">
        <f>IF($B8="",0,$E8*SUMIF(Plan!$M$5:$M$24,"#"&amp;$A8,Plan!J$5:J$24))</f>
        <v/>
      </c>
      <c r="N8" s="53">
        <f>IF($B8="",0,$E8*SUMIF(Plan!$M$5:$M$24,"#"&amp;$A8,Plan!K$5:K$24))</f>
        <v/>
      </c>
      <c r="O8" s="53">
        <f>IF($B8="",0,$E8*SUMIF(Plan!$M$5:$M$24,"#"&amp;$A8,Plan!L$5:L$24))</f>
        <v/>
      </c>
      <c r="P8" s="35">
        <f>IF(B8="","","#"&amp;B8)</f>
        <v/>
      </c>
      <c r="Q8" s="35">
        <f>IF(A8="","","#"&amp;A8)</f>
        <v/>
      </c>
    </row>
    <row r="9" ht="26" customHeight="1">
      <c r="A9" s="46" t="inlineStr">
        <is>
          <t>RA Brenda</t>
        </is>
      </c>
      <c r="B9" s="47" t="inlineStr">
        <is>
          <t>1200000022</t>
        </is>
      </c>
      <c r="C9" s="48">
        <f>IFERROR(INDEX(Materiales!$B$4:$B$484,MATCH("#"&amp;$B9,Materiales!$K$4:$K$484,0)),"")</f>
        <v/>
      </c>
      <c r="D9" s="49">
        <f>IFERROR(INDEX(Materiales!$C$4:$C$484,MATCH("#"&amp;$B9,Materiales!$K$4:$K$484,0)),"")</f>
        <v/>
      </c>
      <c r="E9" s="50" t="n"/>
      <c r="F9" s="51" t="inlineStr">
        <is>
          <t>Perforacion</t>
        </is>
      </c>
      <c r="G9" s="52" t="inlineStr">
        <is>
          <t>Aceite de la perforadora por metro</t>
        </is>
      </c>
      <c r="H9" s="53">
        <f>IF($B9="",0,$E9*SUMIF(Plan!$M$5:$M$24,"#"&amp;$A9,Plan!E$5:E$24))</f>
        <v/>
      </c>
      <c r="I9" s="53">
        <f>IF($B9="",0,$E9*SUMIF(Plan!$M$5:$M$24,"#"&amp;$A9,Plan!F$5:F$24))</f>
        <v/>
      </c>
      <c r="J9" s="53">
        <f>IF($B9="",0,$E9*SUMIF(Plan!$M$5:$M$24,"#"&amp;$A9,Plan!G$5:G$24))</f>
        <v/>
      </c>
      <c r="K9" s="53">
        <f>IF($B9="",0,$E9*SUMIF(Plan!$M$5:$M$24,"#"&amp;$A9,Plan!H$5:H$24))</f>
        <v/>
      </c>
      <c r="L9" s="53">
        <f>IF($B9="",0,$E9*SUMIF(Plan!$M$5:$M$24,"#"&amp;$A9,Plan!I$5:I$24))</f>
        <v/>
      </c>
      <c r="M9" s="53">
        <f>IF($B9="",0,$E9*SUMIF(Plan!$M$5:$M$24,"#"&amp;$A9,Plan!J$5:J$24))</f>
        <v/>
      </c>
      <c r="N9" s="53">
        <f>IF($B9="",0,$E9*SUMIF(Plan!$M$5:$M$24,"#"&amp;$A9,Plan!K$5:K$24))</f>
        <v/>
      </c>
      <c r="O9" s="53">
        <f>IF($B9="",0,$E9*SUMIF(Plan!$M$5:$M$24,"#"&amp;$A9,Plan!L$5:L$24))</f>
        <v/>
      </c>
      <c r="P9" s="35">
        <f>IF(B9="","","#"&amp;B9)</f>
        <v/>
      </c>
      <c r="Q9" s="35">
        <f>IF(A9="","","#"&amp;A9)</f>
        <v/>
      </c>
    </row>
    <row r="10" ht="26" customHeight="1">
      <c r="A10" s="46" t="inlineStr">
        <is>
          <t>RA Brenda</t>
        </is>
      </c>
      <c r="B10" s="47" t="inlineStr">
        <is>
          <t>M1000</t>
        </is>
      </c>
      <c r="C10" s="48">
        <f>IFERROR(INDEX(Materiales!$B$4:$B$484,MATCH("#"&amp;$B10,Materiales!$K$4:$K$484,0)),"")</f>
        <v/>
      </c>
      <c r="D10" s="49">
        <f>IFERROR(INDEX(Materiales!$C$4:$C$484,MATCH("#"&amp;$B10,Materiales!$K$4:$K$484,0)),"")</f>
        <v/>
      </c>
      <c r="E10" s="50" t="n"/>
      <c r="F10" s="51" t="inlineStr">
        <is>
          <t>Voladura</t>
        </is>
      </c>
      <c r="G10" s="52" t="inlineStr">
        <is>
          <t>Emulnor 1000: cartuchos por disparo / 1.5</t>
        </is>
      </c>
      <c r="H10" s="53">
        <f>IF($B10="",0,$E10*SUMIF(Plan!$M$5:$M$24,"#"&amp;$A10,Plan!E$5:E$24))</f>
        <v/>
      </c>
      <c r="I10" s="53">
        <f>IF($B10="",0,$E10*SUMIF(Plan!$M$5:$M$24,"#"&amp;$A10,Plan!F$5:F$24))</f>
        <v/>
      </c>
      <c r="J10" s="53">
        <f>IF($B10="",0,$E10*SUMIF(Plan!$M$5:$M$24,"#"&amp;$A10,Plan!G$5:G$24))</f>
        <v/>
      </c>
      <c r="K10" s="53">
        <f>IF($B10="",0,$E10*SUMIF(Plan!$M$5:$M$24,"#"&amp;$A10,Plan!H$5:H$24))</f>
        <v/>
      </c>
      <c r="L10" s="53">
        <f>IF($B10="",0,$E10*SUMIF(Plan!$M$5:$M$24,"#"&amp;$A10,Plan!I$5:I$24))</f>
        <v/>
      </c>
      <c r="M10" s="53">
        <f>IF($B10="",0,$E10*SUMIF(Plan!$M$5:$M$24,"#"&amp;$A10,Plan!J$5:J$24))</f>
        <v/>
      </c>
      <c r="N10" s="53">
        <f>IF($B10="",0,$E10*SUMIF(Plan!$M$5:$M$24,"#"&amp;$A10,Plan!K$5:K$24))</f>
        <v/>
      </c>
      <c r="O10" s="53">
        <f>IF($B10="",0,$E10*SUMIF(Plan!$M$5:$M$24,"#"&amp;$A10,Plan!L$5:L$24))</f>
        <v/>
      </c>
      <c r="P10" s="35">
        <f>IF(B10="","","#"&amp;B10)</f>
        <v/>
      </c>
      <c r="Q10" s="35">
        <f>IF(A10="","","#"&amp;A10)</f>
        <v/>
      </c>
    </row>
    <row r="11" ht="26" customHeight="1">
      <c r="A11" s="46" t="inlineStr">
        <is>
          <t>RA Brenda</t>
        </is>
      </c>
      <c r="B11" s="47" t="inlineStr">
        <is>
          <t>M3000</t>
        </is>
      </c>
      <c r="C11" s="48">
        <f>IFERROR(INDEX(Materiales!$B$4:$B$484,MATCH("#"&amp;$B11,Materiales!$K$4:$K$484,0)),"")</f>
        <v/>
      </c>
      <c r="D11" s="49">
        <f>IFERROR(INDEX(Materiales!$C$4:$C$484,MATCH("#"&amp;$B11,Materiales!$K$4:$K$484,0)),"")</f>
        <v/>
      </c>
      <c r="E11" s="50" t="n"/>
      <c r="F11" s="51" t="inlineStr">
        <is>
          <t>Voladura</t>
        </is>
      </c>
      <c r="G11" s="52" t="inlineStr">
        <is>
          <t>Emulnor 3000: cartuchos por disparo / 1.5</t>
        </is>
      </c>
      <c r="H11" s="53">
        <f>IF($B11="",0,$E11*SUMIF(Plan!$M$5:$M$24,"#"&amp;$A11,Plan!E$5:E$24))</f>
        <v/>
      </c>
      <c r="I11" s="53">
        <f>IF($B11="",0,$E11*SUMIF(Plan!$M$5:$M$24,"#"&amp;$A11,Plan!F$5:F$24))</f>
        <v/>
      </c>
      <c r="J11" s="53">
        <f>IF($B11="",0,$E11*SUMIF(Plan!$M$5:$M$24,"#"&amp;$A11,Plan!G$5:G$24))</f>
        <v/>
      </c>
      <c r="K11" s="53">
        <f>IF($B11="",0,$E11*SUMIF(Plan!$M$5:$M$24,"#"&amp;$A11,Plan!H$5:H$24))</f>
        <v/>
      </c>
      <c r="L11" s="53">
        <f>IF($B11="",0,$E11*SUMIF(Plan!$M$5:$M$24,"#"&amp;$A11,Plan!I$5:I$24))</f>
        <v/>
      </c>
      <c r="M11" s="53">
        <f>IF($B11="",0,$E11*SUMIF(Plan!$M$5:$M$24,"#"&amp;$A11,Plan!J$5:J$24))</f>
        <v/>
      </c>
      <c r="N11" s="53">
        <f>IF($B11="",0,$E11*SUMIF(Plan!$M$5:$M$24,"#"&amp;$A11,Plan!K$5:K$24))</f>
        <v/>
      </c>
      <c r="O11" s="53">
        <f>IF($B11="",0,$E11*SUMIF(Plan!$M$5:$M$24,"#"&amp;$A11,Plan!L$5:L$24))</f>
        <v/>
      </c>
      <c r="P11" s="35">
        <f>IF(B11="","","#"&amp;B11)</f>
        <v/>
      </c>
      <c r="Q11" s="35">
        <f>IF(A11="","","#"&amp;A11)</f>
        <v/>
      </c>
    </row>
    <row r="12" ht="26" customHeight="1">
      <c r="A12" s="46" t="inlineStr">
        <is>
          <t>RA Brenda</t>
        </is>
      </c>
      <c r="B12" s="47" t="inlineStr">
        <is>
          <t>CARMEX240</t>
        </is>
      </c>
      <c r="C12" s="48">
        <f>IFERROR(INDEX(Materiales!$B$4:$B$484,MATCH("#"&amp;$B12,Materiales!$K$4:$K$484,0)),"")</f>
        <v/>
      </c>
      <c r="D12" s="49">
        <f>IFERROR(INDEX(Materiales!$C$4:$C$484,MATCH("#"&amp;$B12,Materiales!$K$4:$K$484,0)),"")</f>
        <v/>
      </c>
      <c r="E12" s="50" t="n"/>
      <c r="F12" s="51" t="inlineStr">
        <is>
          <t>Voladura</t>
        </is>
      </c>
      <c r="G12" s="52" t="inlineStr">
        <is>
          <t>Carmex: uno por taladro cargado / 1.5</t>
        </is>
      </c>
      <c r="H12" s="53">
        <f>IF($B12="",0,$E12*SUMIF(Plan!$M$5:$M$24,"#"&amp;$A12,Plan!E$5:E$24))</f>
        <v/>
      </c>
      <c r="I12" s="53">
        <f>IF($B12="",0,$E12*SUMIF(Plan!$M$5:$M$24,"#"&amp;$A12,Plan!F$5:F$24))</f>
        <v/>
      </c>
      <c r="J12" s="53">
        <f>IF($B12="",0,$E12*SUMIF(Plan!$M$5:$M$24,"#"&amp;$A12,Plan!G$5:G$24))</f>
        <v/>
      </c>
      <c r="K12" s="53">
        <f>IF($B12="",0,$E12*SUMIF(Plan!$M$5:$M$24,"#"&amp;$A12,Plan!H$5:H$24))</f>
        <v/>
      </c>
      <c r="L12" s="53">
        <f>IF($B12="",0,$E12*SUMIF(Plan!$M$5:$M$24,"#"&amp;$A12,Plan!I$5:I$24))</f>
        <v/>
      </c>
      <c r="M12" s="53">
        <f>IF($B12="",0,$E12*SUMIF(Plan!$M$5:$M$24,"#"&amp;$A12,Plan!J$5:J$24))</f>
        <v/>
      </c>
      <c r="N12" s="53">
        <f>IF($B12="",0,$E12*SUMIF(Plan!$M$5:$M$24,"#"&amp;$A12,Plan!K$5:K$24))</f>
        <v/>
      </c>
      <c r="O12" s="53">
        <f>IF($B12="",0,$E12*SUMIF(Plan!$M$5:$M$24,"#"&amp;$A12,Plan!L$5:L$24))</f>
        <v/>
      </c>
      <c r="P12" s="35">
        <f>IF(B12="","","#"&amp;B12)</f>
        <v/>
      </c>
      <c r="Q12" s="35">
        <f>IF(A12="","","#"&amp;A12)</f>
        <v/>
      </c>
    </row>
    <row r="13" ht="26" customHeight="1">
      <c r="A13" s="46" t="inlineStr">
        <is>
          <t>RA Brenda</t>
        </is>
      </c>
      <c r="B13" s="47" t="inlineStr">
        <is>
          <t>NEITHER</t>
        </is>
      </c>
      <c r="C13" s="48">
        <f>IFERROR(INDEX(Materiales!$B$4:$B$484,MATCH("#"&amp;$B13,Materiales!$K$4:$K$484,0)),"")</f>
        <v/>
      </c>
      <c r="D13" s="49">
        <f>IFERROR(INDEX(Materiales!$C$4:$C$484,MATCH("#"&amp;$B13,Materiales!$K$4:$K$484,0)),"")</f>
        <v/>
      </c>
      <c r="E13" s="50" t="n"/>
      <c r="F13" s="51" t="inlineStr">
        <is>
          <t>Voladura</t>
        </is>
      </c>
      <c r="G13" s="52" t="inlineStr">
        <is>
          <t>Mecha rapida de ignicion, metros por disparo / 1.5</t>
        </is>
      </c>
      <c r="H13" s="53">
        <f>IF($B13="",0,$E13*SUMIF(Plan!$M$5:$M$24,"#"&amp;$A13,Plan!E$5:E$24))</f>
        <v/>
      </c>
      <c r="I13" s="53">
        <f>IF($B13="",0,$E13*SUMIF(Plan!$M$5:$M$24,"#"&amp;$A13,Plan!F$5:F$24))</f>
        <v/>
      </c>
      <c r="J13" s="53">
        <f>IF($B13="",0,$E13*SUMIF(Plan!$M$5:$M$24,"#"&amp;$A13,Plan!G$5:G$24))</f>
        <v/>
      </c>
      <c r="K13" s="53">
        <f>IF($B13="",0,$E13*SUMIF(Plan!$M$5:$M$24,"#"&amp;$A13,Plan!H$5:H$24))</f>
        <v/>
      </c>
      <c r="L13" s="53">
        <f>IF($B13="",0,$E13*SUMIF(Plan!$M$5:$M$24,"#"&amp;$A13,Plan!I$5:I$24))</f>
        <v/>
      </c>
      <c r="M13" s="53">
        <f>IF($B13="",0,$E13*SUMIF(Plan!$M$5:$M$24,"#"&amp;$A13,Plan!J$5:J$24))</f>
        <v/>
      </c>
      <c r="N13" s="53">
        <f>IF($B13="",0,$E13*SUMIF(Plan!$M$5:$M$24,"#"&amp;$A13,Plan!K$5:K$24))</f>
        <v/>
      </c>
      <c r="O13" s="53">
        <f>IF($B13="",0,$E13*SUMIF(Plan!$M$5:$M$24,"#"&amp;$A13,Plan!L$5:L$24))</f>
        <v/>
      </c>
      <c r="P13" s="35">
        <f>IF(B13="","","#"&amp;B13)</f>
        <v/>
      </c>
      <c r="Q13" s="35">
        <f>IF(A13="","","#"&amp;A13)</f>
        <v/>
      </c>
    </row>
    <row r="14" ht="26" customHeight="1">
      <c r="A14" s="46" t="inlineStr">
        <is>
          <t>RA Brenda</t>
        </is>
      </c>
      <c r="B14" s="47" t="inlineStr">
        <is>
          <t>1500000031</t>
        </is>
      </c>
      <c r="C14" s="48">
        <f>IFERROR(INDEX(Materiales!$B$4:$B$484,MATCH("#"&amp;$B14,Materiales!$K$4:$K$484,0)),"")</f>
        <v/>
      </c>
      <c r="D14" s="49">
        <f>IFERROR(INDEX(Materiales!$C$4:$C$484,MATCH("#"&amp;$B14,Materiales!$K$4:$K$484,0)),"")</f>
        <v/>
      </c>
      <c r="E14" s="50" t="n"/>
      <c r="F14" s="51" t="inlineStr">
        <is>
          <t>Voladura</t>
        </is>
      </c>
      <c r="G14" s="52" t="inlineStr">
        <is>
          <t>Atacadores de madera</t>
        </is>
      </c>
      <c r="H14" s="53">
        <f>IF($B14="",0,$E14*SUMIF(Plan!$M$5:$M$24,"#"&amp;$A14,Plan!E$5:E$24))</f>
        <v/>
      </c>
      <c r="I14" s="53">
        <f>IF($B14="",0,$E14*SUMIF(Plan!$M$5:$M$24,"#"&amp;$A14,Plan!F$5:F$24))</f>
        <v/>
      </c>
      <c r="J14" s="53">
        <f>IF($B14="",0,$E14*SUMIF(Plan!$M$5:$M$24,"#"&amp;$A14,Plan!G$5:G$24))</f>
        <v/>
      </c>
      <c r="K14" s="53">
        <f>IF($B14="",0,$E14*SUMIF(Plan!$M$5:$M$24,"#"&amp;$A14,Plan!H$5:H$24))</f>
        <v/>
      </c>
      <c r="L14" s="53">
        <f>IF($B14="",0,$E14*SUMIF(Plan!$M$5:$M$24,"#"&amp;$A14,Plan!I$5:I$24))</f>
        <v/>
      </c>
      <c r="M14" s="53">
        <f>IF($B14="",0,$E14*SUMIF(Plan!$M$5:$M$24,"#"&amp;$A14,Plan!J$5:J$24))</f>
        <v/>
      </c>
      <c r="N14" s="53">
        <f>IF($B14="",0,$E14*SUMIF(Plan!$M$5:$M$24,"#"&amp;$A14,Plan!K$5:K$24))</f>
        <v/>
      </c>
      <c r="O14" s="53">
        <f>IF($B14="",0,$E14*SUMIF(Plan!$M$5:$M$24,"#"&amp;$A14,Plan!L$5:L$24))</f>
        <v/>
      </c>
      <c r="P14" s="35">
        <f>IF(B14="","","#"&amp;B14)</f>
        <v/>
      </c>
      <c r="Q14" s="35">
        <f>IF(A14="","","#"&amp;A14)</f>
        <v/>
      </c>
    </row>
    <row r="15" ht="26" customHeight="1">
      <c r="A15" s="46" t="inlineStr">
        <is>
          <t>RA Brenda</t>
        </is>
      </c>
      <c r="B15" s="47" t="inlineStr">
        <is>
          <t>1500002859</t>
        </is>
      </c>
      <c r="C15" s="48">
        <f>IFERROR(INDEX(Materiales!$B$4:$B$484,MATCH("#"&amp;$B15,Materiales!$K$4:$K$484,0)),"")</f>
        <v/>
      </c>
      <c r="D15" s="49">
        <f>IFERROR(INDEX(Materiales!$C$4:$C$484,MATCH("#"&amp;$B15,Materiales!$K$4:$K$484,0)),"")</f>
        <v/>
      </c>
      <c r="E15" s="50" t="n"/>
      <c r="F15" s="51" t="inlineStr">
        <is>
          <t>Voladura</t>
        </is>
      </c>
      <c r="G15" s="52" t="inlineStr">
        <is>
          <t>Saco metalero</t>
        </is>
      </c>
      <c r="H15" s="53">
        <f>IF($B15="",0,$E15*SUMIF(Plan!$M$5:$M$24,"#"&amp;$A15,Plan!E$5:E$24))</f>
        <v/>
      </c>
      <c r="I15" s="53">
        <f>IF($B15="",0,$E15*SUMIF(Plan!$M$5:$M$24,"#"&amp;$A15,Plan!F$5:F$24))</f>
        <v/>
      </c>
      <c r="J15" s="53">
        <f>IF($B15="",0,$E15*SUMIF(Plan!$M$5:$M$24,"#"&amp;$A15,Plan!G$5:G$24))</f>
        <v/>
      </c>
      <c r="K15" s="53">
        <f>IF($B15="",0,$E15*SUMIF(Plan!$M$5:$M$24,"#"&amp;$A15,Plan!H$5:H$24))</f>
        <v/>
      </c>
      <c r="L15" s="53">
        <f>IF($B15="",0,$E15*SUMIF(Plan!$M$5:$M$24,"#"&amp;$A15,Plan!I$5:I$24))</f>
        <v/>
      </c>
      <c r="M15" s="53">
        <f>IF($B15="",0,$E15*SUMIF(Plan!$M$5:$M$24,"#"&amp;$A15,Plan!J$5:J$24))</f>
        <v/>
      </c>
      <c r="N15" s="53">
        <f>IF($B15="",0,$E15*SUMIF(Plan!$M$5:$M$24,"#"&amp;$A15,Plan!K$5:K$24))</f>
        <v/>
      </c>
      <c r="O15" s="53">
        <f>IF($B15="",0,$E15*SUMIF(Plan!$M$5:$M$24,"#"&amp;$A15,Plan!L$5:L$24))</f>
        <v/>
      </c>
      <c r="P15" s="35">
        <f>IF(B15="","","#"&amp;B15)</f>
        <v/>
      </c>
      <c r="Q15" s="35">
        <f>IF(A15="","","#"&amp;A15)</f>
        <v/>
      </c>
    </row>
    <row r="16" ht="26" customHeight="1">
      <c r="A16" s="46" t="inlineStr">
        <is>
          <t>RA Brenda</t>
        </is>
      </c>
      <c r="B16" s="47" t="inlineStr">
        <is>
          <t>1700000144</t>
        </is>
      </c>
      <c r="C16" s="48">
        <f>IFERROR(INDEX(Materiales!$B$4:$B$484,MATCH("#"&amp;$B16,Materiales!$K$4:$K$484,0)),"")</f>
        <v/>
      </c>
      <c r="D16" s="49">
        <f>IFERROR(INDEX(Materiales!$C$4:$C$484,MATCH("#"&amp;$B16,Materiales!$K$4:$K$484,0)),"")</f>
        <v/>
      </c>
      <c r="E16" s="54">
        <f>1/1.5</f>
        <v/>
      </c>
      <c r="F16" s="51" t="inlineStr">
        <is>
          <t>Sostenimiento</t>
        </is>
      </c>
      <c r="G16" s="52" t="inlineStr">
        <is>
          <t>DATO REAL: sostenimiento pesado, 1 juego de cimbra por disparo de 1.5 m</t>
        </is>
      </c>
      <c r="H16" s="53">
        <f>IF($B16="",0,$E16*SUMIF(Plan!$M$5:$M$24,"#"&amp;$A16,Plan!E$5:E$24))</f>
        <v/>
      </c>
      <c r="I16" s="53">
        <f>IF($B16="",0,$E16*SUMIF(Plan!$M$5:$M$24,"#"&amp;$A16,Plan!F$5:F$24))</f>
        <v/>
      </c>
      <c r="J16" s="53">
        <f>IF($B16="",0,$E16*SUMIF(Plan!$M$5:$M$24,"#"&amp;$A16,Plan!G$5:G$24))</f>
        <v/>
      </c>
      <c r="K16" s="53">
        <f>IF($B16="",0,$E16*SUMIF(Plan!$M$5:$M$24,"#"&amp;$A16,Plan!H$5:H$24))</f>
        <v/>
      </c>
      <c r="L16" s="53">
        <f>IF($B16="",0,$E16*SUMIF(Plan!$M$5:$M$24,"#"&amp;$A16,Plan!I$5:I$24))</f>
        <v/>
      </c>
      <c r="M16" s="53">
        <f>IF($B16="",0,$E16*SUMIF(Plan!$M$5:$M$24,"#"&amp;$A16,Plan!J$5:J$24))</f>
        <v/>
      </c>
      <c r="N16" s="53">
        <f>IF($B16="",0,$E16*SUMIF(Plan!$M$5:$M$24,"#"&amp;$A16,Plan!K$5:K$24))</f>
        <v/>
      </c>
      <c r="O16" s="53">
        <f>IF($B16="",0,$E16*SUMIF(Plan!$M$5:$M$24,"#"&amp;$A16,Plan!L$5:L$24))</f>
        <v/>
      </c>
      <c r="P16" s="35">
        <f>IF(B16="","","#"&amp;B16)</f>
        <v/>
      </c>
      <c r="Q16" s="35">
        <f>IF(A16="","","#"&amp;A16)</f>
        <v/>
      </c>
    </row>
    <row r="17" ht="26" customHeight="1">
      <c r="A17" s="46" t="inlineStr">
        <is>
          <t>RA Brenda</t>
        </is>
      </c>
      <c r="B17" s="47" t="inlineStr">
        <is>
          <t>1500001454</t>
        </is>
      </c>
      <c r="C17" s="48">
        <f>IFERROR(INDEX(Materiales!$B$4:$B$484,MATCH("#"&amp;$B17,Materiales!$K$4:$K$484,0)),"")</f>
        <v/>
      </c>
      <c r="D17" s="49">
        <f>IFERROR(INDEX(Materiales!$C$4:$C$484,MATCH("#"&amp;$B17,Materiales!$K$4:$K$484,0)),"")</f>
        <v/>
      </c>
      <c r="E17" s="50" t="n"/>
      <c r="F17" s="51" t="inlineStr">
        <is>
          <t>Sostenimiento</t>
        </is>
      </c>
      <c r="G17" s="52" t="inlineStr">
        <is>
          <t>Alcayatas para fijar la cimbra: cuantas por cimbra / 1.5</t>
        </is>
      </c>
      <c r="H17" s="53">
        <f>IF($B17="",0,$E17*SUMIF(Plan!$M$5:$M$24,"#"&amp;$A17,Plan!E$5:E$24))</f>
        <v/>
      </c>
      <c r="I17" s="53">
        <f>IF($B17="",0,$E17*SUMIF(Plan!$M$5:$M$24,"#"&amp;$A17,Plan!F$5:F$24))</f>
        <v/>
      </c>
      <c r="J17" s="53">
        <f>IF($B17="",0,$E17*SUMIF(Plan!$M$5:$M$24,"#"&amp;$A17,Plan!G$5:G$24))</f>
        <v/>
      </c>
      <c r="K17" s="53">
        <f>IF($B17="",0,$E17*SUMIF(Plan!$M$5:$M$24,"#"&amp;$A17,Plan!H$5:H$24))</f>
        <v/>
      </c>
      <c r="L17" s="53">
        <f>IF($B17="",0,$E17*SUMIF(Plan!$M$5:$M$24,"#"&amp;$A17,Plan!I$5:I$24))</f>
        <v/>
      </c>
      <c r="M17" s="53">
        <f>IF($B17="",0,$E17*SUMIF(Plan!$M$5:$M$24,"#"&amp;$A17,Plan!J$5:J$24))</f>
        <v/>
      </c>
      <c r="N17" s="53">
        <f>IF($B17="",0,$E17*SUMIF(Plan!$M$5:$M$24,"#"&amp;$A17,Plan!K$5:K$24))</f>
        <v/>
      </c>
      <c r="O17" s="53">
        <f>IF($B17="",0,$E17*SUMIF(Plan!$M$5:$M$24,"#"&amp;$A17,Plan!L$5:L$24))</f>
        <v/>
      </c>
      <c r="P17" s="35">
        <f>IF(B17="","","#"&amp;B17)</f>
        <v/>
      </c>
      <c r="Q17" s="35">
        <f>IF(A17="","","#"&amp;A17)</f>
        <v/>
      </c>
    </row>
    <row r="18" ht="26" customHeight="1">
      <c r="A18" s="46" t="inlineStr">
        <is>
          <t>RA Brenda</t>
        </is>
      </c>
      <c r="B18" s="47" t="inlineStr">
        <is>
          <t>1500001437</t>
        </is>
      </c>
      <c r="C18" s="48">
        <f>IFERROR(INDEX(Materiales!$B$4:$B$484,MATCH("#"&amp;$B18,Materiales!$K$4:$K$484,0)),"")</f>
        <v/>
      </c>
      <c r="D18" s="49">
        <f>IFERROR(INDEX(Materiales!$C$4:$C$484,MATCH("#"&amp;$B18,Materiales!$K$4:$K$484,0)),"")</f>
        <v/>
      </c>
      <c r="E18" s="50" t="n"/>
      <c r="F18" s="51" t="inlineStr">
        <is>
          <t>Sostenimiento</t>
        </is>
      </c>
      <c r="G18" s="52" t="inlineStr">
        <is>
          <t>Alcayata T-G, si se usa</t>
        </is>
      </c>
      <c r="H18" s="53">
        <f>IF($B18="",0,$E18*SUMIF(Plan!$M$5:$M$24,"#"&amp;$A18,Plan!E$5:E$24))</f>
        <v/>
      </c>
      <c r="I18" s="53">
        <f>IF($B18="",0,$E18*SUMIF(Plan!$M$5:$M$24,"#"&amp;$A18,Plan!F$5:F$24))</f>
        <v/>
      </c>
      <c r="J18" s="53">
        <f>IF($B18="",0,$E18*SUMIF(Plan!$M$5:$M$24,"#"&amp;$A18,Plan!G$5:G$24))</f>
        <v/>
      </c>
      <c r="K18" s="53">
        <f>IF($B18="",0,$E18*SUMIF(Plan!$M$5:$M$24,"#"&amp;$A18,Plan!H$5:H$24))</f>
        <v/>
      </c>
      <c r="L18" s="53">
        <f>IF($B18="",0,$E18*SUMIF(Plan!$M$5:$M$24,"#"&amp;$A18,Plan!I$5:I$24))</f>
        <v/>
      </c>
      <c r="M18" s="53">
        <f>IF($B18="",0,$E18*SUMIF(Plan!$M$5:$M$24,"#"&amp;$A18,Plan!J$5:J$24))</f>
        <v/>
      </c>
      <c r="N18" s="53">
        <f>IF($B18="",0,$E18*SUMIF(Plan!$M$5:$M$24,"#"&amp;$A18,Plan!K$5:K$24))</f>
        <v/>
      </c>
      <c r="O18" s="53">
        <f>IF($B18="",0,$E18*SUMIF(Plan!$M$5:$M$24,"#"&amp;$A18,Plan!L$5:L$24))</f>
        <v/>
      </c>
      <c r="P18" s="35">
        <f>IF(B18="","","#"&amp;B18)</f>
        <v/>
      </c>
      <c r="Q18" s="35">
        <f>IF(A18="","","#"&amp;A18)</f>
        <v/>
      </c>
    </row>
    <row r="19" ht="26" customHeight="1">
      <c r="A19" s="46" t="inlineStr">
        <is>
          <t>RA Brenda</t>
        </is>
      </c>
      <c r="B19" s="47" t="inlineStr">
        <is>
          <t>1500001438</t>
        </is>
      </c>
      <c r="C19" s="48">
        <f>IFERROR(INDEX(Materiales!$B$4:$B$484,MATCH("#"&amp;$B19,Materiales!$K$4:$K$484,0)),"")</f>
        <v/>
      </c>
      <c r="D19" s="49">
        <f>IFERROR(INDEX(Materiales!$C$4:$C$484,MATCH("#"&amp;$B19,Materiales!$K$4:$K$484,0)),"")</f>
        <v/>
      </c>
      <c r="E19" s="50" t="n"/>
      <c r="F19" s="51" t="inlineStr">
        <is>
          <t>Sostenimiento</t>
        </is>
      </c>
      <c r="G19" s="52" t="inlineStr">
        <is>
          <t>Alcayata T-L, si se usa</t>
        </is>
      </c>
      <c r="H19" s="53">
        <f>IF($B19="",0,$E19*SUMIF(Plan!$M$5:$M$24,"#"&amp;$A19,Plan!E$5:E$24))</f>
        <v/>
      </c>
      <c r="I19" s="53">
        <f>IF($B19="",0,$E19*SUMIF(Plan!$M$5:$M$24,"#"&amp;$A19,Plan!F$5:F$24))</f>
        <v/>
      </c>
      <c r="J19" s="53">
        <f>IF($B19="",0,$E19*SUMIF(Plan!$M$5:$M$24,"#"&amp;$A19,Plan!G$5:G$24))</f>
        <v/>
      </c>
      <c r="K19" s="53">
        <f>IF($B19="",0,$E19*SUMIF(Plan!$M$5:$M$24,"#"&amp;$A19,Plan!H$5:H$24))</f>
        <v/>
      </c>
      <c r="L19" s="53">
        <f>IF($B19="",0,$E19*SUMIF(Plan!$M$5:$M$24,"#"&amp;$A19,Plan!I$5:I$24))</f>
        <v/>
      </c>
      <c r="M19" s="53">
        <f>IF($B19="",0,$E19*SUMIF(Plan!$M$5:$M$24,"#"&amp;$A19,Plan!J$5:J$24))</f>
        <v/>
      </c>
      <c r="N19" s="53">
        <f>IF($B19="",0,$E19*SUMIF(Plan!$M$5:$M$24,"#"&amp;$A19,Plan!K$5:K$24))</f>
        <v/>
      </c>
      <c r="O19" s="53">
        <f>IF($B19="",0,$E19*SUMIF(Plan!$M$5:$M$24,"#"&amp;$A19,Plan!L$5:L$24))</f>
        <v/>
      </c>
      <c r="P19" s="35">
        <f>IF(B19="","","#"&amp;B19)</f>
        <v/>
      </c>
      <c r="Q19" s="35">
        <f>IF(A19="","","#"&amp;A19)</f>
        <v/>
      </c>
    </row>
    <row r="20" ht="26" customHeight="1">
      <c r="A20" s="46" t="inlineStr">
        <is>
          <t>RA Brenda</t>
        </is>
      </c>
      <c r="B20" s="47" t="inlineStr">
        <is>
          <t>1600000008</t>
        </is>
      </c>
      <c r="C20" s="48">
        <f>IFERROR(INDEX(Materiales!$B$4:$B$484,MATCH("#"&amp;$B20,Materiales!$K$4:$K$484,0)),"")</f>
        <v/>
      </c>
      <c r="D20" s="49">
        <f>IFERROR(INDEX(Materiales!$C$4:$C$484,MATCH("#"&amp;$B20,Materiales!$K$4:$K$484,0)),"")</f>
        <v/>
      </c>
      <c r="E20" s="50" t="n"/>
      <c r="F20" s="51" t="inlineStr">
        <is>
          <t>Sostenimiento</t>
        </is>
      </c>
      <c r="G20" s="52" t="inlineStr">
        <is>
          <t>Liston para encribado entre cimbras</t>
        </is>
      </c>
      <c r="H20" s="53">
        <f>IF($B20="",0,$E20*SUMIF(Plan!$M$5:$M$24,"#"&amp;$A20,Plan!E$5:E$24))</f>
        <v/>
      </c>
      <c r="I20" s="53">
        <f>IF($B20="",0,$E20*SUMIF(Plan!$M$5:$M$24,"#"&amp;$A20,Plan!F$5:F$24))</f>
        <v/>
      </c>
      <c r="J20" s="53">
        <f>IF($B20="",0,$E20*SUMIF(Plan!$M$5:$M$24,"#"&amp;$A20,Plan!G$5:G$24))</f>
        <v/>
      </c>
      <c r="K20" s="53">
        <f>IF($B20="",0,$E20*SUMIF(Plan!$M$5:$M$24,"#"&amp;$A20,Plan!H$5:H$24))</f>
        <v/>
      </c>
      <c r="L20" s="53">
        <f>IF($B20="",0,$E20*SUMIF(Plan!$M$5:$M$24,"#"&amp;$A20,Plan!I$5:I$24))</f>
        <v/>
      </c>
      <c r="M20" s="53">
        <f>IF($B20="",0,$E20*SUMIF(Plan!$M$5:$M$24,"#"&amp;$A20,Plan!J$5:J$24))</f>
        <v/>
      </c>
      <c r="N20" s="53">
        <f>IF($B20="",0,$E20*SUMIF(Plan!$M$5:$M$24,"#"&amp;$A20,Plan!K$5:K$24))</f>
        <v/>
      </c>
      <c r="O20" s="53">
        <f>IF($B20="",0,$E20*SUMIF(Plan!$M$5:$M$24,"#"&amp;$A20,Plan!L$5:L$24))</f>
        <v/>
      </c>
      <c r="P20" s="35">
        <f>IF(B20="","","#"&amp;B20)</f>
        <v/>
      </c>
      <c r="Q20" s="35">
        <f>IF(A20="","","#"&amp;A20)</f>
        <v/>
      </c>
    </row>
    <row r="21" ht="26" customHeight="1">
      <c r="A21" s="46" t="inlineStr">
        <is>
          <t>RA Brenda</t>
        </is>
      </c>
      <c r="B21" s="47" t="inlineStr">
        <is>
          <t>1600000009</t>
        </is>
      </c>
      <c r="C21" s="48">
        <f>IFERROR(INDEX(Materiales!$B$4:$B$484,MATCH("#"&amp;$B21,Materiales!$K$4:$K$484,0)),"")</f>
        <v/>
      </c>
      <c r="D21" s="49">
        <f>IFERROR(INDEX(Materiales!$C$4:$C$484,MATCH("#"&amp;$B21,Materiales!$K$4:$K$484,0)),"")</f>
        <v/>
      </c>
      <c r="E21" s="50" t="n"/>
      <c r="F21" s="51" t="inlineStr">
        <is>
          <t>Sostenimiento</t>
        </is>
      </c>
      <c r="G21" s="52" t="inlineStr">
        <is>
          <t>Tabla aserrada para encribado</t>
        </is>
      </c>
      <c r="H21" s="53">
        <f>IF($B21="",0,$E21*SUMIF(Plan!$M$5:$M$24,"#"&amp;$A21,Plan!E$5:E$24))</f>
        <v/>
      </c>
      <c r="I21" s="53">
        <f>IF($B21="",0,$E21*SUMIF(Plan!$M$5:$M$24,"#"&amp;$A21,Plan!F$5:F$24))</f>
        <v/>
      </c>
      <c r="J21" s="53">
        <f>IF($B21="",0,$E21*SUMIF(Plan!$M$5:$M$24,"#"&amp;$A21,Plan!G$5:G$24))</f>
        <v/>
      </c>
      <c r="K21" s="53">
        <f>IF($B21="",0,$E21*SUMIF(Plan!$M$5:$M$24,"#"&amp;$A21,Plan!H$5:H$24))</f>
        <v/>
      </c>
      <c r="L21" s="53">
        <f>IF($B21="",0,$E21*SUMIF(Plan!$M$5:$M$24,"#"&amp;$A21,Plan!I$5:I$24))</f>
        <v/>
      </c>
      <c r="M21" s="53">
        <f>IF($B21="",0,$E21*SUMIF(Plan!$M$5:$M$24,"#"&amp;$A21,Plan!J$5:J$24))</f>
        <v/>
      </c>
      <c r="N21" s="53">
        <f>IF($B21="",0,$E21*SUMIF(Plan!$M$5:$M$24,"#"&amp;$A21,Plan!K$5:K$24))</f>
        <v/>
      </c>
      <c r="O21" s="53">
        <f>IF($B21="",0,$E21*SUMIF(Plan!$M$5:$M$24,"#"&amp;$A21,Plan!L$5:L$24))</f>
        <v/>
      </c>
      <c r="P21" s="35">
        <f>IF(B21="","","#"&amp;B21)</f>
        <v/>
      </c>
      <c r="Q21" s="35">
        <f>IF(A21="","","#"&amp;A21)</f>
        <v/>
      </c>
    </row>
    <row r="22" ht="26" customHeight="1">
      <c r="A22" s="46" t="inlineStr">
        <is>
          <t>RA Brenda</t>
        </is>
      </c>
      <c r="B22" s="47" t="inlineStr">
        <is>
          <t>1500000032</t>
        </is>
      </c>
      <c r="C22" s="48">
        <f>IFERROR(INDEX(Materiales!$B$4:$B$484,MATCH("#"&amp;$B22,Materiales!$K$4:$K$484,0)),"")</f>
        <v/>
      </c>
      <c r="D22" s="49">
        <f>IFERROR(INDEX(Materiales!$C$4:$C$484,MATCH("#"&amp;$B22,Materiales!$K$4:$K$484,0)),"")</f>
        <v/>
      </c>
      <c r="E22" s="50" t="n"/>
      <c r="F22" s="51" t="inlineStr">
        <is>
          <t>Sostenimiento</t>
        </is>
      </c>
      <c r="G22" s="52" t="inlineStr">
        <is>
          <t>Guiadores de madera</t>
        </is>
      </c>
      <c r="H22" s="53">
        <f>IF($B22="",0,$E22*SUMIF(Plan!$M$5:$M$24,"#"&amp;$A22,Plan!E$5:E$24))</f>
        <v/>
      </c>
      <c r="I22" s="53">
        <f>IF($B22="",0,$E22*SUMIF(Plan!$M$5:$M$24,"#"&amp;$A22,Plan!F$5:F$24))</f>
        <v/>
      </c>
      <c r="J22" s="53">
        <f>IF($B22="",0,$E22*SUMIF(Plan!$M$5:$M$24,"#"&amp;$A22,Plan!G$5:G$24))</f>
        <v/>
      </c>
      <c r="K22" s="53">
        <f>IF($B22="",0,$E22*SUMIF(Plan!$M$5:$M$24,"#"&amp;$A22,Plan!H$5:H$24))</f>
        <v/>
      </c>
      <c r="L22" s="53">
        <f>IF($B22="",0,$E22*SUMIF(Plan!$M$5:$M$24,"#"&amp;$A22,Plan!I$5:I$24))</f>
        <v/>
      </c>
      <c r="M22" s="53">
        <f>IF($B22="",0,$E22*SUMIF(Plan!$M$5:$M$24,"#"&amp;$A22,Plan!J$5:J$24))</f>
        <v/>
      </c>
      <c r="N22" s="53">
        <f>IF($B22="",0,$E22*SUMIF(Plan!$M$5:$M$24,"#"&amp;$A22,Plan!K$5:K$24))</f>
        <v/>
      </c>
      <c r="O22" s="53">
        <f>IF($B22="",0,$E22*SUMIF(Plan!$M$5:$M$24,"#"&amp;$A22,Plan!L$5:L$24))</f>
        <v/>
      </c>
      <c r="P22" s="35">
        <f>IF(B22="","","#"&amp;B22)</f>
        <v/>
      </c>
      <c r="Q22" s="35">
        <f>IF(A22="","","#"&amp;A22)</f>
        <v/>
      </c>
    </row>
    <row r="23" ht="26" customHeight="1">
      <c r="A23" s="46" t="inlineStr">
        <is>
          <t>RA Brenda</t>
        </is>
      </c>
      <c r="B23" s="47" t="inlineStr">
        <is>
          <t>2100000014</t>
        </is>
      </c>
      <c r="C23" s="48">
        <f>IFERROR(INDEX(Materiales!$B$4:$B$484,MATCH("#"&amp;$B23,Materiales!$K$4:$K$484,0)),"")</f>
        <v/>
      </c>
      <c r="D23" s="49">
        <f>IFERROR(INDEX(Materiales!$C$4:$C$484,MATCH("#"&amp;$B23,Materiales!$K$4:$K$484,0)),"")</f>
        <v/>
      </c>
      <c r="E23" s="50" t="n"/>
      <c r="F23" s="51" t="inlineStr">
        <is>
          <t>Ventilacion</t>
        </is>
      </c>
      <c r="G23" s="52" t="inlineStr">
        <is>
          <t>Manga de 30": metros de manga por metro de avance (normalmente 1)</t>
        </is>
      </c>
      <c r="H23" s="53">
        <f>IF($B23="",0,$E23*SUMIF(Plan!$M$5:$M$24,"#"&amp;$A23,Plan!E$5:E$24))</f>
        <v/>
      </c>
      <c r="I23" s="53">
        <f>IF($B23="",0,$E23*SUMIF(Plan!$M$5:$M$24,"#"&amp;$A23,Plan!F$5:F$24))</f>
        <v/>
      </c>
      <c r="J23" s="53">
        <f>IF($B23="",0,$E23*SUMIF(Plan!$M$5:$M$24,"#"&amp;$A23,Plan!G$5:G$24))</f>
        <v/>
      </c>
      <c r="K23" s="53">
        <f>IF($B23="",0,$E23*SUMIF(Plan!$M$5:$M$24,"#"&amp;$A23,Plan!H$5:H$24))</f>
        <v/>
      </c>
      <c r="L23" s="53">
        <f>IF($B23="",0,$E23*SUMIF(Plan!$M$5:$M$24,"#"&amp;$A23,Plan!I$5:I$24))</f>
        <v/>
      </c>
      <c r="M23" s="53">
        <f>IF($B23="",0,$E23*SUMIF(Plan!$M$5:$M$24,"#"&amp;$A23,Plan!J$5:J$24))</f>
        <v/>
      </c>
      <c r="N23" s="53">
        <f>IF($B23="",0,$E23*SUMIF(Plan!$M$5:$M$24,"#"&amp;$A23,Plan!K$5:K$24))</f>
        <v/>
      </c>
      <c r="O23" s="53">
        <f>IF($B23="",0,$E23*SUMIF(Plan!$M$5:$M$24,"#"&amp;$A23,Plan!L$5:L$24))</f>
        <v/>
      </c>
      <c r="P23" s="35">
        <f>IF(B23="","","#"&amp;B23)</f>
        <v/>
      </c>
      <c r="Q23" s="35">
        <f>IF(A23="","","#"&amp;A23)</f>
        <v/>
      </c>
    </row>
    <row r="24" ht="26" customHeight="1">
      <c r="A24" s="46" t="inlineStr">
        <is>
          <t>RA Brenda</t>
        </is>
      </c>
      <c r="B24" s="47" t="inlineStr">
        <is>
          <t>1900000203</t>
        </is>
      </c>
      <c r="C24" s="48">
        <f>IFERROR(INDEX(Materiales!$B$4:$B$484,MATCH("#"&amp;$B24,Materiales!$K$4:$K$484,0)),"")</f>
        <v/>
      </c>
      <c r="D24" s="49">
        <f>IFERROR(INDEX(Materiales!$C$4:$C$484,MATCH("#"&amp;$B24,Materiales!$K$4:$K$484,0)),"")</f>
        <v/>
      </c>
      <c r="E24" s="50" t="n"/>
      <c r="F24" s="51" t="inlineStr">
        <is>
          <t>Servicios</t>
        </is>
      </c>
      <c r="G24" s="52" t="inlineStr">
        <is>
          <t>Tuberia de agua 2": metros por metro de avance</t>
        </is>
      </c>
      <c r="H24" s="53">
        <f>IF($B24="",0,$E24*SUMIF(Plan!$M$5:$M$24,"#"&amp;$A24,Plan!E$5:E$24))</f>
        <v/>
      </c>
      <c r="I24" s="53">
        <f>IF($B24="",0,$E24*SUMIF(Plan!$M$5:$M$24,"#"&amp;$A24,Plan!F$5:F$24))</f>
        <v/>
      </c>
      <c r="J24" s="53">
        <f>IF($B24="",0,$E24*SUMIF(Plan!$M$5:$M$24,"#"&amp;$A24,Plan!G$5:G$24))</f>
        <v/>
      </c>
      <c r="K24" s="53">
        <f>IF($B24="",0,$E24*SUMIF(Plan!$M$5:$M$24,"#"&amp;$A24,Plan!H$5:H$24))</f>
        <v/>
      </c>
      <c r="L24" s="53">
        <f>IF($B24="",0,$E24*SUMIF(Plan!$M$5:$M$24,"#"&amp;$A24,Plan!I$5:I$24))</f>
        <v/>
      </c>
      <c r="M24" s="53">
        <f>IF($B24="",0,$E24*SUMIF(Plan!$M$5:$M$24,"#"&amp;$A24,Plan!J$5:J$24))</f>
        <v/>
      </c>
      <c r="N24" s="53">
        <f>IF($B24="",0,$E24*SUMIF(Plan!$M$5:$M$24,"#"&amp;$A24,Plan!K$5:K$24))</f>
        <v/>
      </c>
      <c r="O24" s="53">
        <f>IF($B24="",0,$E24*SUMIF(Plan!$M$5:$M$24,"#"&amp;$A24,Plan!L$5:L$24))</f>
        <v/>
      </c>
      <c r="P24" s="35">
        <f>IF(B24="","","#"&amp;B24)</f>
        <v/>
      </c>
      <c r="Q24" s="35">
        <f>IF(A24="","","#"&amp;A24)</f>
        <v/>
      </c>
    </row>
    <row r="25" ht="26" customHeight="1">
      <c r="A25" s="46" t="inlineStr">
        <is>
          <t>RA Brenda</t>
        </is>
      </c>
      <c r="B25" s="47" t="inlineStr">
        <is>
          <t>1900000205</t>
        </is>
      </c>
      <c r="C25" s="48">
        <f>IFERROR(INDEX(Materiales!$B$4:$B$484,MATCH("#"&amp;$B25,Materiales!$K$4:$K$484,0)),"")</f>
        <v/>
      </c>
      <c r="D25" s="49">
        <f>IFERROR(INDEX(Materiales!$C$4:$C$484,MATCH("#"&amp;$B25,Materiales!$K$4:$K$484,0)),"")</f>
        <v/>
      </c>
      <c r="E25" s="50" t="n"/>
      <c r="F25" s="51" t="inlineStr">
        <is>
          <t>Servicios</t>
        </is>
      </c>
      <c r="G25" s="52" t="inlineStr">
        <is>
          <t>Tuberia de aire 1": metros por metro de avance</t>
        </is>
      </c>
      <c r="H25" s="53">
        <f>IF($B25="",0,$E25*SUMIF(Plan!$M$5:$M$24,"#"&amp;$A25,Plan!E$5:E$24))</f>
        <v/>
      </c>
      <c r="I25" s="53">
        <f>IF($B25="",0,$E25*SUMIF(Plan!$M$5:$M$24,"#"&amp;$A25,Plan!F$5:F$24))</f>
        <v/>
      </c>
      <c r="J25" s="53">
        <f>IF($B25="",0,$E25*SUMIF(Plan!$M$5:$M$24,"#"&amp;$A25,Plan!G$5:G$24))</f>
        <v/>
      </c>
      <c r="K25" s="53">
        <f>IF($B25="",0,$E25*SUMIF(Plan!$M$5:$M$24,"#"&amp;$A25,Plan!H$5:H$24))</f>
        <v/>
      </c>
      <c r="L25" s="53">
        <f>IF($B25="",0,$E25*SUMIF(Plan!$M$5:$M$24,"#"&amp;$A25,Plan!I$5:I$24))</f>
        <v/>
      </c>
      <c r="M25" s="53">
        <f>IF($B25="",0,$E25*SUMIF(Plan!$M$5:$M$24,"#"&amp;$A25,Plan!J$5:J$24))</f>
        <v/>
      </c>
      <c r="N25" s="53">
        <f>IF($B25="",0,$E25*SUMIF(Plan!$M$5:$M$24,"#"&amp;$A25,Plan!K$5:K$24))</f>
        <v/>
      </c>
      <c r="O25" s="53">
        <f>IF($B25="",0,$E25*SUMIF(Plan!$M$5:$M$24,"#"&amp;$A25,Plan!L$5:L$24))</f>
        <v/>
      </c>
      <c r="P25" s="35">
        <f>IF(B25="","","#"&amp;B25)</f>
        <v/>
      </c>
      <c r="Q25" s="35">
        <f>IF(A25="","","#"&amp;A25)</f>
        <v/>
      </c>
    </row>
    <row r="26">
      <c r="A26" s="46" t="inlineStr">
        <is>
          <t>RA Brenda</t>
        </is>
      </c>
      <c r="B26" s="55" t="n"/>
      <c r="C26" s="48">
        <f>IFERROR(INDEX(Materiales!$B$4:$B$484,MATCH("#"&amp;$B26,Materiales!$K$4:$K$484,0)),"")</f>
        <v/>
      </c>
      <c r="D26" s="49">
        <f>IFERROR(INDEX(Materiales!$C$4:$C$484,MATCH("#"&amp;$B26,Materiales!$K$4:$K$484,0)),"")</f>
        <v/>
      </c>
      <c r="E26" s="50" t="n"/>
      <c r="F26" s="55" t="n"/>
      <c r="G26" s="56" t="n"/>
      <c r="H26" s="53">
        <f>IF($B26="",0,$E26*SUMIF(Plan!$M$5:$M$24,"#"&amp;$A26,Plan!E$5:E$24))</f>
        <v/>
      </c>
      <c r="I26" s="53">
        <f>IF($B26="",0,$E26*SUMIF(Plan!$M$5:$M$24,"#"&amp;$A26,Plan!F$5:F$24))</f>
        <v/>
      </c>
      <c r="J26" s="53">
        <f>IF($B26="",0,$E26*SUMIF(Plan!$M$5:$M$24,"#"&amp;$A26,Plan!G$5:G$24))</f>
        <v/>
      </c>
      <c r="K26" s="53">
        <f>IF($B26="",0,$E26*SUMIF(Plan!$M$5:$M$24,"#"&amp;$A26,Plan!H$5:H$24))</f>
        <v/>
      </c>
      <c r="L26" s="53">
        <f>IF($B26="",0,$E26*SUMIF(Plan!$M$5:$M$24,"#"&amp;$A26,Plan!I$5:I$24))</f>
        <v/>
      </c>
      <c r="M26" s="53">
        <f>IF($B26="",0,$E26*SUMIF(Plan!$M$5:$M$24,"#"&amp;$A26,Plan!J$5:J$24))</f>
        <v/>
      </c>
      <c r="N26" s="53">
        <f>IF($B26="",0,$E26*SUMIF(Plan!$M$5:$M$24,"#"&amp;$A26,Plan!K$5:K$24))</f>
        <v/>
      </c>
      <c r="O26" s="53">
        <f>IF($B26="",0,$E26*SUMIF(Plan!$M$5:$M$24,"#"&amp;$A26,Plan!L$5:L$24))</f>
        <v/>
      </c>
      <c r="P26" s="35">
        <f>IF(B26="","","#"&amp;B26)</f>
        <v/>
      </c>
      <c r="Q26" s="35">
        <f>IF(A26="","","#"&amp;A26)</f>
        <v/>
      </c>
    </row>
    <row r="27">
      <c r="A27" s="46" t="inlineStr">
        <is>
          <t>RA Brenda</t>
        </is>
      </c>
      <c r="B27" s="55" t="n"/>
      <c r="C27" s="48">
        <f>IFERROR(INDEX(Materiales!$B$4:$B$484,MATCH("#"&amp;$B27,Materiales!$K$4:$K$484,0)),"")</f>
        <v/>
      </c>
      <c r="D27" s="49">
        <f>IFERROR(INDEX(Materiales!$C$4:$C$484,MATCH("#"&amp;$B27,Materiales!$K$4:$K$484,0)),"")</f>
        <v/>
      </c>
      <c r="E27" s="50" t="n"/>
      <c r="F27" s="55" t="n"/>
      <c r="G27" s="56" t="n"/>
      <c r="H27" s="53">
        <f>IF($B27="",0,$E27*SUMIF(Plan!$M$5:$M$24,"#"&amp;$A27,Plan!E$5:E$24))</f>
        <v/>
      </c>
      <c r="I27" s="53">
        <f>IF($B27="",0,$E27*SUMIF(Plan!$M$5:$M$24,"#"&amp;$A27,Plan!F$5:F$24))</f>
        <v/>
      </c>
      <c r="J27" s="53">
        <f>IF($B27="",0,$E27*SUMIF(Plan!$M$5:$M$24,"#"&amp;$A27,Plan!G$5:G$24))</f>
        <v/>
      </c>
      <c r="K27" s="53">
        <f>IF($B27="",0,$E27*SUMIF(Plan!$M$5:$M$24,"#"&amp;$A27,Plan!H$5:H$24))</f>
        <v/>
      </c>
      <c r="L27" s="53">
        <f>IF($B27="",0,$E27*SUMIF(Plan!$M$5:$M$24,"#"&amp;$A27,Plan!I$5:I$24))</f>
        <v/>
      </c>
      <c r="M27" s="53">
        <f>IF($B27="",0,$E27*SUMIF(Plan!$M$5:$M$24,"#"&amp;$A27,Plan!J$5:J$24))</f>
        <v/>
      </c>
      <c r="N27" s="53">
        <f>IF($B27="",0,$E27*SUMIF(Plan!$M$5:$M$24,"#"&amp;$A27,Plan!K$5:K$24))</f>
        <v/>
      </c>
      <c r="O27" s="53">
        <f>IF($B27="",0,$E27*SUMIF(Plan!$M$5:$M$24,"#"&amp;$A27,Plan!L$5:L$24))</f>
        <v/>
      </c>
      <c r="P27" s="35">
        <f>IF(B27="","","#"&amp;B27)</f>
        <v/>
      </c>
      <c r="Q27" s="35">
        <f>IF(A27="","","#"&amp;A27)</f>
        <v/>
      </c>
    </row>
    <row r="28">
      <c r="A28" s="46" t="inlineStr">
        <is>
          <t>RA Brenda</t>
        </is>
      </c>
      <c r="B28" s="55" t="n"/>
      <c r="C28" s="48">
        <f>IFERROR(INDEX(Materiales!$B$4:$B$484,MATCH("#"&amp;$B28,Materiales!$K$4:$K$484,0)),"")</f>
        <v/>
      </c>
      <c r="D28" s="49">
        <f>IFERROR(INDEX(Materiales!$C$4:$C$484,MATCH("#"&amp;$B28,Materiales!$K$4:$K$484,0)),"")</f>
        <v/>
      </c>
      <c r="E28" s="50" t="n"/>
      <c r="F28" s="55" t="n"/>
      <c r="G28" s="56" t="n"/>
      <c r="H28" s="53">
        <f>IF($B28="",0,$E28*SUMIF(Plan!$M$5:$M$24,"#"&amp;$A28,Plan!E$5:E$24))</f>
        <v/>
      </c>
      <c r="I28" s="53">
        <f>IF($B28="",0,$E28*SUMIF(Plan!$M$5:$M$24,"#"&amp;$A28,Plan!F$5:F$24))</f>
        <v/>
      </c>
      <c r="J28" s="53">
        <f>IF($B28="",0,$E28*SUMIF(Plan!$M$5:$M$24,"#"&amp;$A28,Plan!G$5:G$24))</f>
        <v/>
      </c>
      <c r="K28" s="53">
        <f>IF($B28="",0,$E28*SUMIF(Plan!$M$5:$M$24,"#"&amp;$A28,Plan!H$5:H$24))</f>
        <v/>
      </c>
      <c r="L28" s="53">
        <f>IF($B28="",0,$E28*SUMIF(Plan!$M$5:$M$24,"#"&amp;$A28,Plan!I$5:I$24))</f>
        <v/>
      </c>
      <c r="M28" s="53">
        <f>IF($B28="",0,$E28*SUMIF(Plan!$M$5:$M$24,"#"&amp;$A28,Plan!J$5:J$24))</f>
        <v/>
      </c>
      <c r="N28" s="53">
        <f>IF($B28="",0,$E28*SUMIF(Plan!$M$5:$M$24,"#"&amp;$A28,Plan!K$5:K$24))</f>
        <v/>
      </c>
      <c r="O28" s="53">
        <f>IF($B28="",0,$E28*SUMIF(Plan!$M$5:$M$24,"#"&amp;$A28,Plan!L$5:L$24))</f>
        <v/>
      </c>
      <c r="P28" s="35">
        <f>IF(B28="","","#"&amp;B28)</f>
        <v/>
      </c>
      <c r="Q28" s="35">
        <f>IF(A28="","","#"&amp;A28)</f>
        <v/>
      </c>
    </row>
    <row r="29">
      <c r="A29" s="46" t="inlineStr">
        <is>
          <t>RA Brenda</t>
        </is>
      </c>
      <c r="B29" s="55" t="n"/>
      <c r="C29" s="48">
        <f>IFERROR(INDEX(Materiales!$B$4:$B$484,MATCH("#"&amp;$B29,Materiales!$K$4:$K$484,0)),"")</f>
        <v/>
      </c>
      <c r="D29" s="49">
        <f>IFERROR(INDEX(Materiales!$C$4:$C$484,MATCH("#"&amp;$B29,Materiales!$K$4:$K$484,0)),"")</f>
        <v/>
      </c>
      <c r="E29" s="50" t="n"/>
      <c r="F29" s="55" t="n"/>
      <c r="G29" s="56" t="n"/>
      <c r="H29" s="53">
        <f>IF($B29="",0,$E29*SUMIF(Plan!$M$5:$M$24,"#"&amp;$A29,Plan!E$5:E$24))</f>
        <v/>
      </c>
      <c r="I29" s="53">
        <f>IF($B29="",0,$E29*SUMIF(Plan!$M$5:$M$24,"#"&amp;$A29,Plan!F$5:F$24))</f>
        <v/>
      </c>
      <c r="J29" s="53">
        <f>IF($B29="",0,$E29*SUMIF(Plan!$M$5:$M$24,"#"&amp;$A29,Plan!G$5:G$24))</f>
        <v/>
      </c>
      <c r="K29" s="53">
        <f>IF($B29="",0,$E29*SUMIF(Plan!$M$5:$M$24,"#"&amp;$A29,Plan!H$5:H$24))</f>
        <v/>
      </c>
      <c r="L29" s="53">
        <f>IF($B29="",0,$E29*SUMIF(Plan!$M$5:$M$24,"#"&amp;$A29,Plan!I$5:I$24))</f>
        <v/>
      </c>
      <c r="M29" s="53">
        <f>IF($B29="",0,$E29*SUMIF(Plan!$M$5:$M$24,"#"&amp;$A29,Plan!J$5:J$24))</f>
        <v/>
      </c>
      <c r="N29" s="53">
        <f>IF($B29="",0,$E29*SUMIF(Plan!$M$5:$M$24,"#"&amp;$A29,Plan!K$5:K$24))</f>
        <v/>
      </c>
      <c r="O29" s="53">
        <f>IF($B29="",0,$E29*SUMIF(Plan!$M$5:$M$24,"#"&amp;$A29,Plan!L$5:L$24))</f>
        <v/>
      </c>
      <c r="P29" s="35">
        <f>IF(B29="","","#"&amp;B29)</f>
        <v/>
      </c>
      <c r="Q29" s="35">
        <f>IF(A29="","","#"&amp;A29)</f>
        <v/>
      </c>
    </row>
    <row r="30">
      <c r="A30" s="46" t="inlineStr">
        <is>
          <t>RA Brenda</t>
        </is>
      </c>
      <c r="B30" s="55" t="n"/>
      <c r="C30" s="48">
        <f>IFERROR(INDEX(Materiales!$B$4:$B$484,MATCH("#"&amp;$B30,Materiales!$K$4:$K$484,0)),"")</f>
        <v/>
      </c>
      <c r="D30" s="49">
        <f>IFERROR(INDEX(Materiales!$C$4:$C$484,MATCH("#"&amp;$B30,Materiales!$K$4:$K$484,0)),"")</f>
        <v/>
      </c>
      <c r="E30" s="50" t="n"/>
      <c r="F30" s="55" t="n"/>
      <c r="G30" s="56" t="n"/>
      <c r="H30" s="53">
        <f>IF($B30="",0,$E30*SUMIF(Plan!$M$5:$M$24,"#"&amp;$A30,Plan!E$5:E$24))</f>
        <v/>
      </c>
      <c r="I30" s="53">
        <f>IF($B30="",0,$E30*SUMIF(Plan!$M$5:$M$24,"#"&amp;$A30,Plan!F$5:F$24))</f>
        <v/>
      </c>
      <c r="J30" s="53">
        <f>IF($B30="",0,$E30*SUMIF(Plan!$M$5:$M$24,"#"&amp;$A30,Plan!G$5:G$24))</f>
        <v/>
      </c>
      <c r="K30" s="53">
        <f>IF($B30="",0,$E30*SUMIF(Plan!$M$5:$M$24,"#"&amp;$A30,Plan!H$5:H$24))</f>
        <v/>
      </c>
      <c r="L30" s="53">
        <f>IF($B30="",0,$E30*SUMIF(Plan!$M$5:$M$24,"#"&amp;$A30,Plan!I$5:I$24))</f>
        <v/>
      </c>
      <c r="M30" s="53">
        <f>IF($B30="",0,$E30*SUMIF(Plan!$M$5:$M$24,"#"&amp;$A30,Plan!J$5:J$24))</f>
        <v/>
      </c>
      <c r="N30" s="53">
        <f>IF($B30="",0,$E30*SUMIF(Plan!$M$5:$M$24,"#"&amp;$A30,Plan!K$5:K$24))</f>
        <v/>
      </c>
      <c r="O30" s="53">
        <f>IF($B30="",0,$E30*SUMIF(Plan!$M$5:$M$24,"#"&amp;$A30,Plan!L$5:L$24))</f>
        <v/>
      </c>
      <c r="P30" s="35">
        <f>IF(B30="","","#"&amp;B30)</f>
        <v/>
      </c>
      <c r="Q30" s="35">
        <f>IF(A30="","","#"&amp;A30)</f>
        <v/>
      </c>
    </row>
    <row r="31">
      <c r="A31" s="46" t="inlineStr">
        <is>
          <t>RA Brenda</t>
        </is>
      </c>
      <c r="B31" s="55" t="n"/>
      <c r="C31" s="48">
        <f>IFERROR(INDEX(Materiales!$B$4:$B$484,MATCH("#"&amp;$B31,Materiales!$K$4:$K$484,0)),"")</f>
        <v/>
      </c>
      <c r="D31" s="49">
        <f>IFERROR(INDEX(Materiales!$C$4:$C$484,MATCH("#"&amp;$B31,Materiales!$K$4:$K$484,0)),"")</f>
        <v/>
      </c>
      <c r="E31" s="50" t="n"/>
      <c r="F31" s="55" t="n"/>
      <c r="G31" s="56" t="n"/>
      <c r="H31" s="53">
        <f>IF($B31="",0,$E31*SUMIF(Plan!$M$5:$M$24,"#"&amp;$A31,Plan!E$5:E$24))</f>
        <v/>
      </c>
      <c r="I31" s="53">
        <f>IF($B31="",0,$E31*SUMIF(Plan!$M$5:$M$24,"#"&amp;$A31,Plan!F$5:F$24))</f>
        <v/>
      </c>
      <c r="J31" s="53">
        <f>IF($B31="",0,$E31*SUMIF(Plan!$M$5:$M$24,"#"&amp;$A31,Plan!G$5:G$24))</f>
        <v/>
      </c>
      <c r="K31" s="53">
        <f>IF($B31="",0,$E31*SUMIF(Plan!$M$5:$M$24,"#"&amp;$A31,Plan!H$5:H$24))</f>
        <v/>
      </c>
      <c r="L31" s="53">
        <f>IF($B31="",0,$E31*SUMIF(Plan!$M$5:$M$24,"#"&amp;$A31,Plan!I$5:I$24))</f>
        <v/>
      </c>
      <c r="M31" s="53">
        <f>IF($B31="",0,$E31*SUMIF(Plan!$M$5:$M$24,"#"&amp;$A31,Plan!J$5:J$24))</f>
        <v/>
      </c>
      <c r="N31" s="53">
        <f>IF($B31="",0,$E31*SUMIF(Plan!$M$5:$M$24,"#"&amp;$A31,Plan!K$5:K$24))</f>
        <v/>
      </c>
      <c r="O31" s="53">
        <f>IF($B31="",0,$E31*SUMIF(Plan!$M$5:$M$24,"#"&amp;$A31,Plan!L$5:L$24))</f>
        <v/>
      </c>
      <c r="P31" s="35">
        <f>IF(B31="","","#"&amp;B31)</f>
        <v/>
      </c>
      <c r="Q31" s="35">
        <f>IF(A31="","","#"&amp;A31)</f>
        <v/>
      </c>
    </row>
    <row r="32">
      <c r="A32" s="46" t="inlineStr">
        <is>
          <t>RA Brenda</t>
        </is>
      </c>
      <c r="B32" s="55" t="n"/>
      <c r="C32" s="48">
        <f>IFERROR(INDEX(Materiales!$B$4:$B$484,MATCH("#"&amp;$B32,Materiales!$K$4:$K$484,0)),"")</f>
        <v/>
      </c>
      <c r="D32" s="49">
        <f>IFERROR(INDEX(Materiales!$C$4:$C$484,MATCH("#"&amp;$B32,Materiales!$K$4:$K$484,0)),"")</f>
        <v/>
      </c>
      <c r="E32" s="50" t="n"/>
      <c r="F32" s="55" t="n"/>
      <c r="G32" s="56" t="n"/>
      <c r="H32" s="53">
        <f>IF($B32="",0,$E32*SUMIF(Plan!$M$5:$M$24,"#"&amp;$A32,Plan!E$5:E$24))</f>
        <v/>
      </c>
      <c r="I32" s="53">
        <f>IF($B32="",0,$E32*SUMIF(Plan!$M$5:$M$24,"#"&amp;$A32,Plan!F$5:F$24))</f>
        <v/>
      </c>
      <c r="J32" s="53">
        <f>IF($B32="",0,$E32*SUMIF(Plan!$M$5:$M$24,"#"&amp;$A32,Plan!G$5:G$24))</f>
        <v/>
      </c>
      <c r="K32" s="53">
        <f>IF($B32="",0,$E32*SUMIF(Plan!$M$5:$M$24,"#"&amp;$A32,Plan!H$5:H$24))</f>
        <v/>
      </c>
      <c r="L32" s="53">
        <f>IF($B32="",0,$E32*SUMIF(Plan!$M$5:$M$24,"#"&amp;$A32,Plan!I$5:I$24))</f>
        <v/>
      </c>
      <c r="M32" s="53">
        <f>IF($B32="",0,$E32*SUMIF(Plan!$M$5:$M$24,"#"&amp;$A32,Plan!J$5:J$24))</f>
        <v/>
      </c>
      <c r="N32" s="53">
        <f>IF($B32="",0,$E32*SUMIF(Plan!$M$5:$M$24,"#"&amp;$A32,Plan!K$5:K$24))</f>
        <v/>
      </c>
      <c r="O32" s="53">
        <f>IF($B32="",0,$E32*SUMIF(Plan!$M$5:$M$24,"#"&amp;$A32,Plan!L$5:L$24))</f>
        <v/>
      </c>
      <c r="P32" s="35">
        <f>IF(B32="","","#"&amp;B32)</f>
        <v/>
      </c>
      <c r="Q32" s="35">
        <f>IF(A32="","","#"&amp;A32)</f>
        <v/>
      </c>
    </row>
    <row r="33">
      <c r="A33" s="46" t="inlineStr">
        <is>
          <t>RA Brenda</t>
        </is>
      </c>
      <c r="B33" s="55" t="n"/>
      <c r="C33" s="48">
        <f>IFERROR(INDEX(Materiales!$B$4:$B$484,MATCH("#"&amp;$B33,Materiales!$K$4:$K$484,0)),"")</f>
        <v/>
      </c>
      <c r="D33" s="49">
        <f>IFERROR(INDEX(Materiales!$C$4:$C$484,MATCH("#"&amp;$B33,Materiales!$K$4:$K$484,0)),"")</f>
        <v/>
      </c>
      <c r="E33" s="50" t="n"/>
      <c r="F33" s="55" t="n"/>
      <c r="G33" s="56" t="n"/>
      <c r="H33" s="53">
        <f>IF($B33="",0,$E33*SUMIF(Plan!$M$5:$M$24,"#"&amp;$A33,Plan!E$5:E$24))</f>
        <v/>
      </c>
      <c r="I33" s="53">
        <f>IF($B33="",0,$E33*SUMIF(Plan!$M$5:$M$24,"#"&amp;$A33,Plan!F$5:F$24))</f>
        <v/>
      </c>
      <c r="J33" s="53">
        <f>IF($B33="",0,$E33*SUMIF(Plan!$M$5:$M$24,"#"&amp;$A33,Plan!G$5:G$24))</f>
        <v/>
      </c>
      <c r="K33" s="53">
        <f>IF($B33="",0,$E33*SUMIF(Plan!$M$5:$M$24,"#"&amp;$A33,Plan!H$5:H$24))</f>
        <v/>
      </c>
      <c r="L33" s="53">
        <f>IF($B33="",0,$E33*SUMIF(Plan!$M$5:$M$24,"#"&amp;$A33,Plan!I$5:I$24))</f>
        <v/>
      </c>
      <c r="M33" s="53">
        <f>IF($B33="",0,$E33*SUMIF(Plan!$M$5:$M$24,"#"&amp;$A33,Plan!J$5:J$24))</f>
        <v/>
      </c>
      <c r="N33" s="53">
        <f>IF($B33="",0,$E33*SUMIF(Plan!$M$5:$M$24,"#"&amp;$A33,Plan!K$5:K$24))</f>
        <v/>
      </c>
      <c r="O33" s="53">
        <f>IF($B33="",0,$E33*SUMIF(Plan!$M$5:$M$24,"#"&amp;$A33,Plan!L$5:L$24))</f>
        <v/>
      </c>
      <c r="P33" s="35">
        <f>IF(B33="","","#"&amp;B33)</f>
        <v/>
      </c>
      <c r="Q33" s="35">
        <f>IF(A33="","","#"&amp;A33)</f>
        <v/>
      </c>
    </row>
    <row r="34">
      <c r="A34" s="46" t="inlineStr">
        <is>
          <t>RA Brenda</t>
        </is>
      </c>
      <c r="B34" s="55" t="n"/>
      <c r="C34" s="48">
        <f>IFERROR(INDEX(Materiales!$B$4:$B$484,MATCH("#"&amp;$B34,Materiales!$K$4:$K$484,0)),"")</f>
        <v/>
      </c>
      <c r="D34" s="49">
        <f>IFERROR(INDEX(Materiales!$C$4:$C$484,MATCH("#"&amp;$B34,Materiales!$K$4:$K$484,0)),"")</f>
        <v/>
      </c>
      <c r="E34" s="50" t="n"/>
      <c r="F34" s="55" t="n"/>
      <c r="G34" s="56" t="n"/>
      <c r="H34" s="53">
        <f>IF($B34="",0,$E34*SUMIF(Plan!$M$5:$M$24,"#"&amp;$A34,Plan!E$5:E$24))</f>
        <v/>
      </c>
      <c r="I34" s="53">
        <f>IF($B34="",0,$E34*SUMIF(Plan!$M$5:$M$24,"#"&amp;$A34,Plan!F$5:F$24))</f>
        <v/>
      </c>
      <c r="J34" s="53">
        <f>IF($B34="",0,$E34*SUMIF(Plan!$M$5:$M$24,"#"&amp;$A34,Plan!G$5:G$24))</f>
        <v/>
      </c>
      <c r="K34" s="53">
        <f>IF($B34="",0,$E34*SUMIF(Plan!$M$5:$M$24,"#"&amp;$A34,Plan!H$5:H$24))</f>
        <v/>
      </c>
      <c r="L34" s="53">
        <f>IF($B34="",0,$E34*SUMIF(Plan!$M$5:$M$24,"#"&amp;$A34,Plan!I$5:I$24))</f>
        <v/>
      </c>
      <c r="M34" s="53">
        <f>IF($B34="",0,$E34*SUMIF(Plan!$M$5:$M$24,"#"&amp;$A34,Plan!J$5:J$24))</f>
        <v/>
      </c>
      <c r="N34" s="53">
        <f>IF($B34="",0,$E34*SUMIF(Plan!$M$5:$M$24,"#"&amp;$A34,Plan!K$5:K$24))</f>
        <v/>
      </c>
      <c r="O34" s="53">
        <f>IF($B34="",0,$E34*SUMIF(Plan!$M$5:$M$24,"#"&amp;$A34,Plan!L$5:L$24))</f>
        <v/>
      </c>
      <c r="P34" s="35">
        <f>IF(B34="","","#"&amp;B34)</f>
        <v/>
      </c>
      <c r="Q34" s="35">
        <f>IF(A34="","","#"&amp;A34)</f>
        <v/>
      </c>
    </row>
    <row r="35" ht="20" customHeight="1">
      <c r="A35" s="44" t="inlineStr">
        <is>
          <t>FRENTE:  CRNE (Cortada Noreste)   —   consumo por CADA metro de avance</t>
        </is>
      </c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</row>
    <row r="36" ht="26" customHeight="1">
      <c r="A36" s="46" t="inlineStr">
        <is>
          <t>CRNE (Cortada Noreste)</t>
        </is>
      </c>
      <c r="B36" s="47" t="inlineStr">
        <is>
          <t>1300000026</t>
        </is>
      </c>
      <c r="C36" s="48">
        <f>IFERROR(INDEX(Materiales!$B$4:$B$484,MATCH("#"&amp;$B36,Materiales!$K$4:$K$484,0)),"")</f>
        <v/>
      </c>
      <c r="D36" s="49">
        <f>IFERROR(INDEX(Materiales!$C$4:$C$484,MATCH("#"&amp;$B36,Materiales!$K$4:$K$484,0)),"")</f>
        <v/>
      </c>
      <c r="E36" s="50" t="n"/>
      <c r="F36" s="51" t="inlineStr">
        <is>
          <t>Perforacion</t>
        </is>
      </c>
      <c r="G36" s="52" t="inlineStr">
        <is>
          <t>Brocas por metro: (brocas gastadas al mes) / (metros del mes)</t>
        </is>
      </c>
      <c r="H36" s="53">
        <f>IF($B36="",0,$E36*SUMIF(Plan!$M$5:$M$24,"#"&amp;$A36,Plan!E$5:E$24))</f>
        <v/>
      </c>
      <c r="I36" s="53">
        <f>IF($B36="",0,$E36*SUMIF(Plan!$M$5:$M$24,"#"&amp;$A36,Plan!F$5:F$24))</f>
        <v/>
      </c>
      <c r="J36" s="53">
        <f>IF($B36="",0,$E36*SUMIF(Plan!$M$5:$M$24,"#"&amp;$A36,Plan!G$5:G$24))</f>
        <v/>
      </c>
      <c r="K36" s="53">
        <f>IF($B36="",0,$E36*SUMIF(Plan!$M$5:$M$24,"#"&amp;$A36,Plan!H$5:H$24))</f>
        <v/>
      </c>
      <c r="L36" s="53">
        <f>IF($B36="",0,$E36*SUMIF(Plan!$M$5:$M$24,"#"&amp;$A36,Plan!I$5:I$24))</f>
        <v/>
      </c>
      <c r="M36" s="53">
        <f>IF($B36="",0,$E36*SUMIF(Plan!$M$5:$M$24,"#"&amp;$A36,Plan!J$5:J$24))</f>
        <v/>
      </c>
      <c r="N36" s="53">
        <f>IF($B36="",0,$E36*SUMIF(Plan!$M$5:$M$24,"#"&amp;$A36,Plan!K$5:K$24))</f>
        <v/>
      </c>
      <c r="O36" s="53">
        <f>IF($B36="",0,$E36*SUMIF(Plan!$M$5:$M$24,"#"&amp;$A36,Plan!L$5:L$24))</f>
        <v/>
      </c>
      <c r="P36" s="35">
        <f>IF(B36="","","#"&amp;B36)</f>
        <v/>
      </c>
      <c r="Q36" s="35">
        <f>IF(A36="","","#"&amp;A36)</f>
        <v/>
      </c>
    </row>
    <row r="37" ht="26" customHeight="1">
      <c r="A37" s="46" t="inlineStr">
        <is>
          <t>CRNE (Cortada Noreste)</t>
        </is>
      </c>
      <c r="B37" s="47" t="inlineStr">
        <is>
          <t>1300000023</t>
        </is>
      </c>
      <c r="C37" s="48">
        <f>IFERROR(INDEX(Materiales!$B$4:$B$484,MATCH("#"&amp;$B37,Materiales!$K$4:$K$484,0)),"")</f>
        <v/>
      </c>
      <c r="D37" s="49">
        <f>IFERROR(INDEX(Materiales!$C$4:$C$484,MATCH("#"&amp;$B37,Materiales!$K$4:$K$484,0)),"")</f>
        <v/>
      </c>
      <c r="E37" s="50" t="n"/>
      <c r="F37" s="51" t="inlineStr">
        <is>
          <t>Perforacion</t>
        </is>
      </c>
      <c r="G37" s="52" t="inlineStr">
        <is>
          <t>Broca de 32 mm, si se usa</t>
        </is>
      </c>
      <c r="H37" s="53">
        <f>IF($B37="",0,$E37*SUMIF(Plan!$M$5:$M$24,"#"&amp;$A37,Plan!E$5:E$24))</f>
        <v/>
      </c>
      <c r="I37" s="53">
        <f>IF($B37="",0,$E37*SUMIF(Plan!$M$5:$M$24,"#"&amp;$A37,Plan!F$5:F$24))</f>
        <v/>
      </c>
      <c r="J37" s="53">
        <f>IF($B37="",0,$E37*SUMIF(Plan!$M$5:$M$24,"#"&amp;$A37,Plan!G$5:G$24))</f>
        <v/>
      </c>
      <c r="K37" s="53">
        <f>IF($B37="",0,$E37*SUMIF(Plan!$M$5:$M$24,"#"&amp;$A37,Plan!H$5:H$24))</f>
        <v/>
      </c>
      <c r="L37" s="53">
        <f>IF($B37="",0,$E37*SUMIF(Plan!$M$5:$M$24,"#"&amp;$A37,Plan!I$5:I$24))</f>
        <v/>
      </c>
      <c r="M37" s="53">
        <f>IF($B37="",0,$E37*SUMIF(Plan!$M$5:$M$24,"#"&amp;$A37,Plan!J$5:J$24))</f>
        <v/>
      </c>
      <c r="N37" s="53">
        <f>IF($B37="",0,$E37*SUMIF(Plan!$M$5:$M$24,"#"&amp;$A37,Plan!K$5:K$24))</f>
        <v/>
      </c>
      <c r="O37" s="53">
        <f>IF($B37="",0,$E37*SUMIF(Plan!$M$5:$M$24,"#"&amp;$A37,Plan!L$5:L$24))</f>
        <v/>
      </c>
      <c r="P37" s="35">
        <f>IF(B37="","","#"&amp;B37)</f>
        <v/>
      </c>
      <c r="Q37" s="35">
        <f>IF(A37="","","#"&amp;A37)</f>
        <v/>
      </c>
    </row>
    <row r="38" ht="26" customHeight="1">
      <c r="A38" s="46" t="inlineStr">
        <is>
          <t>CRNE (Cortada Noreste)</t>
        </is>
      </c>
      <c r="B38" s="47" t="inlineStr">
        <is>
          <t>1300000036</t>
        </is>
      </c>
      <c r="C38" s="48">
        <f>IFERROR(INDEX(Materiales!$B$4:$B$484,MATCH("#"&amp;$B38,Materiales!$K$4:$K$484,0)),"")</f>
        <v/>
      </c>
      <c r="D38" s="49">
        <f>IFERROR(INDEX(Materiales!$C$4:$C$484,MATCH("#"&amp;$B38,Materiales!$K$4:$K$484,0)),"")</f>
        <v/>
      </c>
      <c r="E38" s="50" t="n"/>
      <c r="F38" s="51" t="inlineStr">
        <is>
          <t>Perforacion</t>
        </is>
      </c>
      <c r="G38" s="52" t="inlineStr">
        <is>
          <t>Barreno / barra conica 6'. Vida util: metros perforados antes de descarte</t>
        </is>
      </c>
      <c r="H38" s="53">
        <f>IF($B38="",0,$E38*SUMIF(Plan!$M$5:$M$24,"#"&amp;$A38,Plan!E$5:E$24))</f>
        <v/>
      </c>
      <c r="I38" s="53">
        <f>IF($B38="",0,$E38*SUMIF(Plan!$M$5:$M$24,"#"&amp;$A38,Plan!F$5:F$24))</f>
        <v/>
      </c>
      <c r="J38" s="53">
        <f>IF($B38="",0,$E38*SUMIF(Plan!$M$5:$M$24,"#"&amp;$A38,Plan!G$5:G$24))</f>
        <v/>
      </c>
      <c r="K38" s="53">
        <f>IF($B38="",0,$E38*SUMIF(Plan!$M$5:$M$24,"#"&amp;$A38,Plan!H$5:H$24))</f>
        <v/>
      </c>
      <c r="L38" s="53">
        <f>IF($B38="",0,$E38*SUMIF(Plan!$M$5:$M$24,"#"&amp;$A38,Plan!I$5:I$24))</f>
        <v/>
      </c>
      <c r="M38" s="53">
        <f>IF($B38="",0,$E38*SUMIF(Plan!$M$5:$M$24,"#"&amp;$A38,Plan!J$5:J$24))</f>
        <v/>
      </c>
      <c r="N38" s="53">
        <f>IF($B38="",0,$E38*SUMIF(Plan!$M$5:$M$24,"#"&amp;$A38,Plan!K$5:K$24))</f>
        <v/>
      </c>
      <c r="O38" s="53">
        <f>IF($B38="",0,$E38*SUMIF(Plan!$M$5:$M$24,"#"&amp;$A38,Plan!L$5:L$24))</f>
        <v/>
      </c>
      <c r="P38" s="35">
        <f>IF(B38="","","#"&amp;B38)</f>
        <v/>
      </c>
      <c r="Q38" s="35">
        <f>IF(A38="","","#"&amp;A38)</f>
        <v/>
      </c>
    </row>
    <row r="39" ht="26" customHeight="1">
      <c r="A39" s="46" t="inlineStr">
        <is>
          <t>CRNE (Cortada Noreste)</t>
        </is>
      </c>
      <c r="B39" s="47" t="inlineStr">
        <is>
          <t>1300000037</t>
        </is>
      </c>
      <c r="C39" s="48">
        <f>IFERROR(INDEX(Materiales!$B$4:$B$484,MATCH("#"&amp;$B39,Materiales!$K$4:$K$484,0)),"")</f>
        <v/>
      </c>
      <c r="D39" s="49">
        <f>IFERROR(INDEX(Materiales!$C$4:$C$484,MATCH("#"&amp;$B39,Materiales!$K$4:$K$484,0)),"")</f>
        <v/>
      </c>
      <c r="E39" s="50" t="n"/>
      <c r="F39" s="51" t="inlineStr">
        <is>
          <t>Perforacion</t>
        </is>
      </c>
      <c r="G39" s="52" t="inlineStr">
        <is>
          <t>Barreno / barra conica 4'</t>
        </is>
      </c>
      <c r="H39" s="53">
        <f>IF($B39="",0,$E39*SUMIF(Plan!$M$5:$M$24,"#"&amp;$A39,Plan!E$5:E$24))</f>
        <v/>
      </c>
      <c r="I39" s="53">
        <f>IF($B39="",0,$E39*SUMIF(Plan!$M$5:$M$24,"#"&amp;$A39,Plan!F$5:F$24))</f>
        <v/>
      </c>
      <c r="J39" s="53">
        <f>IF($B39="",0,$E39*SUMIF(Plan!$M$5:$M$24,"#"&amp;$A39,Plan!G$5:G$24))</f>
        <v/>
      </c>
      <c r="K39" s="53">
        <f>IF($B39="",0,$E39*SUMIF(Plan!$M$5:$M$24,"#"&amp;$A39,Plan!H$5:H$24))</f>
        <v/>
      </c>
      <c r="L39" s="53">
        <f>IF($B39="",0,$E39*SUMIF(Plan!$M$5:$M$24,"#"&amp;$A39,Plan!I$5:I$24))</f>
        <v/>
      </c>
      <c r="M39" s="53">
        <f>IF($B39="",0,$E39*SUMIF(Plan!$M$5:$M$24,"#"&amp;$A39,Plan!J$5:J$24))</f>
        <v/>
      </c>
      <c r="N39" s="53">
        <f>IF($B39="",0,$E39*SUMIF(Plan!$M$5:$M$24,"#"&amp;$A39,Plan!K$5:K$24))</f>
        <v/>
      </c>
      <c r="O39" s="53">
        <f>IF($B39="",0,$E39*SUMIF(Plan!$M$5:$M$24,"#"&amp;$A39,Plan!L$5:L$24))</f>
        <v/>
      </c>
      <c r="P39" s="35">
        <f>IF(B39="","","#"&amp;B39)</f>
        <v/>
      </c>
      <c r="Q39" s="35">
        <f>IF(A39="","","#"&amp;A39)</f>
        <v/>
      </c>
    </row>
    <row r="40" ht="26" customHeight="1">
      <c r="A40" s="46" t="inlineStr">
        <is>
          <t>CRNE (Cortada Noreste)</t>
        </is>
      </c>
      <c r="B40" s="47" t="inlineStr">
        <is>
          <t>1200000022</t>
        </is>
      </c>
      <c r="C40" s="48">
        <f>IFERROR(INDEX(Materiales!$B$4:$B$484,MATCH("#"&amp;$B40,Materiales!$K$4:$K$484,0)),"")</f>
        <v/>
      </c>
      <c r="D40" s="49">
        <f>IFERROR(INDEX(Materiales!$C$4:$C$484,MATCH("#"&amp;$B40,Materiales!$K$4:$K$484,0)),"")</f>
        <v/>
      </c>
      <c r="E40" s="50" t="n"/>
      <c r="F40" s="51" t="inlineStr">
        <is>
          <t>Perforacion</t>
        </is>
      </c>
      <c r="G40" s="52" t="inlineStr">
        <is>
          <t>Aceite de la perforadora por metro</t>
        </is>
      </c>
      <c r="H40" s="53">
        <f>IF($B40="",0,$E40*SUMIF(Plan!$M$5:$M$24,"#"&amp;$A40,Plan!E$5:E$24))</f>
        <v/>
      </c>
      <c r="I40" s="53">
        <f>IF($B40="",0,$E40*SUMIF(Plan!$M$5:$M$24,"#"&amp;$A40,Plan!F$5:F$24))</f>
        <v/>
      </c>
      <c r="J40" s="53">
        <f>IF($B40="",0,$E40*SUMIF(Plan!$M$5:$M$24,"#"&amp;$A40,Plan!G$5:G$24))</f>
        <v/>
      </c>
      <c r="K40" s="53">
        <f>IF($B40="",0,$E40*SUMIF(Plan!$M$5:$M$24,"#"&amp;$A40,Plan!H$5:H$24))</f>
        <v/>
      </c>
      <c r="L40" s="53">
        <f>IF($B40="",0,$E40*SUMIF(Plan!$M$5:$M$24,"#"&amp;$A40,Plan!I$5:I$24))</f>
        <v/>
      </c>
      <c r="M40" s="53">
        <f>IF($B40="",0,$E40*SUMIF(Plan!$M$5:$M$24,"#"&amp;$A40,Plan!J$5:J$24))</f>
        <v/>
      </c>
      <c r="N40" s="53">
        <f>IF($B40="",0,$E40*SUMIF(Plan!$M$5:$M$24,"#"&amp;$A40,Plan!K$5:K$24))</f>
        <v/>
      </c>
      <c r="O40" s="53">
        <f>IF($B40="",0,$E40*SUMIF(Plan!$M$5:$M$24,"#"&amp;$A40,Plan!L$5:L$24))</f>
        <v/>
      </c>
      <c r="P40" s="35">
        <f>IF(B40="","","#"&amp;B40)</f>
        <v/>
      </c>
      <c r="Q40" s="35">
        <f>IF(A40="","","#"&amp;A40)</f>
        <v/>
      </c>
    </row>
    <row r="41" ht="26" customHeight="1">
      <c r="A41" s="46" t="inlineStr">
        <is>
          <t>CRNE (Cortada Noreste)</t>
        </is>
      </c>
      <c r="B41" s="47" t="inlineStr">
        <is>
          <t>M1000</t>
        </is>
      </c>
      <c r="C41" s="48">
        <f>IFERROR(INDEX(Materiales!$B$4:$B$484,MATCH("#"&amp;$B41,Materiales!$K$4:$K$484,0)),"")</f>
        <v/>
      </c>
      <c r="D41" s="49">
        <f>IFERROR(INDEX(Materiales!$C$4:$C$484,MATCH("#"&amp;$B41,Materiales!$K$4:$K$484,0)),"")</f>
        <v/>
      </c>
      <c r="E41" s="50" t="n"/>
      <c r="F41" s="51" t="inlineStr">
        <is>
          <t>Voladura</t>
        </is>
      </c>
      <c r="G41" s="52" t="inlineStr">
        <is>
          <t>Emulnor 1000: cartuchos por disparo / 1.5</t>
        </is>
      </c>
      <c r="H41" s="53">
        <f>IF($B41="",0,$E41*SUMIF(Plan!$M$5:$M$24,"#"&amp;$A41,Plan!E$5:E$24))</f>
        <v/>
      </c>
      <c r="I41" s="53">
        <f>IF($B41="",0,$E41*SUMIF(Plan!$M$5:$M$24,"#"&amp;$A41,Plan!F$5:F$24))</f>
        <v/>
      </c>
      <c r="J41" s="53">
        <f>IF($B41="",0,$E41*SUMIF(Plan!$M$5:$M$24,"#"&amp;$A41,Plan!G$5:G$24))</f>
        <v/>
      </c>
      <c r="K41" s="53">
        <f>IF($B41="",0,$E41*SUMIF(Plan!$M$5:$M$24,"#"&amp;$A41,Plan!H$5:H$24))</f>
        <v/>
      </c>
      <c r="L41" s="53">
        <f>IF($B41="",0,$E41*SUMIF(Plan!$M$5:$M$24,"#"&amp;$A41,Plan!I$5:I$24))</f>
        <v/>
      </c>
      <c r="M41" s="53">
        <f>IF($B41="",0,$E41*SUMIF(Plan!$M$5:$M$24,"#"&amp;$A41,Plan!J$5:J$24))</f>
        <v/>
      </c>
      <c r="N41" s="53">
        <f>IF($B41="",0,$E41*SUMIF(Plan!$M$5:$M$24,"#"&amp;$A41,Plan!K$5:K$24))</f>
        <v/>
      </c>
      <c r="O41" s="53">
        <f>IF($B41="",0,$E41*SUMIF(Plan!$M$5:$M$24,"#"&amp;$A41,Plan!L$5:L$24))</f>
        <v/>
      </c>
      <c r="P41" s="35">
        <f>IF(B41="","","#"&amp;B41)</f>
        <v/>
      </c>
      <c r="Q41" s="35">
        <f>IF(A41="","","#"&amp;A41)</f>
        <v/>
      </c>
    </row>
    <row r="42" ht="26" customHeight="1">
      <c r="A42" s="46" t="inlineStr">
        <is>
          <t>CRNE (Cortada Noreste)</t>
        </is>
      </c>
      <c r="B42" s="47" t="inlineStr">
        <is>
          <t>M3000</t>
        </is>
      </c>
      <c r="C42" s="48">
        <f>IFERROR(INDEX(Materiales!$B$4:$B$484,MATCH("#"&amp;$B42,Materiales!$K$4:$K$484,0)),"")</f>
        <v/>
      </c>
      <c r="D42" s="49">
        <f>IFERROR(INDEX(Materiales!$C$4:$C$484,MATCH("#"&amp;$B42,Materiales!$K$4:$K$484,0)),"")</f>
        <v/>
      </c>
      <c r="E42" s="50" t="n"/>
      <c r="F42" s="51" t="inlineStr">
        <is>
          <t>Voladura</t>
        </is>
      </c>
      <c r="G42" s="52" t="inlineStr">
        <is>
          <t>Emulnor 3000: cartuchos por disparo / 1.5</t>
        </is>
      </c>
      <c r="H42" s="53">
        <f>IF($B42="",0,$E42*SUMIF(Plan!$M$5:$M$24,"#"&amp;$A42,Plan!E$5:E$24))</f>
        <v/>
      </c>
      <c r="I42" s="53">
        <f>IF($B42="",0,$E42*SUMIF(Plan!$M$5:$M$24,"#"&amp;$A42,Plan!F$5:F$24))</f>
        <v/>
      </c>
      <c r="J42" s="53">
        <f>IF($B42="",0,$E42*SUMIF(Plan!$M$5:$M$24,"#"&amp;$A42,Plan!G$5:G$24))</f>
        <v/>
      </c>
      <c r="K42" s="53">
        <f>IF($B42="",0,$E42*SUMIF(Plan!$M$5:$M$24,"#"&amp;$A42,Plan!H$5:H$24))</f>
        <v/>
      </c>
      <c r="L42" s="53">
        <f>IF($B42="",0,$E42*SUMIF(Plan!$M$5:$M$24,"#"&amp;$A42,Plan!I$5:I$24))</f>
        <v/>
      </c>
      <c r="M42" s="53">
        <f>IF($B42="",0,$E42*SUMIF(Plan!$M$5:$M$24,"#"&amp;$A42,Plan!J$5:J$24))</f>
        <v/>
      </c>
      <c r="N42" s="53">
        <f>IF($B42="",0,$E42*SUMIF(Plan!$M$5:$M$24,"#"&amp;$A42,Plan!K$5:K$24))</f>
        <v/>
      </c>
      <c r="O42" s="53">
        <f>IF($B42="",0,$E42*SUMIF(Plan!$M$5:$M$24,"#"&amp;$A42,Plan!L$5:L$24))</f>
        <v/>
      </c>
      <c r="P42" s="35">
        <f>IF(B42="","","#"&amp;B42)</f>
        <v/>
      </c>
      <c r="Q42" s="35">
        <f>IF(A42="","","#"&amp;A42)</f>
        <v/>
      </c>
    </row>
    <row r="43" ht="26" customHeight="1">
      <c r="A43" s="46" t="inlineStr">
        <is>
          <t>CRNE (Cortada Noreste)</t>
        </is>
      </c>
      <c r="B43" s="47" t="inlineStr">
        <is>
          <t>CARMEX240</t>
        </is>
      </c>
      <c r="C43" s="48">
        <f>IFERROR(INDEX(Materiales!$B$4:$B$484,MATCH("#"&amp;$B43,Materiales!$K$4:$K$484,0)),"")</f>
        <v/>
      </c>
      <c r="D43" s="49">
        <f>IFERROR(INDEX(Materiales!$C$4:$C$484,MATCH("#"&amp;$B43,Materiales!$K$4:$K$484,0)),"")</f>
        <v/>
      </c>
      <c r="E43" s="50" t="n"/>
      <c r="F43" s="51" t="inlineStr">
        <is>
          <t>Voladura</t>
        </is>
      </c>
      <c r="G43" s="52" t="inlineStr">
        <is>
          <t>Carmex: uno por taladro cargado / 1.5</t>
        </is>
      </c>
      <c r="H43" s="53">
        <f>IF($B43="",0,$E43*SUMIF(Plan!$M$5:$M$24,"#"&amp;$A43,Plan!E$5:E$24))</f>
        <v/>
      </c>
      <c r="I43" s="53">
        <f>IF($B43="",0,$E43*SUMIF(Plan!$M$5:$M$24,"#"&amp;$A43,Plan!F$5:F$24))</f>
        <v/>
      </c>
      <c r="J43" s="53">
        <f>IF($B43="",0,$E43*SUMIF(Plan!$M$5:$M$24,"#"&amp;$A43,Plan!G$5:G$24))</f>
        <v/>
      </c>
      <c r="K43" s="53">
        <f>IF($B43="",0,$E43*SUMIF(Plan!$M$5:$M$24,"#"&amp;$A43,Plan!H$5:H$24))</f>
        <v/>
      </c>
      <c r="L43" s="53">
        <f>IF($B43="",0,$E43*SUMIF(Plan!$M$5:$M$24,"#"&amp;$A43,Plan!I$5:I$24))</f>
        <v/>
      </c>
      <c r="M43" s="53">
        <f>IF($B43="",0,$E43*SUMIF(Plan!$M$5:$M$24,"#"&amp;$A43,Plan!J$5:J$24))</f>
        <v/>
      </c>
      <c r="N43" s="53">
        <f>IF($B43="",0,$E43*SUMIF(Plan!$M$5:$M$24,"#"&amp;$A43,Plan!K$5:K$24))</f>
        <v/>
      </c>
      <c r="O43" s="53">
        <f>IF($B43="",0,$E43*SUMIF(Plan!$M$5:$M$24,"#"&amp;$A43,Plan!L$5:L$24))</f>
        <v/>
      </c>
      <c r="P43" s="35">
        <f>IF(B43="","","#"&amp;B43)</f>
        <v/>
      </c>
      <c r="Q43" s="35">
        <f>IF(A43="","","#"&amp;A43)</f>
        <v/>
      </c>
    </row>
    <row r="44" ht="26" customHeight="1">
      <c r="A44" s="46" t="inlineStr">
        <is>
          <t>CRNE (Cortada Noreste)</t>
        </is>
      </c>
      <c r="B44" s="47" t="inlineStr">
        <is>
          <t>NEITHER</t>
        </is>
      </c>
      <c r="C44" s="48">
        <f>IFERROR(INDEX(Materiales!$B$4:$B$484,MATCH("#"&amp;$B44,Materiales!$K$4:$K$484,0)),"")</f>
        <v/>
      </c>
      <c r="D44" s="49">
        <f>IFERROR(INDEX(Materiales!$C$4:$C$484,MATCH("#"&amp;$B44,Materiales!$K$4:$K$484,0)),"")</f>
        <v/>
      </c>
      <c r="E44" s="50" t="n"/>
      <c r="F44" s="51" t="inlineStr">
        <is>
          <t>Voladura</t>
        </is>
      </c>
      <c r="G44" s="52" t="inlineStr">
        <is>
          <t>Mecha rapida de ignicion, metros por disparo / 1.5</t>
        </is>
      </c>
      <c r="H44" s="53">
        <f>IF($B44="",0,$E44*SUMIF(Plan!$M$5:$M$24,"#"&amp;$A44,Plan!E$5:E$24))</f>
        <v/>
      </c>
      <c r="I44" s="53">
        <f>IF($B44="",0,$E44*SUMIF(Plan!$M$5:$M$24,"#"&amp;$A44,Plan!F$5:F$24))</f>
        <v/>
      </c>
      <c r="J44" s="53">
        <f>IF($B44="",0,$E44*SUMIF(Plan!$M$5:$M$24,"#"&amp;$A44,Plan!G$5:G$24))</f>
        <v/>
      </c>
      <c r="K44" s="53">
        <f>IF($B44="",0,$E44*SUMIF(Plan!$M$5:$M$24,"#"&amp;$A44,Plan!H$5:H$24))</f>
        <v/>
      </c>
      <c r="L44" s="53">
        <f>IF($B44="",0,$E44*SUMIF(Plan!$M$5:$M$24,"#"&amp;$A44,Plan!I$5:I$24))</f>
        <v/>
      </c>
      <c r="M44" s="53">
        <f>IF($B44="",0,$E44*SUMIF(Plan!$M$5:$M$24,"#"&amp;$A44,Plan!J$5:J$24))</f>
        <v/>
      </c>
      <c r="N44" s="53">
        <f>IF($B44="",0,$E44*SUMIF(Plan!$M$5:$M$24,"#"&amp;$A44,Plan!K$5:K$24))</f>
        <v/>
      </c>
      <c r="O44" s="53">
        <f>IF($B44="",0,$E44*SUMIF(Plan!$M$5:$M$24,"#"&amp;$A44,Plan!L$5:L$24))</f>
        <v/>
      </c>
      <c r="P44" s="35">
        <f>IF(B44="","","#"&amp;B44)</f>
        <v/>
      </c>
      <c r="Q44" s="35">
        <f>IF(A44="","","#"&amp;A44)</f>
        <v/>
      </c>
    </row>
    <row r="45" ht="26" customHeight="1">
      <c r="A45" s="46" t="inlineStr">
        <is>
          <t>CRNE (Cortada Noreste)</t>
        </is>
      </c>
      <c r="B45" s="47" t="inlineStr">
        <is>
          <t>1500000031</t>
        </is>
      </c>
      <c r="C45" s="48">
        <f>IFERROR(INDEX(Materiales!$B$4:$B$484,MATCH("#"&amp;$B45,Materiales!$K$4:$K$484,0)),"")</f>
        <v/>
      </c>
      <c r="D45" s="49">
        <f>IFERROR(INDEX(Materiales!$C$4:$C$484,MATCH("#"&amp;$B45,Materiales!$K$4:$K$484,0)),"")</f>
        <v/>
      </c>
      <c r="E45" s="50" t="n"/>
      <c r="F45" s="51" t="inlineStr">
        <is>
          <t>Voladura</t>
        </is>
      </c>
      <c r="G45" s="52" t="inlineStr">
        <is>
          <t>Atacadores de madera</t>
        </is>
      </c>
      <c r="H45" s="53">
        <f>IF($B45="",0,$E45*SUMIF(Plan!$M$5:$M$24,"#"&amp;$A45,Plan!E$5:E$24))</f>
        <v/>
      </c>
      <c r="I45" s="53">
        <f>IF($B45="",0,$E45*SUMIF(Plan!$M$5:$M$24,"#"&amp;$A45,Plan!F$5:F$24))</f>
        <v/>
      </c>
      <c r="J45" s="53">
        <f>IF($B45="",0,$E45*SUMIF(Plan!$M$5:$M$24,"#"&amp;$A45,Plan!G$5:G$24))</f>
        <v/>
      </c>
      <c r="K45" s="53">
        <f>IF($B45="",0,$E45*SUMIF(Plan!$M$5:$M$24,"#"&amp;$A45,Plan!H$5:H$24))</f>
        <v/>
      </c>
      <c r="L45" s="53">
        <f>IF($B45="",0,$E45*SUMIF(Plan!$M$5:$M$24,"#"&amp;$A45,Plan!I$5:I$24))</f>
        <v/>
      </c>
      <c r="M45" s="53">
        <f>IF($B45="",0,$E45*SUMIF(Plan!$M$5:$M$24,"#"&amp;$A45,Plan!J$5:J$24))</f>
        <v/>
      </c>
      <c r="N45" s="53">
        <f>IF($B45="",0,$E45*SUMIF(Plan!$M$5:$M$24,"#"&amp;$A45,Plan!K$5:K$24))</f>
        <v/>
      </c>
      <c r="O45" s="53">
        <f>IF($B45="",0,$E45*SUMIF(Plan!$M$5:$M$24,"#"&amp;$A45,Plan!L$5:L$24))</f>
        <v/>
      </c>
      <c r="P45" s="35">
        <f>IF(B45="","","#"&amp;B45)</f>
        <v/>
      </c>
      <c r="Q45" s="35">
        <f>IF(A45="","","#"&amp;A45)</f>
        <v/>
      </c>
    </row>
    <row r="46" ht="26" customHeight="1">
      <c r="A46" s="46" t="inlineStr">
        <is>
          <t>CRNE (Cortada Noreste)</t>
        </is>
      </c>
      <c r="B46" s="47" t="inlineStr">
        <is>
          <t>1500002859</t>
        </is>
      </c>
      <c r="C46" s="48">
        <f>IFERROR(INDEX(Materiales!$B$4:$B$484,MATCH("#"&amp;$B46,Materiales!$K$4:$K$484,0)),"")</f>
        <v/>
      </c>
      <c r="D46" s="49">
        <f>IFERROR(INDEX(Materiales!$C$4:$C$484,MATCH("#"&amp;$B46,Materiales!$K$4:$K$484,0)),"")</f>
        <v/>
      </c>
      <c r="E46" s="50" t="n"/>
      <c r="F46" s="51" t="inlineStr">
        <is>
          <t>Voladura</t>
        </is>
      </c>
      <c r="G46" s="52" t="inlineStr">
        <is>
          <t>Saco metalero</t>
        </is>
      </c>
      <c r="H46" s="53">
        <f>IF($B46="",0,$E46*SUMIF(Plan!$M$5:$M$24,"#"&amp;$A46,Plan!E$5:E$24))</f>
        <v/>
      </c>
      <c r="I46" s="53">
        <f>IF($B46="",0,$E46*SUMIF(Plan!$M$5:$M$24,"#"&amp;$A46,Plan!F$5:F$24))</f>
        <v/>
      </c>
      <c r="J46" s="53">
        <f>IF($B46="",0,$E46*SUMIF(Plan!$M$5:$M$24,"#"&amp;$A46,Plan!G$5:G$24))</f>
        <v/>
      </c>
      <c r="K46" s="53">
        <f>IF($B46="",0,$E46*SUMIF(Plan!$M$5:$M$24,"#"&amp;$A46,Plan!H$5:H$24))</f>
        <v/>
      </c>
      <c r="L46" s="53">
        <f>IF($B46="",0,$E46*SUMIF(Plan!$M$5:$M$24,"#"&amp;$A46,Plan!I$5:I$24))</f>
        <v/>
      </c>
      <c r="M46" s="53">
        <f>IF($B46="",0,$E46*SUMIF(Plan!$M$5:$M$24,"#"&amp;$A46,Plan!J$5:J$24))</f>
        <v/>
      </c>
      <c r="N46" s="53">
        <f>IF($B46="",0,$E46*SUMIF(Plan!$M$5:$M$24,"#"&amp;$A46,Plan!K$5:K$24))</f>
        <v/>
      </c>
      <c r="O46" s="53">
        <f>IF($B46="",0,$E46*SUMIF(Plan!$M$5:$M$24,"#"&amp;$A46,Plan!L$5:L$24))</f>
        <v/>
      </c>
      <c r="P46" s="35">
        <f>IF(B46="","","#"&amp;B46)</f>
        <v/>
      </c>
      <c r="Q46" s="35">
        <f>IF(A46="","","#"&amp;A46)</f>
        <v/>
      </c>
    </row>
    <row r="47" ht="26" customHeight="1">
      <c r="A47" s="46" t="inlineStr">
        <is>
          <t>CRNE (Cortada Noreste)</t>
        </is>
      </c>
      <c r="B47" s="47" t="inlineStr">
        <is>
          <t>1500003424</t>
        </is>
      </c>
      <c r="C47" s="48">
        <f>IFERROR(INDEX(Materiales!$B$4:$B$484,MATCH("#"&amp;$B47,Materiales!$K$4:$K$484,0)),"")</f>
        <v/>
      </c>
      <c r="D47" s="49">
        <f>IFERROR(INDEX(Materiales!$C$4:$C$484,MATCH("#"&amp;$B47,Materiales!$K$4:$K$484,0)),"")</f>
        <v/>
      </c>
      <c r="E47" s="54">
        <f>1/(2.42-2*0.21)</f>
        <v/>
      </c>
      <c r="F47" s="51" t="inlineStr">
        <is>
          <t>Sostenimiento</t>
        </is>
      </c>
      <c r="G47" s="52" t="inlineStr">
        <is>
          <t>DATO REAL: la malla mide 2.42 m de ancho y se recortan 21 cm de traslape a CADA lado, asi que cubre 2.42 - 0.21 - 0.21 = 2.00 m de avance  -&gt;  1 malla cada 2 m. OJO: el maestro la vende en ROLL de 2.42 x 25 m — confirmar si 1 malla = 1 ROLL o un paño cortado.</t>
        </is>
      </c>
      <c r="H47" s="53">
        <f>IF($B47="",0,$E47*SUMIF(Plan!$M$5:$M$24,"#"&amp;$A47,Plan!E$5:E$24))</f>
        <v/>
      </c>
      <c r="I47" s="53">
        <f>IF($B47="",0,$E47*SUMIF(Plan!$M$5:$M$24,"#"&amp;$A47,Plan!F$5:F$24))</f>
        <v/>
      </c>
      <c r="J47" s="53">
        <f>IF($B47="",0,$E47*SUMIF(Plan!$M$5:$M$24,"#"&amp;$A47,Plan!G$5:G$24))</f>
        <v/>
      </c>
      <c r="K47" s="53">
        <f>IF($B47="",0,$E47*SUMIF(Plan!$M$5:$M$24,"#"&amp;$A47,Plan!H$5:H$24))</f>
        <v/>
      </c>
      <c r="L47" s="53">
        <f>IF($B47="",0,$E47*SUMIF(Plan!$M$5:$M$24,"#"&amp;$A47,Plan!I$5:I$24))</f>
        <v/>
      </c>
      <c r="M47" s="53">
        <f>IF($B47="",0,$E47*SUMIF(Plan!$M$5:$M$24,"#"&amp;$A47,Plan!J$5:J$24))</f>
        <v/>
      </c>
      <c r="N47" s="53">
        <f>IF($B47="",0,$E47*SUMIF(Plan!$M$5:$M$24,"#"&amp;$A47,Plan!K$5:K$24))</f>
        <v/>
      </c>
      <c r="O47" s="53">
        <f>IF($B47="",0,$E47*SUMIF(Plan!$M$5:$M$24,"#"&amp;$A47,Plan!L$5:L$24))</f>
        <v/>
      </c>
      <c r="P47" s="35">
        <f>IF(B47="","","#"&amp;B47)</f>
        <v/>
      </c>
      <c r="Q47" s="35">
        <f>IF(A47="","","#"&amp;A47)</f>
        <v/>
      </c>
    </row>
    <row r="48" ht="26" customHeight="1">
      <c r="A48" s="46" t="inlineStr">
        <is>
          <t>CRNE (Cortada Noreste)</t>
        </is>
      </c>
      <c r="B48" s="47" t="inlineStr">
        <is>
          <t>1500001441</t>
        </is>
      </c>
      <c r="C48" s="48">
        <f>IFERROR(INDEX(Materiales!$B$4:$B$484,MATCH("#"&amp;$B48,Materiales!$K$4:$K$484,0)),"")</f>
        <v/>
      </c>
      <c r="D48" s="49">
        <f>IFERROR(INDEX(Materiales!$C$4:$C$484,MATCH("#"&amp;$B48,Materiales!$K$4:$K$484,0)),"")</f>
        <v/>
      </c>
      <c r="E48" s="54">
        <f>11/1.5</f>
        <v/>
      </c>
      <c r="F48" s="51" t="inlineStr">
        <is>
          <t>Sostenimiento</t>
        </is>
      </c>
      <c r="G48" s="52" t="inlineStr">
        <is>
          <t>DATO REAL: 11 pernos por disparo de 1.5 m, seccion 3.5 x 3.5 m</t>
        </is>
      </c>
      <c r="H48" s="53">
        <f>IF($B48="",0,$E48*SUMIF(Plan!$M$5:$M$24,"#"&amp;$A48,Plan!E$5:E$24))</f>
        <v/>
      </c>
      <c r="I48" s="53">
        <f>IF($B48="",0,$E48*SUMIF(Plan!$M$5:$M$24,"#"&amp;$A48,Plan!F$5:F$24))</f>
        <v/>
      </c>
      <c r="J48" s="53">
        <f>IF($B48="",0,$E48*SUMIF(Plan!$M$5:$M$24,"#"&amp;$A48,Plan!G$5:G$24))</f>
        <v/>
      </c>
      <c r="K48" s="53">
        <f>IF($B48="",0,$E48*SUMIF(Plan!$M$5:$M$24,"#"&amp;$A48,Plan!H$5:H$24))</f>
        <v/>
      </c>
      <c r="L48" s="53">
        <f>IF($B48="",0,$E48*SUMIF(Plan!$M$5:$M$24,"#"&amp;$A48,Plan!I$5:I$24))</f>
        <v/>
      </c>
      <c r="M48" s="53">
        <f>IF($B48="",0,$E48*SUMIF(Plan!$M$5:$M$24,"#"&amp;$A48,Plan!J$5:J$24))</f>
        <v/>
      </c>
      <c r="N48" s="53">
        <f>IF($B48="",0,$E48*SUMIF(Plan!$M$5:$M$24,"#"&amp;$A48,Plan!K$5:K$24))</f>
        <v/>
      </c>
      <c r="O48" s="53">
        <f>IF($B48="",0,$E48*SUMIF(Plan!$M$5:$M$24,"#"&amp;$A48,Plan!L$5:L$24))</f>
        <v/>
      </c>
      <c r="P48" s="35">
        <f>IF(B48="","","#"&amp;B48)</f>
        <v/>
      </c>
      <c r="Q48" s="35">
        <f>IF(A48="","","#"&amp;A48)</f>
        <v/>
      </c>
    </row>
    <row r="49" ht="26" customHeight="1">
      <c r="A49" s="46" t="inlineStr">
        <is>
          <t>CRNE (Cortada Noreste)</t>
        </is>
      </c>
      <c r="B49" s="47" t="inlineStr">
        <is>
          <t>1500003208</t>
        </is>
      </c>
      <c r="C49" s="48">
        <f>IFERROR(INDEX(Materiales!$B$4:$B$484,MATCH("#"&amp;$B49,Materiales!$K$4:$K$484,0)),"")</f>
        <v/>
      </c>
      <c r="D49" s="49">
        <f>IFERROR(INDEX(Materiales!$C$4:$C$484,MATCH("#"&amp;$B49,Materiales!$K$4:$K$484,0)),"")</f>
        <v/>
      </c>
      <c r="E49" s="57">
        <f>22/1.5</f>
        <v/>
      </c>
      <c r="F49" s="51" t="inlineStr">
        <is>
          <t>Sostenimiento</t>
        </is>
      </c>
      <c r="G49" s="58" t="inlineStr">
        <is>
          <t>SUPUESTO — 2 cartuchos de resina por perno (11 x 2 = 22 por disparo). CONFIRMAR.</t>
        </is>
      </c>
      <c r="H49" s="53">
        <f>IF($B49="",0,$E49*SUMIF(Plan!$M$5:$M$24,"#"&amp;$A49,Plan!E$5:E$24))</f>
        <v/>
      </c>
      <c r="I49" s="53">
        <f>IF($B49="",0,$E49*SUMIF(Plan!$M$5:$M$24,"#"&amp;$A49,Plan!F$5:F$24))</f>
        <v/>
      </c>
      <c r="J49" s="53">
        <f>IF($B49="",0,$E49*SUMIF(Plan!$M$5:$M$24,"#"&amp;$A49,Plan!G$5:G$24))</f>
        <v/>
      </c>
      <c r="K49" s="53">
        <f>IF($B49="",0,$E49*SUMIF(Plan!$M$5:$M$24,"#"&amp;$A49,Plan!H$5:H$24))</f>
        <v/>
      </c>
      <c r="L49" s="53">
        <f>IF($B49="",0,$E49*SUMIF(Plan!$M$5:$M$24,"#"&amp;$A49,Plan!I$5:I$24))</f>
        <v/>
      </c>
      <c r="M49" s="53">
        <f>IF($B49="",0,$E49*SUMIF(Plan!$M$5:$M$24,"#"&amp;$A49,Plan!J$5:J$24))</f>
        <v/>
      </c>
      <c r="N49" s="53">
        <f>IF($B49="",0,$E49*SUMIF(Plan!$M$5:$M$24,"#"&amp;$A49,Plan!K$5:K$24))</f>
        <v/>
      </c>
      <c r="O49" s="53">
        <f>IF($B49="",0,$E49*SUMIF(Plan!$M$5:$M$24,"#"&amp;$A49,Plan!L$5:L$24))</f>
        <v/>
      </c>
      <c r="P49" s="35">
        <f>IF(B49="","","#"&amp;B49)</f>
        <v/>
      </c>
      <c r="Q49" s="35">
        <f>IF(A49="","","#"&amp;A49)</f>
        <v/>
      </c>
    </row>
    <row r="50" ht="26" customHeight="1">
      <c r="A50" s="46" t="inlineStr">
        <is>
          <t>CRNE (Cortada Noreste)</t>
        </is>
      </c>
      <c r="B50" s="47" t="inlineStr">
        <is>
          <t>1500003087</t>
        </is>
      </c>
      <c r="C50" s="48">
        <f>IFERROR(INDEX(Materiales!$B$4:$B$484,MATCH("#"&amp;$B50,Materiales!$K$4:$K$484,0)),"")</f>
        <v/>
      </c>
      <c r="D50" s="49">
        <f>IFERROR(INDEX(Materiales!$C$4:$C$484,MATCH("#"&amp;$B50,Materiales!$K$4:$K$484,0)),"")</f>
        <v/>
      </c>
      <c r="E50" s="50" t="n"/>
      <c r="F50" s="51" t="inlineStr">
        <is>
          <t>Sostenimiento</t>
        </is>
      </c>
      <c r="G50" s="52" t="inlineStr">
        <is>
          <t>Cartucho de cemento, si se usa en vez de resina</t>
        </is>
      </c>
      <c r="H50" s="53">
        <f>IF($B50="",0,$E50*SUMIF(Plan!$M$5:$M$24,"#"&amp;$A50,Plan!E$5:E$24))</f>
        <v/>
      </c>
      <c r="I50" s="53">
        <f>IF($B50="",0,$E50*SUMIF(Plan!$M$5:$M$24,"#"&amp;$A50,Plan!F$5:F$24))</f>
        <v/>
      </c>
      <c r="J50" s="53">
        <f>IF($B50="",0,$E50*SUMIF(Plan!$M$5:$M$24,"#"&amp;$A50,Plan!G$5:G$24))</f>
        <v/>
      </c>
      <c r="K50" s="53">
        <f>IF($B50="",0,$E50*SUMIF(Plan!$M$5:$M$24,"#"&amp;$A50,Plan!H$5:H$24))</f>
        <v/>
      </c>
      <c r="L50" s="53">
        <f>IF($B50="",0,$E50*SUMIF(Plan!$M$5:$M$24,"#"&amp;$A50,Plan!I$5:I$24))</f>
        <v/>
      </c>
      <c r="M50" s="53">
        <f>IF($B50="",0,$E50*SUMIF(Plan!$M$5:$M$24,"#"&amp;$A50,Plan!J$5:J$24))</f>
        <v/>
      </c>
      <c r="N50" s="53">
        <f>IF($B50="",0,$E50*SUMIF(Plan!$M$5:$M$24,"#"&amp;$A50,Plan!K$5:K$24))</f>
        <v/>
      </c>
      <c r="O50" s="53">
        <f>IF($B50="",0,$E50*SUMIF(Plan!$M$5:$M$24,"#"&amp;$A50,Plan!L$5:L$24))</f>
        <v/>
      </c>
      <c r="P50" s="35">
        <f>IF(B50="","","#"&amp;B50)</f>
        <v/>
      </c>
      <c r="Q50" s="35">
        <f>IF(A50="","","#"&amp;A50)</f>
        <v/>
      </c>
    </row>
    <row r="51" ht="26" customHeight="1">
      <c r="A51" s="46" t="inlineStr">
        <is>
          <t>CRNE (Cortada Noreste)</t>
        </is>
      </c>
      <c r="B51" s="47" t="inlineStr">
        <is>
          <t>1500003182</t>
        </is>
      </c>
      <c r="C51" s="48">
        <f>IFERROR(INDEX(Materiales!$B$4:$B$484,MATCH("#"&amp;$B51,Materiales!$K$4:$K$484,0)),"")</f>
        <v/>
      </c>
      <c r="D51" s="49">
        <f>IFERROR(INDEX(Materiales!$C$4:$C$484,MATCH("#"&amp;$B51,Materiales!$K$4:$K$484,0)),"")</f>
        <v/>
      </c>
      <c r="E51" s="50" t="n"/>
      <c r="F51" s="51" t="inlineStr">
        <is>
          <t>Sostenimiento</t>
        </is>
      </c>
      <c r="G51" s="52" t="inlineStr">
        <is>
          <t>Adaptador de perno helicoidal</t>
        </is>
      </c>
      <c r="H51" s="53">
        <f>IF($B51="",0,$E51*SUMIF(Plan!$M$5:$M$24,"#"&amp;$A51,Plan!E$5:E$24))</f>
        <v/>
      </c>
      <c r="I51" s="53">
        <f>IF($B51="",0,$E51*SUMIF(Plan!$M$5:$M$24,"#"&amp;$A51,Plan!F$5:F$24))</f>
        <v/>
      </c>
      <c r="J51" s="53">
        <f>IF($B51="",0,$E51*SUMIF(Plan!$M$5:$M$24,"#"&amp;$A51,Plan!G$5:G$24))</f>
        <v/>
      </c>
      <c r="K51" s="53">
        <f>IF($B51="",0,$E51*SUMIF(Plan!$M$5:$M$24,"#"&amp;$A51,Plan!H$5:H$24))</f>
        <v/>
      </c>
      <c r="L51" s="53">
        <f>IF($B51="",0,$E51*SUMIF(Plan!$M$5:$M$24,"#"&amp;$A51,Plan!I$5:I$24))</f>
        <v/>
      </c>
      <c r="M51" s="53">
        <f>IF($B51="",0,$E51*SUMIF(Plan!$M$5:$M$24,"#"&amp;$A51,Plan!J$5:J$24))</f>
        <v/>
      </c>
      <c r="N51" s="53">
        <f>IF($B51="",0,$E51*SUMIF(Plan!$M$5:$M$24,"#"&amp;$A51,Plan!K$5:K$24))</f>
        <v/>
      </c>
      <c r="O51" s="53">
        <f>IF($B51="",0,$E51*SUMIF(Plan!$M$5:$M$24,"#"&amp;$A51,Plan!L$5:L$24))</f>
        <v/>
      </c>
      <c r="P51" s="35">
        <f>IF(B51="","","#"&amp;B51)</f>
        <v/>
      </c>
      <c r="Q51" s="35">
        <f>IF(A51="","","#"&amp;A51)</f>
        <v/>
      </c>
    </row>
    <row r="52" ht="26" customHeight="1">
      <c r="A52" s="46" t="inlineStr">
        <is>
          <t>CRNE (Cortada Noreste)</t>
        </is>
      </c>
      <c r="B52" s="47" t="inlineStr">
        <is>
          <t>2100000014</t>
        </is>
      </c>
      <c r="C52" s="48">
        <f>IFERROR(INDEX(Materiales!$B$4:$B$484,MATCH("#"&amp;$B52,Materiales!$K$4:$K$484,0)),"")</f>
        <v/>
      </c>
      <c r="D52" s="49">
        <f>IFERROR(INDEX(Materiales!$C$4:$C$484,MATCH("#"&amp;$B52,Materiales!$K$4:$K$484,0)),"")</f>
        <v/>
      </c>
      <c r="E52" s="50" t="n"/>
      <c r="F52" s="51" t="inlineStr">
        <is>
          <t>Ventilacion</t>
        </is>
      </c>
      <c r="G52" s="52" t="inlineStr">
        <is>
          <t>Manga de 30": metros de manga por metro de avance (normalmente 1)</t>
        </is>
      </c>
      <c r="H52" s="53">
        <f>IF($B52="",0,$E52*SUMIF(Plan!$M$5:$M$24,"#"&amp;$A52,Plan!E$5:E$24))</f>
        <v/>
      </c>
      <c r="I52" s="53">
        <f>IF($B52="",0,$E52*SUMIF(Plan!$M$5:$M$24,"#"&amp;$A52,Plan!F$5:F$24))</f>
        <v/>
      </c>
      <c r="J52" s="53">
        <f>IF($B52="",0,$E52*SUMIF(Plan!$M$5:$M$24,"#"&amp;$A52,Plan!G$5:G$24))</f>
        <v/>
      </c>
      <c r="K52" s="53">
        <f>IF($B52="",0,$E52*SUMIF(Plan!$M$5:$M$24,"#"&amp;$A52,Plan!H$5:H$24))</f>
        <v/>
      </c>
      <c r="L52" s="53">
        <f>IF($B52="",0,$E52*SUMIF(Plan!$M$5:$M$24,"#"&amp;$A52,Plan!I$5:I$24))</f>
        <v/>
      </c>
      <c r="M52" s="53">
        <f>IF($B52="",0,$E52*SUMIF(Plan!$M$5:$M$24,"#"&amp;$A52,Plan!J$5:J$24))</f>
        <v/>
      </c>
      <c r="N52" s="53">
        <f>IF($B52="",0,$E52*SUMIF(Plan!$M$5:$M$24,"#"&amp;$A52,Plan!K$5:K$24))</f>
        <v/>
      </c>
      <c r="O52" s="53">
        <f>IF($B52="",0,$E52*SUMIF(Plan!$M$5:$M$24,"#"&amp;$A52,Plan!L$5:L$24))</f>
        <v/>
      </c>
      <c r="P52" s="35">
        <f>IF(B52="","","#"&amp;B52)</f>
        <v/>
      </c>
      <c r="Q52" s="35">
        <f>IF(A52="","","#"&amp;A52)</f>
        <v/>
      </c>
    </row>
    <row r="53" ht="26" customHeight="1">
      <c r="A53" s="46" t="inlineStr">
        <is>
          <t>CRNE (Cortada Noreste)</t>
        </is>
      </c>
      <c r="B53" s="47" t="inlineStr">
        <is>
          <t>1900000203</t>
        </is>
      </c>
      <c r="C53" s="48">
        <f>IFERROR(INDEX(Materiales!$B$4:$B$484,MATCH("#"&amp;$B53,Materiales!$K$4:$K$484,0)),"")</f>
        <v/>
      </c>
      <c r="D53" s="49">
        <f>IFERROR(INDEX(Materiales!$C$4:$C$484,MATCH("#"&amp;$B53,Materiales!$K$4:$K$484,0)),"")</f>
        <v/>
      </c>
      <c r="E53" s="50" t="n"/>
      <c r="F53" s="51" t="inlineStr">
        <is>
          <t>Servicios</t>
        </is>
      </c>
      <c r="G53" s="52" t="inlineStr">
        <is>
          <t>Tuberia de agua 2": metros por metro de avance</t>
        </is>
      </c>
      <c r="H53" s="53">
        <f>IF($B53="",0,$E53*SUMIF(Plan!$M$5:$M$24,"#"&amp;$A53,Plan!E$5:E$24))</f>
        <v/>
      </c>
      <c r="I53" s="53">
        <f>IF($B53="",0,$E53*SUMIF(Plan!$M$5:$M$24,"#"&amp;$A53,Plan!F$5:F$24))</f>
        <v/>
      </c>
      <c r="J53" s="53">
        <f>IF($B53="",0,$E53*SUMIF(Plan!$M$5:$M$24,"#"&amp;$A53,Plan!G$5:G$24))</f>
        <v/>
      </c>
      <c r="K53" s="53">
        <f>IF($B53="",0,$E53*SUMIF(Plan!$M$5:$M$24,"#"&amp;$A53,Plan!H$5:H$24))</f>
        <v/>
      </c>
      <c r="L53" s="53">
        <f>IF($B53="",0,$E53*SUMIF(Plan!$M$5:$M$24,"#"&amp;$A53,Plan!I$5:I$24))</f>
        <v/>
      </c>
      <c r="M53" s="53">
        <f>IF($B53="",0,$E53*SUMIF(Plan!$M$5:$M$24,"#"&amp;$A53,Plan!J$5:J$24))</f>
        <v/>
      </c>
      <c r="N53" s="53">
        <f>IF($B53="",0,$E53*SUMIF(Plan!$M$5:$M$24,"#"&amp;$A53,Plan!K$5:K$24))</f>
        <v/>
      </c>
      <c r="O53" s="53">
        <f>IF($B53="",0,$E53*SUMIF(Plan!$M$5:$M$24,"#"&amp;$A53,Plan!L$5:L$24))</f>
        <v/>
      </c>
      <c r="P53" s="35">
        <f>IF(B53="","","#"&amp;B53)</f>
        <v/>
      </c>
      <c r="Q53" s="35">
        <f>IF(A53="","","#"&amp;A53)</f>
        <v/>
      </c>
    </row>
    <row r="54" ht="26" customHeight="1">
      <c r="A54" s="46" t="inlineStr">
        <is>
          <t>CRNE (Cortada Noreste)</t>
        </is>
      </c>
      <c r="B54" s="47" t="inlineStr">
        <is>
          <t>1900000205</t>
        </is>
      </c>
      <c r="C54" s="48">
        <f>IFERROR(INDEX(Materiales!$B$4:$B$484,MATCH("#"&amp;$B54,Materiales!$K$4:$K$484,0)),"")</f>
        <v/>
      </c>
      <c r="D54" s="49">
        <f>IFERROR(INDEX(Materiales!$C$4:$C$484,MATCH("#"&amp;$B54,Materiales!$K$4:$K$484,0)),"")</f>
        <v/>
      </c>
      <c r="E54" s="50" t="n"/>
      <c r="F54" s="51" t="inlineStr">
        <is>
          <t>Servicios</t>
        </is>
      </c>
      <c r="G54" s="52" t="inlineStr">
        <is>
          <t>Tuberia de aire 1": metros por metro de avance</t>
        </is>
      </c>
      <c r="H54" s="53">
        <f>IF($B54="",0,$E54*SUMIF(Plan!$M$5:$M$24,"#"&amp;$A54,Plan!E$5:E$24))</f>
        <v/>
      </c>
      <c r="I54" s="53">
        <f>IF($B54="",0,$E54*SUMIF(Plan!$M$5:$M$24,"#"&amp;$A54,Plan!F$5:F$24))</f>
        <v/>
      </c>
      <c r="J54" s="53">
        <f>IF($B54="",0,$E54*SUMIF(Plan!$M$5:$M$24,"#"&amp;$A54,Plan!G$5:G$24))</f>
        <v/>
      </c>
      <c r="K54" s="53">
        <f>IF($B54="",0,$E54*SUMIF(Plan!$M$5:$M$24,"#"&amp;$A54,Plan!H$5:H$24))</f>
        <v/>
      </c>
      <c r="L54" s="53">
        <f>IF($B54="",0,$E54*SUMIF(Plan!$M$5:$M$24,"#"&amp;$A54,Plan!I$5:I$24))</f>
        <v/>
      </c>
      <c r="M54" s="53">
        <f>IF($B54="",0,$E54*SUMIF(Plan!$M$5:$M$24,"#"&amp;$A54,Plan!J$5:J$24))</f>
        <v/>
      </c>
      <c r="N54" s="53">
        <f>IF($B54="",0,$E54*SUMIF(Plan!$M$5:$M$24,"#"&amp;$A54,Plan!K$5:K$24))</f>
        <v/>
      </c>
      <c r="O54" s="53">
        <f>IF($B54="",0,$E54*SUMIF(Plan!$M$5:$M$24,"#"&amp;$A54,Plan!L$5:L$24))</f>
        <v/>
      </c>
      <c r="P54" s="35">
        <f>IF(B54="","","#"&amp;B54)</f>
        <v/>
      </c>
      <c r="Q54" s="35">
        <f>IF(A54="","","#"&amp;A54)</f>
        <v/>
      </c>
    </row>
    <row r="55">
      <c r="A55" s="46" t="inlineStr">
        <is>
          <t>CRNE (Cortada Noreste)</t>
        </is>
      </c>
      <c r="B55" s="55" t="n"/>
      <c r="C55" s="48">
        <f>IFERROR(INDEX(Materiales!$B$4:$B$484,MATCH("#"&amp;$B55,Materiales!$K$4:$K$484,0)),"")</f>
        <v/>
      </c>
      <c r="D55" s="49">
        <f>IFERROR(INDEX(Materiales!$C$4:$C$484,MATCH("#"&amp;$B55,Materiales!$K$4:$K$484,0)),"")</f>
        <v/>
      </c>
      <c r="E55" s="50" t="n"/>
      <c r="F55" s="55" t="n"/>
      <c r="G55" s="56" t="n"/>
      <c r="H55" s="53">
        <f>IF($B55="",0,$E55*SUMIF(Plan!$M$5:$M$24,"#"&amp;$A55,Plan!E$5:E$24))</f>
        <v/>
      </c>
      <c r="I55" s="53">
        <f>IF($B55="",0,$E55*SUMIF(Plan!$M$5:$M$24,"#"&amp;$A55,Plan!F$5:F$24))</f>
        <v/>
      </c>
      <c r="J55" s="53">
        <f>IF($B55="",0,$E55*SUMIF(Plan!$M$5:$M$24,"#"&amp;$A55,Plan!G$5:G$24))</f>
        <v/>
      </c>
      <c r="K55" s="53">
        <f>IF($B55="",0,$E55*SUMIF(Plan!$M$5:$M$24,"#"&amp;$A55,Plan!H$5:H$24))</f>
        <v/>
      </c>
      <c r="L55" s="53">
        <f>IF($B55="",0,$E55*SUMIF(Plan!$M$5:$M$24,"#"&amp;$A55,Plan!I$5:I$24))</f>
        <v/>
      </c>
      <c r="M55" s="53">
        <f>IF($B55="",0,$E55*SUMIF(Plan!$M$5:$M$24,"#"&amp;$A55,Plan!J$5:J$24))</f>
        <v/>
      </c>
      <c r="N55" s="53">
        <f>IF($B55="",0,$E55*SUMIF(Plan!$M$5:$M$24,"#"&amp;$A55,Plan!K$5:K$24))</f>
        <v/>
      </c>
      <c r="O55" s="53">
        <f>IF($B55="",0,$E55*SUMIF(Plan!$M$5:$M$24,"#"&amp;$A55,Plan!L$5:L$24))</f>
        <v/>
      </c>
      <c r="P55" s="35">
        <f>IF(B55="","","#"&amp;B55)</f>
        <v/>
      </c>
      <c r="Q55" s="35">
        <f>IF(A55="","","#"&amp;A55)</f>
        <v/>
      </c>
    </row>
    <row r="56">
      <c r="A56" s="46" t="inlineStr">
        <is>
          <t>CRNE (Cortada Noreste)</t>
        </is>
      </c>
      <c r="B56" s="55" t="n"/>
      <c r="C56" s="48">
        <f>IFERROR(INDEX(Materiales!$B$4:$B$484,MATCH("#"&amp;$B56,Materiales!$K$4:$K$484,0)),"")</f>
        <v/>
      </c>
      <c r="D56" s="49">
        <f>IFERROR(INDEX(Materiales!$C$4:$C$484,MATCH("#"&amp;$B56,Materiales!$K$4:$K$484,0)),"")</f>
        <v/>
      </c>
      <c r="E56" s="50" t="n"/>
      <c r="F56" s="55" t="n"/>
      <c r="G56" s="56" t="n"/>
      <c r="H56" s="53">
        <f>IF($B56="",0,$E56*SUMIF(Plan!$M$5:$M$24,"#"&amp;$A56,Plan!E$5:E$24))</f>
        <v/>
      </c>
      <c r="I56" s="53">
        <f>IF($B56="",0,$E56*SUMIF(Plan!$M$5:$M$24,"#"&amp;$A56,Plan!F$5:F$24))</f>
        <v/>
      </c>
      <c r="J56" s="53">
        <f>IF($B56="",0,$E56*SUMIF(Plan!$M$5:$M$24,"#"&amp;$A56,Plan!G$5:G$24))</f>
        <v/>
      </c>
      <c r="K56" s="53">
        <f>IF($B56="",0,$E56*SUMIF(Plan!$M$5:$M$24,"#"&amp;$A56,Plan!H$5:H$24))</f>
        <v/>
      </c>
      <c r="L56" s="53">
        <f>IF($B56="",0,$E56*SUMIF(Plan!$M$5:$M$24,"#"&amp;$A56,Plan!I$5:I$24))</f>
        <v/>
      </c>
      <c r="M56" s="53">
        <f>IF($B56="",0,$E56*SUMIF(Plan!$M$5:$M$24,"#"&amp;$A56,Plan!J$5:J$24))</f>
        <v/>
      </c>
      <c r="N56" s="53">
        <f>IF($B56="",0,$E56*SUMIF(Plan!$M$5:$M$24,"#"&amp;$A56,Plan!K$5:K$24))</f>
        <v/>
      </c>
      <c r="O56" s="53">
        <f>IF($B56="",0,$E56*SUMIF(Plan!$M$5:$M$24,"#"&amp;$A56,Plan!L$5:L$24))</f>
        <v/>
      </c>
      <c r="P56" s="35">
        <f>IF(B56="","","#"&amp;B56)</f>
        <v/>
      </c>
      <c r="Q56" s="35">
        <f>IF(A56="","","#"&amp;A56)</f>
        <v/>
      </c>
    </row>
    <row r="57">
      <c r="A57" s="46" t="inlineStr">
        <is>
          <t>CRNE (Cortada Noreste)</t>
        </is>
      </c>
      <c r="B57" s="55" t="n"/>
      <c r="C57" s="48">
        <f>IFERROR(INDEX(Materiales!$B$4:$B$484,MATCH("#"&amp;$B57,Materiales!$K$4:$K$484,0)),"")</f>
        <v/>
      </c>
      <c r="D57" s="49">
        <f>IFERROR(INDEX(Materiales!$C$4:$C$484,MATCH("#"&amp;$B57,Materiales!$K$4:$K$484,0)),"")</f>
        <v/>
      </c>
      <c r="E57" s="50" t="n"/>
      <c r="F57" s="55" t="n"/>
      <c r="G57" s="56" t="n"/>
      <c r="H57" s="53">
        <f>IF($B57="",0,$E57*SUMIF(Plan!$M$5:$M$24,"#"&amp;$A57,Plan!E$5:E$24))</f>
        <v/>
      </c>
      <c r="I57" s="53">
        <f>IF($B57="",0,$E57*SUMIF(Plan!$M$5:$M$24,"#"&amp;$A57,Plan!F$5:F$24))</f>
        <v/>
      </c>
      <c r="J57" s="53">
        <f>IF($B57="",0,$E57*SUMIF(Plan!$M$5:$M$24,"#"&amp;$A57,Plan!G$5:G$24))</f>
        <v/>
      </c>
      <c r="K57" s="53">
        <f>IF($B57="",0,$E57*SUMIF(Plan!$M$5:$M$24,"#"&amp;$A57,Plan!H$5:H$24))</f>
        <v/>
      </c>
      <c r="L57" s="53">
        <f>IF($B57="",0,$E57*SUMIF(Plan!$M$5:$M$24,"#"&amp;$A57,Plan!I$5:I$24))</f>
        <v/>
      </c>
      <c r="M57" s="53">
        <f>IF($B57="",0,$E57*SUMIF(Plan!$M$5:$M$24,"#"&amp;$A57,Plan!J$5:J$24))</f>
        <v/>
      </c>
      <c r="N57" s="53">
        <f>IF($B57="",0,$E57*SUMIF(Plan!$M$5:$M$24,"#"&amp;$A57,Plan!K$5:K$24))</f>
        <v/>
      </c>
      <c r="O57" s="53">
        <f>IF($B57="",0,$E57*SUMIF(Plan!$M$5:$M$24,"#"&amp;$A57,Plan!L$5:L$24))</f>
        <v/>
      </c>
      <c r="P57" s="35">
        <f>IF(B57="","","#"&amp;B57)</f>
        <v/>
      </c>
      <c r="Q57" s="35">
        <f>IF(A57="","","#"&amp;A57)</f>
        <v/>
      </c>
    </row>
    <row r="58">
      <c r="A58" s="46" t="inlineStr">
        <is>
          <t>CRNE (Cortada Noreste)</t>
        </is>
      </c>
      <c r="B58" s="55" t="n"/>
      <c r="C58" s="48">
        <f>IFERROR(INDEX(Materiales!$B$4:$B$484,MATCH("#"&amp;$B58,Materiales!$K$4:$K$484,0)),"")</f>
        <v/>
      </c>
      <c r="D58" s="49">
        <f>IFERROR(INDEX(Materiales!$C$4:$C$484,MATCH("#"&amp;$B58,Materiales!$K$4:$K$484,0)),"")</f>
        <v/>
      </c>
      <c r="E58" s="50" t="n"/>
      <c r="F58" s="55" t="n"/>
      <c r="G58" s="56" t="n"/>
      <c r="H58" s="53">
        <f>IF($B58="",0,$E58*SUMIF(Plan!$M$5:$M$24,"#"&amp;$A58,Plan!E$5:E$24))</f>
        <v/>
      </c>
      <c r="I58" s="53">
        <f>IF($B58="",0,$E58*SUMIF(Plan!$M$5:$M$24,"#"&amp;$A58,Plan!F$5:F$24))</f>
        <v/>
      </c>
      <c r="J58" s="53">
        <f>IF($B58="",0,$E58*SUMIF(Plan!$M$5:$M$24,"#"&amp;$A58,Plan!G$5:G$24))</f>
        <v/>
      </c>
      <c r="K58" s="53">
        <f>IF($B58="",0,$E58*SUMIF(Plan!$M$5:$M$24,"#"&amp;$A58,Plan!H$5:H$24))</f>
        <v/>
      </c>
      <c r="L58" s="53">
        <f>IF($B58="",0,$E58*SUMIF(Plan!$M$5:$M$24,"#"&amp;$A58,Plan!I$5:I$24))</f>
        <v/>
      </c>
      <c r="M58" s="53">
        <f>IF($B58="",0,$E58*SUMIF(Plan!$M$5:$M$24,"#"&amp;$A58,Plan!J$5:J$24))</f>
        <v/>
      </c>
      <c r="N58" s="53">
        <f>IF($B58="",0,$E58*SUMIF(Plan!$M$5:$M$24,"#"&amp;$A58,Plan!K$5:K$24))</f>
        <v/>
      </c>
      <c r="O58" s="53">
        <f>IF($B58="",0,$E58*SUMIF(Plan!$M$5:$M$24,"#"&amp;$A58,Plan!L$5:L$24))</f>
        <v/>
      </c>
      <c r="P58" s="35">
        <f>IF(B58="","","#"&amp;B58)</f>
        <v/>
      </c>
      <c r="Q58" s="35">
        <f>IF(A58="","","#"&amp;A58)</f>
        <v/>
      </c>
    </row>
    <row r="59">
      <c r="A59" s="46" t="inlineStr">
        <is>
          <t>CRNE (Cortada Noreste)</t>
        </is>
      </c>
      <c r="B59" s="55" t="n"/>
      <c r="C59" s="48">
        <f>IFERROR(INDEX(Materiales!$B$4:$B$484,MATCH("#"&amp;$B59,Materiales!$K$4:$K$484,0)),"")</f>
        <v/>
      </c>
      <c r="D59" s="49">
        <f>IFERROR(INDEX(Materiales!$C$4:$C$484,MATCH("#"&amp;$B59,Materiales!$K$4:$K$484,0)),"")</f>
        <v/>
      </c>
      <c r="E59" s="50" t="n"/>
      <c r="F59" s="55" t="n"/>
      <c r="G59" s="56" t="n"/>
      <c r="H59" s="53">
        <f>IF($B59="",0,$E59*SUMIF(Plan!$M$5:$M$24,"#"&amp;$A59,Plan!E$5:E$24))</f>
        <v/>
      </c>
      <c r="I59" s="53">
        <f>IF($B59="",0,$E59*SUMIF(Plan!$M$5:$M$24,"#"&amp;$A59,Plan!F$5:F$24))</f>
        <v/>
      </c>
      <c r="J59" s="53">
        <f>IF($B59="",0,$E59*SUMIF(Plan!$M$5:$M$24,"#"&amp;$A59,Plan!G$5:G$24))</f>
        <v/>
      </c>
      <c r="K59" s="53">
        <f>IF($B59="",0,$E59*SUMIF(Plan!$M$5:$M$24,"#"&amp;$A59,Plan!H$5:H$24))</f>
        <v/>
      </c>
      <c r="L59" s="53">
        <f>IF($B59="",0,$E59*SUMIF(Plan!$M$5:$M$24,"#"&amp;$A59,Plan!I$5:I$24))</f>
        <v/>
      </c>
      <c r="M59" s="53">
        <f>IF($B59="",0,$E59*SUMIF(Plan!$M$5:$M$24,"#"&amp;$A59,Plan!J$5:J$24))</f>
        <v/>
      </c>
      <c r="N59" s="53">
        <f>IF($B59="",0,$E59*SUMIF(Plan!$M$5:$M$24,"#"&amp;$A59,Plan!K$5:K$24))</f>
        <v/>
      </c>
      <c r="O59" s="53">
        <f>IF($B59="",0,$E59*SUMIF(Plan!$M$5:$M$24,"#"&amp;$A59,Plan!L$5:L$24))</f>
        <v/>
      </c>
      <c r="P59" s="35">
        <f>IF(B59="","","#"&amp;B59)</f>
        <v/>
      </c>
      <c r="Q59" s="35">
        <f>IF(A59="","","#"&amp;A59)</f>
        <v/>
      </c>
    </row>
    <row r="60">
      <c r="A60" s="46" t="inlineStr">
        <is>
          <t>CRNE (Cortada Noreste)</t>
        </is>
      </c>
      <c r="B60" s="55" t="n"/>
      <c r="C60" s="48">
        <f>IFERROR(INDEX(Materiales!$B$4:$B$484,MATCH("#"&amp;$B60,Materiales!$K$4:$K$484,0)),"")</f>
        <v/>
      </c>
      <c r="D60" s="49">
        <f>IFERROR(INDEX(Materiales!$C$4:$C$484,MATCH("#"&amp;$B60,Materiales!$K$4:$K$484,0)),"")</f>
        <v/>
      </c>
      <c r="E60" s="50" t="n"/>
      <c r="F60" s="55" t="n"/>
      <c r="G60" s="56" t="n"/>
      <c r="H60" s="53">
        <f>IF($B60="",0,$E60*SUMIF(Plan!$M$5:$M$24,"#"&amp;$A60,Plan!E$5:E$24))</f>
        <v/>
      </c>
      <c r="I60" s="53">
        <f>IF($B60="",0,$E60*SUMIF(Plan!$M$5:$M$24,"#"&amp;$A60,Plan!F$5:F$24))</f>
        <v/>
      </c>
      <c r="J60" s="53">
        <f>IF($B60="",0,$E60*SUMIF(Plan!$M$5:$M$24,"#"&amp;$A60,Plan!G$5:G$24))</f>
        <v/>
      </c>
      <c r="K60" s="53">
        <f>IF($B60="",0,$E60*SUMIF(Plan!$M$5:$M$24,"#"&amp;$A60,Plan!H$5:H$24))</f>
        <v/>
      </c>
      <c r="L60" s="53">
        <f>IF($B60="",0,$E60*SUMIF(Plan!$M$5:$M$24,"#"&amp;$A60,Plan!I$5:I$24))</f>
        <v/>
      </c>
      <c r="M60" s="53">
        <f>IF($B60="",0,$E60*SUMIF(Plan!$M$5:$M$24,"#"&amp;$A60,Plan!J$5:J$24))</f>
        <v/>
      </c>
      <c r="N60" s="53">
        <f>IF($B60="",0,$E60*SUMIF(Plan!$M$5:$M$24,"#"&amp;$A60,Plan!K$5:K$24))</f>
        <v/>
      </c>
      <c r="O60" s="53">
        <f>IF($B60="",0,$E60*SUMIF(Plan!$M$5:$M$24,"#"&amp;$A60,Plan!L$5:L$24))</f>
        <v/>
      </c>
      <c r="P60" s="35">
        <f>IF(B60="","","#"&amp;B60)</f>
        <v/>
      </c>
      <c r="Q60" s="35">
        <f>IF(A60="","","#"&amp;A60)</f>
        <v/>
      </c>
    </row>
    <row r="61">
      <c r="A61" s="46" t="inlineStr">
        <is>
          <t>CRNE (Cortada Noreste)</t>
        </is>
      </c>
      <c r="B61" s="55" t="n"/>
      <c r="C61" s="48">
        <f>IFERROR(INDEX(Materiales!$B$4:$B$484,MATCH("#"&amp;$B61,Materiales!$K$4:$K$484,0)),"")</f>
        <v/>
      </c>
      <c r="D61" s="49">
        <f>IFERROR(INDEX(Materiales!$C$4:$C$484,MATCH("#"&amp;$B61,Materiales!$K$4:$K$484,0)),"")</f>
        <v/>
      </c>
      <c r="E61" s="50" t="n"/>
      <c r="F61" s="55" t="n"/>
      <c r="G61" s="56" t="n"/>
      <c r="H61" s="53">
        <f>IF($B61="",0,$E61*SUMIF(Plan!$M$5:$M$24,"#"&amp;$A61,Plan!E$5:E$24))</f>
        <v/>
      </c>
      <c r="I61" s="53">
        <f>IF($B61="",0,$E61*SUMIF(Plan!$M$5:$M$24,"#"&amp;$A61,Plan!F$5:F$24))</f>
        <v/>
      </c>
      <c r="J61" s="53">
        <f>IF($B61="",0,$E61*SUMIF(Plan!$M$5:$M$24,"#"&amp;$A61,Plan!G$5:G$24))</f>
        <v/>
      </c>
      <c r="K61" s="53">
        <f>IF($B61="",0,$E61*SUMIF(Plan!$M$5:$M$24,"#"&amp;$A61,Plan!H$5:H$24))</f>
        <v/>
      </c>
      <c r="L61" s="53">
        <f>IF($B61="",0,$E61*SUMIF(Plan!$M$5:$M$24,"#"&amp;$A61,Plan!I$5:I$24))</f>
        <v/>
      </c>
      <c r="M61" s="53">
        <f>IF($B61="",0,$E61*SUMIF(Plan!$M$5:$M$24,"#"&amp;$A61,Plan!J$5:J$24))</f>
        <v/>
      </c>
      <c r="N61" s="53">
        <f>IF($B61="",0,$E61*SUMIF(Plan!$M$5:$M$24,"#"&amp;$A61,Plan!K$5:K$24))</f>
        <v/>
      </c>
      <c r="O61" s="53">
        <f>IF($B61="",0,$E61*SUMIF(Plan!$M$5:$M$24,"#"&amp;$A61,Plan!L$5:L$24))</f>
        <v/>
      </c>
      <c r="P61" s="35">
        <f>IF(B61="","","#"&amp;B61)</f>
        <v/>
      </c>
      <c r="Q61" s="35">
        <f>IF(A61="","","#"&amp;A61)</f>
        <v/>
      </c>
    </row>
    <row r="62">
      <c r="A62" s="46" t="inlineStr">
        <is>
          <t>CRNE (Cortada Noreste)</t>
        </is>
      </c>
      <c r="B62" s="55" t="n"/>
      <c r="C62" s="48">
        <f>IFERROR(INDEX(Materiales!$B$4:$B$484,MATCH("#"&amp;$B62,Materiales!$K$4:$K$484,0)),"")</f>
        <v/>
      </c>
      <c r="D62" s="49">
        <f>IFERROR(INDEX(Materiales!$C$4:$C$484,MATCH("#"&amp;$B62,Materiales!$K$4:$K$484,0)),"")</f>
        <v/>
      </c>
      <c r="E62" s="50" t="n"/>
      <c r="F62" s="55" t="n"/>
      <c r="G62" s="56" t="n"/>
      <c r="H62" s="53">
        <f>IF($B62="",0,$E62*SUMIF(Plan!$M$5:$M$24,"#"&amp;$A62,Plan!E$5:E$24))</f>
        <v/>
      </c>
      <c r="I62" s="53">
        <f>IF($B62="",0,$E62*SUMIF(Plan!$M$5:$M$24,"#"&amp;$A62,Plan!F$5:F$24))</f>
        <v/>
      </c>
      <c r="J62" s="53">
        <f>IF($B62="",0,$E62*SUMIF(Plan!$M$5:$M$24,"#"&amp;$A62,Plan!G$5:G$24))</f>
        <v/>
      </c>
      <c r="K62" s="53">
        <f>IF($B62="",0,$E62*SUMIF(Plan!$M$5:$M$24,"#"&amp;$A62,Plan!H$5:H$24))</f>
        <v/>
      </c>
      <c r="L62" s="53">
        <f>IF($B62="",0,$E62*SUMIF(Plan!$M$5:$M$24,"#"&amp;$A62,Plan!I$5:I$24))</f>
        <v/>
      </c>
      <c r="M62" s="53">
        <f>IF($B62="",0,$E62*SUMIF(Plan!$M$5:$M$24,"#"&amp;$A62,Plan!J$5:J$24))</f>
        <v/>
      </c>
      <c r="N62" s="53">
        <f>IF($B62="",0,$E62*SUMIF(Plan!$M$5:$M$24,"#"&amp;$A62,Plan!K$5:K$24))</f>
        <v/>
      </c>
      <c r="O62" s="53">
        <f>IF($B62="",0,$E62*SUMIF(Plan!$M$5:$M$24,"#"&amp;$A62,Plan!L$5:L$24))</f>
        <v/>
      </c>
      <c r="P62" s="35">
        <f>IF(B62="","","#"&amp;B62)</f>
        <v/>
      </c>
      <c r="Q62" s="35">
        <f>IF(A62="","","#"&amp;A62)</f>
        <v/>
      </c>
    </row>
    <row r="63">
      <c r="A63" s="46" t="inlineStr">
        <is>
          <t>CRNE (Cortada Noreste)</t>
        </is>
      </c>
      <c r="B63" s="55" t="n"/>
      <c r="C63" s="48">
        <f>IFERROR(INDEX(Materiales!$B$4:$B$484,MATCH("#"&amp;$B63,Materiales!$K$4:$K$484,0)),"")</f>
        <v/>
      </c>
      <c r="D63" s="49">
        <f>IFERROR(INDEX(Materiales!$C$4:$C$484,MATCH("#"&amp;$B63,Materiales!$K$4:$K$484,0)),"")</f>
        <v/>
      </c>
      <c r="E63" s="50" t="n"/>
      <c r="F63" s="55" t="n"/>
      <c r="G63" s="56" t="n"/>
      <c r="H63" s="53">
        <f>IF($B63="",0,$E63*SUMIF(Plan!$M$5:$M$24,"#"&amp;$A63,Plan!E$5:E$24))</f>
        <v/>
      </c>
      <c r="I63" s="53">
        <f>IF($B63="",0,$E63*SUMIF(Plan!$M$5:$M$24,"#"&amp;$A63,Plan!F$5:F$24))</f>
        <v/>
      </c>
      <c r="J63" s="53">
        <f>IF($B63="",0,$E63*SUMIF(Plan!$M$5:$M$24,"#"&amp;$A63,Plan!G$5:G$24))</f>
        <v/>
      </c>
      <c r="K63" s="53">
        <f>IF($B63="",0,$E63*SUMIF(Plan!$M$5:$M$24,"#"&amp;$A63,Plan!H$5:H$24))</f>
        <v/>
      </c>
      <c r="L63" s="53">
        <f>IF($B63="",0,$E63*SUMIF(Plan!$M$5:$M$24,"#"&amp;$A63,Plan!I$5:I$24))</f>
        <v/>
      </c>
      <c r="M63" s="53">
        <f>IF($B63="",0,$E63*SUMIF(Plan!$M$5:$M$24,"#"&amp;$A63,Plan!J$5:J$24))</f>
        <v/>
      </c>
      <c r="N63" s="53">
        <f>IF($B63="",0,$E63*SUMIF(Plan!$M$5:$M$24,"#"&amp;$A63,Plan!K$5:K$24))</f>
        <v/>
      </c>
      <c r="O63" s="53">
        <f>IF($B63="",0,$E63*SUMIF(Plan!$M$5:$M$24,"#"&amp;$A63,Plan!L$5:L$24))</f>
        <v/>
      </c>
      <c r="P63" s="35">
        <f>IF(B63="","","#"&amp;B63)</f>
        <v/>
      </c>
      <c r="Q63" s="35">
        <f>IF(A63="","","#"&amp;A63)</f>
        <v/>
      </c>
    </row>
    <row r="64">
      <c r="A64" s="46" t="inlineStr">
        <is>
          <t>CRNE (Cortada Noreste)</t>
        </is>
      </c>
      <c r="B64" s="55" t="n"/>
      <c r="C64" s="48">
        <f>IFERROR(INDEX(Materiales!$B$4:$B$484,MATCH("#"&amp;$B64,Materiales!$K$4:$K$484,0)),"")</f>
        <v/>
      </c>
      <c r="D64" s="49">
        <f>IFERROR(INDEX(Materiales!$C$4:$C$484,MATCH("#"&amp;$B64,Materiales!$K$4:$K$484,0)),"")</f>
        <v/>
      </c>
      <c r="E64" s="50" t="n"/>
      <c r="F64" s="55" t="n"/>
      <c r="G64" s="56" t="n"/>
      <c r="H64" s="53">
        <f>IF($B64="",0,$E64*SUMIF(Plan!$M$5:$M$24,"#"&amp;$A64,Plan!E$5:E$24))</f>
        <v/>
      </c>
      <c r="I64" s="53">
        <f>IF($B64="",0,$E64*SUMIF(Plan!$M$5:$M$24,"#"&amp;$A64,Plan!F$5:F$24))</f>
        <v/>
      </c>
      <c r="J64" s="53">
        <f>IF($B64="",0,$E64*SUMIF(Plan!$M$5:$M$24,"#"&amp;$A64,Plan!G$5:G$24))</f>
        <v/>
      </c>
      <c r="K64" s="53">
        <f>IF($B64="",0,$E64*SUMIF(Plan!$M$5:$M$24,"#"&amp;$A64,Plan!H$5:H$24))</f>
        <v/>
      </c>
      <c r="L64" s="53">
        <f>IF($B64="",0,$E64*SUMIF(Plan!$M$5:$M$24,"#"&amp;$A64,Plan!I$5:I$24))</f>
        <v/>
      </c>
      <c r="M64" s="53">
        <f>IF($B64="",0,$E64*SUMIF(Plan!$M$5:$M$24,"#"&amp;$A64,Plan!J$5:J$24))</f>
        <v/>
      </c>
      <c r="N64" s="53">
        <f>IF($B64="",0,$E64*SUMIF(Plan!$M$5:$M$24,"#"&amp;$A64,Plan!K$5:K$24))</f>
        <v/>
      </c>
      <c r="O64" s="53">
        <f>IF($B64="",0,$E64*SUMIF(Plan!$M$5:$M$24,"#"&amp;$A64,Plan!L$5:L$24))</f>
        <v/>
      </c>
      <c r="P64" s="35">
        <f>IF(B64="","","#"&amp;B64)</f>
        <v/>
      </c>
      <c r="Q64" s="35">
        <f>IF(A64="","","#"&amp;A64)</f>
        <v/>
      </c>
    </row>
    <row r="65">
      <c r="A65" s="46" t="inlineStr">
        <is>
          <t>CRNE (Cortada Noreste)</t>
        </is>
      </c>
      <c r="B65" s="55" t="n"/>
      <c r="C65" s="48">
        <f>IFERROR(INDEX(Materiales!$B$4:$B$484,MATCH("#"&amp;$B65,Materiales!$K$4:$K$484,0)),"")</f>
        <v/>
      </c>
      <c r="D65" s="49">
        <f>IFERROR(INDEX(Materiales!$C$4:$C$484,MATCH("#"&amp;$B65,Materiales!$K$4:$K$484,0)),"")</f>
        <v/>
      </c>
      <c r="E65" s="50" t="n"/>
      <c r="F65" s="55" t="n"/>
      <c r="G65" s="56" t="n"/>
      <c r="H65" s="53">
        <f>IF($B65="",0,$E65*SUMIF(Plan!$M$5:$M$24,"#"&amp;$A65,Plan!E$5:E$24))</f>
        <v/>
      </c>
      <c r="I65" s="53">
        <f>IF($B65="",0,$E65*SUMIF(Plan!$M$5:$M$24,"#"&amp;$A65,Plan!F$5:F$24))</f>
        <v/>
      </c>
      <c r="J65" s="53">
        <f>IF($B65="",0,$E65*SUMIF(Plan!$M$5:$M$24,"#"&amp;$A65,Plan!G$5:G$24))</f>
        <v/>
      </c>
      <c r="K65" s="53">
        <f>IF($B65="",0,$E65*SUMIF(Plan!$M$5:$M$24,"#"&amp;$A65,Plan!H$5:H$24))</f>
        <v/>
      </c>
      <c r="L65" s="53">
        <f>IF($B65="",0,$E65*SUMIF(Plan!$M$5:$M$24,"#"&amp;$A65,Plan!I$5:I$24))</f>
        <v/>
      </c>
      <c r="M65" s="53">
        <f>IF($B65="",0,$E65*SUMIF(Plan!$M$5:$M$24,"#"&amp;$A65,Plan!J$5:J$24))</f>
        <v/>
      </c>
      <c r="N65" s="53">
        <f>IF($B65="",0,$E65*SUMIF(Plan!$M$5:$M$24,"#"&amp;$A65,Plan!K$5:K$24))</f>
        <v/>
      </c>
      <c r="O65" s="53">
        <f>IF($B65="",0,$E65*SUMIF(Plan!$M$5:$M$24,"#"&amp;$A65,Plan!L$5:L$24))</f>
        <v/>
      </c>
      <c r="P65" s="35">
        <f>IF(B65="","","#"&amp;B65)</f>
        <v/>
      </c>
      <c r="Q65" s="35">
        <f>IF(A65="","","#"&amp;A65)</f>
        <v/>
      </c>
    </row>
    <row r="66" ht="20" customHeight="1">
      <c r="A66" s="44" t="inlineStr">
        <is>
          <t>FRENTE:  GLSE-2   —   consumo por CADA metro de avance</t>
        </is>
      </c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</row>
    <row r="67">
      <c r="A67" s="46" t="inlineStr">
        <is>
          <t>GLSE-2</t>
        </is>
      </c>
      <c r="B67" s="55" t="n"/>
      <c r="C67" s="48">
        <f>IFERROR(INDEX(Materiales!$B$4:$B$484,MATCH("#"&amp;$B67,Materiales!$K$4:$K$484,0)),"")</f>
        <v/>
      </c>
      <c r="D67" s="49">
        <f>IFERROR(INDEX(Materiales!$C$4:$C$484,MATCH("#"&amp;$B67,Materiales!$K$4:$K$484,0)),"")</f>
        <v/>
      </c>
      <c r="E67" s="50" t="n"/>
      <c r="F67" s="55" t="n"/>
      <c r="G67" s="56" t="n"/>
      <c r="H67" s="53">
        <f>IF($B67="",0,$E67*SUMIF(Plan!$M$5:$M$24,"#"&amp;$A67,Plan!E$5:E$24))</f>
        <v/>
      </c>
      <c r="I67" s="53">
        <f>IF($B67="",0,$E67*SUMIF(Plan!$M$5:$M$24,"#"&amp;$A67,Plan!F$5:F$24))</f>
        <v/>
      </c>
      <c r="J67" s="53">
        <f>IF($B67="",0,$E67*SUMIF(Plan!$M$5:$M$24,"#"&amp;$A67,Plan!G$5:G$24))</f>
        <v/>
      </c>
      <c r="K67" s="53">
        <f>IF($B67="",0,$E67*SUMIF(Plan!$M$5:$M$24,"#"&amp;$A67,Plan!H$5:H$24))</f>
        <v/>
      </c>
      <c r="L67" s="53">
        <f>IF($B67="",0,$E67*SUMIF(Plan!$M$5:$M$24,"#"&amp;$A67,Plan!I$5:I$24))</f>
        <v/>
      </c>
      <c r="M67" s="53">
        <f>IF($B67="",0,$E67*SUMIF(Plan!$M$5:$M$24,"#"&amp;$A67,Plan!J$5:J$24))</f>
        <v/>
      </c>
      <c r="N67" s="53">
        <f>IF($B67="",0,$E67*SUMIF(Plan!$M$5:$M$24,"#"&amp;$A67,Plan!K$5:K$24))</f>
        <v/>
      </c>
      <c r="O67" s="53">
        <f>IF($B67="",0,$E67*SUMIF(Plan!$M$5:$M$24,"#"&amp;$A67,Plan!L$5:L$24))</f>
        <v/>
      </c>
      <c r="P67" s="35">
        <f>IF(B67="","","#"&amp;B67)</f>
        <v/>
      </c>
      <c r="Q67" s="35">
        <f>IF(A67="","","#"&amp;A67)</f>
        <v/>
      </c>
    </row>
    <row r="68">
      <c r="A68" s="46" t="inlineStr">
        <is>
          <t>GLSE-2</t>
        </is>
      </c>
      <c r="B68" s="55" t="n"/>
      <c r="C68" s="48">
        <f>IFERROR(INDEX(Materiales!$B$4:$B$484,MATCH("#"&amp;$B68,Materiales!$K$4:$K$484,0)),"")</f>
        <v/>
      </c>
      <c r="D68" s="49">
        <f>IFERROR(INDEX(Materiales!$C$4:$C$484,MATCH("#"&amp;$B68,Materiales!$K$4:$K$484,0)),"")</f>
        <v/>
      </c>
      <c r="E68" s="50" t="n"/>
      <c r="F68" s="55" t="n"/>
      <c r="G68" s="56" t="n"/>
      <c r="H68" s="53">
        <f>IF($B68="",0,$E68*SUMIF(Plan!$M$5:$M$24,"#"&amp;$A68,Plan!E$5:E$24))</f>
        <v/>
      </c>
      <c r="I68" s="53">
        <f>IF($B68="",0,$E68*SUMIF(Plan!$M$5:$M$24,"#"&amp;$A68,Plan!F$5:F$24))</f>
        <v/>
      </c>
      <c r="J68" s="53">
        <f>IF($B68="",0,$E68*SUMIF(Plan!$M$5:$M$24,"#"&amp;$A68,Plan!G$5:G$24))</f>
        <v/>
      </c>
      <c r="K68" s="53">
        <f>IF($B68="",0,$E68*SUMIF(Plan!$M$5:$M$24,"#"&amp;$A68,Plan!H$5:H$24))</f>
        <v/>
      </c>
      <c r="L68" s="53">
        <f>IF($B68="",0,$E68*SUMIF(Plan!$M$5:$M$24,"#"&amp;$A68,Plan!I$5:I$24))</f>
        <v/>
      </c>
      <c r="M68" s="53">
        <f>IF($B68="",0,$E68*SUMIF(Plan!$M$5:$M$24,"#"&amp;$A68,Plan!J$5:J$24))</f>
        <v/>
      </c>
      <c r="N68" s="53">
        <f>IF($B68="",0,$E68*SUMIF(Plan!$M$5:$M$24,"#"&amp;$A68,Plan!K$5:K$24))</f>
        <v/>
      </c>
      <c r="O68" s="53">
        <f>IF($B68="",0,$E68*SUMIF(Plan!$M$5:$M$24,"#"&amp;$A68,Plan!L$5:L$24))</f>
        <v/>
      </c>
      <c r="P68" s="35">
        <f>IF(B68="","","#"&amp;B68)</f>
        <v/>
      </c>
      <c r="Q68" s="35">
        <f>IF(A68="","","#"&amp;A68)</f>
        <v/>
      </c>
    </row>
    <row r="69">
      <c r="A69" s="46" t="inlineStr">
        <is>
          <t>GLSE-2</t>
        </is>
      </c>
      <c r="B69" s="55" t="n"/>
      <c r="C69" s="48">
        <f>IFERROR(INDEX(Materiales!$B$4:$B$484,MATCH("#"&amp;$B69,Materiales!$K$4:$K$484,0)),"")</f>
        <v/>
      </c>
      <c r="D69" s="49">
        <f>IFERROR(INDEX(Materiales!$C$4:$C$484,MATCH("#"&amp;$B69,Materiales!$K$4:$K$484,0)),"")</f>
        <v/>
      </c>
      <c r="E69" s="50" t="n"/>
      <c r="F69" s="55" t="n"/>
      <c r="G69" s="56" t="n"/>
      <c r="H69" s="53">
        <f>IF($B69="",0,$E69*SUMIF(Plan!$M$5:$M$24,"#"&amp;$A69,Plan!E$5:E$24))</f>
        <v/>
      </c>
      <c r="I69" s="53">
        <f>IF($B69="",0,$E69*SUMIF(Plan!$M$5:$M$24,"#"&amp;$A69,Plan!F$5:F$24))</f>
        <v/>
      </c>
      <c r="J69" s="53">
        <f>IF($B69="",0,$E69*SUMIF(Plan!$M$5:$M$24,"#"&amp;$A69,Plan!G$5:G$24))</f>
        <v/>
      </c>
      <c r="K69" s="53">
        <f>IF($B69="",0,$E69*SUMIF(Plan!$M$5:$M$24,"#"&amp;$A69,Plan!H$5:H$24))</f>
        <v/>
      </c>
      <c r="L69" s="53">
        <f>IF($B69="",0,$E69*SUMIF(Plan!$M$5:$M$24,"#"&amp;$A69,Plan!I$5:I$24))</f>
        <v/>
      </c>
      <c r="M69" s="53">
        <f>IF($B69="",0,$E69*SUMIF(Plan!$M$5:$M$24,"#"&amp;$A69,Plan!J$5:J$24))</f>
        <v/>
      </c>
      <c r="N69" s="53">
        <f>IF($B69="",0,$E69*SUMIF(Plan!$M$5:$M$24,"#"&amp;$A69,Plan!K$5:K$24))</f>
        <v/>
      </c>
      <c r="O69" s="53">
        <f>IF($B69="",0,$E69*SUMIF(Plan!$M$5:$M$24,"#"&amp;$A69,Plan!L$5:L$24))</f>
        <v/>
      </c>
      <c r="P69" s="35">
        <f>IF(B69="","","#"&amp;B69)</f>
        <v/>
      </c>
      <c r="Q69" s="35">
        <f>IF(A69="","","#"&amp;A69)</f>
        <v/>
      </c>
    </row>
    <row r="70">
      <c r="A70" s="46" t="inlineStr">
        <is>
          <t>GLSE-2</t>
        </is>
      </c>
      <c r="B70" s="55" t="n"/>
      <c r="C70" s="48">
        <f>IFERROR(INDEX(Materiales!$B$4:$B$484,MATCH("#"&amp;$B70,Materiales!$K$4:$K$484,0)),"")</f>
        <v/>
      </c>
      <c r="D70" s="49">
        <f>IFERROR(INDEX(Materiales!$C$4:$C$484,MATCH("#"&amp;$B70,Materiales!$K$4:$K$484,0)),"")</f>
        <v/>
      </c>
      <c r="E70" s="50" t="n"/>
      <c r="F70" s="55" t="n"/>
      <c r="G70" s="56" t="n"/>
      <c r="H70" s="53">
        <f>IF($B70="",0,$E70*SUMIF(Plan!$M$5:$M$24,"#"&amp;$A70,Plan!E$5:E$24))</f>
        <v/>
      </c>
      <c r="I70" s="53">
        <f>IF($B70="",0,$E70*SUMIF(Plan!$M$5:$M$24,"#"&amp;$A70,Plan!F$5:F$24))</f>
        <v/>
      </c>
      <c r="J70" s="53">
        <f>IF($B70="",0,$E70*SUMIF(Plan!$M$5:$M$24,"#"&amp;$A70,Plan!G$5:G$24))</f>
        <v/>
      </c>
      <c r="K70" s="53">
        <f>IF($B70="",0,$E70*SUMIF(Plan!$M$5:$M$24,"#"&amp;$A70,Plan!H$5:H$24))</f>
        <v/>
      </c>
      <c r="L70" s="53">
        <f>IF($B70="",0,$E70*SUMIF(Plan!$M$5:$M$24,"#"&amp;$A70,Plan!I$5:I$24))</f>
        <v/>
      </c>
      <c r="M70" s="53">
        <f>IF($B70="",0,$E70*SUMIF(Plan!$M$5:$M$24,"#"&amp;$A70,Plan!J$5:J$24))</f>
        <v/>
      </c>
      <c r="N70" s="53">
        <f>IF($B70="",0,$E70*SUMIF(Plan!$M$5:$M$24,"#"&amp;$A70,Plan!K$5:K$24))</f>
        <v/>
      </c>
      <c r="O70" s="53">
        <f>IF($B70="",0,$E70*SUMIF(Plan!$M$5:$M$24,"#"&amp;$A70,Plan!L$5:L$24))</f>
        <v/>
      </c>
      <c r="P70" s="35">
        <f>IF(B70="","","#"&amp;B70)</f>
        <v/>
      </c>
      <c r="Q70" s="35">
        <f>IF(A70="","","#"&amp;A70)</f>
        <v/>
      </c>
    </row>
    <row r="71">
      <c r="A71" s="46" t="inlineStr">
        <is>
          <t>GLSE-2</t>
        </is>
      </c>
      <c r="B71" s="55" t="n"/>
      <c r="C71" s="48">
        <f>IFERROR(INDEX(Materiales!$B$4:$B$484,MATCH("#"&amp;$B71,Materiales!$K$4:$K$484,0)),"")</f>
        <v/>
      </c>
      <c r="D71" s="49">
        <f>IFERROR(INDEX(Materiales!$C$4:$C$484,MATCH("#"&amp;$B71,Materiales!$K$4:$K$484,0)),"")</f>
        <v/>
      </c>
      <c r="E71" s="50" t="n"/>
      <c r="F71" s="55" t="n"/>
      <c r="G71" s="56" t="n"/>
      <c r="H71" s="53">
        <f>IF($B71="",0,$E71*SUMIF(Plan!$M$5:$M$24,"#"&amp;$A71,Plan!E$5:E$24))</f>
        <v/>
      </c>
      <c r="I71" s="53">
        <f>IF($B71="",0,$E71*SUMIF(Plan!$M$5:$M$24,"#"&amp;$A71,Plan!F$5:F$24))</f>
        <v/>
      </c>
      <c r="J71" s="53">
        <f>IF($B71="",0,$E71*SUMIF(Plan!$M$5:$M$24,"#"&amp;$A71,Plan!G$5:G$24))</f>
        <v/>
      </c>
      <c r="K71" s="53">
        <f>IF($B71="",0,$E71*SUMIF(Plan!$M$5:$M$24,"#"&amp;$A71,Plan!H$5:H$24))</f>
        <v/>
      </c>
      <c r="L71" s="53">
        <f>IF($B71="",0,$E71*SUMIF(Plan!$M$5:$M$24,"#"&amp;$A71,Plan!I$5:I$24))</f>
        <v/>
      </c>
      <c r="M71" s="53">
        <f>IF($B71="",0,$E71*SUMIF(Plan!$M$5:$M$24,"#"&amp;$A71,Plan!J$5:J$24))</f>
        <v/>
      </c>
      <c r="N71" s="53">
        <f>IF($B71="",0,$E71*SUMIF(Plan!$M$5:$M$24,"#"&amp;$A71,Plan!K$5:K$24))</f>
        <v/>
      </c>
      <c r="O71" s="53">
        <f>IF($B71="",0,$E71*SUMIF(Plan!$M$5:$M$24,"#"&amp;$A71,Plan!L$5:L$24))</f>
        <v/>
      </c>
      <c r="P71" s="35">
        <f>IF(B71="","","#"&amp;B71)</f>
        <v/>
      </c>
      <c r="Q71" s="35">
        <f>IF(A71="","","#"&amp;A71)</f>
        <v/>
      </c>
    </row>
    <row r="72">
      <c r="A72" s="46" t="inlineStr">
        <is>
          <t>GLSE-2</t>
        </is>
      </c>
      <c r="B72" s="55" t="n"/>
      <c r="C72" s="48">
        <f>IFERROR(INDEX(Materiales!$B$4:$B$484,MATCH("#"&amp;$B72,Materiales!$K$4:$K$484,0)),"")</f>
        <v/>
      </c>
      <c r="D72" s="49">
        <f>IFERROR(INDEX(Materiales!$C$4:$C$484,MATCH("#"&amp;$B72,Materiales!$K$4:$K$484,0)),"")</f>
        <v/>
      </c>
      <c r="E72" s="50" t="n"/>
      <c r="F72" s="55" t="n"/>
      <c r="G72" s="56" t="n"/>
      <c r="H72" s="53">
        <f>IF($B72="",0,$E72*SUMIF(Plan!$M$5:$M$24,"#"&amp;$A72,Plan!E$5:E$24))</f>
        <v/>
      </c>
      <c r="I72" s="53">
        <f>IF($B72="",0,$E72*SUMIF(Plan!$M$5:$M$24,"#"&amp;$A72,Plan!F$5:F$24))</f>
        <v/>
      </c>
      <c r="J72" s="53">
        <f>IF($B72="",0,$E72*SUMIF(Plan!$M$5:$M$24,"#"&amp;$A72,Plan!G$5:G$24))</f>
        <v/>
      </c>
      <c r="K72" s="53">
        <f>IF($B72="",0,$E72*SUMIF(Plan!$M$5:$M$24,"#"&amp;$A72,Plan!H$5:H$24))</f>
        <v/>
      </c>
      <c r="L72" s="53">
        <f>IF($B72="",0,$E72*SUMIF(Plan!$M$5:$M$24,"#"&amp;$A72,Plan!I$5:I$24))</f>
        <v/>
      </c>
      <c r="M72" s="53">
        <f>IF($B72="",0,$E72*SUMIF(Plan!$M$5:$M$24,"#"&amp;$A72,Plan!J$5:J$24))</f>
        <v/>
      </c>
      <c r="N72" s="53">
        <f>IF($B72="",0,$E72*SUMIF(Plan!$M$5:$M$24,"#"&amp;$A72,Plan!K$5:K$24))</f>
        <v/>
      </c>
      <c r="O72" s="53">
        <f>IF($B72="",0,$E72*SUMIF(Plan!$M$5:$M$24,"#"&amp;$A72,Plan!L$5:L$24))</f>
        <v/>
      </c>
      <c r="P72" s="35">
        <f>IF(B72="","","#"&amp;B72)</f>
        <v/>
      </c>
      <c r="Q72" s="35">
        <f>IF(A72="","","#"&amp;A72)</f>
        <v/>
      </c>
    </row>
    <row r="73">
      <c r="A73" s="46" t="inlineStr">
        <is>
          <t>GLSE-2</t>
        </is>
      </c>
      <c r="B73" s="55" t="n"/>
      <c r="C73" s="48">
        <f>IFERROR(INDEX(Materiales!$B$4:$B$484,MATCH("#"&amp;$B73,Materiales!$K$4:$K$484,0)),"")</f>
        <v/>
      </c>
      <c r="D73" s="49">
        <f>IFERROR(INDEX(Materiales!$C$4:$C$484,MATCH("#"&amp;$B73,Materiales!$K$4:$K$484,0)),"")</f>
        <v/>
      </c>
      <c r="E73" s="50" t="n"/>
      <c r="F73" s="55" t="n"/>
      <c r="G73" s="56" t="n"/>
      <c r="H73" s="53">
        <f>IF($B73="",0,$E73*SUMIF(Plan!$M$5:$M$24,"#"&amp;$A73,Plan!E$5:E$24))</f>
        <v/>
      </c>
      <c r="I73" s="53">
        <f>IF($B73="",0,$E73*SUMIF(Plan!$M$5:$M$24,"#"&amp;$A73,Plan!F$5:F$24))</f>
        <v/>
      </c>
      <c r="J73" s="53">
        <f>IF($B73="",0,$E73*SUMIF(Plan!$M$5:$M$24,"#"&amp;$A73,Plan!G$5:G$24))</f>
        <v/>
      </c>
      <c r="K73" s="53">
        <f>IF($B73="",0,$E73*SUMIF(Plan!$M$5:$M$24,"#"&amp;$A73,Plan!H$5:H$24))</f>
        <v/>
      </c>
      <c r="L73" s="53">
        <f>IF($B73="",0,$E73*SUMIF(Plan!$M$5:$M$24,"#"&amp;$A73,Plan!I$5:I$24))</f>
        <v/>
      </c>
      <c r="M73" s="53">
        <f>IF($B73="",0,$E73*SUMIF(Plan!$M$5:$M$24,"#"&amp;$A73,Plan!J$5:J$24))</f>
        <v/>
      </c>
      <c r="N73" s="53">
        <f>IF($B73="",0,$E73*SUMIF(Plan!$M$5:$M$24,"#"&amp;$A73,Plan!K$5:K$24))</f>
        <v/>
      </c>
      <c r="O73" s="53">
        <f>IF($B73="",0,$E73*SUMIF(Plan!$M$5:$M$24,"#"&amp;$A73,Plan!L$5:L$24))</f>
        <v/>
      </c>
      <c r="P73" s="35">
        <f>IF(B73="","","#"&amp;B73)</f>
        <v/>
      </c>
      <c r="Q73" s="35">
        <f>IF(A73="","","#"&amp;A73)</f>
        <v/>
      </c>
    </row>
    <row r="74">
      <c r="A74" s="46" t="inlineStr">
        <is>
          <t>GLSE-2</t>
        </is>
      </c>
      <c r="B74" s="55" t="n"/>
      <c r="C74" s="48">
        <f>IFERROR(INDEX(Materiales!$B$4:$B$484,MATCH("#"&amp;$B74,Materiales!$K$4:$K$484,0)),"")</f>
        <v/>
      </c>
      <c r="D74" s="49">
        <f>IFERROR(INDEX(Materiales!$C$4:$C$484,MATCH("#"&amp;$B74,Materiales!$K$4:$K$484,0)),"")</f>
        <v/>
      </c>
      <c r="E74" s="50" t="n"/>
      <c r="F74" s="55" t="n"/>
      <c r="G74" s="56" t="n"/>
      <c r="H74" s="53">
        <f>IF($B74="",0,$E74*SUMIF(Plan!$M$5:$M$24,"#"&amp;$A74,Plan!E$5:E$24))</f>
        <v/>
      </c>
      <c r="I74" s="53">
        <f>IF($B74="",0,$E74*SUMIF(Plan!$M$5:$M$24,"#"&amp;$A74,Plan!F$5:F$24))</f>
        <v/>
      </c>
      <c r="J74" s="53">
        <f>IF($B74="",0,$E74*SUMIF(Plan!$M$5:$M$24,"#"&amp;$A74,Plan!G$5:G$24))</f>
        <v/>
      </c>
      <c r="K74" s="53">
        <f>IF($B74="",0,$E74*SUMIF(Plan!$M$5:$M$24,"#"&amp;$A74,Plan!H$5:H$24))</f>
        <v/>
      </c>
      <c r="L74" s="53">
        <f>IF($B74="",0,$E74*SUMIF(Plan!$M$5:$M$24,"#"&amp;$A74,Plan!I$5:I$24))</f>
        <v/>
      </c>
      <c r="M74" s="53">
        <f>IF($B74="",0,$E74*SUMIF(Plan!$M$5:$M$24,"#"&amp;$A74,Plan!J$5:J$24))</f>
        <v/>
      </c>
      <c r="N74" s="53">
        <f>IF($B74="",0,$E74*SUMIF(Plan!$M$5:$M$24,"#"&amp;$A74,Plan!K$5:K$24))</f>
        <v/>
      </c>
      <c r="O74" s="53">
        <f>IF($B74="",0,$E74*SUMIF(Plan!$M$5:$M$24,"#"&amp;$A74,Plan!L$5:L$24))</f>
        <v/>
      </c>
      <c r="P74" s="35">
        <f>IF(B74="","","#"&amp;B74)</f>
        <v/>
      </c>
      <c r="Q74" s="35">
        <f>IF(A74="","","#"&amp;A74)</f>
        <v/>
      </c>
    </row>
    <row r="75">
      <c r="A75" s="46" t="inlineStr">
        <is>
          <t>GLSE-2</t>
        </is>
      </c>
      <c r="B75" s="55" t="n"/>
      <c r="C75" s="48">
        <f>IFERROR(INDEX(Materiales!$B$4:$B$484,MATCH("#"&amp;$B75,Materiales!$K$4:$K$484,0)),"")</f>
        <v/>
      </c>
      <c r="D75" s="49">
        <f>IFERROR(INDEX(Materiales!$C$4:$C$484,MATCH("#"&amp;$B75,Materiales!$K$4:$K$484,0)),"")</f>
        <v/>
      </c>
      <c r="E75" s="50" t="n"/>
      <c r="F75" s="55" t="n"/>
      <c r="G75" s="56" t="n"/>
      <c r="H75" s="53">
        <f>IF($B75="",0,$E75*SUMIF(Plan!$M$5:$M$24,"#"&amp;$A75,Plan!E$5:E$24))</f>
        <v/>
      </c>
      <c r="I75" s="53">
        <f>IF($B75="",0,$E75*SUMIF(Plan!$M$5:$M$24,"#"&amp;$A75,Plan!F$5:F$24))</f>
        <v/>
      </c>
      <c r="J75" s="53">
        <f>IF($B75="",0,$E75*SUMIF(Plan!$M$5:$M$24,"#"&amp;$A75,Plan!G$5:G$24))</f>
        <v/>
      </c>
      <c r="K75" s="53">
        <f>IF($B75="",0,$E75*SUMIF(Plan!$M$5:$M$24,"#"&amp;$A75,Plan!H$5:H$24))</f>
        <v/>
      </c>
      <c r="L75" s="53">
        <f>IF($B75="",0,$E75*SUMIF(Plan!$M$5:$M$24,"#"&amp;$A75,Plan!I$5:I$24))</f>
        <v/>
      </c>
      <c r="M75" s="53">
        <f>IF($B75="",0,$E75*SUMIF(Plan!$M$5:$M$24,"#"&amp;$A75,Plan!J$5:J$24))</f>
        <v/>
      </c>
      <c r="N75" s="53">
        <f>IF($B75="",0,$E75*SUMIF(Plan!$M$5:$M$24,"#"&amp;$A75,Plan!K$5:K$24))</f>
        <v/>
      </c>
      <c r="O75" s="53">
        <f>IF($B75="",0,$E75*SUMIF(Plan!$M$5:$M$24,"#"&amp;$A75,Plan!L$5:L$24))</f>
        <v/>
      </c>
      <c r="P75" s="35">
        <f>IF(B75="","","#"&amp;B75)</f>
        <v/>
      </c>
      <c r="Q75" s="35">
        <f>IF(A75="","","#"&amp;A75)</f>
        <v/>
      </c>
    </row>
    <row r="76">
      <c r="A76" s="46" t="inlineStr">
        <is>
          <t>GLSE-2</t>
        </is>
      </c>
      <c r="B76" s="55" t="n"/>
      <c r="C76" s="48">
        <f>IFERROR(INDEX(Materiales!$B$4:$B$484,MATCH("#"&amp;$B76,Materiales!$K$4:$K$484,0)),"")</f>
        <v/>
      </c>
      <c r="D76" s="49">
        <f>IFERROR(INDEX(Materiales!$C$4:$C$484,MATCH("#"&amp;$B76,Materiales!$K$4:$K$484,0)),"")</f>
        <v/>
      </c>
      <c r="E76" s="50" t="n"/>
      <c r="F76" s="55" t="n"/>
      <c r="G76" s="56" t="n"/>
      <c r="H76" s="53">
        <f>IF($B76="",0,$E76*SUMIF(Plan!$M$5:$M$24,"#"&amp;$A76,Plan!E$5:E$24))</f>
        <v/>
      </c>
      <c r="I76" s="53">
        <f>IF($B76="",0,$E76*SUMIF(Plan!$M$5:$M$24,"#"&amp;$A76,Plan!F$5:F$24))</f>
        <v/>
      </c>
      <c r="J76" s="53">
        <f>IF($B76="",0,$E76*SUMIF(Plan!$M$5:$M$24,"#"&amp;$A76,Plan!G$5:G$24))</f>
        <v/>
      </c>
      <c r="K76" s="53">
        <f>IF($B76="",0,$E76*SUMIF(Plan!$M$5:$M$24,"#"&amp;$A76,Plan!H$5:H$24))</f>
        <v/>
      </c>
      <c r="L76" s="53">
        <f>IF($B76="",0,$E76*SUMIF(Plan!$M$5:$M$24,"#"&amp;$A76,Plan!I$5:I$24))</f>
        <v/>
      </c>
      <c r="M76" s="53">
        <f>IF($B76="",0,$E76*SUMIF(Plan!$M$5:$M$24,"#"&amp;$A76,Plan!J$5:J$24))</f>
        <v/>
      </c>
      <c r="N76" s="53">
        <f>IF($B76="",0,$E76*SUMIF(Plan!$M$5:$M$24,"#"&amp;$A76,Plan!K$5:K$24))</f>
        <v/>
      </c>
      <c r="O76" s="53">
        <f>IF($B76="",0,$E76*SUMIF(Plan!$M$5:$M$24,"#"&amp;$A76,Plan!L$5:L$24))</f>
        <v/>
      </c>
      <c r="P76" s="35">
        <f>IF(B76="","","#"&amp;B76)</f>
        <v/>
      </c>
      <c r="Q76" s="35">
        <f>IF(A76="","","#"&amp;A76)</f>
        <v/>
      </c>
    </row>
    <row r="77">
      <c r="A77" s="46" t="inlineStr">
        <is>
          <t>GLSE-2</t>
        </is>
      </c>
      <c r="B77" s="55" t="n"/>
      <c r="C77" s="48">
        <f>IFERROR(INDEX(Materiales!$B$4:$B$484,MATCH("#"&amp;$B77,Materiales!$K$4:$K$484,0)),"")</f>
        <v/>
      </c>
      <c r="D77" s="49">
        <f>IFERROR(INDEX(Materiales!$C$4:$C$484,MATCH("#"&amp;$B77,Materiales!$K$4:$K$484,0)),"")</f>
        <v/>
      </c>
      <c r="E77" s="50" t="n"/>
      <c r="F77" s="55" t="n"/>
      <c r="G77" s="56" t="n"/>
      <c r="H77" s="53">
        <f>IF($B77="",0,$E77*SUMIF(Plan!$M$5:$M$24,"#"&amp;$A77,Plan!E$5:E$24))</f>
        <v/>
      </c>
      <c r="I77" s="53">
        <f>IF($B77="",0,$E77*SUMIF(Plan!$M$5:$M$24,"#"&amp;$A77,Plan!F$5:F$24))</f>
        <v/>
      </c>
      <c r="J77" s="53">
        <f>IF($B77="",0,$E77*SUMIF(Plan!$M$5:$M$24,"#"&amp;$A77,Plan!G$5:G$24))</f>
        <v/>
      </c>
      <c r="K77" s="53">
        <f>IF($B77="",0,$E77*SUMIF(Plan!$M$5:$M$24,"#"&amp;$A77,Plan!H$5:H$24))</f>
        <v/>
      </c>
      <c r="L77" s="53">
        <f>IF($B77="",0,$E77*SUMIF(Plan!$M$5:$M$24,"#"&amp;$A77,Plan!I$5:I$24))</f>
        <v/>
      </c>
      <c r="M77" s="53">
        <f>IF($B77="",0,$E77*SUMIF(Plan!$M$5:$M$24,"#"&amp;$A77,Plan!J$5:J$24))</f>
        <v/>
      </c>
      <c r="N77" s="53">
        <f>IF($B77="",0,$E77*SUMIF(Plan!$M$5:$M$24,"#"&amp;$A77,Plan!K$5:K$24))</f>
        <v/>
      </c>
      <c r="O77" s="53">
        <f>IF($B77="",0,$E77*SUMIF(Plan!$M$5:$M$24,"#"&amp;$A77,Plan!L$5:L$24))</f>
        <v/>
      </c>
      <c r="P77" s="35">
        <f>IF(B77="","","#"&amp;B77)</f>
        <v/>
      </c>
      <c r="Q77" s="35">
        <f>IF(A77="","","#"&amp;A77)</f>
        <v/>
      </c>
    </row>
    <row r="78">
      <c r="A78" s="46" t="inlineStr">
        <is>
          <t>GLSE-2</t>
        </is>
      </c>
      <c r="B78" s="55" t="n"/>
      <c r="C78" s="48">
        <f>IFERROR(INDEX(Materiales!$B$4:$B$484,MATCH("#"&amp;$B78,Materiales!$K$4:$K$484,0)),"")</f>
        <v/>
      </c>
      <c r="D78" s="49">
        <f>IFERROR(INDEX(Materiales!$C$4:$C$484,MATCH("#"&amp;$B78,Materiales!$K$4:$K$484,0)),"")</f>
        <v/>
      </c>
      <c r="E78" s="50" t="n"/>
      <c r="F78" s="55" t="n"/>
      <c r="G78" s="56" t="n"/>
      <c r="H78" s="53">
        <f>IF($B78="",0,$E78*SUMIF(Plan!$M$5:$M$24,"#"&amp;$A78,Plan!E$5:E$24))</f>
        <v/>
      </c>
      <c r="I78" s="53">
        <f>IF($B78="",0,$E78*SUMIF(Plan!$M$5:$M$24,"#"&amp;$A78,Plan!F$5:F$24))</f>
        <v/>
      </c>
      <c r="J78" s="53">
        <f>IF($B78="",0,$E78*SUMIF(Plan!$M$5:$M$24,"#"&amp;$A78,Plan!G$5:G$24))</f>
        <v/>
      </c>
      <c r="K78" s="53">
        <f>IF($B78="",0,$E78*SUMIF(Plan!$M$5:$M$24,"#"&amp;$A78,Plan!H$5:H$24))</f>
        <v/>
      </c>
      <c r="L78" s="53">
        <f>IF($B78="",0,$E78*SUMIF(Plan!$M$5:$M$24,"#"&amp;$A78,Plan!I$5:I$24))</f>
        <v/>
      </c>
      <c r="M78" s="53">
        <f>IF($B78="",0,$E78*SUMIF(Plan!$M$5:$M$24,"#"&amp;$A78,Plan!J$5:J$24))</f>
        <v/>
      </c>
      <c r="N78" s="53">
        <f>IF($B78="",0,$E78*SUMIF(Plan!$M$5:$M$24,"#"&amp;$A78,Plan!K$5:K$24))</f>
        <v/>
      </c>
      <c r="O78" s="53">
        <f>IF($B78="",0,$E78*SUMIF(Plan!$M$5:$M$24,"#"&amp;$A78,Plan!L$5:L$24))</f>
        <v/>
      </c>
      <c r="P78" s="35">
        <f>IF(B78="","","#"&amp;B78)</f>
        <v/>
      </c>
      <c r="Q78" s="35">
        <f>IF(A78="","","#"&amp;A78)</f>
        <v/>
      </c>
    </row>
    <row r="79">
      <c r="A79" s="46" t="inlineStr">
        <is>
          <t>GLSE-2</t>
        </is>
      </c>
      <c r="B79" s="55" t="n"/>
      <c r="C79" s="48">
        <f>IFERROR(INDEX(Materiales!$B$4:$B$484,MATCH("#"&amp;$B79,Materiales!$K$4:$K$484,0)),"")</f>
        <v/>
      </c>
      <c r="D79" s="49">
        <f>IFERROR(INDEX(Materiales!$C$4:$C$484,MATCH("#"&amp;$B79,Materiales!$K$4:$K$484,0)),"")</f>
        <v/>
      </c>
      <c r="E79" s="50" t="n"/>
      <c r="F79" s="55" t="n"/>
      <c r="G79" s="56" t="n"/>
      <c r="H79" s="53">
        <f>IF($B79="",0,$E79*SUMIF(Plan!$M$5:$M$24,"#"&amp;$A79,Plan!E$5:E$24))</f>
        <v/>
      </c>
      <c r="I79" s="53">
        <f>IF($B79="",0,$E79*SUMIF(Plan!$M$5:$M$24,"#"&amp;$A79,Plan!F$5:F$24))</f>
        <v/>
      </c>
      <c r="J79" s="53">
        <f>IF($B79="",0,$E79*SUMIF(Plan!$M$5:$M$24,"#"&amp;$A79,Plan!G$5:G$24))</f>
        <v/>
      </c>
      <c r="K79" s="53">
        <f>IF($B79="",0,$E79*SUMIF(Plan!$M$5:$M$24,"#"&amp;$A79,Plan!H$5:H$24))</f>
        <v/>
      </c>
      <c r="L79" s="53">
        <f>IF($B79="",0,$E79*SUMIF(Plan!$M$5:$M$24,"#"&amp;$A79,Plan!I$5:I$24))</f>
        <v/>
      </c>
      <c r="M79" s="53">
        <f>IF($B79="",0,$E79*SUMIF(Plan!$M$5:$M$24,"#"&amp;$A79,Plan!J$5:J$24))</f>
        <v/>
      </c>
      <c r="N79" s="53">
        <f>IF($B79="",0,$E79*SUMIF(Plan!$M$5:$M$24,"#"&amp;$A79,Plan!K$5:K$24))</f>
        <v/>
      </c>
      <c r="O79" s="53">
        <f>IF($B79="",0,$E79*SUMIF(Plan!$M$5:$M$24,"#"&amp;$A79,Plan!L$5:L$24))</f>
        <v/>
      </c>
      <c r="P79" s="35">
        <f>IF(B79="","","#"&amp;B79)</f>
        <v/>
      </c>
      <c r="Q79" s="35">
        <f>IF(A79="","","#"&amp;A79)</f>
        <v/>
      </c>
    </row>
    <row r="80">
      <c r="A80" s="46" t="inlineStr">
        <is>
          <t>GLSE-2</t>
        </is>
      </c>
      <c r="B80" s="55" t="n"/>
      <c r="C80" s="48">
        <f>IFERROR(INDEX(Materiales!$B$4:$B$484,MATCH("#"&amp;$B80,Materiales!$K$4:$K$484,0)),"")</f>
        <v/>
      </c>
      <c r="D80" s="49">
        <f>IFERROR(INDEX(Materiales!$C$4:$C$484,MATCH("#"&amp;$B80,Materiales!$K$4:$K$484,0)),"")</f>
        <v/>
      </c>
      <c r="E80" s="50" t="n"/>
      <c r="F80" s="55" t="n"/>
      <c r="G80" s="56" t="n"/>
      <c r="H80" s="53">
        <f>IF($B80="",0,$E80*SUMIF(Plan!$M$5:$M$24,"#"&amp;$A80,Plan!E$5:E$24))</f>
        <v/>
      </c>
      <c r="I80" s="53">
        <f>IF($B80="",0,$E80*SUMIF(Plan!$M$5:$M$24,"#"&amp;$A80,Plan!F$5:F$24))</f>
        <v/>
      </c>
      <c r="J80" s="53">
        <f>IF($B80="",0,$E80*SUMIF(Plan!$M$5:$M$24,"#"&amp;$A80,Plan!G$5:G$24))</f>
        <v/>
      </c>
      <c r="K80" s="53">
        <f>IF($B80="",0,$E80*SUMIF(Plan!$M$5:$M$24,"#"&amp;$A80,Plan!H$5:H$24))</f>
        <v/>
      </c>
      <c r="L80" s="53">
        <f>IF($B80="",0,$E80*SUMIF(Plan!$M$5:$M$24,"#"&amp;$A80,Plan!I$5:I$24))</f>
        <v/>
      </c>
      <c r="M80" s="53">
        <f>IF($B80="",0,$E80*SUMIF(Plan!$M$5:$M$24,"#"&amp;$A80,Plan!J$5:J$24))</f>
        <v/>
      </c>
      <c r="N80" s="53">
        <f>IF($B80="",0,$E80*SUMIF(Plan!$M$5:$M$24,"#"&amp;$A80,Plan!K$5:K$24))</f>
        <v/>
      </c>
      <c r="O80" s="53">
        <f>IF($B80="",0,$E80*SUMIF(Plan!$M$5:$M$24,"#"&amp;$A80,Plan!L$5:L$24))</f>
        <v/>
      </c>
      <c r="P80" s="35">
        <f>IF(B80="","","#"&amp;B80)</f>
        <v/>
      </c>
      <c r="Q80" s="35">
        <f>IF(A80="","","#"&amp;A80)</f>
        <v/>
      </c>
    </row>
    <row r="81">
      <c r="A81" s="46" t="inlineStr">
        <is>
          <t>GLSE-2</t>
        </is>
      </c>
      <c r="B81" s="55" t="n"/>
      <c r="C81" s="48">
        <f>IFERROR(INDEX(Materiales!$B$4:$B$484,MATCH("#"&amp;$B81,Materiales!$K$4:$K$484,0)),"")</f>
        <v/>
      </c>
      <c r="D81" s="49">
        <f>IFERROR(INDEX(Materiales!$C$4:$C$484,MATCH("#"&amp;$B81,Materiales!$K$4:$K$484,0)),"")</f>
        <v/>
      </c>
      <c r="E81" s="50" t="n"/>
      <c r="F81" s="55" t="n"/>
      <c r="G81" s="56" t="n"/>
      <c r="H81" s="53">
        <f>IF($B81="",0,$E81*SUMIF(Plan!$M$5:$M$24,"#"&amp;$A81,Plan!E$5:E$24))</f>
        <v/>
      </c>
      <c r="I81" s="53">
        <f>IF($B81="",0,$E81*SUMIF(Plan!$M$5:$M$24,"#"&amp;$A81,Plan!F$5:F$24))</f>
        <v/>
      </c>
      <c r="J81" s="53">
        <f>IF($B81="",0,$E81*SUMIF(Plan!$M$5:$M$24,"#"&amp;$A81,Plan!G$5:G$24))</f>
        <v/>
      </c>
      <c r="K81" s="53">
        <f>IF($B81="",0,$E81*SUMIF(Plan!$M$5:$M$24,"#"&amp;$A81,Plan!H$5:H$24))</f>
        <v/>
      </c>
      <c r="L81" s="53">
        <f>IF($B81="",0,$E81*SUMIF(Plan!$M$5:$M$24,"#"&amp;$A81,Plan!I$5:I$24))</f>
        <v/>
      </c>
      <c r="M81" s="53">
        <f>IF($B81="",0,$E81*SUMIF(Plan!$M$5:$M$24,"#"&amp;$A81,Plan!J$5:J$24))</f>
        <v/>
      </c>
      <c r="N81" s="53">
        <f>IF($B81="",0,$E81*SUMIF(Plan!$M$5:$M$24,"#"&amp;$A81,Plan!K$5:K$24))</f>
        <v/>
      </c>
      <c r="O81" s="53">
        <f>IF($B81="",0,$E81*SUMIF(Plan!$M$5:$M$24,"#"&amp;$A81,Plan!L$5:L$24))</f>
        <v/>
      </c>
      <c r="P81" s="35">
        <f>IF(B81="","","#"&amp;B81)</f>
        <v/>
      </c>
      <c r="Q81" s="35">
        <f>IF(A81="","","#"&amp;A81)</f>
        <v/>
      </c>
    </row>
    <row r="82">
      <c r="A82" s="46" t="inlineStr">
        <is>
          <t>GLSE-2</t>
        </is>
      </c>
      <c r="B82" s="55" t="n"/>
      <c r="C82" s="48">
        <f>IFERROR(INDEX(Materiales!$B$4:$B$484,MATCH("#"&amp;$B82,Materiales!$K$4:$K$484,0)),"")</f>
        <v/>
      </c>
      <c r="D82" s="49">
        <f>IFERROR(INDEX(Materiales!$C$4:$C$484,MATCH("#"&amp;$B82,Materiales!$K$4:$K$484,0)),"")</f>
        <v/>
      </c>
      <c r="E82" s="50" t="n"/>
      <c r="F82" s="55" t="n"/>
      <c r="G82" s="56" t="n"/>
      <c r="H82" s="53">
        <f>IF($B82="",0,$E82*SUMIF(Plan!$M$5:$M$24,"#"&amp;$A82,Plan!E$5:E$24))</f>
        <v/>
      </c>
      <c r="I82" s="53">
        <f>IF($B82="",0,$E82*SUMIF(Plan!$M$5:$M$24,"#"&amp;$A82,Plan!F$5:F$24))</f>
        <v/>
      </c>
      <c r="J82" s="53">
        <f>IF($B82="",0,$E82*SUMIF(Plan!$M$5:$M$24,"#"&amp;$A82,Plan!G$5:G$24))</f>
        <v/>
      </c>
      <c r="K82" s="53">
        <f>IF($B82="",0,$E82*SUMIF(Plan!$M$5:$M$24,"#"&amp;$A82,Plan!H$5:H$24))</f>
        <v/>
      </c>
      <c r="L82" s="53">
        <f>IF($B82="",0,$E82*SUMIF(Plan!$M$5:$M$24,"#"&amp;$A82,Plan!I$5:I$24))</f>
        <v/>
      </c>
      <c r="M82" s="53">
        <f>IF($B82="",0,$E82*SUMIF(Plan!$M$5:$M$24,"#"&amp;$A82,Plan!J$5:J$24))</f>
        <v/>
      </c>
      <c r="N82" s="53">
        <f>IF($B82="",0,$E82*SUMIF(Plan!$M$5:$M$24,"#"&amp;$A82,Plan!K$5:K$24))</f>
        <v/>
      </c>
      <c r="O82" s="53">
        <f>IF($B82="",0,$E82*SUMIF(Plan!$M$5:$M$24,"#"&amp;$A82,Plan!L$5:L$24))</f>
        <v/>
      </c>
      <c r="P82" s="35">
        <f>IF(B82="","","#"&amp;B82)</f>
        <v/>
      </c>
      <c r="Q82" s="35">
        <f>IF(A82="","","#"&amp;A82)</f>
        <v/>
      </c>
    </row>
    <row r="83">
      <c r="A83" s="46" t="inlineStr">
        <is>
          <t>GLSE-2</t>
        </is>
      </c>
      <c r="B83" s="55" t="n"/>
      <c r="C83" s="48">
        <f>IFERROR(INDEX(Materiales!$B$4:$B$484,MATCH("#"&amp;$B83,Materiales!$K$4:$K$484,0)),"")</f>
        <v/>
      </c>
      <c r="D83" s="49">
        <f>IFERROR(INDEX(Materiales!$C$4:$C$484,MATCH("#"&amp;$B83,Materiales!$K$4:$K$484,0)),"")</f>
        <v/>
      </c>
      <c r="E83" s="50" t="n"/>
      <c r="F83" s="55" t="n"/>
      <c r="G83" s="56" t="n"/>
      <c r="H83" s="53">
        <f>IF($B83="",0,$E83*SUMIF(Plan!$M$5:$M$24,"#"&amp;$A83,Plan!E$5:E$24))</f>
        <v/>
      </c>
      <c r="I83" s="53">
        <f>IF($B83="",0,$E83*SUMIF(Plan!$M$5:$M$24,"#"&amp;$A83,Plan!F$5:F$24))</f>
        <v/>
      </c>
      <c r="J83" s="53">
        <f>IF($B83="",0,$E83*SUMIF(Plan!$M$5:$M$24,"#"&amp;$A83,Plan!G$5:G$24))</f>
        <v/>
      </c>
      <c r="K83" s="53">
        <f>IF($B83="",0,$E83*SUMIF(Plan!$M$5:$M$24,"#"&amp;$A83,Plan!H$5:H$24))</f>
        <v/>
      </c>
      <c r="L83" s="53">
        <f>IF($B83="",0,$E83*SUMIF(Plan!$M$5:$M$24,"#"&amp;$A83,Plan!I$5:I$24))</f>
        <v/>
      </c>
      <c r="M83" s="53">
        <f>IF($B83="",0,$E83*SUMIF(Plan!$M$5:$M$24,"#"&amp;$A83,Plan!J$5:J$24))</f>
        <v/>
      </c>
      <c r="N83" s="53">
        <f>IF($B83="",0,$E83*SUMIF(Plan!$M$5:$M$24,"#"&amp;$A83,Plan!K$5:K$24))</f>
        <v/>
      </c>
      <c r="O83" s="53">
        <f>IF($B83="",0,$E83*SUMIF(Plan!$M$5:$M$24,"#"&amp;$A83,Plan!L$5:L$24))</f>
        <v/>
      </c>
      <c r="P83" s="35">
        <f>IF(B83="","","#"&amp;B83)</f>
        <v/>
      </c>
      <c r="Q83" s="35">
        <f>IF(A83="","","#"&amp;A83)</f>
        <v/>
      </c>
    </row>
    <row r="84">
      <c r="A84" s="46" t="inlineStr">
        <is>
          <t>GLSE-2</t>
        </is>
      </c>
      <c r="B84" s="55" t="n"/>
      <c r="C84" s="48">
        <f>IFERROR(INDEX(Materiales!$B$4:$B$484,MATCH("#"&amp;$B84,Materiales!$K$4:$K$484,0)),"")</f>
        <v/>
      </c>
      <c r="D84" s="49">
        <f>IFERROR(INDEX(Materiales!$C$4:$C$484,MATCH("#"&amp;$B84,Materiales!$K$4:$K$484,0)),"")</f>
        <v/>
      </c>
      <c r="E84" s="50" t="n"/>
      <c r="F84" s="55" t="n"/>
      <c r="G84" s="56" t="n"/>
      <c r="H84" s="53">
        <f>IF($B84="",0,$E84*SUMIF(Plan!$M$5:$M$24,"#"&amp;$A84,Plan!E$5:E$24))</f>
        <v/>
      </c>
      <c r="I84" s="53">
        <f>IF($B84="",0,$E84*SUMIF(Plan!$M$5:$M$24,"#"&amp;$A84,Plan!F$5:F$24))</f>
        <v/>
      </c>
      <c r="J84" s="53">
        <f>IF($B84="",0,$E84*SUMIF(Plan!$M$5:$M$24,"#"&amp;$A84,Plan!G$5:G$24))</f>
        <v/>
      </c>
      <c r="K84" s="53">
        <f>IF($B84="",0,$E84*SUMIF(Plan!$M$5:$M$24,"#"&amp;$A84,Plan!H$5:H$24))</f>
        <v/>
      </c>
      <c r="L84" s="53">
        <f>IF($B84="",0,$E84*SUMIF(Plan!$M$5:$M$24,"#"&amp;$A84,Plan!I$5:I$24))</f>
        <v/>
      </c>
      <c r="M84" s="53">
        <f>IF($B84="",0,$E84*SUMIF(Plan!$M$5:$M$24,"#"&amp;$A84,Plan!J$5:J$24))</f>
        <v/>
      </c>
      <c r="N84" s="53">
        <f>IF($B84="",0,$E84*SUMIF(Plan!$M$5:$M$24,"#"&amp;$A84,Plan!K$5:K$24))</f>
        <v/>
      </c>
      <c r="O84" s="53">
        <f>IF($B84="",0,$E84*SUMIF(Plan!$M$5:$M$24,"#"&amp;$A84,Plan!L$5:L$24))</f>
        <v/>
      </c>
      <c r="P84" s="35">
        <f>IF(B84="","","#"&amp;B84)</f>
        <v/>
      </c>
      <c r="Q84" s="35">
        <f>IF(A84="","","#"&amp;A84)</f>
        <v/>
      </c>
    </row>
    <row r="85">
      <c r="A85" s="46" t="inlineStr">
        <is>
          <t>GLSE-2</t>
        </is>
      </c>
      <c r="B85" s="55" t="n"/>
      <c r="C85" s="48">
        <f>IFERROR(INDEX(Materiales!$B$4:$B$484,MATCH("#"&amp;$B85,Materiales!$K$4:$K$484,0)),"")</f>
        <v/>
      </c>
      <c r="D85" s="49">
        <f>IFERROR(INDEX(Materiales!$C$4:$C$484,MATCH("#"&amp;$B85,Materiales!$K$4:$K$484,0)),"")</f>
        <v/>
      </c>
      <c r="E85" s="50" t="n"/>
      <c r="F85" s="55" t="n"/>
      <c r="G85" s="56" t="n"/>
      <c r="H85" s="53">
        <f>IF($B85="",0,$E85*SUMIF(Plan!$M$5:$M$24,"#"&amp;$A85,Plan!E$5:E$24))</f>
        <v/>
      </c>
      <c r="I85" s="53">
        <f>IF($B85="",0,$E85*SUMIF(Plan!$M$5:$M$24,"#"&amp;$A85,Plan!F$5:F$24))</f>
        <v/>
      </c>
      <c r="J85" s="53">
        <f>IF($B85="",0,$E85*SUMIF(Plan!$M$5:$M$24,"#"&amp;$A85,Plan!G$5:G$24))</f>
        <v/>
      </c>
      <c r="K85" s="53">
        <f>IF($B85="",0,$E85*SUMIF(Plan!$M$5:$M$24,"#"&amp;$A85,Plan!H$5:H$24))</f>
        <v/>
      </c>
      <c r="L85" s="53">
        <f>IF($B85="",0,$E85*SUMIF(Plan!$M$5:$M$24,"#"&amp;$A85,Plan!I$5:I$24))</f>
        <v/>
      </c>
      <c r="M85" s="53">
        <f>IF($B85="",0,$E85*SUMIF(Plan!$M$5:$M$24,"#"&amp;$A85,Plan!J$5:J$24))</f>
        <v/>
      </c>
      <c r="N85" s="53">
        <f>IF($B85="",0,$E85*SUMIF(Plan!$M$5:$M$24,"#"&amp;$A85,Plan!K$5:K$24))</f>
        <v/>
      </c>
      <c r="O85" s="53">
        <f>IF($B85="",0,$E85*SUMIF(Plan!$M$5:$M$24,"#"&amp;$A85,Plan!L$5:L$24))</f>
        <v/>
      </c>
      <c r="P85" s="35">
        <f>IF(B85="","","#"&amp;B85)</f>
        <v/>
      </c>
      <c r="Q85" s="35">
        <f>IF(A85="","","#"&amp;A85)</f>
        <v/>
      </c>
    </row>
    <row r="86">
      <c r="A86" s="46" t="inlineStr">
        <is>
          <t>GLSE-2</t>
        </is>
      </c>
      <c r="B86" s="55" t="n"/>
      <c r="C86" s="48">
        <f>IFERROR(INDEX(Materiales!$B$4:$B$484,MATCH("#"&amp;$B86,Materiales!$K$4:$K$484,0)),"")</f>
        <v/>
      </c>
      <c r="D86" s="49">
        <f>IFERROR(INDEX(Materiales!$C$4:$C$484,MATCH("#"&amp;$B86,Materiales!$K$4:$K$484,0)),"")</f>
        <v/>
      </c>
      <c r="E86" s="50" t="n"/>
      <c r="F86" s="55" t="n"/>
      <c r="G86" s="56" t="n"/>
      <c r="H86" s="53">
        <f>IF($B86="",0,$E86*SUMIF(Plan!$M$5:$M$24,"#"&amp;$A86,Plan!E$5:E$24))</f>
        <v/>
      </c>
      <c r="I86" s="53">
        <f>IF($B86="",0,$E86*SUMIF(Plan!$M$5:$M$24,"#"&amp;$A86,Plan!F$5:F$24))</f>
        <v/>
      </c>
      <c r="J86" s="53">
        <f>IF($B86="",0,$E86*SUMIF(Plan!$M$5:$M$24,"#"&amp;$A86,Plan!G$5:G$24))</f>
        <v/>
      </c>
      <c r="K86" s="53">
        <f>IF($B86="",0,$E86*SUMIF(Plan!$M$5:$M$24,"#"&amp;$A86,Plan!H$5:H$24))</f>
        <v/>
      </c>
      <c r="L86" s="53">
        <f>IF($B86="",0,$E86*SUMIF(Plan!$M$5:$M$24,"#"&amp;$A86,Plan!I$5:I$24))</f>
        <v/>
      </c>
      <c r="M86" s="53">
        <f>IF($B86="",0,$E86*SUMIF(Plan!$M$5:$M$24,"#"&amp;$A86,Plan!J$5:J$24))</f>
        <v/>
      </c>
      <c r="N86" s="53">
        <f>IF($B86="",0,$E86*SUMIF(Plan!$M$5:$M$24,"#"&amp;$A86,Plan!K$5:K$24))</f>
        <v/>
      </c>
      <c r="O86" s="53">
        <f>IF($B86="",0,$E86*SUMIF(Plan!$M$5:$M$24,"#"&amp;$A86,Plan!L$5:L$24))</f>
        <v/>
      </c>
      <c r="P86" s="35">
        <f>IF(B86="","","#"&amp;B86)</f>
        <v/>
      </c>
      <c r="Q86" s="35">
        <f>IF(A86="","","#"&amp;A86)</f>
        <v/>
      </c>
    </row>
    <row r="87">
      <c r="A87" s="46" t="inlineStr">
        <is>
          <t>GLSE-2</t>
        </is>
      </c>
      <c r="B87" s="55" t="n"/>
      <c r="C87" s="48">
        <f>IFERROR(INDEX(Materiales!$B$4:$B$484,MATCH("#"&amp;$B87,Materiales!$K$4:$K$484,0)),"")</f>
        <v/>
      </c>
      <c r="D87" s="49">
        <f>IFERROR(INDEX(Materiales!$C$4:$C$484,MATCH("#"&amp;$B87,Materiales!$K$4:$K$484,0)),"")</f>
        <v/>
      </c>
      <c r="E87" s="50" t="n"/>
      <c r="F87" s="55" t="n"/>
      <c r="G87" s="56" t="n"/>
      <c r="H87" s="53">
        <f>IF($B87="",0,$E87*SUMIF(Plan!$M$5:$M$24,"#"&amp;$A87,Plan!E$5:E$24))</f>
        <v/>
      </c>
      <c r="I87" s="53">
        <f>IF($B87="",0,$E87*SUMIF(Plan!$M$5:$M$24,"#"&amp;$A87,Plan!F$5:F$24))</f>
        <v/>
      </c>
      <c r="J87" s="53">
        <f>IF($B87="",0,$E87*SUMIF(Plan!$M$5:$M$24,"#"&amp;$A87,Plan!G$5:G$24))</f>
        <v/>
      </c>
      <c r="K87" s="53">
        <f>IF($B87="",0,$E87*SUMIF(Plan!$M$5:$M$24,"#"&amp;$A87,Plan!H$5:H$24))</f>
        <v/>
      </c>
      <c r="L87" s="53">
        <f>IF($B87="",0,$E87*SUMIF(Plan!$M$5:$M$24,"#"&amp;$A87,Plan!I$5:I$24))</f>
        <v/>
      </c>
      <c r="M87" s="53">
        <f>IF($B87="",0,$E87*SUMIF(Plan!$M$5:$M$24,"#"&amp;$A87,Plan!J$5:J$24))</f>
        <v/>
      </c>
      <c r="N87" s="53">
        <f>IF($B87="",0,$E87*SUMIF(Plan!$M$5:$M$24,"#"&amp;$A87,Plan!K$5:K$24))</f>
        <v/>
      </c>
      <c r="O87" s="53">
        <f>IF($B87="",0,$E87*SUMIF(Plan!$M$5:$M$24,"#"&amp;$A87,Plan!L$5:L$24))</f>
        <v/>
      </c>
      <c r="P87" s="35">
        <f>IF(B87="","","#"&amp;B87)</f>
        <v/>
      </c>
      <c r="Q87" s="35">
        <f>IF(A87="","","#"&amp;A87)</f>
        <v/>
      </c>
    </row>
    <row r="88">
      <c r="A88" s="46" t="inlineStr">
        <is>
          <t>GLSE-2</t>
        </is>
      </c>
      <c r="B88" s="55" t="n"/>
      <c r="C88" s="48">
        <f>IFERROR(INDEX(Materiales!$B$4:$B$484,MATCH("#"&amp;$B88,Materiales!$K$4:$K$484,0)),"")</f>
        <v/>
      </c>
      <c r="D88" s="49">
        <f>IFERROR(INDEX(Materiales!$C$4:$C$484,MATCH("#"&amp;$B88,Materiales!$K$4:$K$484,0)),"")</f>
        <v/>
      </c>
      <c r="E88" s="50" t="n"/>
      <c r="F88" s="55" t="n"/>
      <c r="G88" s="56" t="n"/>
      <c r="H88" s="53">
        <f>IF($B88="",0,$E88*SUMIF(Plan!$M$5:$M$24,"#"&amp;$A88,Plan!E$5:E$24))</f>
        <v/>
      </c>
      <c r="I88" s="53">
        <f>IF($B88="",0,$E88*SUMIF(Plan!$M$5:$M$24,"#"&amp;$A88,Plan!F$5:F$24))</f>
        <v/>
      </c>
      <c r="J88" s="53">
        <f>IF($B88="",0,$E88*SUMIF(Plan!$M$5:$M$24,"#"&amp;$A88,Plan!G$5:G$24))</f>
        <v/>
      </c>
      <c r="K88" s="53">
        <f>IF($B88="",0,$E88*SUMIF(Plan!$M$5:$M$24,"#"&amp;$A88,Plan!H$5:H$24))</f>
        <v/>
      </c>
      <c r="L88" s="53">
        <f>IF($B88="",0,$E88*SUMIF(Plan!$M$5:$M$24,"#"&amp;$A88,Plan!I$5:I$24))</f>
        <v/>
      </c>
      <c r="M88" s="53">
        <f>IF($B88="",0,$E88*SUMIF(Plan!$M$5:$M$24,"#"&amp;$A88,Plan!J$5:J$24))</f>
        <v/>
      </c>
      <c r="N88" s="53">
        <f>IF($B88="",0,$E88*SUMIF(Plan!$M$5:$M$24,"#"&amp;$A88,Plan!K$5:K$24))</f>
        <v/>
      </c>
      <c r="O88" s="53">
        <f>IF($B88="",0,$E88*SUMIF(Plan!$M$5:$M$24,"#"&amp;$A88,Plan!L$5:L$24))</f>
        <v/>
      </c>
      <c r="P88" s="35">
        <f>IF(B88="","","#"&amp;B88)</f>
        <v/>
      </c>
      <c r="Q88" s="35">
        <f>IF(A88="","","#"&amp;A88)</f>
        <v/>
      </c>
    </row>
    <row r="89">
      <c r="A89" s="46" t="inlineStr">
        <is>
          <t>GLSE-2</t>
        </is>
      </c>
      <c r="B89" s="55" t="n"/>
      <c r="C89" s="48">
        <f>IFERROR(INDEX(Materiales!$B$4:$B$484,MATCH("#"&amp;$B89,Materiales!$K$4:$K$484,0)),"")</f>
        <v/>
      </c>
      <c r="D89" s="49">
        <f>IFERROR(INDEX(Materiales!$C$4:$C$484,MATCH("#"&amp;$B89,Materiales!$K$4:$K$484,0)),"")</f>
        <v/>
      </c>
      <c r="E89" s="50" t="n"/>
      <c r="F89" s="55" t="n"/>
      <c r="G89" s="56" t="n"/>
      <c r="H89" s="53">
        <f>IF($B89="",0,$E89*SUMIF(Plan!$M$5:$M$24,"#"&amp;$A89,Plan!E$5:E$24))</f>
        <v/>
      </c>
      <c r="I89" s="53">
        <f>IF($B89="",0,$E89*SUMIF(Plan!$M$5:$M$24,"#"&amp;$A89,Plan!F$5:F$24))</f>
        <v/>
      </c>
      <c r="J89" s="53">
        <f>IF($B89="",0,$E89*SUMIF(Plan!$M$5:$M$24,"#"&amp;$A89,Plan!G$5:G$24))</f>
        <v/>
      </c>
      <c r="K89" s="53">
        <f>IF($B89="",0,$E89*SUMIF(Plan!$M$5:$M$24,"#"&amp;$A89,Plan!H$5:H$24))</f>
        <v/>
      </c>
      <c r="L89" s="53">
        <f>IF($B89="",0,$E89*SUMIF(Plan!$M$5:$M$24,"#"&amp;$A89,Plan!I$5:I$24))</f>
        <v/>
      </c>
      <c r="M89" s="53">
        <f>IF($B89="",0,$E89*SUMIF(Plan!$M$5:$M$24,"#"&amp;$A89,Plan!J$5:J$24))</f>
        <v/>
      </c>
      <c r="N89" s="53">
        <f>IF($B89="",0,$E89*SUMIF(Plan!$M$5:$M$24,"#"&amp;$A89,Plan!K$5:K$24))</f>
        <v/>
      </c>
      <c r="O89" s="53">
        <f>IF($B89="",0,$E89*SUMIF(Plan!$M$5:$M$24,"#"&amp;$A89,Plan!L$5:L$24))</f>
        <v/>
      </c>
      <c r="P89" s="35">
        <f>IF(B89="","","#"&amp;B89)</f>
        <v/>
      </c>
      <c r="Q89" s="35">
        <f>IF(A89="","","#"&amp;A89)</f>
        <v/>
      </c>
    </row>
    <row r="90">
      <c r="A90" s="46" t="inlineStr">
        <is>
          <t>GLSE-2</t>
        </is>
      </c>
      <c r="B90" s="55" t="n"/>
      <c r="C90" s="48">
        <f>IFERROR(INDEX(Materiales!$B$4:$B$484,MATCH("#"&amp;$B90,Materiales!$K$4:$K$484,0)),"")</f>
        <v/>
      </c>
      <c r="D90" s="49">
        <f>IFERROR(INDEX(Materiales!$C$4:$C$484,MATCH("#"&amp;$B90,Materiales!$K$4:$K$484,0)),"")</f>
        <v/>
      </c>
      <c r="E90" s="50" t="n"/>
      <c r="F90" s="55" t="n"/>
      <c r="G90" s="56" t="n"/>
      <c r="H90" s="53">
        <f>IF($B90="",0,$E90*SUMIF(Plan!$M$5:$M$24,"#"&amp;$A90,Plan!E$5:E$24))</f>
        <v/>
      </c>
      <c r="I90" s="53">
        <f>IF($B90="",0,$E90*SUMIF(Plan!$M$5:$M$24,"#"&amp;$A90,Plan!F$5:F$24))</f>
        <v/>
      </c>
      <c r="J90" s="53">
        <f>IF($B90="",0,$E90*SUMIF(Plan!$M$5:$M$24,"#"&amp;$A90,Plan!G$5:G$24))</f>
        <v/>
      </c>
      <c r="K90" s="53">
        <f>IF($B90="",0,$E90*SUMIF(Plan!$M$5:$M$24,"#"&amp;$A90,Plan!H$5:H$24))</f>
        <v/>
      </c>
      <c r="L90" s="53">
        <f>IF($B90="",0,$E90*SUMIF(Plan!$M$5:$M$24,"#"&amp;$A90,Plan!I$5:I$24))</f>
        <v/>
      </c>
      <c r="M90" s="53">
        <f>IF($B90="",0,$E90*SUMIF(Plan!$M$5:$M$24,"#"&amp;$A90,Plan!J$5:J$24))</f>
        <v/>
      </c>
      <c r="N90" s="53">
        <f>IF($B90="",0,$E90*SUMIF(Plan!$M$5:$M$24,"#"&amp;$A90,Plan!K$5:K$24))</f>
        <v/>
      </c>
      <c r="O90" s="53">
        <f>IF($B90="",0,$E90*SUMIF(Plan!$M$5:$M$24,"#"&amp;$A90,Plan!L$5:L$24))</f>
        <v/>
      </c>
      <c r="P90" s="35">
        <f>IF(B90="","","#"&amp;B90)</f>
        <v/>
      </c>
      <c r="Q90" s="35">
        <f>IF(A90="","","#"&amp;A90)</f>
        <v/>
      </c>
    </row>
    <row r="91">
      <c r="A91" s="46" t="inlineStr">
        <is>
          <t>GLSE-2</t>
        </is>
      </c>
      <c r="B91" s="55" t="n"/>
      <c r="C91" s="48">
        <f>IFERROR(INDEX(Materiales!$B$4:$B$484,MATCH("#"&amp;$B91,Materiales!$K$4:$K$484,0)),"")</f>
        <v/>
      </c>
      <c r="D91" s="49">
        <f>IFERROR(INDEX(Materiales!$C$4:$C$484,MATCH("#"&amp;$B91,Materiales!$K$4:$K$484,0)),"")</f>
        <v/>
      </c>
      <c r="E91" s="50" t="n"/>
      <c r="F91" s="55" t="n"/>
      <c r="G91" s="56" t="n"/>
      <c r="H91" s="53">
        <f>IF($B91="",0,$E91*SUMIF(Plan!$M$5:$M$24,"#"&amp;$A91,Plan!E$5:E$24))</f>
        <v/>
      </c>
      <c r="I91" s="53">
        <f>IF($B91="",0,$E91*SUMIF(Plan!$M$5:$M$24,"#"&amp;$A91,Plan!F$5:F$24))</f>
        <v/>
      </c>
      <c r="J91" s="53">
        <f>IF($B91="",0,$E91*SUMIF(Plan!$M$5:$M$24,"#"&amp;$A91,Plan!G$5:G$24))</f>
        <v/>
      </c>
      <c r="K91" s="53">
        <f>IF($B91="",0,$E91*SUMIF(Plan!$M$5:$M$24,"#"&amp;$A91,Plan!H$5:H$24))</f>
        <v/>
      </c>
      <c r="L91" s="53">
        <f>IF($B91="",0,$E91*SUMIF(Plan!$M$5:$M$24,"#"&amp;$A91,Plan!I$5:I$24))</f>
        <v/>
      </c>
      <c r="M91" s="53">
        <f>IF($B91="",0,$E91*SUMIF(Plan!$M$5:$M$24,"#"&amp;$A91,Plan!J$5:J$24))</f>
        <v/>
      </c>
      <c r="N91" s="53">
        <f>IF($B91="",0,$E91*SUMIF(Plan!$M$5:$M$24,"#"&amp;$A91,Plan!K$5:K$24))</f>
        <v/>
      </c>
      <c r="O91" s="53">
        <f>IF($B91="",0,$E91*SUMIF(Plan!$M$5:$M$24,"#"&amp;$A91,Plan!L$5:L$24))</f>
        <v/>
      </c>
      <c r="P91" s="35">
        <f>IF(B91="","","#"&amp;B91)</f>
        <v/>
      </c>
      <c r="Q91" s="35">
        <f>IF(A91="","","#"&amp;A91)</f>
        <v/>
      </c>
    </row>
    <row r="92">
      <c r="A92" s="46" t="inlineStr">
        <is>
          <t>GLSE-2</t>
        </is>
      </c>
      <c r="B92" s="55" t="n"/>
      <c r="C92" s="48">
        <f>IFERROR(INDEX(Materiales!$B$4:$B$484,MATCH("#"&amp;$B92,Materiales!$K$4:$K$484,0)),"")</f>
        <v/>
      </c>
      <c r="D92" s="49">
        <f>IFERROR(INDEX(Materiales!$C$4:$C$484,MATCH("#"&amp;$B92,Materiales!$K$4:$K$484,0)),"")</f>
        <v/>
      </c>
      <c r="E92" s="50" t="n"/>
      <c r="F92" s="55" t="n"/>
      <c r="G92" s="56" t="n"/>
      <c r="H92" s="53">
        <f>IF($B92="",0,$E92*SUMIF(Plan!$M$5:$M$24,"#"&amp;$A92,Plan!E$5:E$24))</f>
        <v/>
      </c>
      <c r="I92" s="53">
        <f>IF($B92="",0,$E92*SUMIF(Plan!$M$5:$M$24,"#"&amp;$A92,Plan!F$5:F$24))</f>
        <v/>
      </c>
      <c r="J92" s="53">
        <f>IF($B92="",0,$E92*SUMIF(Plan!$M$5:$M$24,"#"&amp;$A92,Plan!G$5:G$24))</f>
        <v/>
      </c>
      <c r="K92" s="53">
        <f>IF($B92="",0,$E92*SUMIF(Plan!$M$5:$M$24,"#"&amp;$A92,Plan!H$5:H$24))</f>
        <v/>
      </c>
      <c r="L92" s="53">
        <f>IF($B92="",0,$E92*SUMIF(Plan!$M$5:$M$24,"#"&amp;$A92,Plan!I$5:I$24))</f>
        <v/>
      </c>
      <c r="M92" s="53">
        <f>IF($B92="",0,$E92*SUMIF(Plan!$M$5:$M$24,"#"&amp;$A92,Plan!J$5:J$24))</f>
        <v/>
      </c>
      <c r="N92" s="53">
        <f>IF($B92="",0,$E92*SUMIF(Plan!$M$5:$M$24,"#"&amp;$A92,Plan!K$5:K$24))</f>
        <v/>
      </c>
      <c r="O92" s="53">
        <f>IF($B92="",0,$E92*SUMIF(Plan!$M$5:$M$24,"#"&amp;$A92,Plan!L$5:L$24))</f>
        <v/>
      </c>
      <c r="P92" s="35">
        <f>IF(B92="","","#"&amp;B92)</f>
        <v/>
      </c>
      <c r="Q92" s="35">
        <f>IF(A92="","","#"&amp;A92)</f>
        <v/>
      </c>
    </row>
    <row r="93">
      <c r="A93" s="46" t="inlineStr">
        <is>
          <t>GLSE-2</t>
        </is>
      </c>
      <c r="B93" s="55" t="n"/>
      <c r="C93" s="48">
        <f>IFERROR(INDEX(Materiales!$B$4:$B$484,MATCH("#"&amp;$B93,Materiales!$K$4:$K$484,0)),"")</f>
        <v/>
      </c>
      <c r="D93" s="49">
        <f>IFERROR(INDEX(Materiales!$C$4:$C$484,MATCH("#"&amp;$B93,Materiales!$K$4:$K$484,0)),"")</f>
        <v/>
      </c>
      <c r="E93" s="50" t="n"/>
      <c r="F93" s="55" t="n"/>
      <c r="G93" s="56" t="n"/>
      <c r="H93" s="53">
        <f>IF($B93="",0,$E93*SUMIF(Plan!$M$5:$M$24,"#"&amp;$A93,Plan!E$5:E$24))</f>
        <v/>
      </c>
      <c r="I93" s="53">
        <f>IF($B93="",0,$E93*SUMIF(Plan!$M$5:$M$24,"#"&amp;$A93,Plan!F$5:F$24))</f>
        <v/>
      </c>
      <c r="J93" s="53">
        <f>IF($B93="",0,$E93*SUMIF(Plan!$M$5:$M$24,"#"&amp;$A93,Plan!G$5:G$24))</f>
        <v/>
      </c>
      <c r="K93" s="53">
        <f>IF($B93="",0,$E93*SUMIF(Plan!$M$5:$M$24,"#"&amp;$A93,Plan!H$5:H$24))</f>
        <v/>
      </c>
      <c r="L93" s="53">
        <f>IF($B93="",0,$E93*SUMIF(Plan!$M$5:$M$24,"#"&amp;$A93,Plan!I$5:I$24))</f>
        <v/>
      </c>
      <c r="M93" s="53">
        <f>IF($B93="",0,$E93*SUMIF(Plan!$M$5:$M$24,"#"&amp;$A93,Plan!J$5:J$24))</f>
        <v/>
      </c>
      <c r="N93" s="53">
        <f>IF($B93="",0,$E93*SUMIF(Plan!$M$5:$M$24,"#"&amp;$A93,Plan!K$5:K$24))</f>
        <v/>
      </c>
      <c r="O93" s="53">
        <f>IF($B93="",0,$E93*SUMIF(Plan!$M$5:$M$24,"#"&amp;$A93,Plan!L$5:L$24))</f>
        <v/>
      </c>
      <c r="P93" s="35">
        <f>IF(B93="","","#"&amp;B93)</f>
        <v/>
      </c>
      <c r="Q93" s="35">
        <f>IF(A93="","","#"&amp;A93)</f>
        <v/>
      </c>
    </row>
    <row r="94">
      <c r="A94" s="46" t="inlineStr">
        <is>
          <t>GLSE-2</t>
        </is>
      </c>
      <c r="B94" s="55" t="n"/>
      <c r="C94" s="48">
        <f>IFERROR(INDEX(Materiales!$B$4:$B$484,MATCH("#"&amp;$B94,Materiales!$K$4:$K$484,0)),"")</f>
        <v/>
      </c>
      <c r="D94" s="49">
        <f>IFERROR(INDEX(Materiales!$C$4:$C$484,MATCH("#"&amp;$B94,Materiales!$K$4:$K$484,0)),"")</f>
        <v/>
      </c>
      <c r="E94" s="50" t="n"/>
      <c r="F94" s="55" t="n"/>
      <c r="G94" s="56" t="n"/>
      <c r="H94" s="53">
        <f>IF($B94="",0,$E94*SUMIF(Plan!$M$5:$M$24,"#"&amp;$A94,Plan!E$5:E$24))</f>
        <v/>
      </c>
      <c r="I94" s="53">
        <f>IF($B94="",0,$E94*SUMIF(Plan!$M$5:$M$24,"#"&amp;$A94,Plan!F$5:F$24))</f>
        <v/>
      </c>
      <c r="J94" s="53">
        <f>IF($B94="",0,$E94*SUMIF(Plan!$M$5:$M$24,"#"&amp;$A94,Plan!G$5:G$24))</f>
        <v/>
      </c>
      <c r="K94" s="53">
        <f>IF($B94="",0,$E94*SUMIF(Plan!$M$5:$M$24,"#"&amp;$A94,Plan!H$5:H$24))</f>
        <v/>
      </c>
      <c r="L94" s="53">
        <f>IF($B94="",0,$E94*SUMIF(Plan!$M$5:$M$24,"#"&amp;$A94,Plan!I$5:I$24))</f>
        <v/>
      </c>
      <c r="M94" s="53">
        <f>IF($B94="",0,$E94*SUMIF(Plan!$M$5:$M$24,"#"&amp;$A94,Plan!J$5:J$24))</f>
        <v/>
      </c>
      <c r="N94" s="53">
        <f>IF($B94="",0,$E94*SUMIF(Plan!$M$5:$M$24,"#"&amp;$A94,Plan!K$5:K$24))</f>
        <v/>
      </c>
      <c r="O94" s="53">
        <f>IF($B94="",0,$E94*SUMIF(Plan!$M$5:$M$24,"#"&amp;$A94,Plan!L$5:L$24))</f>
        <v/>
      </c>
      <c r="P94" s="35">
        <f>IF(B94="","","#"&amp;B94)</f>
        <v/>
      </c>
      <c r="Q94" s="35">
        <f>IF(A94="","","#"&amp;A94)</f>
        <v/>
      </c>
    </row>
    <row r="95">
      <c r="A95" s="46" t="inlineStr">
        <is>
          <t>GLSE-2</t>
        </is>
      </c>
      <c r="B95" s="55" t="n"/>
      <c r="C95" s="48">
        <f>IFERROR(INDEX(Materiales!$B$4:$B$484,MATCH("#"&amp;$B95,Materiales!$K$4:$K$484,0)),"")</f>
        <v/>
      </c>
      <c r="D95" s="49">
        <f>IFERROR(INDEX(Materiales!$C$4:$C$484,MATCH("#"&amp;$B95,Materiales!$K$4:$K$484,0)),"")</f>
        <v/>
      </c>
      <c r="E95" s="50" t="n"/>
      <c r="F95" s="55" t="n"/>
      <c r="G95" s="56" t="n"/>
      <c r="H95" s="53">
        <f>IF($B95="",0,$E95*SUMIF(Plan!$M$5:$M$24,"#"&amp;$A95,Plan!E$5:E$24))</f>
        <v/>
      </c>
      <c r="I95" s="53">
        <f>IF($B95="",0,$E95*SUMIF(Plan!$M$5:$M$24,"#"&amp;$A95,Plan!F$5:F$24))</f>
        <v/>
      </c>
      <c r="J95" s="53">
        <f>IF($B95="",0,$E95*SUMIF(Plan!$M$5:$M$24,"#"&amp;$A95,Plan!G$5:G$24))</f>
        <v/>
      </c>
      <c r="K95" s="53">
        <f>IF($B95="",0,$E95*SUMIF(Plan!$M$5:$M$24,"#"&amp;$A95,Plan!H$5:H$24))</f>
        <v/>
      </c>
      <c r="L95" s="53">
        <f>IF($B95="",0,$E95*SUMIF(Plan!$M$5:$M$24,"#"&amp;$A95,Plan!I$5:I$24))</f>
        <v/>
      </c>
      <c r="M95" s="53">
        <f>IF($B95="",0,$E95*SUMIF(Plan!$M$5:$M$24,"#"&amp;$A95,Plan!J$5:J$24))</f>
        <v/>
      </c>
      <c r="N95" s="53">
        <f>IF($B95="",0,$E95*SUMIF(Plan!$M$5:$M$24,"#"&amp;$A95,Plan!K$5:K$24))</f>
        <v/>
      </c>
      <c r="O95" s="53">
        <f>IF($B95="",0,$E95*SUMIF(Plan!$M$5:$M$24,"#"&amp;$A95,Plan!L$5:L$24))</f>
        <v/>
      </c>
      <c r="P95" s="35">
        <f>IF(B95="","","#"&amp;B95)</f>
        <v/>
      </c>
      <c r="Q95" s="35">
        <f>IF(A95="","","#"&amp;A95)</f>
        <v/>
      </c>
    </row>
    <row r="96">
      <c r="A96" s="46" t="inlineStr">
        <is>
          <t>GLSE-2</t>
        </is>
      </c>
      <c r="B96" s="55" t="n"/>
      <c r="C96" s="48">
        <f>IFERROR(INDEX(Materiales!$B$4:$B$484,MATCH("#"&amp;$B96,Materiales!$K$4:$K$484,0)),"")</f>
        <v/>
      </c>
      <c r="D96" s="49">
        <f>IFERROR(INDEX(Materiales!$C$4:$C$484,MATCH("#"&amp;$B96,Materiales!$K$4:$K$484,0)),"")</f>
        <v/>
      </c>
      <c r="E96" s="50" t="n"/>
      <c r="F96" s="55" t="n"/>
      <c r="G96" s="56" t="n"/>
      <c r="H96" s="53">
        <f>IF($B96="",0,$E96*SUMIF(Plan!$M$5:$M$24,"#"&amp;$A96,Plan!E$5:E$24))</f>
        <v/>
      </c>
      <c r="I96" s="53">
        <f>IF($B96="",0,$E96*SUMIF(Plan!$M$5:$M$24,"#"&amp;$A96,Plan!F$5:F$24))</f>
        <v/>
      </c>
      <c r="J96" s="53">
        <f>IF($B96="",0,$E96*SUMIF(Plan!$M$5:$M$24,"#"&amp;$A96,Plan!G$5:G$24))</f>
        <v/>
      </c>
      <c r="K96" s="53">
        <f>IF($B96="",0,$E96*SUMIF(Plan!$M$5:$M$24,"#"&amp;$A96,Plan!H$5:H$24))</f>
        <v/>
      </c>
      <c r="L96" s="53">
        <f>IF($B96="",0,$E96*SUMIF(Plan!$M$5:$M$24,"#"&amp;$A96,Plan!I$5:I$24))</f>
        <v/>
      </c>
      <c r="M96" s="53">
        <f>IF($B96="",0,$E96*SUMIF(Plan!$M$5:$M$24,"#"&amp;$A96,Plan!J$5:J$24))</f>
        <v/>
      </c>
      <c r="N96" s="53">
        <f>IF($B96="",0,$E96*SUMIF(Plan!$M$5:$M$24,"#"&amp;$A96,Plan!K$5:K$24))</f>
        <v/>
      </c>
      <c r="O96" s="53">
        <f>IF($B96="",0,$E96*SUMIF(Plan!$M$5:$M$24,"#"&amp;$A96,Plan!L$5:L$24))</f>
        <v/>
      </c>
      <c r="P96" s="35">
        <f>IF(B96="","","#"&amp;B96)</f>
        <v/>
      </c>
      <c r="Q96" s="35">
        <f>IF(A96="","","#"&amp;A96)</f>
        <v/>
      </c>
    </row>
    <row r="97" ht="20" customHeight="1">
      <c r="A97" s="44" t="inlineStr">
        <is>
          <t>FRENTE:  ESCM 4430   —   consumo por CADA metro de avance</t>
        </is>
      </c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</row>
    <row r="98">
      <c r="A98" s="46" t="inlineStr">
        <is>
          <t>ESCM 4430</t>
        </is>
      </c>
      <c r="B98" s="55" t="n"/>
      <c r="C98" s="48">
        <f>IFERROR(INDEX(Materiales!$B$4:$B$484,MATCH("#"&amp;$B98,Materiales!$K$4:$K$484,0)),"")</f>
        <v/>
      </c>
      <c r="D98" s="49">
        <f>IFERROR(INDEX(Materiales!$C$4:$C$484,MATCH("#"&amp;$B98,Materiales!$K$4:$K$484,0)),"")</f>
        <v/>
      </c>
      <c r="E98" s="50" t="n"/>
      <c r="F98" s="55" t="n"/>
      <c r="G98" s="56" t="n"/>
      <c r="H98" s="53">
        <f>IF($B98="",0,$E98*SUMIF(Plan!$M$5:$M$24,"#"&amp;$A98,Plan!E$5:E$24))</f>
        <v/>
      </c>
      <c r="I98" s="53">
        <f>IF($B98="",0,$E98*SUMIF(Plan!$M$5:$M$24,"#"&amp;$A98,Plan!F$5:F$24))</f>
        <v/>
      </c>
      <c r="J98" s="53">
        <f>IF($B98="",0,$E98*SUMIF(Plan!$M$5:$M$24,"#"&amp;$A98,Plan!G$5:G$24))</f>
        <v/>
      </c>
      <c r="K98" s="53">
        <f>IF($B98="",0,$E98*SUMIF(Plan!$M$5:$M$24,"#"&amp;$A98,Plan!H$5:H$24))</f>
        <v/>
      </c>
      <c r="L98" s="53">
        <f>IF($B98="",0,$E98*SUMIF(Plan!$M$5:$M$24,"#"&amp;$A98,Plan!I$5:I$24))</f>
        <v/>
      </c>
      <c r="M98" s="53">
        <f>IF($B98="",0,$E98*SUMIF(Plan!$M$5:$M$24,"#"&amp;$A98,Plan!J$5:J$24))</f>
        <v/>
      </c>
      <c r="N98" s="53">
        <f>IF($B98="",0,$E98*SUMIF(Plan!$M$5:$M$24,"#"&amp;$A98,Plan!K$5:K$24))</f>
        <v/>
      </c>
      <c r="O98" s="53">
        <f>IF($B98="",0,$E98*SUMIF(Plan!$M$5:$M$24,"#"&amp;$A98,Plan!L$5:L$24))</f>
        <v/>
      </c>
      <c r="P98" s="35">
        <f>IF(B98="","","#"&amp;B98)</f>
        <v/>
      </c>
      <c r="Q98" s="35">
        <f>IF(A98="","","#"&amp;A98)</f>
        <v/>
      </c>
    </row>
    <row r="99">
      <c r="A99" s="46" t="inlineStr">
        <is>
          <t>ESCM 4430</t>
        </is>
      </c>
      <c r="B99" s="55" t="n"/>
      <c r="C99" s="48">
        <f>IFERROR(INDEX(Materiales!$B$4:$B$484,MATCH("#"&amp;$B99,Materiales!$K$4:$K$484,0)),"")</f>
        <v/>
      </c>
      <c r="D99" s="49">
        <f>IFERROR(INDEX(Materiales!$C$4:$C$484,MATCH("#"&amp;$B99,Materiales!$K$4:$K$484,0)),"")</f>
        <v/>
      </c>
      <c r="E99" s="50" t="n"/>
      <c r="F99" s="55" t="n"/>
      <c r="G99" s="56" t="n"/>
      <c r="H99" s="53">
        <f>IF($B99="",0,$E99*SUMIF(Plan!$M$5:$M$24,"#"&amp;$A99,Plan!E$5:E$24))</f>
        <v/>
      </c>
      <c r="I99" s="53">
        <f>IF($B99="",0,$E99*SUMIF(Plan!$M$5:$M$24,"#"&amp;$A99,Plan!F$5:F$24))</f>
        <v/>
      </c>
      <c r="J99" s="53">
        <f>IF($B99="",0,$E99*SUMIF(Plan!$M$5:$M$24,"#"&amp;$A99,Plan!G$5:G$24))</f>
        <v/>
      </c>
      <c r="K99" s="53">
        <f>IF($B99="",0,$E99*SUMIF(Plan!$M$5:$M$24,"#"&amp;$A99,Plan!H$5:H$24))</f>
        <v/>
      </c>
      <c r="L99" s="53">
        <f>IF($B99="",0,$E99*SUMIF(Plan!$M$5:$M$24,"#"&amp;$A99,Plan!I$5:I$24))</f>
        <v/>
      </c>
      <c r="M99" s="53">
        <f>IF($B99="",0,$E99*SUMIF(Plan!$M$5:$M$24,"#"&amp;$A99,Plan!J$5:J$24))</f>
        <v/>
      </c>
      <c r="N99" s="53">
        <f>IF($B99="",0,$E99*SUMIF(Plan!$M$5:$M$24,"#"&amp;$A99,Plan!K$5:K$24))</f>
        <v/>
      </c>
      <c r="O99" s="53">
        <f>IF($B99="",0,$E99*SUMIF(Plan!$M$5:$M$24,"#"&amp;$A99,Plan!L$5:L$24))</f>
        <v/>
      </c>
      <c r="P99" s="35">
        <f>IF(B99="","","#"&amp;B99)</f>
        <v/>
      </c>
      <c r="Q99" s="35">
        <f>IF(A99="","","#"&amp;A99)</f>
        <v/>
      </c>
    </row>
    <row r="100">
      <c r="A100" s="46" t="inlineStr">
        <is>
          <t>ESCM 4430</t>
        </is>
      </c>
      <c r="B100" s="55" t="n"/>
      <c r="C100" s="48">
        <f>IFERROR(INDEX(Materiales!$B$4:$B$484,MATCH("#"&amp;$B100,Materiales!$K$4:$K$484,0)),"")</f>
        <v/>
      </c>
      <c r="D100" s="49">
        <f>IFERROR(INDEX(Materiales!$C$4:$C$484,MATCH("#"&amp;$B100,Materiales!$K$4:$K$484,0)),"")</f>
        <v/>
      </c>
      <c r="E100" s="50" t="n"/>
      <c r="F100" s="55" t="n"/>
      <c r="G100" s="56" t="n"/>
      <c r="H100" s="53">
        <f>IF($B100="",0,$E100*SUMIF(Plan!$M$5:$M$24,"#"&amp;$A100,Plan!E$5:E$24))</f>
        <v/>
      </c>
      <c r="I100" s="53">
        <f>IF($B100="",0,$E100*SUMIF(Plan!$M$5:$M$24,"#"&amp;$A100,Plan!F$5:F$24))</f>
        <v/>
      </c>
      <c r="J100" s="53">
        <f>IF($B100="",0,$E100*SUMIF(Plan!$M$5:$M$24,"#"&amp;$A100,Plan!G$5:G$24))</f>
        <v/>
      </c>
      <c r="K100" s="53">
        <f>IF($B100="",0,$E100*SUMIF(Plan!$M$5:$M$24,"#"&amp;$A100,Plan!H$5:H$24))</f>
        <v/>
      </c>
      <c r="L100" s="53">
        <f>IF($B100="",0,$E100*SUMIF(Plan!$M$5:$M$24,"#"&amp;$A100,Plan!I$5:I$24))</f>
        <v/>
      </c>
      <c r="M100" s="53">
        <f>IF($B100="",0,$E100*SUMIF(Plan!$M$5:$M$24,"#"&amp;$A100,Plan!J$5:J$24))</f>
        <v/>
      </c>
      <c r="N100" s="53">
        <f>IF($B100="",0,$E100*SUMIF(Plan!$M$5:$M$24,"#"&amp;$A100,Plan!K$5:K$24))</f>
        <v/>
      </c>
      <c r="O100" s="53">
        <f>IF($B100="",0,$E100*SUMIF(Plan!$M$5:$M$24,"#"&amp;$A100,Plan!L$5:L$24))</f>
        <v/>
      </c>
      <c r="P100" s="35">
        <f>IF(B100="","","#"&amp;B100)</f>
        <v/>
      </c>
      <c r="Q100" s="35">
        <f>IF(A100="","","#"&amp;A100)</f>
        <v/>
      </c>
    </row>
    <row r="101">
      <c r="A101" s="46" t="inlineStr">
        <is>
          <t>ESCM 4430</t>
        </is>
      </c>
      <c r="B101" s="55" t="n"/>
      <c r="C101" s="48">
        <f>IFERROR(INDEX(Materiales!$B$4:$B$484,MATCH("#"&amp;$B101,Materiales!$K$4:$K$484,0)),"")</f>
        <v/>
      </c>
      <c r="D101" s="49">
        <f>IFERROR(INDEX(Materiales!$C$4:$C$484,MATCH("#"&amp;$B101,Materiales!$K$4:$K$484,0)),"")</f>
        <v/>
      </c>
      <c r="E101" s="50" t="n"/>
      <c r="F101" s="55" t="n"/>
      <c r="G101" s="56" t="n"/>
      <c r="H101" s="53">
        <f>IF($B101="",0,$E101*SUMIF(Plan!$M$5:$M$24,"#"&amp;$A101,Plan!E$5:E$24))</f>
        <v/>
      </c>
      <c r="I101" s="53">
        <f>IF($B101="",0,$E101*SUMIF(Plan!$M$5:$M$24,"#"&amp;$A101,Plan!F$5:F$24))</f>
        <v/>
      </c>
      <c r="J101" s="53">
        <f>IF($B101="",0,$E101*SUMIF(Plan!$M$5:$M$24,"#"&amp;$A101,Plan!G$5:G$24))</f>
        <v/>
      </c>
      <c r="K101" s="53">
        <f>IF($B101="",0,$E101*SUMIF(Plan!$M$5:$M$24,"#"&amp;$A101,Plan!H$5:H$24))</f>
        <v/>
      </c>
      <c r="L101" s="53">
        <f>IF($B101="",0,$E101*SUMIF(Plan!$M$5:$M$24,"#"&amp;$A101,Plan!I$5:I$24))</f>
        <v/>
      </c>
      <c r="M101" s="53">
        <f>IF($B101="",0,$E101*SUMIF(Plan!$M$5:$M$24,"#"&amp;$A101,Plan!J$5:J$24))</f>
        <v/>
      </c>
      <c r="N101" s="53">
        <f>IF($B101="",0,$E101*SUMIF(Plan!$M$5:$M$24,"#"&amp;$A101,Plan!K$5:K$24))</f>
        <v/>
      </c>
      <c r="O101" s="53">
        <f>IF($B101="",0,$E101*SUMIF(Plan!$M$5:$M$24,"#"&amp;$A101,Plan!L$5:L$24))</f>
        <v/>
      </c>
      <c r="P101" s="35">
        <f>IF(B101="","","#"&amp;B101)</f>
        <v/>
      </c>
      <c r="Q101" s="35">
        <f>IF(A101="","","#"&amp;A101)</f>
        <v/>
      </c>
    </row>
    <row r="102">
      <c r="A102" s="46" t="inlineStr">
        <is>
          <t>ESCM 4430</t>
        </is>
      </c>
      <c r="B102" s="55" t="n"/>
      <c r="C102" s="48">
        <f>IFERROR(INDEX(Materiales!$B$4:$B$484,MATCH("#"&amp;$B102,Materiales!$K$4:$K$484,0)),"")</f>
        <v/>
      </c>
      <c r="D102" s="49">
        <f>IFERROR(INDEX(Materiales!$C$4:$C$484,MATCH("#"&amp;$B102,Materiales!$K$4:$K$484,0)),"")</f>
        <v/>
      </c>
      <c r="E102" s="50" t="n"/>
      <c r="F102" s="55" t="n"/>
      <c r="G102" s="56" t="n"/>
      <c r="H102" s="53">
        <f>IF($B102="",0,$E102*SUMIF(Plan!$M$5:$M$24,"#"&amp;$A102,Plan!E$5:E$24))</f>
        <v/>
      </c>
      <c r="I102" s="53">
        <f>IF($B102="",0,$E102*SUMIF(Plan!$M$5:$M$24,"#"&amp;$A102,Plan!F$5:F$24))</f>
        <v/>
      </c>
      <c r="J102" s="53">
        <f>IF($B102="",0,$E102*SUMIF(Plan!$M$5:$M$24,"#"&amp;$A102,Plan!G$5:G$24))</f>
        <v/>
      </c>
      <c r="K102" s="53">
        <f>IF($B102="",0,$E102*SUMIF(Plan!$M$5:$M$24,"#"&amp;$A102,Plan!H$5:H$24))</f>
        <v/>
      </c>
      <c r="L102" s="53">
        <f>IF($B102="",0,$E102*SUMIF(Plan!$M$5:$M$24,"#"&amp;$A102,Plan!I$5:I$24))</f>
        <v/>
      </c>
      <c r="M102" s="53">
        <f>IF($B102="",0,$E102*SUMIF(Plan!$M$5:$M$24,"#"&amp;$A102,Plan!J$5:J$24))</f>
        <v/>
      </c>
      <c r="N102" s="53">
        <f>IF($B102="",0,$E102*SUMIF(Plan!$M$5:$M$24,"#"&amp;$A102,Plan!K$5:K$24))</f>
        <v/>
      </c>
      <c r="O102" s="53">
        <f>IF($B102="",0,$E102*SUMIF(Plan!$M$5:$M$24,"#"&amp;$A102,Plan!L$5:L$24))</f>
        <v/>
      </c>
      <c r="P102" s="35">
        <f>IF(B102="","","#"&amp;B102)</f>
        <v/>
      </c>
      <c r="Q102" s="35">
        <f>IF(A102="","","#"&amp;A102)</f>
        <v/>
      </c>
    </row>
    <row r="103">
      <c r="A103" s="46" t="inlineStr">
        <is>
          <t>ESCM 4430</t>
        </is>
      </c>
      <c r="B103" s="55" t="n"/>
      <c r="C103" s="48">
        <f>IFERROR(INDEX(Materiales!$B$4:$B$484,MATCH("#"&amp;$B103,Materiales!$K$4:$K$484,0)),"")</f>
        <v/>
      </c>
      <c r="D103" s="49">
        <f>IFERROR(INDEX(Materiales!$C$4:$C$484,MATCH("#"&amp;$B103,Materiales!$K$4:$K$484,0)),"")</f>
        <v/>
      </c>
      <c r="E103" s="50" t="n"/>
      <c r="F103" s="55" t="n"/>
      <c r="G103" s="56" t="n"/>
      <c r="H103" s="53">
        <f>IF($B103="",0,$E103*SUMIF(Plan!$M$5:$M$24,"#"&amp;$A103,Plan!E$5:E$24))</f>
        <v/>
      </c>
      <c r="I103" s="53">
        <f>IF($B103="",0,$E103*SUMIF(Plan!$M$5:$M$24,"#"&amp;$A103,Plan!F$5:F$24))</f>
        <v/>
      </c>
      <c r="J103" s="53">
        <f>IF($B103="",0,$E103*SUMIF(Plan!$M$5:$M$24,"#"&amp;$A103,Plan!G$5:G$24))</f>
        <v/>
      </c>
      <c r="K103" s="53">
        <f>IF($B103="",0,$E103*SUMIF(Plan!$M$5:$M$24,"#"&amp;$A103,Plan!H$5:H$24))</f>
        <v/>
      </c>
      <c r="L103" s="53">
        <f>IF($B103="",0,$E103*SUMIF(Plan!$M$5:$M$24,"#"&amp;$A103,Plan!I$5:I$24))</f>
        <v/>
      </c>
      <c r="M103" s="53">
        <f>IF($B103="",0,$E103*SUMIF(Plan!$M$5:$M$24,"#"&amp;$A103,Plan!J$5:J$24))</f>
        <v/>
      </c>
      <c r="N103" s="53">
        <f>IF($B103="",0,$E103*SUMIF(Plan!$M$5:$M$24,"#"&amp;$A103,Plan!K$5:K$24))</f>
        <v/>
      </c>
      <c r="O103" s="53">
        <f>IF($B103="",0,$E103*SUMIF(Plan!$M$5:$M$24,"#"&amp;$A103,Plan!L$5:L$24))</f>
        <v/>
      </c>
      <c r="P103" s="35">
        <f>IF(B103="","","#"&amp;B103)</f>
        <v/>
      </c>
      <c r="Q103" s="35">
        <f>IF(A103="","","#"&amp;A103)</f>
        <v/>
      </c>
    </row>
    <row r="104">
      <c r="A104" s="46" t="inlineStr">
        <is>
          <t>ESCM 4430</t>
        </is>
      </c>
      <c r="B104" s="55" t="n"/>
      <c r="C104" s="48">
        <f>IFERROR(INDEX(Materiales!$B$4:$B$484,MATCH("#"&amp;$B104,Materiales!$K$4:$K$484,0)),"")</f>
        <v/>
      </c>
      <c r="D104" s="49">
        <f>IFERROR(INDEX(Materiales!$C$4:$C$484,MATCH("#"&amp;$B104,Materiales!$K$4:$K$484,0)),"")</f>
        <v/>
      </c>
      <c r="E104" s="50" t="n"/>
      <c r="F104" s="55" t="n"/>
      <c r="G104" s="56" t="n"/>
      <c r="H104" s="53">
        <f>IF($B104="",0,$E104*SUMIF(Plan!$M$5:$M$24,"#"&amp;$A104,Plan!E$5:E$24))</f>
        <v/>
      </c>
      <c r="I104" s="53">
        <f>IF($B104="",0,$E104*SUMIF(Plan!$M$5:$M$24,"#"&amp;$A104,Plan!F$5:F$24))</f>
        <v/>
      </c>
      <c r="J104" s="53">
        <f>IF($B104="",0,$E104*SUMIF(Plan!$M$5:$M$24,"#"&amp;$A104,Plan!G$5:G$24))</f>
        <v/>
      </c>
      <c r="K104" s="53">
        <f>IF($B104="",0,$E104*SUMIF(Plan!$M$5:$M$24,"#"&amp;$A104,Plan!H$5:H$24))</f>
        <v/>
      </c>
      <c r="L104" s="53">
        <f>IF($B104="",0,$E104*SUMIF(Plan!$M$5:$M$24,"#"&amp;$A104,Plan!I$5:I$24))</f>
        <v/>
      </c>
      <c r="M104" s="53">
        <f>IF($B104="",0,$E104*SUMIF(Plan!$M$5:$M$24,"#"&amp;$A104,Plan!J$5:J$24))</f>
        <v/>
      </c>
      <c r="N104" s="53">
        <f>IF($B104="",0,$E104*SUMIF(Plan!$M$5:$M$24,"#"&amp;$A104,Plan!K$5:K$24))</f>
        <v/>
      </c>
      <c r="O104" s="53">
        <f>IF($B104="",0,$E104*SUMIF(Plan!$M$5:$M$24,"#"&amp;$A104,Plan!L$5:L$24))</f>
        <v/>
      </c>
      <c r="P104" s="35">
        <f>IF(B104="","","#"&amp;B104)</f>
        <v/>
      </c>
      <c r="Q104" s="35">
        <f>IF(A104="","","#"&amp;A104)</f>
        <v/>
      </c>
    </row>
    <row r="105">
      <c r="A105" s="46" t="inlineStr">
        <is>
          <t>ESCM 4430</t>
        </is>
      </c>
      <c r="B105" s="55" t="n"/>
      <c r="C105" s="48">
        <f>IFERROR(INDEX(Materiales!$B$4:$B$484,MATCH("#"&amp;$B105,Materiales!$K$4:$K$484,0)),"")</f>
        <v/>
      </c>
      <c r="D105" s="49">
        <f>IFERROR(INDEX(Materiales!$C$4:$C$484,MATCH("#"&amp;$B105,Materiales!$K$4:$K$484,0)),"")</f>
        <v/>
      </c>
      <c r="E105" s="50" t="n"/>
      <c r="F105" s="55" t="n"/>
      <c r="G105" s="56" t="n"/>
      <c r="H105" s="53">
        <f>IF($B105="",0,$E105*SUMIF(Plan!$M$5:$M$24,"#"&amp;$A105,Plan!E$5:E$24))</f>
        <v/>
      </c>
      <c r="I105" s="53">
        <f>IF($B105="",0,$E105*SUMIF(Plan!$M$5:$M$24,"#"&amp;$A105,Plan!F$5:F$24))</f>
        <v/>
      </c>
      <c r="J105" s="53">
        <f>IF($B105="",0,$E105*SUMIF(Plan!$M$5:$M$24,"#"&amp;$A105,Plan!G$5:G$24))</f>
        <v/>
      </c>
      <c r="K105" s="53">
        <f>IF($B105="",0,$E105*SUMIF(Plan!$M$5:$M$24,"#"&amp;$A105,Plan!H$5:H$24))</f>
        <v/>
      </c>
      <c r="L105" s="53">
        <f>IF($B105="",0,$E105*SUMIF(Plan!$M$5:$M$24,"#"&amp;$A105,Plan!I$5:I$24))</f>
        <v/>
      </c>
      <c r="M105" s="53">
        <f>IF($B105="",0,$E105*SUMIF(Plan!$M$5:$M$24,"#"&amp;$A105,Plan!J$5:J$24))</f>
        <v/>
      </c>
      <c r="N105" s="53">
        <f>IF($B105="",0,$E105*SUMIF(Plan!$M$5:$M$24,"#"&amp;$A105,Plan!K$5:K$24))</f>
        <v/>
      </c>
      <c r="O105" s="53">
        <f>IF($B105="",0,$E105*SUMIF(Plan!$M$5:$M$24,"#"&amp;$A105,Plan!L$5:L$24))</f>
        <v/>
      </c>
      <c r="P105" s="35">
        <f>IF(B105="","","#"&amp;B105)</f>
        <v/>
      </c>
      <c r="Q105" s="35">
        <f>IF(A105="","","#"&amp;A105)</f>
        <v/>
      </c>
    </row>
    <row r="106">
      <c r="A106" s="46" t="inlineStr">
        <is>
          <t>ESCM 4430</t>
        </is>
      </c>
      <c r="B106" s="55" t="n"/>
      <c r="C106" s="48">
        <f>IFERROR(INDEX(Materiales!$B$4:$B$484,MATCH("#"&amp;$B106,Materiales!$K$4:$K$484,0)),"")</f>
        <v/>
      </c>
      <c r="D106" s="49">
        <f>IFERROR(INDEX(Materiales!$C$4:$C$484,MATCH("#"&amp;$B106,Materiales!$K$4:$K$484,0)),"")</f>
        <v/>
      </c>
      <c r="E106" s="50" t="n"/>
      <c r="F106" s="55" t="n"/>
      <c r="G106" s="56" t="n"/>
      <c r="H106" s="53">
        <f>IF($B106="",0,$E106*SUMIF(Plan!$M$5:$M$24,"#"&amp;$A106,Plan!E$5:E$24))</f>
        <v/>
      </c>
      <c r="I106" s="53">
        <f>IF($B106="",0,$E106*SUMIF(Plan!$M$5:$M$24,"#"&amp;$A106,Plan!F$5:F$24))</f>
        <v/>
      </c>
      <c r="J106" s="53">
        <f>IF($B106="",0,$E106*SUMIF(Plan!$M$5:$M$24,"#"&amp;$A106,Plan!G$5:G$24))</f>
        <v/>
      </c>
      <c r="K106" s="53">
        <f>IF($B106="",0,$E106*SUMIF(Plan!$M$5:$M$24,"#"&amp;$A106,Plan!H$5:H$24))</f>
        <v/>
      </c>
      <c r="L106" s="53">
        <f>IF($B106="",0,$E106*SUMIF(Plan!$M$5:$M$24,"#"&amp;$A106,Plan!I$5:I$24))</f>
        <v/>
      </c>
      <c r="M106" s="53">
        <f>IF($B106="",0,$E106*SUMIF(Plan!$M$5:$M$24,"#"&amp;$A106,Plan!J$5:J$24))</f>
        <v/>
      </c>
      <c r="N106" s="53">
        <f>IF($B106="",0,$E106*SUMIF(Plan!$M$5:$M$24,"#"&amp;$A106,Plan!K$5:K$24))</f>
        <v/>
      </c>
      <c r="O106" s="53">
        <f>IF($B106="",0,$E106*SUMIF(Plan!$M$5:$M$24,"#"&amp;$A106,Plan!L$5:L$24))</f>
        <v/>
      </c>
      <c r="P106" s="35">
        <f>IF(B106="","","#"&amp;B106)</f>
        <v/>
      </c>
      <c r="Q106" s="35">
        <f>IF(A106="","","#"&amp;A106)</f>
        <v/>
      </c>
    </row>
    <row r="107">
      <c r="A107" s="46" t="inlineStr">
        <is>
          <t>ESCM 4430</t>
        </is>
      </c>
      <c r="B107" s="55" t="n"/>
      <c r="C107" s="48">
        <f>IFERROR(INDEX(Materiales!$B$4:$B$484,MATCH("#"&amp;$B107,Materiales!$K$4:$K$484,0)),"")</f>
        <v/>
      </c>
      <c r="D107" s="49">
        <f>IFERROR(INDEX(Materiales!$C$4:$C$484,MATCH("#"&amp;$B107,Materiales!$K$4:$K$484,0)),"")</f>
        <v/>
      </c>
      <c r="E107" s="50" t="n"/>
      <c r="F107" s="55" t="n"/>
      <c r="G107" s="56" t="n"/>
      <c r="H107" s="53">
        <f>IF($B107="",0,$E107*SUMIF(Plan!$M$5:$M$24,"#"&amp;$A107,Plan!E$5:E$24))</f>
        <v/>
      </c>
      <c r="I107" s="53">
        <f>IF($B107="",0,$E107*SUMIF(Plan!$M$5:$M$24,"#"&amp;$A107,Plan!F$5:F$24))</f>
        <v/>
      </c>
      <c r="J107" s="53">
        <f>IF($B107="",0,$E107*SUMIF(Plan!$M$5:$M$24,"#"&amp;$A107,Plan!G$5:G$24))</f>
        <v/>
      </c>
      <c r="K107" s="53">
        <f>IF($B107="",0,$E107*SUMIF(Plan!$M$5:$M$24,"#"&amp;$A107,Plan!H$5:H$24))</f>
        <v/>
      </c>
      <c r="L107" s="53">
        <f>IF($B107="",0,$E107*SUMIF(Plan!$M$5:$M$24,"#"&amp;$A107,Plan!I$5:I$24))</f>
        <v/>
      </c>
      <c r="M107" s="53">
        <f>IF($B107="",0,$E107*SUMIF(Plan!$M$5:$M$24,"#"&amp;$A107,Plan!J$5:J$24))</f>
        <v/>
      </c>
      <c r="N107" s="53">
        <f>IF($B107="",0,$E107*SUMIF(Plan!$M$5:$M$24,"#"&amp;$A107,Plan!K$5:K$24))</f>
        <v/>
      </c>
      <c r="O107" s="53">
        <f>IF($B107="",0,$E107*SUMIF(Plan!$M$5:$M$24,"#"&amp;$A107,Plan!L$5:L$24))</f>
        <v/>
      </c>
      <c r="P107" s="35">
        <f>IF(B107="","","#"&amp;B107)</f>
        <v/>
      </c>
      <c r="Q107" s="35">
        <f>IF(A107="","","#"&amp;A107)</f>
        <v/>
      </c>
    </row>
    <row r="108">
      <c r="A108" s="46" t="inlineStr">
        <is>
          <t>ESCM 4430</t>
        </is>
      </c>
      <c r="B108" s="55" t="n"/>
      <c r="C108" s="48">
        <f>IFERROR(INDEX(Materiales!$B$4:$B$484,MATCH("#"&amp;$B108,Materiales!$K$4:$K$484,0)),"")</f>
        <v/>
      </c>
      <c r="D108" s="49">
        <f>IFERROR(INDEX(Materiales!$C$4:$C$484,MATCH("#"&amp;$B108,Materiales!$K$4:$K$484,0)),"")</f>
        <v/>
      </c>
      <c r="E108" s="50" t="n"/>
      <c r="F108" s="55" t="n"/>
      <c r="G108" s="56" t="n"/>
      <c r="H108" s="53">
        <f>IF($B108="",0,$E108*SUMIF(Plan!$M$5:$M$24,"#"&amp;$A108,Plan!E$5:E$24))</f>
        <v/>
      </c>
      <c r="I108" s="53">
        <f>IF($B108="",0,$E108*SUMIF(Plan!$M$5:$M$24,"#"&amp;$A108,Plan!F$5:F$24))</f>
        <v/>
      </c>
      <c r="J108" s="53">
        <f>IF($B108="",0,$E108*SUMIF(Plan!$M$5:$M$24,"#"&amp;$A108,Plan!G$5:G$24))</f>
        <v/>
      </c>
      <c r="K108" s="53">
        <f>IF($B108="",0,$E108*SUMIF(Plan!$M$5:$M$24,"#"&amp;$A108,Plan!H$5:H$24))</f>
        <v/>
      </c>
      <c r="L108" s="53">
        <f>IF($B108="",0,$E108*SUMIF(Plan!$M$5:$M$24,"#"&amp;$A108,Plan!I$5:I$24))</f>
        <v/>
      </c>
      <c r="M108" s="53">
        <f>IF($B108="",0,$E108*SUMIF(Plan!$M$5:$M$24,"#"&amp;$A108,Plan!J$5:J$24))</f>
        <v/>
      </c>
      <c r="N108" s="53">
        <f>IF($B108="",0,$E108*SUMIF(Plan!$M$5:$M$24,"#"&amp;$A108,Plan!K$5:K$24))</f>
        <v/>
      </c>
      <c r="O108" s="53">
        <f>IF($B108="",0,$E108*SUMIF(Plan!$M$5:$M$24,"#"&amp;$A108,Plan!L$5:L$24))</f>
        <v/>
      </c>
      <c r="P108" s="35">
        <f>IF(B108="","","#"&amp;B108)</f>
        <v/>
      </c>
      <c r="Q108" s="35">
        <f>IF(A108="","","#"&amp;A108)</f>
        <v/>
      </c>
    </row>
    <row r="109">
      <c r="A109" s="46" t="inlineStr">
        <is>
          <t>ESCM 4430</t>
        </is>
      </c>
      <c r="B109" s="55" t="n"/>
      <c r="C109" s="48">
        <f>IFERROR(INDEX(Materiales!$B$4:$B$484,MATCH("#"&amp;$B109,Materiales!$K$4:$K$484,0)),"")</f>
        <v/>
      </c>
      <c r="D109" s="49">
        <f>IFERROR(INDEX(Materiales!$C$4:$C$484,MATCH("#"&amp;$B109,Materiales!$K$4:$K$484,0)),"")</f>
        <v/>
      </c>
      <c r="E109" s="50" t="n"/>
      <c r="F109" s="55" t="n"/>
      <c r="G109" s="56" t="n"/>
      <c r="H109" s="53">
        <f>IF($B109="",0,$E109*SUMIF(Plan!$M$5:$M$24,"#"&amp;$A109,Plan!E$5:E$24))</f>
        <v/>
      </c>
      <c r="I109" s="53">
        <f>IF($B109="",0,$E109*SUMIF(Plan!$M$5:$M$24,"#"&amp;$A109,Plan!F$5:F$24))</f>
        <v/>
      </c>
      <c r="J109" s="53">
        <f>IF($B109="",0,$E109*SUMIF(Plan!$M$5:$M$24,"#"&amp;$A109,Plan!G$5:G$24))</f>
        <v/>
      </c>
      <c r="K109" s="53">
        <f>IF($B109="",0,$E109*SUMIF(Plan!$M$5:$M$24,"#"&amp;$A109,Plan!H$5:H$24))</f>
        <v/>
      </c>
      <c r="L109" s="53">
        <f>IF($B109="",0,$E109*SUMIF(Plan!$M$5:$M$24,"#"&amp;$A109,Plan!I$5:I$24))</f>
        <v/>
      </c>
      <c r="M109" s="53">
        <f>IF($B109="",0,$E109*SUMIF(Plan!$M$5:$M$24,"#"&amp;$A109,Plan!J$5:J$24))</f>
        <v/>
      </c>
      <c r="N109" s="53">
        <f>IF($B109="",0,$E109*SUMIF(Plan!$M$5:$M$24,"#"&amp;$A109,Plan!K$5:K$24))</f>
        <v/>
      </c>
      <c r="O109" s="53">
        <f>IF($B109="",0,$E109*SUMIF(Plan!$M$5:$M$24,"#"&amp;$A109,Plan!L$5:L$24))</f>
        <v/>
      </c>
      <c r="P109" s="35">
        <f>IF(B109="","","#"&amp;B109)</f>
        <v/>
      </c>
      <c r="Q109" s="35">
        <f>IF(A109="","","#"&amp;A109)</f>
        <v/>
      </c>
    </row>
    <row r="110">
      <c r="A110" s="46" t="inlineStr">
        <is>
          <t>ESCM 4430</t>
        </is>
      </c>
      <c r="B110" s="55" t="n"/>
      <c r="C110" s="48">
        <f>IFERROR(INDEX(Materiales!$B$4:$B$484,MATCH("#"&amp;$B110,Materiales!$K$4:$K$484,0)),"")</f>
        <v/>
      </c>
      <c r="D110" s="49">
        <f>IFERROR(INDEX(Materiales!$C$4:$C$484,MATCH("#"&amp;$B110,Materiales!$K$4:$K$484,0)),"")</f>
        <v/>
      </c>
      <c r="E110" s="50" t="n"/>
      <c r="F110" s="55" t="n"/>
      <c r="G110" s="56" t="n"/>
      <c r="H110" s="53">
        <f>IF($B110="",0,$E110*SUMIF(Plan!$M$5:$M$24,"#"&amp;$A110,Plan!E$5:E$24))</f>
        <v/>
      </c>
      <c r="I110" s="53">
        <f>IF($B110="",0,$E110*SUMIF(Plan!$M$5:$M$24,"#"&amp;$A110,Plan!F$5:F$24))</f>
        <v/>
      </c>
      <c r="J110" s="53">
        <f>IF($B110="",0,$E110*SUMIF(Plan!$M$5:$M$24,"#"&amp;$A110,Plan!G$5:G$24))</f>
        <v/>
      </c>
      <c r="K110" s="53">
        <f>IF($B110="",0,$E110*SUMIF(Plan!$M$5:$M$24,"#"&amp;$A110,Plan!H$5:H$24))</f>
        <v/>
      </c>
      <c r="L110" s="53">
        <f>IF($B110="",0,$E110*SUMIF(Plan!$M$5:$M$24,"#"&amp;$A110,Plan!I$5:I$24))</f>
        <v/>
      </c>
      <c r="M110" s="53">
        <f>IF($B110="",0,$E110*SUMIF(Plan!$M$5:$M$24,"#"&amp;$A110,Plan!J$5:J$24))</f>
        <v/>
      </c>
      <c r="N110" s="53">
        <f>IF($B110="",0,$E110*SUMIF(Plan!$M$5:$M$24,"#"&amp;$A110,Plan!K$5:K$24))</f>
        <v/>
      </c>
      <c r="O110" s="53">
        <f>IF($B110="",0,$E110*SUMIF(Plan!$M$5:$M$24,"#"&amp;$A110,Plan!L$5:L$24))</f>
        <v/>
      </c>
      <c r="P110" s="35">
        <f>IF(B110="","","#"&amp;B110)</f>
        <v/>
      </c>
      <c r="Q110" s="35">
        <f>IF(A110="","","#"&amp;A110)</f>
        <v/>
      </c>
    </row>
    <row r="111">
      <c r="A111" s="46" t="inlineStr">
        <is>
          <t>ESCM 4430</t>
        </is>
      </c>
      <c r="B111" s="55" t="n"/>
      <c r="C111" s="48">
        <f>IFERROR(INDEX(Materiales!$B$4:$B$484,MATCH("#"&amp;$B111,Materiales!$K$4:$K$484,0)),"")</f>
        <v/>
      </c>
      <c r="D111" s="49">
        <f>IFERROR(INDEX(Materiales!$C$4:$C$484,MATCH("#"&amp;$B111,Materiales!$K$4:$K$484,0)),"")</f>
        <v/>
      </c>
      <c r="E111" s="50" t="n"/>
      <c r="F111" s="55" t="n"/>
      <c r="G111" s="56" t="n"/>
      <c r="H111" s="53">
        <f>IF($B111="",0,$E111*SUMIF(Plan!$M$5:$M$24,"#"&amp;$A111,Plan!E$5:E$24))</f>
        <v/>
      </c>
      <c r="I111" s="53">
        <f>IF($B111="",0,$E111*SUMIF(Plan!$M$5:$M$24,"#"&amp;$A111,Plan!F$5:F$24))</f>
        <v/>
      </c>
      <c r="J111" s="53">
        <f>IF($B111="",0,$E111*SUMIF(Plan!$M$5:$M$24,"#"&amp;$A111,Plan!G$5:G$24))</f>
        <v/>
      </c>
      <c r="K111" s="53">
        <f>IF($B111="",0,$E111*SUMIF(Plan!$M$5:$M$24,"#"&amp;$A111,Plan!H$5:H$24))</f>
        <v/>
      </c>
      <c r="L111" s="53">
        <f>IF($B111="",0,$E111*SUMIF(Plan!$M$5:$M$24,"#"&amp;$A111,Plan!I$5:I$24))</f>
        <v/>
      </c>
      <c r="M111" s="53">
        <f>IF($B111="",0,$E111*SUMIF(Plan!$M$5:$M$24,"#"&amp;$A111,Plan!J$5:J$24))</f>
        <v/>
      </c>
      <c r="N111" s="53">
        <f>IF($B111="",0,$E111*SUMIF(Plan!$M$5:$M$24,"#"&amp;$A111,Plan!K$5:K$24))</f>
        <v/>
      </c>
      <c r="O111" s="53">
        <f>IF($B111="",0,$E111*SUMIF(Plan!$M$5:$M$24,"#"&amp;$A111,Plan!L$5:L$24))</f>
        <v/>
      </c>
      <c r="P111" s="35">
        <f>IF(B111="","","#"&amp;B111)</f>
        <v/>
      </c>
      <c r="Q111" s="35">
        <f>IF(A111="","","#"&amp;A111)</f>
        <v/>
      </c>
    </row>
    <row r="112">
      <c r="A112" s="46" t="inlineStr">
        <is>
          <t>ESCM 4430</t>
        </is>
      </c>
      <c r="B112" s="55" t="n"/>
      <c r="C112" s="48">
        <f>IFERROR(INDEX(Materiales!$B$4:$B$484,MATCH("#"&amp;$B112,Materiales!$K$4:$K$484,0)),"")</f>
        <v/>
      </c>
      <c r="D112" s="49">
        <f>IFERROR(INDEX(Materiales!$C$4:$C$484,MATCH("#"&amp;$B112,Materiales!$K$4:$K$484,0)),"")</f>
        <v/>
      </c>
      <c r="E112" s="50" t="n"/>
      <c r="F112" s="55" t="n"/>
      <c r="G112" s="56" t="n"/>
      <c r="H112" s="53">
        <f>IF($B112="",0,$E112*SUMIF(Plan!$M$5:$M$24,"#"&amp;$A112,Plan!E$5:E$24))</f>
        <v/>
      </c>
      <c r="I112" s="53">
        <f>IF($B112="",0,$E112*SUMIF(Plan!$M$5:$M$24,"#"&amp;$A112,Plan!F$5:F$24))</f>
        <v/>
      </c>
      <c r="J112" s="53">
        <f>IF($B112="",0,$E112*SUMIF(Plan!$M$5:$M$24,"#"&amp;$A112,Plan!G$5:G$24))</f>
        <v/>
      </c>
      <c r="K112" s="53">
        <f>IF($B112="",0,$E112*SUMIF(Plan!$M$5:$M$24,"#"&amp;$A112,Plan!H$5:H$24))</f>
        <v/>
      </c>
      <c r="L112" s="53">
        <f>IF($B112="",0,$E112*SUMIF(Plan!$M$5:$M$24,"#"&amp;$A112,Plan!I$5:I$24))</f>
        <v/>
      </c>
      <c r="M112" s="53">
        <f>IF($B112="",0,$E112*SUMIF(Plan!$M$5:$M$24,"#"&amp;$A112,Plan!J$5:J$24))</f>
        <v/>
      </c>
      <c r="N112" s="53">
        <f>IF($B112="",0,$E112*SUMIF(Plan!$M$5:$M$24,"#"&amp;$A112,Plan!K$5:K$24))</f>
        <v/>
      </c>
      <c r="O112" s="53">
        <f>IF($B112="",0,$E112*SUMIF(Plan!$M$5:$M$24,"#"&amp;$A112,Plan!L$5:L$24))</f>
        <v/>
      </c>
      <c r="P112" s="35">
        <f>IF(B112="","","#"&amp;B112)</f>
        <v/>
      </c>
      <c r="Q112" s="35">
        <f>IF(A112="","","#"&amp;A112)</f>
        <v/>
      </c>
    </row>
    <row r="113">
      <c r="A113" s="46" t="inlineStr">
        <is>
          <t>ESCM 4430</t>
        </is>
      </c>
      <c r="B113" s="55" t="n"/>
      <c r="C113" s="48">
        <f>IFERROR(INDEX(Materiales!$B$4:$B$484,MATCH("#"&amp;$B113,Materiales!$K$4:$K$484,0)),"")</f>
        <v/>
      </c>
      <c r="D113" s="49">
        <f>IFERROR(INDEX(Materiales!$C$4:$C$484,MATCH("#"&amp;$B113,Materiales!$K$4:$K$484,0)),"")</f>
        <v/>
      </c>
      <c r="E113" s="50" t="n"/>
      <c r="F113" s="55" t="n"/>
      <c r="G113" s="56" t="n"/>
      <c r="H113" s="53">
        <f>IF($B113="",0,$E113*SUMIF(Plan!$M$5:$M$24,"#"&amp;$A113,Plan!E$5:E$24))</f>
        <v/>
      </c>
      <c r="I113" s="53">
        <f>IF($B113="",0,$E113*SUMIF(Plan!$M$5:$M$24,"#"&amp;$A113,Plan!F$5:F$24))</f>
        <v/>
      </c>
      <c r="J113" s="53">
        <f>IF($B113="",0,$E113*SUMIF(Plan!$M$5:$M$24,"#"&amp;$A113,Plan!G$5:G$24))</f>
        <v/>
      </c>
      <c r="K113" s="53">
        <f>IF($B113="",0,$E113*SUMIF(Plan!$M$5:$M$24,"#"&amp;$A113,Plan!H$5:H$24))</f>
        <v/>
      </c>
      <c r="L113" s="53">
        <f>IF($B113="",0,$E113*SUMIF(Plan!$M$5:$M$24,"#"&amp;$A113,Plan!I$5:I$24))</f>
        <v/>
      </c>
      <c r="M113" s="53">
        <f>IF($B113="",0,$E113*SUMIF(Plan!$M$5:$M$24,"#"&amp;$A113,Plan!J$5:J$24))</f>
        <v/>
      </c>
      <c r="N113" s="53">
        <f>IF($B113="",0,$E113*SUMIF(Plan!$M$5:$M$24,"#"&amp;$A113,Plan!K$5:K$24))</f>
        <v/>
      </c>
      <c r="O113" s="53">
        <f>IF($B113="",0,$E113*SUMIF(Plan!$M$5:$M$24,"#"&amp;$A113,Plan!L$5:L$24))</f>
        <v/>
      </c>
      <c r="P113" s="35">
        <f>IF(B113="","","#"&amp;B113)</f>
        <v/>
      </c>
      <c r="Q113" s="35">
        <f>IF(A113="","","#"&amp;A113)</f>
        <v/>
      </c>
    </row>
    <row r="114">
      <c r="A114" s="46" t="inlineStr">
        <is>
          <t>ESCM 4430</t>
        </is>
      </c>
      <c r="B114" s="55" t="n"/>
      <c r="C114" s="48">
        <f>IFERROR(INDEX(Materiales!$B$4:$B$484,MATCH("#"&amp;$B114,Materiales!$K$4:$K$484,0)),"")</f>
        <v/>
      </c>
      <c r="D114" s="49">
        <f>IFERROR(INDEX(Materiales!$C$4:$C$484,MATCH("#"&amp;$B114,Materiales!$K$4:$K$484,0)),"")</f>
        <v/>
      </c>
      <c r="E114" s="50" t="n"/>
      <c r="F114" s="55" t="n"/>
      <c r="G114" s="56" t="n"/>
      <c r="H114" s="53">
        <f>IF($B114="",0,$E114*SUMIF(Plan!$M$5:$M$24,"#"&amp;$A114,Plan!E$5:E$24))</f>
        <v/>
      </c>
      <c r="I114" s="53">
        <f>IF($B114="",0,$E114*SUMIF(Plan!$M$5:$M$24,"#"&amp;$A114,Plan!F$5:F$24))</f>
        <v/>
      </c>
      <c r="J114" s="53">
        <f>IF($B114="",0,$E114*SUMIF(Plan!$M$5:$M$24,"#"&amp;$A114,Plan!G$5:G$24))</f>
        <v/>
      </c>
      <c r="K114" s="53">
        <f>IF($B114="",0,$E114*SUMIF(Plan!$M$5:$M$24,"#"&amp;$A114,Plan!H$5:H$24))</f>
        <v/>
      </c>
      <c r="L114" s="53">
        <f>IF($B114="",0,$E114*SUMIF(Plan!$M$5:$M$24,"#"&amp;$A114,Plan!I$5:I$24))</f>
        <v/>
      </c>
      <c r="M114" s="53">
        <f>IF($B114="",0,$E114*SUMIF(Plan!$M$5:$M$24,"#"&amp;$A114,Plan!J$5:J$24))</f>
        <v/>
      </c>
      <c r="N114" s="53">
        <f>IF($B114="",0,$E114*SUMIF(Plan!$M$5:$M$24,"#"&amp;$A114,Plan!K$5:K$24))</f>
        <v/>
      </c>
      <c r="O114" s="53">
        <f>IF($B114="",0,$E114*SUMIF(Plan!$M$5:$M$24,"#"&amp;$A114,Plan!L$5:L$24))</f>
        <v/>
      </c>
      <c r="P114" s="35">
        <f>IF(B114="","","#"&amp;B114)</f>
        <v/>
      </c>
      <c r="Q114" s="35">
        <f>IF(A114="","","#"&amp;A114)</f>
        <v/>
      </c>
    </row>
    <row r="115">
      <c r="A115" s="46" t="inlineStr">
        <is>
          <t>ESCM 4430</t>
        </is>
      </c>
      <c r="B115" s="55" t="n"/>
      <c r="C115" s="48">
        <f>IFERROR(INDEX(Materiales!$B$4:$B$484,MATCH("#"&amp;$B115,Materiales!$K$4:$K$484,0)),"")</f>
        <v/>
      </c>
      <c r="D115" s="49">
        <f>IFERROR(INDEX(Materiales!$C$4:$C$484,MATCH("#"&amp;$B115,Materiales!$K$4:$K$484,0)),"")</f>
        <v/>
      </c>
      <c r="E115" s="50" t="n"/>
      <c r="F115" s="55" t="n"/>
      <c r="G115" s="56" t="n"/>
      <c r="H115" s="53">
        <f>IF($B115="",0,$E115*SUMIF(Plan!$M$5:$M$24,"#"&amp;$A115,Plan!E$5:E$24))</f>
        <v/>
      </c>
      <c r="I115" s="53">
        <f>IF($B115="",0,$E115*SUMIF(Plan!$M$5:$M$24,"#"&amp;$A115,Plan!F$5:F$24))</f>
        <v/>
      </c>
      <c r="J115" s="53">
        <f>IF($B115="",0,$E115*SUMIF(Plan!$M$5:$M$24,"#"&amp;$A115,Plan!G$5:G$24))</f>
        <v/>
      </c>
      <c r="K115" s="53">
        <f>IF($B115="",0,$E115*SUMIF(Plan!$M$5:$M$24,"#"&amp;$A115,Plan!H$5:H$24))</f>
        <v/>
      </c>
      <c r="L115" s="53">
        <f>IF($B115="",0,$E115*SUMIF(Plan!$M$5:$M$24,"#"&amp;$A115,Plan!I$5:I$24))</f>
        <v/>
      </c>
      <c r="M115" s="53">
        <f>IF($B115="",0,$E115*SUMIF(Plan!$M$5:$M$24,"#"&amp;$A115,Plan!J$5:J$24))</f>
        <v/>
      </c>
      <c r="N115" s="53">
        <f>IF($B115="",0,$E115*SUMIF(Plan!$M$5:$M$24,"#"&amp;$A115,Plan!K$5:K$24))</f>
        <v/>
      </c>
      <c r="O115" s="53">
        <f>IF($B115="",0,$E115*SUMIF(Plan!$M$5:$M$24,"#"&amp;$A115,Plan!L$5:L$24))</f>
        <v/>
      </c>
      <c r="P115" s="35">
        <f>IF(B115="","","#"&amp;B115)</f>
        <v/>
      </c>
      <c r="Q115" s="35">
        <f>IF(A115="","","#"&amp;A115)</f>
        <v/>
      </c>
    </row>
    <row r="116">
      <c r="A116" s="46" t="inlineStr">
        <is>
          <t>ESCM 4430</t>
        </is>
      </c>
      <c r="B116" s="55" t="n"/>
      <c r="C116" s="48">
        <f>IFERROR(INDEX(Materiales!$B$4:$B$484,MATCH("#"&amp;$B116,Materiales!$K$4:$K$484,0)),"")</f>
        <v/>
      </c>
      <c r="D116" s="49">
        <f>IFERROR(INDEX(Materiales!$C$4:$C$484,MATCH("#"&amp;$B116,Materiales!$K$4:$K$484,0)),"")</f>
        <v/>
      </c>
      <c r="E116" s="50" t="n"/>
      <c r="F116" s="55" t="n"/>
      <c r="G116" s="56" t="n"/>
      <c r="H116" s="53">
        <f>IF($B116="",0,$E116*SUMIF(Plan!$M$5:$M$24,"#"&amp;$A116,Plan!E$5:E$24))</f>
        <v/>
      </c>
      <c r="I116" s="53">
        <f>IF($B116="",0,$E116*SUMIF(Plan!$M$5:$M$24,"#"&amp;$A116,Plan!F$5:F$24))</f>
        <v/>
      </c>
      <c r="J116" s="53">
        <f>IF($B116="",0,$E116*SUMIF(Plan!$M$5:$M$24,"#"&amp;$A116,Plan!G$5:G$24))</f>
        <v/>
      </c>
      <c r="K116" s="53">
        <f>IF($B116="",0,$E116*SUMIF(Plan!$M$5:$M$24,"#"&amp;$A116,Plan!H$5:H$24))</f>
        <v/>
      </c>
      <c r="L116" s="53">
        <f>IF($B116="",0,$E116*SUMIF(Plan!$M$5:$M$24,"#"&amp;$A116,Plan!I$5:I$24))</f>
        <v/>
      </c>
      <c r="M116" s="53">
        <f>IF($B116="",0,$E116*SUMIF(Plan!$M$5:$M$24,"#"&amp;$A116,Plan!J$5:J$24))</f>
        <v/>
      </c>
      <c r="N116" s="53">
        <f>IF($B116="",0,$E116*SUMIF(Plan!$M$5:$M$24,"#"&amp;$A116,Plan!K$5:K$24))</f>
        <v/>
      </c>
      <c r="O116" s="53">
        <f>IF($B116="",0,$E116*SUMIF(Plan!$M$5:$M$24,"#"&amp;$A116,Plan!L$5:L$24))</f>
        <v/>
      </c>
      <c r="P116" s="35">
        <f>IF(B116="","","#"&amp;B116)</f>
        <v/>
      </c>
      <c r="Q116" s="35">
        <f>IF(A116="","","#"&amp;A116)</f>
        <v/>
      </c>
    </row>
    <row r="117">
      <c r="A117" s="46" t="inlineStr">
        <is>
          <t>ESCM 4430</t>
        </is>
      </c>
      <c r="B117" s="55" t="n"/>
      <c r="C117" s="48">
        <f>IFERROR(INDEX(Materiales!$B$4:$B$484,MATCH("#"&amp;$B117,Materiales!$K$4:$K$484,0)),"")</f>
        <v/>
      </c>
      <c r="D117" s="49">
        <f>IFERROR(INDEX(Materiales!$C$4:$C$484,MATCH("#"&amp;$B117,Materiales!$K$4:$K$484,0)),"")</f>
        <v/>
      </c>
      <c r="E117" s="50" t="n"/>
      <c r="F117" s="55" t="n"/>
      <c r="G117" s="56" t="n"/>
      <c r="H117" s="53">
        <f>IF($B117="",0,$E117*SUMIF(Plan!$M$5:$M$24,"#"&amp;$A117,Plan!E$5:E$24))</f>
        <v/>
      </c>
      <c r="I117" s="53">
        <f>IF($B117="",0,$E117*SUMIF(Plan!$M$5:$M$24,"#"&amp;$A117,Plan!F$5:F$24))</f>
        <v/>
      </c>
      <c r="J117" s="53">
        <f>IF($B117="",0,$E117*SUMIF(Plan!$M$5:$M$24,"#"&amp;$A117,Plan!G$5:G$24))</f>
        <v/>
      </c>
      <c r="K117" s="53">
        <f>IF($B117="",0,$E117*SUMIF(Plan!$M$5:$M$24,"#"&amp;$A117,Plan!H$5:H$24))</f>
        <v/>
      </c>
      <c r="L117" s="53">
        <f>IF($B117="",0,$E117*SUMIF(Plan!$M$5:$M$24,"#"&amp;$A117,Plan!I$5:I$24))</f>
        <v/>
      </c>
      <c r="M117" s="53">
        <f>IF($B117="",0,$E117*SUMIF(Plan!$M$5:$M$24,"#"&amp;$A117,Plan!J$5:J$24))</f>
        <v/>
      </c>
      <c r="N117" s="53">
        <f>IF($B117="",0,$E117*SUMIF(Plan!$M$5:$M$24,"#"&amp;$A117,Plan!K$5:K$24))</f>
        <v/>
      </c>
      <c r="O117" s="53">
        <f>IF($B117="",0,$E117*SUMIF(Plan!$M$5:$M$24,"#"&amp;$A117,Plan!L$5:L$24))</f>
        <v/>
      </c>
      <c r="P117" s="35">
        <f>IF(B117="","","#"&amp;B117)</f>
        <v/>
      </c>
      <c r="Q117" s="35">
        <f>IF(A117="","","#"&amp;A117)</f>
        <v/>
      </c>
    </row>
    <row r="118">
      <c r="A118" s="46" t="inlineStr">
        <is>
          <t>ESCM 4430</t>
        </is>
      </c>
      <c r="B118" s="55" t="n"/>
      <c r="C118" s="48">
        <f>IFERROR(INDEX(Materiales!$B$4:$B$484,MATCH("#"&amp;$B118,Materiales!$K$4:$K$484,0)),"")</f>
        <v/>
      </c>
      <c r="D118" s="49">
        <f>IFERROR(INDEX(Materiales!$C$4:$C$484,MATCH("#"&amp;$B118,Materiales!$K$4:$K$484,0)),"")</f>
        <v/>
      </c>
      <c r="E118" s="50" t="n"/>
      <c r="F118" s="55" t="n"/>
      <c r="G118" s="56" t="n"/>
      <c r="H118" s="53">
        <f>IF($B118="",0,$E118*SUMIF(Plan!$M$5:$M$24,"#"&amp;$A118,Plan!E$5:E$24))</f>
        <v/>
      </c>
      <c r="I118" s="53">
        <f>IF($B118="",0,$E118*SUMIF(Plan!$M$5:$M$24,"#"&amp;$A118,Plan!F$5:F$24))</f>
        <v/>
      </c>
      <c r="J118" s="53">
        <f>IF($B118="",0,$E118*SUMIF(Plan!$M$5:$M$24,"#"&amp;$A118,Plan!G$5:G$24))</f>
        <v/>
      </c>
      <c r="K118" s="53">
        <f>IF($B118="",0,$E118*SUMIF(Plan!$M$5:$M$24,"#"&amp;$A118,Plan!H$5:H$24))</f>
        <v/>
      </c>
      <c r="L118" s="53">
        <f>IF($B118="",0,$E118*SUMIF(Plan!$M$5:$M$24,"#"&amp;$A118,Plan!I$5:I$24))</f>
        <v/>
      </c>
      <c r="M118" s="53">
        <f>IF($B118="",0,$E118*SUMIF(Plan!$M$5:$M$24,"#"&amp;$A118,Plan!J$5:J$24))</f>
        <v/>
      </c>
      <c r="N118" s="53">
        <f>IF($B118="",0,$E118*SUMIF(Plan!$M$5:$M$24,"#"&amp;$A118,Plan!K$5:K$24))</f>
        <v/>
      </c>
      <c r="O118" s="53">
        <f>IF($B118="",0,$E118*SUMIF(Plan!$M$5:$M$24,"#"&amp;$A118,Plan!L$5:L$24))</f>
        <v/>
      </c>
      <c r="P118" s="35">
        <f>IF(B118="","","#"&amp;B118)</f>
        <v/>
      </c>
      <c r="Q118" s="35">
        <f>IF(A118="","","#"&amp;A118)</f>
        <v/>
      </c>
    </row>
    <row r="119">
      <c r="A119" s="46" t="inlineStr">
        <is>
          <t>ESCM 4430</t>
        </is>
      </c>
      <c r="B119" s="55" t="n"/>
      <c r="C119" s="48">
        <f>IFERROR(INDEX(Materiales!$B$4:$B$484,MATCH("#"&amp;$B119,Materiales!$K$4:$K$484,0)),"")</f>
        <v/>
      </c>
      <c r="D119" s="49">
        <f>IFERROR(INDEX(Materiales!$C$4:$C$484,MATCH("#"&amp;$B119,Materiales!$K$4:$K$484,0)),"")</f>
        <v/>
      </c>
      <c r="E119" s="50" t="n"/>
      <c r="F119" s="55" t="n"/>
      <c r="G119" s="56" t="n"/>
      <c r="H119" s="53">
        <f>IF($B119="",0,$E119*SUMIF(Plan!$M$5:$M$24,"#"&amp;$A119,Plan!E$5:E$24))</f>
        <v/>
      </c>
      <c r="I119" s="53">
        <f>IF($B119="",0,$E119*SUMIF(Plan!$M$5:$M$24,"#"&amp;$A119,Plan!F$5:F$24))</f>
        <v/>
      </c>
      <c r="J119" s="53">
        <f>IF($B119="",0,$E119*SUMIF(Plan!$M$5:$M$24,"#"&amp;$A119,Plan!G$5:G$24))</f>
        <v/>
      </c>
      <c r="K119" s="53">
        <f>IF($B119="",0,$E119*SUMIF(Plan!$M$5:$M$24,"#"&amp;$A119,Plan!H$5:H$24))</f>
        <v/>
      </c>
      <c r="L119" s="53">
        <f>IF($B119="",0,$E119*SUMIF(Plan!$M$5:$M$24,"#"&amp;$A119,Plan!I$5:I$24))</f>
        <v/>
      </c>
      <c r="M119" s="53">
        <f>IF($B119="",0,$E119*SUMIF(Plan!$M$5:$M$24,"#"&amp;$A119,Plan!J$5:J$24))</f>
        <v/>
      </c>
      <c r="N119" s="53">
        <f>IF($B119="",0,$E119*SUMIF(Plan!$M$5:$M$24,"#"&amp;$A119,Plan!K$5:K$24))</f>
        <v/>
      </c>
      <c r="O119" s="53">
        <f>IF($B119="",0,$E119*SUMIF(Plan!$M$5:$M$24,"#"&amp;$A119,Plan!L$5:L$24))</f>
        <v/>
      </c>
      <c r="P119" s="35">
        <f>IF(B119="","","#"&amp;B119)</f>
        <v/>
      </c>
      <c r="Q119" s="35">
        <f>IF(A119="","","#"&amp;A119)</f>
        <v/>
      </c>
    </row>
    <row r="120">
      <c r="A120" s="46" t="inlineStr">
        <is>
          <t>ESCM 4430</t>
        </is>
      </c>
      <c r="B120" s="55" t="n"/>
      <c r="C120" s="48">
        <f>IFERROR(INDEX(Materiales!$B$4:$B$484,MATCH("#"&amp;$B120,Materiales!$K$4:$K$484,0)),"")</f>
        <v/>
      </c>
      <c r="D120" s="49">
        <f>IFERROR(INDEX(Materiales!$C$4:$C$484,MATCH("#"&amp;$B120,Materiales!$K$4:$K$484,0)),"")</f>
        <v/>
      </c>
      <c r="E120" s="50" t="n"/>
      <c r="F120" s="55" t="n"/>
      <c r="G120" s="56" t="n"/>
      <c r="H120" s="53">
        <f>IF($B120="",0,$E120*SUMIF(Plan!$M$5:$M$24,"#"&amp;$A120,Plan!E$5:E$24))</f>
        <v/>
      </c>
      <c r="I120" s="53">
        <f>IF($B120="",0,$E120*SUMIF(Plan!$M$5:$M$24,"#"&amp;$A120,Plan!F$5:F$24))</f>
        <v/>
      </c>
      <c r="J120" s="53">
        <f>IF($B120="",0,$E120*SUMIF(Plan!$M$5:$M$24,"#"&amp;$A120,Plan!G$5:G$24))</f>
        <v/>
      </c>
      <c r="K120" s="53">
        <f>IF($B120="",0,$E120*SUMIF(Plan!$M$5:$M$24,"#"&amp;$A120,Plan!H$5:H$24))</f>
        <v/>
      </c>
      <c r="L120" s="53">
        <f>IF($B120="",0,$E120*SUMIF(Plan!$M$5:$M$24,"#"&amp;$A120,Plan!I$5:I$24))</f>
        <v/>
      </c>
      <c r="M120" s="53">
        <f>IF($B120="",0,$E120*SUMIF(Plan!$M$5:$M$24,"#"&amp;$A120,Plan!J$5:J$24))</f>
        <v/>
      </c>
      <c r="N120" s="53">
        <f>IF($B120="",0,$E120*SUMIF(Plan!$M$5:$M$24,"#"&amp;$A120,Plan!K$5:K$24))</f>
        <v/>
      </c>
      <c r="O120" s="53">
        <f>IF($B120="",0,$E120*SUMIF(Plan!$M$5:$M$24,"#"&amp;$A120,Plan!L$5:L$24))</f>
        <v/>
      </c>
      <c r="P120" s="35">
        <f>IF(B120="","","#"&amp;B120)</f>
        <v/>
      </c>
      <c r="Q120" s="35">
        <f>IF(A120="","","#"&amp;A120)</f>
        <v/>
      </c>
    </row>
    <row r="121">
      <c r="A121" s="46" t="inlineStr">
        <is>
          <t>ESCM 4430</t>
        </is>
      </c>
      <c r="B121" s="55" t="n"/>
      <c r="C121" s="48">
        <f>IFERROR(INDEX(Materiales!$B$4:$B$484,MATCH("#"&amp;$B121,Materiales!$K$4:$K$484,0)),"")</f>
        <v/>
      </c>
      <c r="D121" s="49">
        <f>IFERROR(INDEX(Materiales!$C$4:$C$484,MATCH("#"&amp;$B121,Materiales!$K$4:$K$484,0)),"")</f>
        <v/>
      </c>
      <c r="E121" s="50" t="n"/>
      <c r="F121" s="55" t="n"/>
      <c r="G121" s="56" t="n"/>
      <c r="H121" s="53">
        <f>IF($B121="",0,$E121*SUMIF(Plan!$M$5:$M$24,"#"&amp;$A121,Plan!E$5:E$24))</f>
        <v/>
      </c>
      <c r="I121" s="53">
        <f>IF($B121="",0,$E121*SUMIF(Plan!$M$5:$M$24,"#"&amp;$A121,Plan!F$5:F$24))</f>
        <v/>
      </c>
      <c r="J121" s="53">
        <f>IF($B121="",0,$E121*SUMIF(Plan!$M$5:$M$24,"#"&amp;$A121,Plan!G$5:G$24))</f>
        <v/>
      </c>
      <c r="K121" s="53">
        <f>IF($B121="",0,$E121*SUMIF(Plan!$M$5:$M$24,"#"&amp;$A121,Plan!H$5:H$24))</f>
        <v/>
      </c>
      <c r="L121" s="53">
        <f>IF($B121="",0,$E121*SUMIF(Plan!$M$5:$M$24,"#"&amp;$A121,Plan!I$5:I$24))</f>
        <v/>
      </c>
      <c r="M121" s="53">
        <f>IF($B121="",0,$E121*SUMIF(Plan!$M$5:$M$24,"#"&amp;$A121,Plan!J$5:J$24))</f>
        <v/>
      </c>
      <c r="N121" s="53">
        <f>IF($B121="",0,$E121*SUMIF(Plan!$M$5:$M$24,"#"&amp;$A121,Plan!K$5:K$24))</f>
        <v/>
      </c>
      <c r="O121" s="53">
        <f>IF($B121="",0,$E121*SUMIF(Plan!$M$5:$M$24,"#"&amp;$A121,Plan!L$5:L$24))</f>
        <v/>
      </c>
      <c r="P121" s="35">
        <f>IF(B121="","","#"&amp;B121)</f>
        <v/>
      </c>
      <c r="Q121" s="35">
        <f>IF(A121="","","#"&amp;A121)</f>
        <v/>
      </c>
    </row>
    <row r="122">
      <c r="A122" s="46" t="inlineStr">
        <is>
          <t>ESCM 4430</t>
        </is>
      </c>
      <c r="B122" s="55" t="n"/>
      <c r="C122" s="48">
        <f>IFERROR(INDEX(Materiales!$B$4:$B$484,MATCH("#"&amp;$B122,Materiales!$K$4:$K$484,0)),"")</f>
        <v/>
      </c>
      <c r="D122" s="49">
        <f>IFERROR(INDEX(Materiales!$C$4:$C$484,MATCH("#"&amp;$B122,Materiales!$K$4:$K$484,0)),"")</f>
        <v/>
      </c>
      <c r="E122" s="50" t="n"/>
      <c r="F122" s="55" t="n"/>
      <c r="G122" s="56" t="n"/>
      <c r="H122" s="53">
        <f>IF($B122="",0,$E122*SUMIF(Plan!$M$5:$M$24,"#"&amp;$A122,Plan!E$5:E$24))</f>
        <v/>
      </c>
      <c r="I122" s="53">
        <f>IF($B122="",0,$E122*SUMIF(Plan!$M$5:$M$24,"#"&amp;$A122,Plan!F$5:F$24))</f>
        <v/>
      </c>
      <c r="J122" s="53">
        <f>IF($B122="",0,$E122*SUMIF(Plan!$M$5:$M$24,"#"&amp;$A122,Plan!G$5:G$24))</f>
        <v/>
      </c>
      <c r="K122" s="53">
        <f>IF($B122="",0,$E122*SUMIF(Plan!$M$5:$M$24,"#"&amp;$A122,Plan!H$5:H$24))</f>
        <v/>
      </c>
      <c r="L122" s="53">
        <f>IF($B122="",0,$E122*SUMIF(Plan!$M$5:$M$24,"#"&amp;$A122,Plan!I$5:I$24))</f>
        <v/>
      </c>
      <c r="M122" s="53">
        <f>IF($B122="",0,$E122*SUMIF(Plan!$M$5:$M$24,"#"&amp;$A122,Plan!J$5:J$24))</f>
        <v/>
      </c>
      <c r="N122" s="53">
        <f>IF($B122="",0,$E122*SUMIF(Plan!$M$5:$M$24,"#"&amp;$A122,Plan!K$5:K$24))</f>
        <v/>
      </c>
      <c r="O122" s="53">
        <f>IF($B122="",0,$E122*SUMIF(Plan!$M$5:$M$24,"#"&amp;$A122,Plan!L$5:L$24))</f>
        <v/>
      </c>
      <c r="P122" s="35">
        <f>IF(B122="","","#"&amp;B122)</f>
        <v/>
      </c>
      <c r="Q122" s="35">
        <f>IF(A122="","","#"&amp;A122)</f>
        <v/>
      </c>
    </row>
    <row r="123">
      <c r="A123" s="46" t="inlineStr">
        <is>
          <t>ESCM 4430</t>
        </is>
      </c>
      <c r="B123" s="55" t="n"/>
      <c r="C123" s="48">
        <f>IFERROR(INDEX(Materiales!$B$4:$B$484,MATCH("#"&amp;$B123,Materiales!$K$4:$K$484,0)),"")</f>
        <v/>
      </c>
      <c r="D123" s="49">
        <f>IFERROR(INDEX(Materiales!$C$4:$C$484,MATCH("#"&amp;$B123,Materiales!$K$4:$K$484,0)),"")</f>
        <v/>
      </c>
      <c r="E123" s="50" t="n"/>
      <c r="F123" s="55" t="n"/>
      <c r="G123" s="56" t="n"/>
      <c r="H123" s="53">
        <f>IF($B123="",0,$E123*SUMIF(Plan!$M$5:$M$24,"#"&amp;$A123,Plan!E$5:E$24))</f>
        <v/>
      </c>
      <c r="I123" s="53">
        <f>IF($B123="",0,$E123*SUMIF(Plan!$M$5:$M$24,"#"&amp;$A123,Plan!F$5:F$24))</f>
        <v/>
      </c>
      <c r="J123" s="53">
        <f>IF($B123="",0,$E123*SUMIF(Plan!$M$5:$M$24,"#"&amp;$A123,Plan!G$5:G$24))</f>
        <v/>
      </c>
      <c r="K123" s="53">
        <f>IF($B123="",0,$E123*SUMIF(Plan!$M$5:$M$24,"#"&amp;$A123,Plan!H$5:H$24))</f>
        <v/>
      </c>
      <c r="L123" s="53">
        <f>IF($B123="",0,$E123*SUMIF(Plan!$M$5:$M$24,"#"&amp;$A123,Plan!I$5:I$24))</f>
        <v/>
      </c>
      <c r="M123" s="53">
        <f>IF($B123="",0,$E123*SUMIF(Plan!$M$5:$M$24,"#"&amp;$A123,Plan!J$5:J$24))</f>
        <v/>
      </c>
      <c r="N123" s="53">
        <f>IF($B123="",0,$E123*SUMIF(Plan!$M$5:$M$24,"#"&amp;$A123,Plan!K$5:K$24))</f>
        <v/>
      </c>
      <c r="O123" s="53">
        <f>IF($B123="",0,$E123*SUMIF(Plan!$M$5:$M$24,"#"&amp;$A123,Plan!L$5:L$24))</f>
        <v/>
      </c>
      <c r="P123" s="35">
        <f>IF(B123="","","#"&amp;B123)</f>
        <v/>
      </c>
      <c r="Q123" s="35">
        <f>IF(A123="","","#"&amp;A123)</f>
        <v/>
      </c>
    </row>
    <row r="124">
      <c r="A124" s="46" t="inlineStr">
        <is>
          <t>ESCM 4430</t>
        </is>
      </c>
      <c r="B124" s="55" t="n"/>
      <c r="C124" s="48">
        <f>IFERROR(INDEX(Materiales!$B$4:$B$484,MATCH("#"&amp;$B124,Materiales!$K$4:$K$484,0)),"")</f>
        <v/>
      </c>
      <c r="D124" s="49">
        <f>IFERROR(INDEX(Materiales!$C$4:$C$484,MATCH("#"&amp;$B124,Materiales!$K$4:$K$484,0)),"")</f>
        <v/>
      </c>
      <c r="E124" s="50" t="n"/>
      <c r="F124" s="55" t="n"/>
      <c r="G124" s="56" t="n"/>
      <c r="H124" s="53">
        <f>IF($B124="",0,$E124*SUMIF(Plan!$M$5:$M$24,"#"&amp;$A124,Plan!E$5:E$24))</f>
        <v/>
      </c>
      <c r="I124" s="53">
        <f>IF($B124="",0,$E124*SUMIF(Plan!$M$5:$M$24,"#"&amp;$A124,Plan!F$5:F$24))</f>
        <v/>
      </c>
      <c r="J124" s="53">
        <f>IF($B124="",0,$E124*SUMIF(Plan!$M$5:$M$24,"#"&amp;$A124,Plan!G$5:G$24))</f>
        <v/>
      </c>
      <c r="K124" s="53">
        <f>IF($B124="",0,$E124*SUMIF(Plan!$M$5:$M$24,"#"&amp;$A124,Plan!H$5:H$24))</f>
        <v/>
      </c>
      <c r="L124" s="53">
        <f>IF($B124="",0,$E124*SUMIF(Plan!$M$5:$M$24,"#"&amp;$A124,Plan!I$5:I$24))</f>
        <v/>
      </c>
      <c r="M124" s="53">
        <f>IF($B124="",0,$E124*SUMIF(Plan!$M$5:$M$24,"#"&amp;$A124,Plan!J$5:J$24))</f>
        <v/>
      </c>
      <c r="N124" s="53">
        <f>IF($B124="",0,$E124*SUMIF(Plan!$M$5:$M$24,"#"&amp;$A124,Plan!K$5:K$24))</f>
        <v/>
      </c>
      <c r="O124" s="53">
        <f>IF($B124="",0,$E124*SUMIF(Plan!$M$5:$M$24,"#"&amp;$A124,Plan!L$5:L$24))</f>
        <v/>
      </c>
      <c r="P124" s="35">
        <f>IF(B124="","","#"&amp;B124)</f>
        <v/>
      </c>
      <c r="Q124" s="35">
        <f>IF(A124="","","#"&amp;A124)</f>
        <v/>
      </c>
    </row>
    <row r="125">
      <c r="A125" s="46" t="inlineStr">
        <is>
          <t>ESCM 4430</t>
        </is>
      </c>
      <c r="B125" s="55" t="n"/>
      <c r="C125" s="48">
        <f>IFERROR(INDEX(Materiales!$B$4:$B$484,MATCH("#"&amp;$B125,Materiales!$K$4:$K$484,0)),"")</f>
        <v/>
      </c>
      <c r="D125" s="49">
        <f>IFERROR(INDEX(Materiales!$C$4:$C$484,MATCH("#"&amp;$B125,Materiales!$K$4:$K$484,0)),"")</f>
        <v/>
      </c>
      <c r="E125" s="50" t="n"/>
      <c r="F125" s="55" t="n"/>
      <c r="G125" s="56" t="n"/>
      <c r="H125" s="53">
        <f>IF($B125="",0,$E125*SUMIF(Plan!$M$5:$M$24,"#"&amp;$A125,Plan!E$5:E$24))</f>
        <v/>
      </c>
      <c r="I125" s="53">
        <f>IF($B125="",0,$E125*SUMIF(Plan!$M$5:$M$24,"#"&amp;$A125,Plan!F$5:F$24))</f>
        <v/>
      </c>
      <c r="J125" s="53">
        <f>IF($B125="",0,$E125*SUMIF(Plan!$M$5:$M$24,"#"&amp;$A125,Plan!G$5:G$24))</f>
        <v/>
      </c>
      <c r="K125" s="53">
        <f>IF($B125="",0,$E125*SUMIF(Plan!$M$5:$M$24,"#"&amp;$A125,Plan!H$5:H$24))</f>
        <v/>
      </c>
      <c r="L125" s="53">
        <f>IF($B125="",0,$E125*SUMIF(Plan!$M$5:$M$24,"#"&amp;$A125,Plan!I$5:I$24))</f>
        <v/>
      </c>
      <c r="M125" s="53">
        <f>IF($B125="",0,$E125*SUMIF(Plan!$M$5:$M$24,"#"&amp;$A125,Plan!J$5:J$24))</f>
        <v/>
      </c>
      <c r="N125" s="53">
        <f>IF($B125="",0,$E125*SUMIF(Plan!$M$5:$M$24,"#"&amp;$A125,Plan!K$5:K$24))</f>
        <v/>
      </c>
      <c r="O125" s="53">
        <f>IF($B125="",0,$E125*SUMIF(Plan!$M$5:$M$24,"#"&amp;$A125,Plan!L$5:L$24))</f>
        <v/>
      </c>
      <c r="P125" s="35">
        <f>IF(B125="","","#"&amp;B125)</f>
        <v/>
      </c>
      <c r="Q125" s="35">
        <f>IF(A125="","","#"&amp;A125)</f>
        <v/>
      </c>
    </row>
    <row r="126">
      <c r="A126" s="46" t="inlineStr">
        <is>
          <t>ESCM 4430</t>
        </is>
      </c>
      <c r="B126" s="55" t="n"/>
      <c r="C126" s="48">
        <f>IFERROR(INDEX(Materiales!$B$4:$B$484,MATCH("#"&amp;$B126,Materiales!$K$4:$K$484,0)),"")</f>
        <v/>
      </c>
      <c r="D126" s="49">
        <f>IFERROR(INDEX(Materiales!$C$4:$C$484,MATCH("#"&amp;$B126,Materiales!$K$4:$K$484,0)),"")</f>
        <v/>
      </c>
      <c r="E126" s="50" t="n"/>
      <c r="F126" s="55" t="n"/>
      <c r="G126" s="56" t="n"/>
      <c r="H126" s="53">
        <f>IF($B126="",0,$E126*SUMIF(Plan!$M$5:$M$24,"#"&amp;$A126,Plan!E$5:E$24))</f>
        <v/>
      </c>
      <c r="I126" s="53">
        <f>IF($B126="",0,$E126*SUMIF(Plan!$M$5:$M$24,"#"&amp;$A126,Plan!F$5:F$24))</f>
        <v/>
      </c>
      <c r="J126" s="53">
        <f>IF($B126="",0,$E126*SUMIF(Plan!$M$5:$M$24,"#"&amp;$A126,Plan!G$5:G$24))</f>
        <v/>
      </c>
      <c r="K126" s="53">
        <f>IF($B126="",0,$E126*SUMIF(Plan!$M$5:$M$24,"#"&amp;$A126,Plan!H$5:H$24))</f>
        <v/>
      </c>
      <c r="L126" s="53">
        <f>IF($B126="",0,$E126*SUMIF(Plan!$M$5:$M$24,"#"&amp;$A126,Plan!I$5:I$24))</f>
        <v/>
      </c>
      <c r="M126" s="53">
        <f>IF($B126="",0,$E126*SUMIF(Plan!$M$5:$M$24,"#"&amp;$A126,Plan!J$5:J$24))</f>
        <v/>
      </c>
      <c r="N126" s="53">
        <f>IF($B126="",0,$E126*SUMIF(Plan!$M$5:$M$24,"#"&amp;$A126,Plan!K$5:K$24))</f>
        <v/>
      </c>
      <c r="O126" s="53">
        <f>IF($B126="",0,$E126*SUMIF(Plan!$M$5:$M$24,"#"&amp;$A126,Plan!L$5:L$24))</f>
        <v/>
      </c>
      <c r="P126" s="35">
        <f>IF(B126="","","#"&amp;B126)</f>
        <v/>
      </c>
      <c r="Q126" s="35">
        <f>IF(A126="","","#"&amp;A126)</f>
        <v/>
      </c>
    </row>
    <row r="127">
      <c r="A127" s="46" t="inlineStr">
        <is>
          <t>ESCM 4430</t>
        </is>
      </c>
      <c r="B127" s="55" t="n"/>
      <c r="C127" s="48">
        <f>IFERROR(INDEX(Materiales!$B$4:$B$484,MATCH("#"&amp;$B127,Materiales!$K$4:$K$484,0)),"")</f>
        <v/>
      </c>
      <c r="D127" s="49">
        <f>IFERROR(INDEX(Materiales!$C$4:$C$484,MATCH("#"&amp;$B127,Materiales!$K$4:$K$484,0)),"")</f>
        <v/>
      </c>
      <c r="E127" s="50" t="n"/>
      <c r="F127" s="55" t="n"/>
      <c r="G127" s="56" t="n"/>
      <c r="H127" s="53">
        <f>IF($B127="",0,$E127*SUMIF(Plan!$M$5:$M$24,"#"&amp;$A127,Plan!E$5:E$24))</f>
        <v/>
      </c>
      <c r="I127" s="53">
        <f>IF($B127="",0,$E127*SUMIF(Plan!$M$5:$M$24,"#"&amp;$A127,Plan!F$5:F$24))</f>
        <v/>
      </c>
      <c r="J127" s="53">
        <f>IF($B127="",0,$E127*SUMIF(Plan!$M$5:$M$24,"#"&amp;$A127,Plan!G$5:G$24))</f>
        <v/>
      </c>
      <c r="K127" s="53">
        <f>IF($B127="",0,$E127*SUMIF(Plan!$M$5:$M$24,"#"&amp;$A127,Plan!H$5:H$24))</f>
        <v/>
      </c>
      <c r="L127" s="53">
        <f>IF($B127="",0,$E127*SUMIF(Plan!$M$5:$M$24,"#"&amp;$A127,Plan!I$5:I$24))</f>
        <v/>
      </c>
      <c r="M127" s="53">
        <f>IF($B127="",0,$E127*SUMIF(Plan!$M$5:$M$24,"#"&amp;$A127,Plan!J$5:J$24))</f>
        <v/>
      </c>
      <c r="N127" s="53">
        <f>IF($B127="",0,$E127*SUMIF(Plan!$M$5:$M$24,"#"&amp;$A127,Plan!K$5:K$24))</f>
        <v/>
      </c>
      <c r="O127" s="53">
        <f>IF($B127="",0,$E127*SUMIF(Plan!$M$5:$M$24,"#"&amp;$A127,Plan!L$5:L$24))</f>
        <v/>
      </c>
      <c r="P127" s="35">
        <f>IF(B127="","","#"&amp;B127)</f>
        <v/>
      </c>
      <c r="Q127" s="35">
        <f>IF(A127="","","#"&amp;A127)</f>
        <v/>
      </c>
    </row>
    <row r="128" ht="20" customHeight="1">
      <c r="A128" s="44" t="inlineStr">
        <is>
          <t>FRENTE:  ESCM 4410   —   consumo por CADA metro de avance</t>
        </is>
      </c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</row>
    <row r="129">
      <c r="A129" s="46" t="inlineStr">
        <is>
          <t>ESCM 4410</t>
        </is>
      </c>
      <c r="B129" s="55" t="n"/>
      <c r="C129" s="48">
        <f>IFERROR(INDEX(Materiales!$B$4:$B$484,MATCH("#"&amp;$B129,Materiales!$K$4:$K$484,0)),"")</f>
        <v/>
      </c>
      <c r="D129" s="49">
        <f>IFERROR(INDEX(Materiales!$C$4:$C$484,MATCH("#"&amp;$B129,Materiales!$K$4:$K$484,0)),"")</f>
        <v/>
      </c>
      <c r="E129" s="50" t="n"/>
      <c r="F129" s="55" t="n"/>
      <c r="G129" s="56" t="n"/>
      <c r="H129" s="53">
        <f>IF($B129="",0,$E129*SUMIF(Plan!$M$5:$M$24,"#"&amp;$A129,Plan!E$5:E$24))</f>
        <v/>
      </c>
      <c r="I129" s="53">
        <f>IF($B129="",0,$E129*SUMIF(Plan!$M$5:$M$24,"#"&amp;$A129,Plan!F$5:F$24))</f>
        <v/>
      </c>
      <c r="J129" s="53">
        <f>IF($B129="",0,$E129*SUMIF(Plan!$M$5:$M$24,"#"&amp;$A129,Plan!G$5:G$24))</f>
        <v/>
      </c>
      <c r="K129" s="53">
        <f>IF($B129="",0,$E129*SUMIF(Plan!$M$5:$M$24,"#"&amp;$A129,Plan!H$5:H$24))</f>
        <v/>
      </c>
      <c r="L129" s="53">
        <f>IF($B129="",0,$E129*SUMIF(Plan!$M$5:$M$24,"#"&amp;$A129,Plan!I$5:I$24))</f>
        <v/>
      </c>
      <c r="M129" s="53">
        <f>IF($B129="",0,$E129*SUMIF(Plan!$M$5:$M$24,"#"&amp;$A129,Plan!J$5:J$24))</f>
        <v/>
      </c>
      <c r="N129" s="53">
        <f>IF($B129="",0,$E129*SUMIF(Plan!$M$5:$M$24,"#"&amp;$A129,Plan!K$5:K$24))</f>
        <v/>
      </c>
      <c r="O129" s="53">
        <f>IF($B129="",0,$E129*SUMIF(Plan!$M$5:$M$24,"#"&amp;$A129,Plan!L$5:L$24))</f>
        <v/>
      </c>
      <c r="P129" s="35">
        <f>IF(B129="","","#"&amp;B129)</f>
        <v/>
      </c>
      <c r="Q129" s="35">
        <f>IF(A129="","","#"&amp;A129)</f>
        <v/>
      </c>
    </row>
    <row r="130">
      <c r="A130" s="46" t="inlineStr">
        <is>
          <t>ESCM 4410</t>
        </is>
      </c>
      <c r="B130" s="55" t="n"/>
      <c r="C130" s="48">
        <f>IFERROR(INDEX(Materiales!$B$4:$B$484,MATCH("#"&amp;$B130,Materiales!$K$4:$K$484,0)),"")</f>
        <v/>
      </c>
      <c r="D130" s="49">
        <f>IFERROR(INDEX(Materiales!$C$4:$C$484,MATCH("#"&amp;$B130,Materiales!$K$4:$K$484,0)),"")</f>
        <v/>
      </c>
      <c r="E130" s="50" t="n"/>
      <c r="F130" s="55" t="n"/>
      <c r="G130" s="56" t="n"/>
      <c r="H130" s="53">
        <f>IF($B130="",0,$E130*SUMIF(Plan!$M$5:$M$24,"#"&amp;$A130,Plan!E$5:E$24))</f>
        <v/>
      </c>
      <c r="I130" s="53">
        <f>IF($B130="",0,$E130*SUMIF(Plan!$M$5:$M$24,"#"&amp;$A130,Plan!F$5:F$24))</f>
        <v/>
      </c>
      <c r="J130" s="53">
        <f>IF($B130="",0,$E130*SUMIF(Plan!$M$5:$M$24,"#"&amp;$A130,Plan!G$5:G$24))</f>
        <v/>
      </c>
      <c r="K130" s="53">
        <f>IF($B130="",0,$E130*SUMIF(Plan!$M$5:$M$24,"#"&amp;$A130,Plan!H$5:H$24))</f>
        <v/>
      </c>
      <c r="L130" s="53">
        <f>IF($B130="",0,$E130*SUMIF(Plan!$M$5:$M$24,"#"&amp;$A130,Plan!I$5:I$24))</f>
        <v/>
      </c>
      <c r="M130" s="53">
        <f>IF($B130="",0,$E130*SUMIF(Plan!$M$5:$M$24,"#"&amp;$A130,Plan!J$5:J$24))</f>
        <v/>
      </c>
      <c r="N130" s="53">
        <f>IF($B130="",0,$E130*SUMIF(Plan!$M$5:$M$24,"#"&amp;$A130,Plan!K$5:K$24))</f>
        <v/>
      </c>
      <c r="O130" s="53">
        <f>IF($B130="",0,$E130*SUMIF(Plan!$M$5:$M$24,"#"&amp;$A130,Plan!L$5:L$24))</f>
        <v/>
      </c>
      <c r="P130" s="35">
        <f>IF(B130="","","#"&amp;B130)</f>
        <v/>
      </c>
      <c r="Q130" s="35">
        <f>IF(A130="","","#"&amp;A130)</f>
        <v/>
      </c>
    </row>
    <row r="131">
      <c r="A131" s="46" t="inlineStr">
        <is>
          <t>ESCM 4410</t>
        </is>
      </c>
      <c r="B131" s="55" t="n"/>
      <c r="C131" s="48">
        <f>IFERROR(INDEX(Materiales!$B$4:$B$484,MATCH("#"&amp;$B131,Materiales!$K$4:$K$484,0)),"")</f>
        <v/>
      </c>
      <c r="D131" s="49">
        <f>IFERROR(INDEX(Materiales!$C$4:$C$484,MATCH("#"&amp;$B131,Materiales!$K$4:$K$484,0)),"")</f>
        <v/>
      </c>
      <c r="E131" s="50" t="n"/>
      <c r="F131" s="55" t="n"/>
      <c r="G131" s="56" t="n"/>
      <c r="H131" s="53">
        <f>IF($B131="",0,$E131*SUMIF(Plan!$M$5:$M$24,"#"&amp;$A131,Plan!E$5:E$24))</f>
        <v/>
      </c>
      <c r="I131" s="53">
        <f>IF($B131="",0,$E131*SUMIF(Plan!$M$5:$M$24,"#"&amp;$A131,Plan!F$5:F$24))</f>
        <v/>
      </c>
      <c r="J131" s="53">
        <f>IF($B131="",0,$E131*SUMIF(Plan!$M$5:$M$24,"#"&amp;$A131,Plan!G$5:G$24))</f>
        <v/>
      </c>
      <c r="K131" s="53">
        <f>IF($B131="",0,$E131*SUMIF(Plan!$M$5:$M$24,"#"&amp;$A131,Plan!H$5:H$24))</f>
        <v/>
      </c>
      <c r="L131" s="53">
        <f>IF($B131="",0,$E131*SUMIF(Plan!$M$5:$M$24,"#"&amp;$A131,Plan!I$5:I$24))</f>
        <v/>
      </c>
      <c r="M131" s="53">
        <f>IF($B131="",0,$E131*SUMIF(Plan!$M$5:$M$24,"#"&amp;$A131,Plan!J$5:J$24))</f>
        <v/>
      </c>
      <c r="N131" s="53">
        <f>IF($B131="",0,$E131*SUMIF(Plan!$M$5:$M$24,"#"&amp;$A131,Plan!K$5:K$24))</f>
        <v/>
      </c>
      <c r="O131" s="53">
        <f>IF($B131="",0,$E131*SUMIF(Plan!$M$5:$M$24,"#"&amp;$A131,Plan!L$5:L$24))</f>
        <v/>
      </c>
      <c r="P131" s="35">
        <f>IF(B131="","","#"&amp;B131)</f>
        <v/>
      </c>
      <c r="Q131" s="35">
        <f>IF(A131="","","#"&amp;A131)</f>
        <v/>
      </c>
    </row>
    <row r="132">
      <c r="A132" s="46" t="inlineStr">
        <is>
          <t>ESCM 4410</t>
        </is>
      </c>
      <c r="B132" s="55" t="n"/>
      <c r="C132" s="48">
        <f>IFERROR(INDEX(Materiales!$B$4:$B$484,MATCH("#"&amp;$B132,Materiales!$K$4:$K$484,0)),"")</f>
        <v/>
      </c>
      <c r="D132" s="49">
        <f>IFERROR(INDEX(Materiales!$C$4:$C$484,MATCH("#"&amp;$B132,Materiales!$K$4:$K$484,0)),"")</f>
        <v/>
      </c>
      <c r="E132" s="50" t="n"/>
      <c r="F132" s="55" t="n"/>
      <c r="G132" s="56" t="n"/>
      <c r="H132" s="53">
        <f>IF($B132="",0,$E132*SUMIF(Plan!$M$5:$M$24,"#"&amp;$A132,Plan!E$5:E$24))</f>
        <v/>
      </c>
      <c r="I132" s="53">
        <f>IF($B132="",0,$E132*SUMIF(Plan!$M$5:$M$24,"#"&amp;$A132,Plan!F$5:F$24))</f>
        <v/>
      </c>
      <c r="J132" s="53">
        <f>IF($B132="",0,$E132*SUMIF(Plan!$M$5:$M$24,"#"&amp;$A132,Plan!G$5:G$24))</f>
        <v/>
      </c>
      <c r="K132" s="53">
        <f>IF($B132="",0,$E132*SUMIF(Plan!$M$5:$M$24,"#"&amp;$A132,Plan!H$5:H$24))</f>
        <v/>
      </c>
      <c r="L132" s="53">
        <f>IF($B132="",0,$E132*SUMIF(Plan!$M$5:$M$24,"#"&amp;$A132,Plan!I$5:I$24))</f>
        <v/>
      </c>
      <c r="M132" s="53">
        <f>IF($B132="",0,$E132*SUMIF(Plan!$M$5:$M$24,"#"&amp;$A132,Plan!J$5:J$24))</f>
        <v/>
      </c>
      <c r="N132" s="53">
        <f>IF($B132="",0,$E132*SUMIF(Plan!$M$5:$M$24,"#"&amp;$A132,Plan!K$5:K$24))</f>
        <v/>
      </c>
      <c r="O132" s="53">
        <f>IF($B132="",0,$E132*SUMIF(Plan!$M$5:$M$24,"#"&amp;$A132,Plan!L$5:L$24))</f>
        <v/>
      </c>
      <c r="P132" s="35">
        <f>IF(B132="","","#"&amp;B132)</f>
        <v/>
      </c>
      <c r="Q132" s="35">
        <f>IF(A132="","","#"&amp;A132)</f>
        <v/>
      </c>
    </row>
    <row r="133">
      <c r="A133" s="46" t="inlineStr">
        <is>
          <t>ESCM 4410</t>
        </is>
      </c>
      <c r="B133" s="55" t="n"/>
      <c r="C133" s="48">
        <f>IFERROR(INDEX(Materiales!$B$4:$B$484,MATCH("#"&amp;$B133,Materiales!$K$4:$K$484,0)),"")</f>
        <v/>
      </c>
      <c r="D133" s="49">
        <f>IFERROR(INDEX(Materiales!$C$4:$C$484,MATCH("#"&amp;$B133,Materiales!$K$4:$K$484,0)),"")</f>
        <v/>
      </c>
      <c r="E133" s="50" t="n"/>
      <c r="F133" s="55" t="n"/>
      <c r="G133" s="56" t="n"/>
      <c r="H133" s="53">
        <f>IF($B133="",0,$E133*SUMIF(Plan!$M$5:$M$24,"#"&amp;$A133,Plan!E$5:E$24))</f>
        <v/>
      </c>
      <c r="I133" s="53">
        <f>IF($B133="",0,$E133*SUMIF(Plan!$M$5:$M$24,"#"&amp;$A133,Plan!F$5:F$24))</f>
        <v/>
      </c>
      <c r="J133" s="53">
        <f>IF($B133="",0,$E133*SUMIF(Plan!$M$5:$M$24,"#"&amp;$A133,Plan!G$5:G$24))</f>
        <v/>
      </c>
      <c r="K133" s="53">
        <f>IF($B133="",0,$E133*SUMIF(Plan!$M$5:$M$24,"#"&amp;$A133,Plan!H$5:H$24))</f>
        <v/>
      </c>
      <c r="L133" s="53">
        <f>IF($B133="",0,$E133*SUMIF(Plan!$M$5:$M$24,"#"&amp;$A133,Plan!I$5:I$24))</f>
        <v/>
      </c>
      <c r="M133" s="53">
        <f>IF($B133="",0,$E133*SUMIF(Plan!$M$5:$M$24,"#"&amp;$A133,Plan!J$5:J$24))</f>
        <v/>
      </c>
      <c r="N133" s="53">
        <f>IF($B133="",0,$E133*SUMIF(Plan!$M$5:$M$24,"#"&amp;$A133,Plan!K$5:K$24))</f>
        <v/>
      </c>
      <c r="O133" s="53">
        <f>IF($B133="",0,$E133*SUMIF(Plan!$M$5:$M$24,"#"&amp;$A133,Plan!L$5:L$24))</f>
        <v/>
      </c>
      <c r="P133" s="35">
        <f>IF(B133="","","#"&amp;B133)</f>
        <v/>
      </c>
      <c r="Q133" s="35">
        <f>IF(A133="","","#"&amp;A133)</f>
        <v/>
      </c>
    </row>
    <row r="134">
      <c r="A134" s="46" t="inlineStr">
        <is>
          <t>ESCM 4410</t>
        </is>
      </c>
      <c r="B134" s="55" t="n"/>
      <c r="C134" s="48">
        <f>IFERROR(INDEX(Materiales!$B$4:$B$484,MATCH("#"&amp;$B134,Materiales!$K$4:$K$484,0)),"")</f>
        <v/>
      </c>
      <c r="D134" s="49">
        <f>IFERROR(INDEX(Materiales!$C$4:$C$484,MATCH("#"&amp;$B134,Materiales!$K$4:$K$484,0)),"")</f>
        <v/>
      </c>
      <c r="E134" s="50" t="n"/>
      <c r="F134" s="55" t="n"/>
      <c r="G134" s="56" t="n"/>
      <c r="H134" s="53">
        <f>IF($B134="",0,$E134*SUMIF(Plan!$M$5:$M$24,"#"&amp;$A134,Plan!E$5:E$24))</f>
        <v/>
      </c>
      <c r="I134" s="53">
        <f>IF($B134="",0,$E134*SUMIF(Plan!$M$5:$M$24,"#"&amp;$A134,Plan!F$5:F$24))</f>
        <v/>
      </c>
      <c r="J134" s="53">
        <f>IF($B134="",0,$E134*SUMIF(Plan!$M$5:$M$24,"#"&amp;$A134,Plan!G$5:G$24))</f>
        <v/>
      </c>
      <c r="K134" s="53">
        <f>IF($B134="",0,$E134*SUMIF(Plan!$M$5:$M$24,"#"&amp;$A134,Plan!H$5:H$24))</f>
        <v/>
      </c>
      <c r="L134" s="53">
        <f>IF($B134="",0,$E134*SUMIF(Plan!$M$5:$M$24,"#"&amp;$A134,Plan!I$5:I$24))</f>
        <v/>
      </c>
      <c r="M134" s="53">
        <f>IF($B134="",0,$E134*SUMIF(Plan!$M$5:$M$24,"#"&amp;$A134,Plan!J$5:J$24))</f>
        <v/>
      </c>
      <c r="N134" s="53">
        <f>IF($B134="",0,$E134*SUMIF(Plan!$M$5:$M$24,"#"&amp;$A134,Plan!K$5:K$24))</f>
        <v/>
      </c>
      <c r="O134" s="53">
        <f>IF($B134="",0,$E134*SUMIF(Plan!$M$5:$M$24,"#"&amp;$A134,Plan!L$5:L$24))</f>
        <v/>
      </c>
      <c r="P134" s="35">
        <f>IF(B134="","","#"&amp;B134)</f>
        <v/>
      </c>
      <c r="Q134" s="35">
        <f>IF(A134="","","#"&amp;A134)</f>
        <v/>
      </c>
    </row>
    <row r="135">
      <c r="A135" s="46" t="inlineStr">
        <is>
          <t>ESCM 4410</t>
        </is>
      </c>
      <c r="B135" s="55" t="n"/>
      <c r="C135" s="48">
        <f>IFERROR(INDEX(Materiales!$B$4:$B$484,MATCH("#"&amp;$B135,Materiales!$K$4:$K$484,0)),"")</f>
        <v/>
      </c>
      <c r="D135" s="49">
        <f>IFERROR(INDEX(Materiales!$C$4:$C$484,MATCH("#"&amp;$B135,Materiales!$K$4:$K$484,0)),"")</f>
        <v/>
      </c>
      <c r="E135" s="50" t="n"/>
      <c r="F135" s="55" t="n"/>
      <c r="G135" s="56" t="n"/>
      <c r="H135" s="53">
        <f>IF($B135="",0,$E135*SUMIF(Plan!$M$5:$M$24,"#"&amp;$A135,Plan!E$5:E$24))</f>
        <v/>
      </c>
      <c r="I135" s="53">
        <f>IF($B135="",0,$E135*SUMIF(Plan!$M$5:$M$24,"#"&amp;$A135,Plan!F$5:F$24))</f>
        <v/>
      </c>
      <c r="J135" s="53">
        <f>IF($B135="",0,$E135*SUMIF(Plan!$M$5:$M$24,"#"&amp;$A135,Plan!G$5:G$24))</f>
        <v/>
      </c>
      <c r="K135" s="53">
        <f>IF($B135="",0,$E135*SUMIF(Plan!$M$5:$M$24,"#"&amp;$A135,Plan!H$5:H$24))</f>
        <v/>
      </c>
      <c r="L135" s="53">
        <f>IF($B135="",0,$E135*SUMIF(Plan!$M$5:$M$24,"#"&amp;$A135,Plan!I$5:I$24))</f>
        <v/>
      </c>
      <c r="M135" s="53">
        <f>IF($B135="",0,$E135*SUMIF(Plan!$M$5:$M$24,"#"&amp;$A135,Plan!J$5:J$24))</f>
        <v/>
      </c>
      <c r="N135" s="53">
        <f>IF($B135="",0,$E135*SUMIF(Plan!$M$5:$M$24,"#"&amp;$A135,Plan!K$5:K$24))</f>
        <v/>
      </c>
      <c r="O135" s="53">
        <f>IF($B135="",0,$E135*SUMIF(Plan!$M$5:$M$24,"#"&amp;$A135,Plan!L$5:L$24))</f>
        <v/>
      </c>
      <c r="P135" s="35">
        <f>IF(B135="","","#"&amp;B135)</f>
        <v/>
      </c>
      <c r="Q135" s="35">
        <f>IF(A135="","","#"&amp;A135)</f>
        <v/>
      </c>
    </row>
    <row r="136">
      <c r="A136" s="46" t="inlineStr">
        <is>
          <t>ESCM 4410</t>
        </is>
      </c>
      <c r="B136" s="55" t="n"/>
      <c r="C136" s="48">
        <f>IFERROR(INDEX(Materiales!$B$4:$B$484,MATCH("#"&amp;$B136,Materiales!$K$4:$K$484,0)),"")</f>
        <v/>
      </c>
      <c r="D136" s="49">
        <f>IFERROR(INDEX(Materiales!$C$4:$C$484,MATCH("#"&amp;$B136,Materiales!$K$4:$K$484,0)),"")</f>
        <v/>
      </c>
      <c r="E136" s="50" t="n"/>
      <c r="F136" s="55" t="n"/>
      <c r="G136" s="56" t="n"/>
      <c r="H136" s="53">
        <f>IF($B136="",0,$E136*SUMIF(Plan!$M$5:$M$24,"#"&amp;$A136,Plan!E$5:E$24))</f>
        <v/>
      </c>
      <c r="I136" s="53">
        <f>IF($B136="",0,$E136*SUMIF(Plan!$M$5:$M$24,"#"&amp;$A136,Plan!F$5:F$24))</f>
        <v/>
      </c>
      <c r="J136" s="53">
        <f>IF($B136="",0,$E136*SUMIF(Plan!$M$5:$M$24,"#"&amp;$A136,Plan!G$5:G$24))</f>
        <v/>
      </c>
      <c r="K136" s="53">
        <f>IF($B136="",0,$E136*SUMIF(Plan!$M$5:$M$24,"#"&amp;$A136,Plan!H$5:H$24))</f>
        <v/>
      </c>
      <c r="L136" s="53">
        <f>IF($B136="",0,$E136*SUMIF(Plan!$M$5:$M$24,"#"&amp;$A136,Plan!I$5:I$24))</f>
        <v/>
      </c>
      <c r="M136" s="53">
        <f>IF($B136="",0,$E136*SUMIF(Plan!$M$5:$M$24,"#"&amp;$A136,Plan!J$5:J$24))</f>
        <v/>
      </c>
      <c r="N136" s="53">
        <f>IF($B136="",0,$E136*SUMIF(Plan!$M$5:$M$24,"#"&amp;$A136,Plan!K$5:K$24))</f>
        <v/>
      </c>
      <c r="O136" s="53">
        <f>IF($B136="",0,$E136*SUMIF(Plan!$M$5:$M$24,"#"&amp;$A136,Plan!L$5:L$24))</f>
        <v/>
      </c>
      <c r="P136" s="35">
        <f>IF(B136="","","#"&amp;B136)</f>
        <v/>
      </c>
      <c r="Q136" s="35">
        <f>IF(A136="","","#"&amp;A136)</f>
        <v/>
      </c>
    </row>
    <row r="137">
      <c r="A137" s="46" t="inlineStr">
        <is>
          <t>ESCM 4410</t>
        </is>
      </c>
      <c r="B137" s="55" t="n"/>
      <c r="C137" s="48">
        <f>IFERROR(INDEX(Materiales!$B$4:$B$484,MATCH("#"&amp;$B137,Materiales!$K$4:$K$484,0)),"")</f>
        <v/>
      </c>
      <c r="D137" s="49">
        <f>IFERROR(INDEX(Materiales!$C$4:$C$484,MATCH("#"&amp;$B137,Materiales!$K$4:$K$484,0)),"")</f>
        <v/>
      </c>
      <c r="E137" s="50" t="n"/>
      <c r="F137" s="55" t="n"/>
      <c r="G137" s="56" t="n"/>
      <c r="H137" s="53">
        <f>IF($B137="",0,$E137*SUMIF(Plan!$M$5:$M$24,"#"&amp;$A137,Plan!E$5:E$24))</f>
        <v/>
      </c>
      <c r="I137" s="53">
        <f>IF($B137="",0,$E137*SUMIF(Plan!$M$5:$M$24,"#"&amp;$A137,Plan!F$5:F$24))</f>
        <v/>
      </c>
      <c r="J137" s="53">
        <f>IF($B137="",0,$E137*SUMIF(Plan!$M$5:$M$24,"#"&amp;$A137,Plan!G$5:G$24))</f>
        <v/>
      </c>
      <c r="K137" s="53">
        <f>IF($B137="",0,$E137*SUMIF(Plan!$M$5:$M$24,"#"&amp;$A137,Plan!H$5:H$24))</f>
        <v/>
      </c>
      <c r="L137" s="53">
        <f>IF($B137="",0,$E137*SUMIF(Plan!$M$5:$M$24,"#"&amp;$A137,Plan!I$5:I$24))</f>
        <v/>
      </c>
      <c r="M137" s="53">
        <f>IF($B137="",0,$E137*SUMIF(Plan!$M$5:$M$24,"#"&amp;$A137,Plan!J$5:J$24))</f>
        <v/>
      </c>
      <c r="N137" s="53">
        <f>IF($B137="",0,$E137*SUMIF(Plan!$M$5:$M$24,"#"&amp;$A137,Plan!K$5:K$24))</f>
        <v/>
      </c>
      <c r="O137" s="53">
        <f>IF($B137="",0,$E137*SUMIF(Plan!$M$5:$M$24,"#"&amp;$A137,Plan!L$5:L$24))</f>
        <v/>
      </c>
      <c r="P137" s="35">
        <f>IF(B137="","","#"&amp;B137)</f>
        <v/>
      </c>
      <c r="Q137" s="35">
        <f>IF(A137="","","#"&amp;A137)</f>
        <v/>
      </c>
    </row>
    <row r="138">
      <c r="A138" s="46" t="inlineStr">
        <is>
          <t>ESCM 4410</t>
        </is>
      </c>
      <c r="B138" s="55" t="n"/>
      <c r="C138" s="48">
        <f>IFERROR(INDEX(Materiales!$B$4:$B$484,MATCH("#"&amp;$B138,Materiales!$K$4:$K$484,0)),"")</f>
        <v/>
      </c>
      <c r="D138" s="49">
        <f>IFERROR(INDEX(Materiales!$C$4:$C$484,MATCH("#"&amp;$B138,Materiales!$K$4:$K$484,0)),"")</f>
        <v/>
      </c>
      <c r="E138" s="50" t="n"/>
      <c r="F138" s="55" t="n"/>
      <c r="G138" s="56" t="n"/>
      <c r="H138" s="53">
        <f>IF($B138="",0,$E138*SUMIF(Plan!$M$5:$M$24,"#"&amp;$A138,Plan!E$5:E$24))</f>
        <v/>
      </c>
      <c r="I138" s="53">
        <f>IF($B138="",0,$E138*SUMIF(Plan!$M$5:$M$24,"#"&amp;$A138,Plan!F$5:F$24))</f>
        <v/>
      </c>
      <c r="J138" s="53">
        <f>IF($B138="",0,$E138*SUMIF(Plan!$M$5:$M$24,"#"&amp;$A138,Plan!G$5:G$24))</f>
        <v/>
      </c>
      <c r="K138" s="53">
        <f>IF($B138="",0,$E138*SUMIF(Plan!$M$5:$M$24,"#"&amp;$A138,Plan!H$5:H$24))</f>
        <v/>
      </c>
      <c r="L138" s="53">
        <f>IF($B138="",0,$E138*SUMIF(Plan!$M$5:$M$24,"#"&amp;$A138,Plan!I$5:I$24))</f>
        <v/>
      </c>
      <c r="M138" s="53">
        <f>IF($B138="",0,$E138*SUMIF(Plan!$M$5:$M$24,"#"&amp;$A138,Plan!J$5:J$24))</f>
        <v/>
      </c>
      <c r="N138" s="53">
        <f>IF($B138="",0,$E138*SUMIF(Plan!$M$5:$M$24,"#"&amp;$A138,Plan!K$5:K$24))</f>
        <v/>
      </c>
      <c r="O138" s="53">
        <f>IF($B138="",0,$E138*SUMIF(Plan!$M$5:$M$24,"#"&amp;$A138,Plan!L$5:L$24))</f>
        <v/>
      </c>
      <c r="P138" s="35">
        <f>IF(B138="","","#"&amp;B138)</f>
        <v/>
      </c>
      <c r="Q138" s="35">
        <f>IF(A138="","","#"&amp;A138)</f>
        <v/>
      </c>
    </row>
    <row r="139">
      <c r="A139" s="46" t="inlineStr">
        <is>
          <t>ESCM 4410</t>
        </is>
      </c>
      <c r="B139" s="55" t="n"/>
      <c r="C139" s="48">
        <f>IFERROR(INDEX(Materiales!$B$4:$B$484,MATCH("#"&amp;$B139,Materiales!$K$4:$K$484,0)),"")</f>
        <v/>
      </c>
      <c r="D139" s="49">
        <f>IFERROR(INDEX(Materiales!$C$4:$C$484,MATCH("#"&amp;$B139,Materiales!$K$4:$K$484,0)),"")</f>
        <v/>
      </c>
      <c r="E139" s="50" t="n"/>
      <c r="F139" s="55" t="n"/>
      <c r="G139" s="56" t="n"/>
      <c r="H139" s="53">
        <f>IF($B139="",0,$E139*SUMIF(Plan!$M$5:$M$24,"#"&amp;$A139,Plan!E$5:E$24))</f>
        <v/>
      </c>
      <c r="I139" s="53">
        <f>IF($B139="",0,$E139*SUMIF(Plan!$M$5:$M$24,"#"&amp;$A139,Plan!F$5:F$24))</f>
        <v/>
      </c>
      <c r="J139" s="53">
        <f>IF($B139="",0,$E139*SUMIF(Plan!$M$5:$M$24,"#"&amp;$A139,Plan!G$5:G$24))</f>
        <v/>
      </c>
      <c r="K139" s="53">
        <f>IF($B139="",0,$E139*SUMIF(Plan!$M$5:$M$24,"#"&amp;$A139,Plan!H$5:H$24))</f>
        <v/>
      </c>
      <c r="L139" s="53">
        <f>IF($B139="",0,$E139*SUMIF(Plan!$M$5:$M$24,"#"&amp;$A139,Plan!I$5:I$24))</f>
        <v/>
      </c>
      <c r="M139" s="53">
        <f>IF($B139="",0,$E139*SUMIF(Plan!$M$5:$M$24,"#"&amp;$A139,Plan!J$5:J$24))</f>
        <v/>
      </c>
      <c r="N139" s="53">
        <f>IF($B139="",0,$E139*SUMIF(Plan!$M$5:$M$24,"#"&amp;$A139,Plan!K$5:K$24))</f>
        <v/>
      </c>
      <c r="O139" s="53">
        <f>IF($B139="",0,$E139*SUMIF(Plan!$M$5:$M$24,"#"&amp;$A139,Plan!L$5:L$24))</f>
        <v/>
      </c>
      <c r="P139" s="35">
        <f>IF(B139="","","#"&amp;B139)</f>
        <v/>
      </c>
      <c r="Q139" s="35">
        <f>IF(A139="","","#"&amp;A139)</f>
        <v/>
      </c>
    </row>
    <row r="140">
      <c r="A140" s="46" t="inlineStr">
        <is>
          <t>ESCM 4410</t>
        </is>
      </c>
      <c r="B140" s="55" t="n"/>
      <c r="C140" s="48">
        <f>IFERROR(INDEX(Materiales!$B$4:$B$484,MATCH("#"&amp;$B140,Materiales!$K$4:$K$484,0)),"")</f>
        <v/>
      </c>
      <c r="D140" s="49">
        <f>IFERROR(INDEX(Materiales!$C$4:$C$484,MATCH("#"&amp;$B140,Materiales!$K$4:$K$484,0)),"")</f>
        <v/>
      </c>
      <c r="E140" s="50" t="n"/>
      <c r="F140" s="55" t="n"/>
      <c r="G140" s="56" t="n"/>
      <c r="H140" s="53">
        <f>IF($B140="",0,$E140*SUMIF(Plan!$M$5:$M$24,"#"&amp;$A140,Plan!E$5:E$24))</f>
        <v/>
      </c>
      <c r="I140" s="53">
        <f>IF($B140="",0,$E140*SUMIF(Plan!$M$5:$M$24,"#"&amp;$A140,Plan!F$5:F$24))</f>
        <v/>
      </c>
      <c r="J140" s="53">
        <f>IF($B140="",0,$E140*SUMIF(Plan!$M$5:$M$24,"#"&amp;$A140,Plan!G$5:G$24))</f>
        <v/>
      </c>
      <c r="K140" s="53">
        <f>IF($B140="",0,$E140*SUMIF(Plan!$M$5:$M$24,"#"&amp;$A140,Plan!H$5:H$24))</f>
        <v/>
      </c>
      <c r="L140" s="53">
        <f>IF($B140="",0,$E140*SUMIF(Plan!$M$5:$M$24,"#"&amp;$A140,Plan!I$5:I$24))</f>
        <v/>
      </c>
      <c r="M140" s="53">
        <f>IF($B140="",0,$E140*SUMIF(Plan!$M$5:$M$24,"#"&amp;$A140,Plan!J$5:J$24))</f>
        <v/>
      </c>
      <c r="N140" s="53">
        <f>IF($B140="",0,$E140*SUMIF(Plan!$M$5:$M$24,"#"&amp;$A140,Plan!K$5:K$24))</f>
        <v/>
      </c>
      <c r="O140" s="53">
        <f>IF($B140="",0,$E140*SUMIF(Plan!$M$5:$M$24,"#"&amp;$A140,Plan!L$5:L$24))</f>
        <v/>
      </c>
      <c r="P140" s="35">
        <f>IF(B140="","","#"&amp;B140)</f>
        <v/>
      </c>
      <c r="Q140" s="35">
        <f>IF(A140="","","#"&amp;A140)</f>
        <v/>
      </c>
    </row>
    <row r="141">
      <c r="A141" s="46" t="inlineStr">
        <is>
          <t>ESCM 4410</t>
        </is>
      </c>
      <c r="B141" s="55" t="n"/>
      <c r="C141" s="48">
        <f>IFERROR(INDEX(Materiales!$B$4:$B$484,MATCH("#"&amp;$B141,Materiales!$K$4:$K$484,0)),"")</f>
        <v/>
      </c>
      <c r="D141" s="49">
        <f>IFERROR(INDEX(Materiales!$C$4:$C$484,MATCH("#"&amp;$B141,Materiales!$K$4:$K$484,0)),"")</f>
        <v/>
      </c>
      <c r="E141" s="50" t="n"/>
      <c r="F141" s="55" t="n"/>
      <c r="G141" s="56" t="n"/>
      <c r="H141" s="53">
        <f>IF($B141="",0,$E141*SUMIF(Plan!$M$5:$M$24,"#"&amp;$A141,Plan!E$5:E$24))</f>
        <v/>
      </c>
      <c r="I141" s="53">
        <f>IF($B141="",0,$E141*SUMIF(Plan!$M$5:$M$24,"#"&amp;$A141,Plan!F$5:F$24))</f>
        <v/>
      </c>
      <c r="J141" s="53">
        <f>IF($B141="",0,$E141*SUMIF(Plan!$M$5:$M$24,"#"&amp;$A141,Plan!G$5:G$24))</f>
        <v/>
      </c>
      <c r="K141" s="53">
        <f>IF($B141="",0,$E141*SUMIF(Plan!$M$5:$M$24,"#"&amp;$A141,Plan!H$5:H$24))</f>
        <v/>
      </c>
      <c r="L141" s="53">
        <f>IF($B141="",0,$E141*SUMIF(Plan!$M$5:$M$24,"#"&amp;$A141,Plan!I$5:I$24))</f>
        <v/>
      </c>
      <c r="M141" s="53">
        <f>IF($B141="",0,$E141*SUMIF(Plan!$M$5:$M$24,"#"&amp;$A141,Plan!J$5:J$24))</f>
        <v/>
      </c>
      <c r="N141" s="53">
        <f>IF($B141="",0,$E141*SUMIF(Plan!$M$5:$M$24,"#"&amp;$A141,Plan!K$5:K$24))</f>
        <v/>
      </c>
      <c r="O141" s="53">
        <f>IF($B141="",0,$E141*SUMIF(Plan!$M$5:$M$24,"#"&amp;$A141,Plan!L$5:L$24))</f>
        <v/>
      </c>
      <c r="P141" s="35">
        <f>IF(B141="","","#"&amp;B141)</f>
        <v/>
      </c>
      <c r="Q141" s="35">
        <f>IF(A141="","","#"&amp;A141)</f>
        <v/>
      </c>
    </row>
    <row r="142">
      <c r="A142" s="46" t="inlineStr">
        <is>
          <t>ESCM 4410</t>
        </is>
      </c>
      <c r="B142" s="55" t="n"/>
      <c r="C142" s="48">
        <f>IFERROR(INDEX(Materiales!$B$4:$B$484,MATCH("#"&amp;$B142,Materiales!$K$4:$K$484,0)),"")</f>
        <v/>
      </c>
      <c r="D142" s="49">
        <f>IFERROR(INDEX(Materiales!$C$4:$C$484,MATCH("#"&amp;$B142,Materiales!$K$4:$K$484,0)),"")</f>
        <v/>
      </c>
      <c r="E142" s="50" t="n"/>
      <c r="F142" s="55" t="n"/>
      <c r="G142" s="56" t="n"/>
      <c r="H142" s="53">
        <f>IF($B142="",0,$E142*SUMIF(Plan!$M$5:$M$24,"#"&amp;$A142,Plan!E$5:E$24))</f>
        <v/>
      </c>
      <c r="I142" s="53">
        <f>IF($B142="",0,$E142*SUMIF(Plan!$M$5:$M$24,"#"&amp;$A142,Plan!F$5:F$24))</f>
        <v/>
      </c>
      <c r="J142" s="53">
        <f>IF($B142="",0,$E142*SUMIF(Plan!$M$5:$M$24,"#"&amp;$A142,Plan!G$5:G$24))</f>
        <v/>
      </c>
      <c r="K142" s="53">
        <f>IF($B142="",0,$E142*SUMIF(Plan!$M$5:$M$24,"#"&amp;$A142,Plan!H$5:H$24))</f>
        <v/>
      </c>
      <c r="L142" s="53">
        <f>IF($B142="",0,$E142*SUMIF(Plan!$M$5:$M$24,"#"&amp;$A142,Plan!I$5:I$24))</f>
        <v/>
      </c>
      <c r="M142" s="53">
        <f>IF($B142="",0,$E142*SUMIF(Plan!$M$5:$M$24,"#"&amp;$A142,Plan!J$5:J$24))</f>
        <v/>
      </c>
      <c r="N142" s="53">
        <f>IF($B142="",0,$E142*SUMIF(Plan!$M$5:$M$24,"#"&amp;$A142,Plan!K$5:K$24))</f>
        <v/>
      </c>
      <c r="O142" s="53">
        <f>IF($B142="",0,$E142*SUMIF(Plan!$M$5:$M$24,"#"&amp;$A142,Plan!L$5:L$24))</f>
        <v/>
      </c>
      <c r="P142" s="35">
        <f>IF(B142="","","#"&amp;B142)</f>
        <v/>
      </c>
      <c r="Q142" s="35">
        <f>IF(A142="","","#"&amp;A142)</f>
        <v/>
      </c>
    </row>
    <row r="143">
      <c r="A143" s="46" t="inlineStr">
        <is>
          <t>ESCM 4410</t>
        </is>
      </c>
      <c r="B143" s="55" t="n"/>
      <c r="C143" s="48">
        <f>IFERROR(INDEX(Materiales!$B$4:$B$484,MATCH("#"&amp;$B143,Materiales!$K$4:$K$484,0)),"")</f>
        <v/>
      </c>
      <c r="D143" s="49">
        <f>IFERROR(INDEX(Materiales!$C$4:$C$484,MATCH("#"&amp;$B143,Materiales!$K$4:$K$484,0)),"")</f>
        <v/>
      </c>
      <c r="E143" s="50" t="n"/>
      <c r="F143" s="55" t="n"/>
      <c r="G143" s="56" t="n"/>
      <c r="H143" s="53">
        <f>IF($B143="",0,$E143*SUMIF(Plan!$M$5:$M$24,"#"&amp;$A143,Plan!E$5:E$24))</f>
        <v/>
      </c>
      <c r="I143" s="53">
        <f>IF($B143="",0,$E143*SUMIF(Plan!$M$5:$M$24,"#"&amp;$A143,Plan!F$5:F$24))</f>
        <v/>
      </c>
      <c r="J143" s="53">
        <f>IF($B143="",0,$E143*SUMIF(Plan!$M$5:$M$24,"#"&amp;$A143,Plan!G$5:G$24))</f>
        <v/>
      </c>
      <c r="K143" s="53">
        <f>IF($B143="",0,$E143*SUMIF(Plan!$M$5:$M$24,"#"&amp;$A143,Plan!H$5:H$24))</f>
        <v/>
      </c>
      <c r="L143" s="53">
        <f>IF($B143="",0,$E143*SUMIF(Plan!$M$5:$M$24,"#"&amp;$A143,Plan!I$5:I$24))</f>
        <v/>
      </c>
      <c r="M143" s="53">
        <f>IF($B143="",0,$E143*SUMIF(Plan!$M$5:$M$24,"#"&amp;$A143,Plan!J$5:J$24))</f>
        <v/>
      </c>
      <c r="N143" s="53">
        <f>IF($B143="",0,$E143*SUMIF(Plan!$M$5:$M$24,"#"&amp;$A143,Plan!K$5:K$24))</f>
        <v/>
      </c>
      <c r="O143" s="53">
        <f>IF($B143="",0,$E143*SUMIF(Plan!$M$5:$M$24,"#"&amp;$A143,Plan!L$5:L$24))</f>
        <v/>
      </c>
      <c r="P143" s="35">
        <f>IF(B143="","","#"&amp;B143)</f>
        <v/>
      </c>
      <c r="Q143" s="35">
        <f>IF(A143="","","#"&amp;A143)</f>
        <v/>
      </c>
    </row>
    <row r="144">
      <c r="A144" s="46" t="inlineStr">
        <is>
          <t>ESCM 4410</t>
        </is>
      </c>
      <c r="B144" s="55" t="n"/>
      <c r="C144" s="48">
        <f>IFERROR(INDEX(Materiales!$B$4:$B$484,MATCH("#"&amp;$B144,Materiales!$K$4:$K$484,0)),"")</f>
        <v/>
      </c>
      <c r="D144" s="49">
        <f>IFERROR(INDEX(Materiales!$C$4:$C$484,MATCH("#"&amp;$B144,Materiales!$K$4:$K$484,0)),"")</f>
        <v/>
      </c>
      <c r="E144" s="50" t="n"/>
      <c r="F144" s="55" t="n"/>
      <c r="G144" s="56" t="n"/>
      <c r="H144" s="53">
        <f>IF($B144="",0,$E144*SUMIF(Plan!$M$5:$M$24,"#"&amp;$A144,Plan!E$5:E$24))</f>
        <v/>
      </c>
      <c r="I144" s="53">
        <f>IF($B144="",0,$E144*SUMIF(Plan!$M$5:$M$24,"#"&amp;$A144,Plan!F$5:F$24))</f>
        <v/>
      </c>
      <c r="J144" s="53">
        <f>IF($B144="",0,$E144*SUMIF(Plan!$M$5:$M$24,"#"&amp;$A144,Plan!G$5:G$24))</f>
        <v/>
      </c>
      <c r="K144" s="53">
        <f>IF($B144="",0,$E144*SUMIF(Plan!$M$5:$M$24,"#"&amp;$A144,Plan!H$5:H$24))</f>
        <v/>
      </c>
      <c r="L144" s="53">
        <f>IF($B144="",0,$E144*SUMIF(Plan!$M$5:$M$24,"#"&amp;$A144,Plan!I$5:I$24))</f>
        <v/>
      </c>
      <c r="M144" s="53">
        <f>IF($B144="",0,$E144*SUMIF(Plan!$M$5:$M$24,"#"&amp;$A144,Plan!J$5:J$24))</f>
        <v/>
      </c>
      <c r="N144" s="53">
        <f>IF($B144="",0,$E144*SUMIF(Plan!$M$5:$M$24,"#"&amp;$A144,Plan!K$5:K$24))</f>
        <v/>
      </c>
      <c r="O144" s="53">
        <f>IF($B144="",0,$E144*SUMIF(Plan!$M$5:$M$24,"#"&amp;$A144,Plan!L$5:L$24))</f>
        <v/>
      </c>
      <c r="P144" s="35">
        <f>IF(B144="","","#"&amp;B144)</f>
        <v/>
      </c>
      <c r="Q144" s="35">
        <f>IF(A144="","","#"&amp;A144)</f>
        <v/>
      </c>
    </row>
    <row r="145">
      <c r="A145" s="46" t="inlineStr">
        <is>
          <t>ESCM 4410</t>
        </is>
      </c>
      <c r="B145" s="55" t="n"/>
      <c r="C145" s="48">
        <f>IFERROR(INDEX(Materiales!$B$4:$B$484,MATCH("#"&amp;$B145,Materiales!$K$4:$K$484,0)),"")</f>
        <v/>
      </c>
      <c r="D145" s="49">
        <f>IFERROR(INDEX(Materiales!$C$4:$C$484,MATCH("#"&amp;$B145,Materiales!$K$4:$K$484,0)),"")</f>
        <v/>
      </c>
      <c r="E145" s="50" t="n"/>
      <c r="F145" s="55" t="n"/>
      <c r="G145" s="56" t="n"/>
      <c r="H145" s="53">
        <f>IF($B145="",0,$E145*SUMIF(Plan!$M$5:$M$24,"#"&amp;$A145,Plan!E$5:E$24))</f>
        <v/>
      </c>
      <c r="I145" s="53">
        <f>IF($B145="",0,$E145*SUMIF(Plan!$M$5:$M$24,"#"&amp;$A145,Plan!F$5:F$24))</f>
        <v/>
      </c>
      <c r="J145" s="53">
        <f>IF($B145="",0,$E145*SUMIF(Plan!$M$5:$M$24,"#"&amp;$A145,Plan!G$5:G$24))</f>
        <v/>
      </c>
      <c r="K145" s="53">
        <f>IF($B145="",0,$E145*SUMIF(Plan!$M$5:$M$24,"#"&amp;$A145,Plan!H$5:H$24))</f>
        <v/>
      </c>
      <c r="L145" s="53">
        <f>IF($B145="",0,$E145*SUMIF(Plan!$M$5:$M$24,"#"&amp;$A145,Plan!I$5:I$24))</f>
        <v/>
      </c>
      <c r="M145" s="53">
        <f>IF($B145="",0,$E145*SUMIF(Plan!$M$5:$M$24,"#"&amp;$A145,Plan!J$5:J$24))</f>
        <v/>
      </c>
      <c r="N145" s="53">
        <f>IF($B145="",0,$E145*SUMIF(Plan!$M$5:$M$24,"#"&amp;$A145,Plan!K$5:K$24))</f>
        <v/>
      </c>
      <c r="O145" s="53">
        <f>IF($B145="",0,$E145*SUMIF(Plan!$M$5:$M$24,"#"&amp;$A145,Plan!L$5:L$24))</f>
        <v/>
      </c>
      <c r="P145" s="35">
        <f>IF(B145="","","#"&amp;B145)</f>
        <v/>
      </c>
      <c r="Q145" s="35">
        <f>IF(A145="","","#"&amp;A145)</f>
        <v/>
      </c>
    </row>
    <row r="146">
      <c r="A146" s="46" t="inlineStr">
        <is>
          <t>ESCM 4410</t>
        </is>
      </c>
      <c r="B146" s="55" t="n"/>
      <c r="C146" s="48">
        <f>IFERROR(INDEX(Materiales!$B$4:$B$484,MATCH("#"&amp;$B146,Materiales!$K$4:$K$484,0)),"")</f>
        <v/>
      </c>
      <c r="D146" s="49">
        <f>IFERROR(INDEX(Materiales!$C$4:$C$484,MATCH("#"&amp;$B146,Materiales!$K$4:$K$484,0)),"")</f>
        <v/>
      </c>
      <c r="E146" s="50" t="n"/>
      <c r="F146" s="55" t="n"/>
      <c r="G146" s="56" t="n"/>
      <c r="H146" s="53">
        <f>IF($B146="",0,$E146*SUMIF(Plan!$M$5:$M$24,"#"&amp;$A146,Plan!E$5:E$24))</f>
        <v/>
      </c>
      <c r="I146" s="53">
        <f>IF($B146="",0,$E146*SUMIF(Plan!$M$5:$M$24,"#"&amp;$A146,Plan!F$5:F$24))</f>
        <v/>
      </c>
      <c r="J146" s="53">
        <f>IF($B146="",0,$E146*SUMIF(Plan!$M$5:$M$24,"#"&amp;$A146,Plan!G$5:G$24))</f>
        <v/>
      </c>
      <c r="K146" s="53">
        <f>IF($B146="",0,$E146*SUMIF(Plan!$M$5:$M$24,"#"&amp;$A146,Plan!H$5:H$24))</f>
        <v/>
      </c>
      <c r="L146" s="53">
        <f>IF($B146="",0,$E146*SUMIF(Plan!$M$5:$M$24,"#"&amp;$A146,Plan!I$5:I$24))</f>
        <v/>
      </c>
      <c r="M146" s="53">
        <f>IF($B146="",0,$E146*SUMIF(Plan!$M$5:$M$24,"#"&amp;$A146,Plan!J$5:J$24))</f>
        <v/>
      </c>
      <c r="N146" s="53">
        <f>IF($B146="",0,$E146*SUMIF(Plan!$M$5:$M$24,"#"&amp;$A146,Plan!K$5:K$24))</f>
        <v/>
      </c>
      <c r="O146" s="53">
        <f>IF($B146="",0,$E146*SUMIF(Plan!$M$5:$M$24,"#"&amp;$A146,Plan!L$5:L$24))</f>
        <v/>
      </c>
      <c r="P146" s="35">
        <f>IF(B146="","","#"&amp;B146)</f>
        <v/>
      </c>
      <c r="Q146" s="35">
        <f>IF(A146="","","#"&amp;A146)</f>
        <v/>
      </c>
    </row>
    <row r="147">
      <c r="A147" s="46" t="inlineStr">
        <is>
          <t>ESCM 4410</t>
        </is>
      </c>
      <c r="B147" s="55" t="n"/>
      <c r="C147" s="48">
        <f>IFERROR(INDEX(Materiales!$B$4:$B$484,MATCH("#"&amp;$B147,Materiales!$K$4:$K$484,0)),"")</f>
        <v/>
      </c>
      <c r="D147" s="49">
        <f>IFERROR(INDEX(Materiales!$C$4:$C$484,MATCH("#"&amp;$B147,Materiales!$K$4:$K$484,0)),"")</f>
        <v/>
      </c>
      <c r="E147" s="50" t="n"/>
      <c r="F147" s="55" t="n"/>
      <c r="G147" s="56" t="n"/>
      <c r="H147" s="53">
        <f>IF($B147="",0,$E147*SUMIF(Plan!$M$5:$M$24,"#"&amp;$A147,Plan!E$5:E$24))</f>
        <v/>
      </c>
      <c r="I147" s="53">
        <f>IF($B147="",0,$E147*SUMIF(Plan!$M$5:$M$24,"#"&amp;$A147,Plan!F$5:F$24))</f>
        <v/>
      </c>
      <c r="J147" s="53">
        <f>IF($B147="",0,$E147*SUMIF(Plan!$M$5:$M$24,"#"&amp;$A147,Plan!G$5:G$24))</f>
        <v/>
      </c>
      <c r="K147" s="53">
        <f>IF($B147="",0,$E147*SUMIF(Plan!$M$5:$M$24,"#"&amp;$A147,Plan!H$5:H$24))</f>
        <v/>
      </c>
      <c r="L147" s="53">
        <f>IF($B147="",0,$E147*SUMIF(Plan!$M$5:$M$24,"#"&amp;$A147,Plan!I$5:I$24))</f>
        <v/>
      </c>
      <c r="M147" s="53">
        <f>IF($B147="",0,$E147*SUMIF(Plan!$M$5:$M$24,"#"&amp;$A147,Plan!J$5:J$24))</f>
        <v/>
      </c>
      <c r="N147" s="53">
        <f>IF($B147="",0,$E147*SUMIF(Plan!$M$5:$M$24,"#"&amp;$A147,Plan!K$5:K$24))</f>
        <v/>
      </c>
      <c r="O147" s="53">
        <f>IF($B147="",0,$E147*SUMIF(Plan!$M$5:$M$24,"#"&amp;$A147,Plan!L$5:L$24))</f>
        <v/>
      </c>
      <c r="P147" s="35">
        <f>IF(B147="","","#"&amp;B147)</f>
        <v/>
      </c>
      <c r="Q147" s="35">
        <f>IF(A147="","","#"&amp;A147)</f>
        <v/>
      </c>
    </row>
    <row r="148">
      <c r="A148" s="46" t="inlineStr">
        <is>
          <t>ESCM 4410</t>
        </is>
      </c>
      <c r="B148" s="55" t="n"/>
      <c r="C148" s="48">
        <f>IFERROR(INDEX(Materiales!$B$4:$B$484,MATCH("#"&amp;$B148,Materiales!$K$4:$K$484,0)),"")</f>
        <v/>
      </c>
      <c r="D148" s="49">
        <f>IFERROR(INDEX(Materiales!$C$4:$C$484,MATCH("#"&amp;$B148,Materiales!$K$4:$K$484,0)),"")</f>
        <v/>
      </c>
      <c r="E148" s="50" t="n"/>
      <c r="F148" s="55" t="n"/>
      <c r="G148" s="56" t="n"/>
      <c r="H148" s="53">
        <f>IF($B148="",0,$E148*SUMIF(Plan!$M$5:$M$24,"#"&amp;$A148,Plan!E$5:E$24))</f>
        <v/>
      </c>
      <c r="I148" s="53">
        <f>IF($B148="",0,$E148*SUMIF(Plan!$M$5:$M$24,"#"&amp;$A148,Plan!F$5:F$24))</f>
        <v/>
      </c>
      <c r="J148" s="53">
        <f>IF($B148="",0,$E148*SUMIF(Plan!$M$5:$M$24,"#"&amp;$A148,Plan!G$5:G$24))</f>
        <v/>
      </c>
      <c r="K148" s="53">
        <f>IF($B148="",0,$E148*SUMIF(Plan!$M$5:$M$24,"#"&amp;$A148,Plan!H$5:H$24))</f>
        <v/>
      </c>
      <c r="L148" s="53">
        <f>IF($B148="",0,$E148*SUMIF(Plan!$M$5:$M$24,"#"&amp;$A148,Plan!I$5:I$24))</f>
        <v/>
      </c>
      <c r="M148" s="53">
        <f>IF($B148="",0,$E148*SUMIF(Plan!$M$5:$M$24,"#"&amp;$A148,Plan!J$5:J$24))</f>
        <v/>
      </c>
      <c r="N148" s="53">
        <f>IF($B148="",0,$E148*SUMIF(Plan!$M$5:$M$24,"#"&amp;$A148,Plan!K$5:K$24))</f>
        <v/>
      </c>
      <c r="O148" s="53">
        <f>IF($B148="",0,$E148*SUMIF(Plan!$M$5:$M$24,"#"&amp;$A148,Plan!L$5:L$24))</f>
        <v/>
      </c>
      <c r="P148" s="35">
        <f>IF(B148="","","#"&amp;B148)</f>
        <v/>
      </c>
      <c r="Q148" s="35">
        <f>IF(A148="","","#"&amp;A148)</f>
        <v/>
      </c>
    </row>
    <row r="149">
      <c r="A149" s="46" t="inlineStr">
        <is>
          <t>ESCM 4410</t>
        </is>
      </c>
      <c r="B149" s="55" t="n"/>
      <c r="C149" s="48">
        <f>IFERROR(INDEX(Materiales!$B$4:$B$484,MATCH("#"&amp;$B149,Materiales!$K$4:$K$484,0)),"")</f>
        <v/>
      </c>
      <c r="D149" s="49">
        <f>IFERROR(INDEX(Materiales!$C$4:$C$484,MATCH("#"&amp;$B149,Materiales!$K$4:$K$484,0)),"")</f>
        <v/>
      </c>
      <c r="E149" s="50" t="n"/>
      <c r="F149" s="55" t="n"/>
      <c r="G149" s="56" t="n"/>
      <c r="H149" s="53">
        <f>IF($B149="",0,$E149*SUMIF(Plan!$M$5:$M$24,"#"&amp;$A149,Plan!E$5:E$24))</f>
        <v/>
      </c>
      <c r="I149" s="53">
        <f>IF($B149="",0,$E149*SUMIF(Plan!$M$5:$M$24,"#"&amp;$A149,Plan!F$5:F$24))</f>
        <v/>
      </c>
      <c r="J149" s="53">
        <f>IF($B149="",0,$E149*SUMIF(Plan!$M$5:$M$24,"#"&amp;$A149,Plan!G$5:G$24))</f>
        <v/>
      </c>
      <c r="K149" s="53">
        <f>IF($B149="",0,$E149*SUMIF(Plan!$M$5:$M$24,"#"&amp;$A149,Plan!H$5:H$24))</f>
        <v/>
      </c>
      <c r="L149" s="53">
        <f>IF($B149="",0,$E149*SUMIF(Plan!$M$5:$M$24,"#"&amp;$A149,Plan!I$5:I$24))</f>
        <v/>
      </c>
      <c r="M149" s="53">
        <f>IF($B149="",0,$E149*SUMIF(Plan!$M$5:$M$24,"#"&amp;$A149,Plan!J$5:J$24))</f>
        <v/>
      </c>
      <c r="N149" s="53">
        <f>IF($B149="",0,$E149*SUMIF(Plan!$M$5:$M$24,"#"&amp;$A149,Plan!K$5:K$24))</f>
        <v/>
      </c>
      <c r="O149" s="53">
        <f>IF($B149="",0,$E149*SUMIF(Plan!$M$5:$M$24,"#"&amp;$A149,Plan!L$5:L$24))</f>
        <v/>
      </c>
      <c r="P149" s="35">
        <f>IF(B149="","","#"&amp;B149)</f>
        <v/>
      </c>
      <c r="Q149" s="35">
        <f>IF(A149="","","#"&amp;A149)</f>
        <v/>
      </c>
    </row>
    <row r="150">
      <c r="A150" s="46" t="inlineStr">
        <is>
          <t>ESCM 4410</t>
        </is>
      </c>
      <c r="B150" s="55" t="n"/>
      <c r="C150" s="48">
        <f>IFERROR(INDEX(Materiales!$B$4:$B$484,MATCH("#"&amp;$B150,Materiales!$K$4:$K$484,0)),"")</f>
        <v/>
      </c>
      <c r="D150" s="49">
        <f>IFERROR(INDEX(Materiales!$C$4:$C$484,MATCH("#"&amp;$B150,Materiales!$K$4:$K$484,0)),"")</f>
        <v/>
      </c>
      <c r="E150" s="50" t="n"/>
      <c r="F150" s="55" t="n"/>
      <c r="G150" s="56" t="n"/>
      <c r="H150" s="53">
        <f>IF($B150="",0,$E150*SUMIF(Plan!$M$5:$M$24,"#"&amp;$A150,Plan!E$5:E$24))</f>
        <v/>
      </c>
      <c r="I150" s="53">
        <f>IF($B150="",0,$E150*SUMIF(Plan!$M$5:$M$24,"#"&amp;$A150,Plan!F$5:F$24))</f>
        <v/>
      </c>
      <c r="J150" s="53">
        <f>IF($B150="",0,$E150*SUMIF(Plan!$M$5:$M$24,"#"&amp;$A150,Plan!G$5:G$24))</f>
        <v/>
      </c>
      <c r="K150" s="53">
        <f>IF($B150="",0,$E150*SUMIF(Plan!$M$5:$M$24,"#"&amp;$A150,Plan!H$5:H$24))</f>
        <v/>
      </c>
      <c r="L150" s="53">
        <f>IF($B150="",0,$E150*SUMIF(Plan!$M$5:$M$24,"#"&amp;$A150,Plan!I$5:I$24))</f>
        <v/>
      </c>
      <c r="M150" s="53">
        <f>IF($B150="",0,$E150*SUMIF(Plan!$M$5:$M$24,"#"&amp;$A150,Plan!J$5:J$24))</f>
        <v/>
      </c>
      <c r="N150" s="53">
        <f>IF($B150="",0,$E150*SUMIF(Plan!$M$5:$M$24,"#"&amp;$A150,Plan!K$5:K$24))</f>
        <v/>
      </c>
      <c r="O150" s="53">
        <f>IF($B150="",0,$E150*SUMIF(Plan!$M$5:$M$24,"#"&amp;$A150,Plan!L$5:L$24))</f>
        <v/>
      </c>
      <c r="P150" s="35">
        <f>IF(B150="","","#"&amp;B150)</f>
        <v/>
      </c>
      <c r="Q150" s="35">
        <f>IF(A150="","","#"&amp;A150)</f>
        <v/>
      </c>
    </row>
    <row r="151">
      <c r="A151" s="46" t="inlineStr">
        <is>
          <t>ESCM 4410</t>
        </is>
      </c>
      <c r="B151" s="55" t="n"/>
      <c r="C151" s="48">
        <f>IFERROR(INDEX(Materiales!$B$4:$B$484,MATCH("#"&amp;$B151,Materiales!$K$4:$K$484,0)),"")</f>
        <v/>
      </c>
      <c r="D151" s="49">
        <f>IFERROR(INDEX(Materiales!$C$4:$C$484,MATCH("#"&amp;$B151,Materiales!$K$4:$K$484,0)),"")</f>
        <v/>
      </c>
      <c r="E151" s="50" t="n"/>
      <c r="F151" s="55" t="n"/>
      <c r="G151" s="56" t="n"/>
      <c r="H151" s="53">
        <f>IF($B151="",0,$E151*SUMIF(Plan!$M$5:$M$24,"#"&amp;$A151,Plan!E$5:E$24))</f>
        <v/>
      </c>
      <c r="I151" s="53">
        <f>IF($B151="",0,$E151*SUMIF(Plan!$M$5:$M$24,"#"&amp;$A151,Plan!F$5:F$24))</f>
        <v/>
      </c>
      <c r="J151" s="53">
        <f>IF($B151="",0,$E151*SUMIF(Plan!$M$5:$M$24,"#"&amp;$A151,Plan!G$5:G$24))</f>
        <v/>
      </c>
      <c r="K151" s="53">
        <f>IF($B151="",0,$E151*SUMIF(Plan!$M$5:$M$24,"#"&amp;$A151,Plan!H$5:H$24))</f>
        <v/>
      </c>
      <c r="L151" s="53">
        <f>IF($B151="",0,$E151*SUMIF(Plan!$M$5:$M$24,"#"&amp;$A151,Plan!I$5:I$24))</f>
        <v/>
      </c>
      <c r="M151" s="53">
        <f>IF($B151="",0,$E151*SUMIF(Plan!$M$5:$M$24,"#"&amp;$A151,Plan!J$5:J$24))</f>
        <v/>
      </c>
      <c r="N151" s="53">
        <f>IF($B151="",0,$E151*SUMIF(Plan!$M$5:$M$24,"#"&amp;$A151,Plan!K$5:K$24))</f>
        <v/>
      </c>
      <c r="O151" s="53">
        <f>IF($B151="",0,$E151*SUMIF(Plan!$M$5:$M$24,"#"&amp;$A151,Plan!L$5:L$24))</f>
        <v/>
      </c>
      <c r="P151" s="35">
        <f>IF(B151="","","#"&amp;B151)</f>
        <v/>
      </c>
      <c r="Q151" s="35">
        <f>IF(A151="","","#"&amp;A151)</f>
        <v/>
      </c>
    </row>
    <row r="152">
      <c r="A152" s="46" t="inlineStr">
        <is>
          <t>ESCM 4410</t>
        </is>
      </c>
      <c r="B152" s="55" t="n"/>
      <c r="C152" s="48">
        <f>IFERROR(INDEX(Materiales!$B$4:$B$484,MATCH("#"&amp;$B152,Materiales!$K$4:$K$484,0)),"")</f>
        <v/>
      </c>
      <c r="D152" s="49">
        <f>IFERROR(INDEX(Materiales!$C$4:$C$484,MATCH("#"&amp;$B152,Materiales!$K$4:$K$484,0)),"")</f>
        <v/>
      </c>
      <c r="E152" s="50" t="n"/>
      <c r="F152" s="55" t="n"/>
      <c r="G152" s="56" t="n"/>
      <c r="H152" s="53">
        <f>IF($B152="",0,$E152*SUMIF(Plan!$M$5:$M$24,"#"&amp;$A152,Plan!E$5:E$24))</f>
        <v/>
      </c>
      <c r="I152" s="53">
        <f>IF($B152="",0,$E152*SUMIF(Plan!$M$5:$M$24,"#"&amp;$A152,Plan!F$5:F$24))</f>
        <v/>
      </c>
      <c r="J152" s="53">
        <f>IF($B152="",0,$E152*SUMIF(Plan!$M$5:$M$24,"#"&amp;$A152,Plan!G$5:G$24))</f>
        <v/>
      </c>
      <c r="K152" s="53">
        <f>IF($B152="",0,$E152*SUMIF(Plan!$M$5:$M$24,"#"&amp;$A152,Plan!H$5:H$24))</f>
        <v/>
      </c>
      <c r="L152" s="53">
        <f>IF($B152="",0,$E152*SUMIF(Plan!$M$5:$M$24,"#"&amp;$A152,Plan!I$5:I$24))</f>
        <v/>
      </c>
      <c r="M152" s="53">
        <f>IF($B152="",0,$E152*SUMIF(Plan!$M$5:$M$24,"#"&amp;$A152,Plan!J$5:J$24))</f>
        <v/>
      </c>
      <c r="N152" s="53">
        <f>IF($B152="",0,$E152*SUMIF(Plan!$M$5:$M$24,"#"&amp;$A152,Plan!K$5:K$24))</f>
        <v/>
      </c>
      <c r="O152" s="53">
        <f>IF($B152="",0,$E152*SUMIF(Plan!$M$5:$M$24,"#"&amp;$A152,Plan!L$5:L$24))</f>
        <v/>
      </c>
      <c r="P152" s="35">
        <f>IF(B152="","","#"&amp;B152)</f>
        <v/>
      </c>
      <c r="Q152" s="35">
        <f>IF(A152="","","#"&amp;A152)</f>
        <v/>
      </c>
    </row>
    <row r="153">
      <c r="A153" s="46" t="inlineStr">
        <is>
          <t>ESCM 4410</t>
        </is>
      </c>
      <c r="B153" s="55" t="n"/>
      <c r="C153" s="48">
        <f>IFERROR(INDEX(Materiales!$B$4:$B$484,MATCH("#"&amp;$B153,Materiales!$K$4:$K$484,0)),"")</f>
        <v/>
      </c>
      <c r="D153" s="49">
        <f>IFERROR(INDEX(Materiales!$C$4:$C$484,MATCH("#"&amp;$B153,Materiales!$K$4:$K$484,0)),"")</f>
        <v/>
      </c>
      <c r="E153" s="50" t="n"/>
      <c r="F153" s="55" t="n"/>
      <c r="G153" s="56" t="n"/>
      <c r="H153" s="53">
        <f>IF($B153="",0,$E153*SUMIF(Plan!$M$5:$M$24,"#"&amp;$A153,Plan!E$5:E$24))</f>
        <v/>
      </c>
      <c r="I153" s="53">
        <f>IF($B153="",0,$E153*SUMIF(Plan!$M$5:$M$24,"#"&amp;$A153,Plan!F$5:F$24))</f>
        <v/>
      </c>
      <c r="J153" s="53">
        <f>IF($B153="",0,$E153*SUMIF(Plan!$M$5:$M$24,"#"&amp;$A153,Plan!G$5:G$24))</f>
        <v/>
      </c>
      <c r="K153" s="53">
        <f>IF($B153="",0,$E153*SUMIF(Plan!$M$5:$M$24,"#"&amp;$A153,Plan!H$5:H$24))</f>
        <v/>
      </c>
      <c r="L153" s="53">
        <f>IF($B153="",0,$E153*SUMIF(Plan!$M$5:$M$24,"#"&amp;$A153,Plan!I$5:I$24))</f>
        <v/>
      </c>
      <c r="M153" s="53">
        <f>IF($B153="",0,$E153*SUMIF(Plan!$M$5:$M$24,"#"&amp;$A153,Plan!J$5:J$24))</f>
        <v/>
      </c>
      <c r="N153" s="53">
        <f>IF($B153="",0,$E153*SUMIF(Plan!$M$5:$M$24,"#"&amp;$A153,Plan!K$5:K$24))</f>
        <v/>
      </c>
      <c r="O153" s="53">
        <f>IF($B153="",0,$E153*SUMIF(Plan!$M$5:$M$24,"#"&amp;$A153,Plan!L$5:L$24))</f>
        <v/>
      </c>
      <c r="P153" s="35">
        <f>IF(B153="","","#"&amp;B153)</f>
        <v/>
      </c>
      <c r="Q153" s="35">
        <f>IF(A153="","","#"&amp;A153)</f>
        <v/>
      </c>
    </row>
    <row r="154">
      <c r="A154" s="46" t="inlineStr">
        <is>
          <t>ESCM 4410</t>
        </is>
      </c>
      <c r="B154" s="55" t="n"/>
      <c r="C154" s="48">
        <f>IFERROR(INDEX(Materiales!$B$4:$B$484,MATCH("#"&amp;$B154,Materiales!$K$4:$K$484,0)),"")</f>
        <v/>
      </c>
      <c r="D154" s="49">
        <f>IFERROR(INDEX(Materiales!$C$4:$C$484,MATCH("#"&amp;$B154,Materiales!$K$4:$K$484,0)),"")</f>
        <v/>
      </c>
      <c r="E154" s="50" t="n"/>
      <c r="F154" s="55" t="n"/>
      <c r="G154" s="56" t="n"/>
      <c r="H154" s="53">
        <f>IF($B154="",0,$E154*SUMIF(Plan!$M$5:$M$24,"#"&amp;$A154,Plan!E$5:E$24))</f>
        <v/>
      </c>
      <c r="I154" s="53">
        <f>IF($B154="",0,$E154*SUMIF(Plan!$M$5:$M$24,"#"&amp;$A154,Plan!F$5:F$24))</f>
        <v/>
      </c>
      <c r="J154" s="53">
        <f>IF($B154="",0,$E154*SUMIF(Plan!$M$5:$M$24,"#"&amp;$A154,Plan!G$5:G$24))</f>
        <v/>
      </c>
      <c r="K154" s="53">
        <f>IF($B154="",0,$E154*SUMIF(Plan!$M$5:$M$24,"#"&amp;$A154,Plan!H$5:H$24))</f>
        <v/>
      </c>
      <c r="L154" s="53">
        <f>IF($B154="",0,$E154*SUMIF(Plan!$M$5:$M$24,"#"&amp;$A154,Plan!I$5:I$24))</f>
        <v/>
      </c>
      <c r="M154" s="53">
        <f>IF($B154="",0,$E154*SUMIF(Plan!$M$5:$M$24,"#"&amp;$A154,Plan!J$5:J$24))</f>
        <v/>
      </c>
      <c r="N154" s="53">
        <f>IF($B154="",0,$E154*SUMIF(Plan!$M$5:$M$24,"#"&amp;$A154,Plan!K$5:K$24))</f>
        <v/>
      </c>
      <c r="O154" s="53">
        <f>IF($B154="",0,$E154*SUMIF(Plan!$M$5:$M$24,"#"&amp;$A154,Plan!L$5:L$24))</f>
        <v/>
      </c>
      <c r="P154" s="35">
        <f>IF(B154="","","#"&amp;B154)</f>
        <v/>
      </c>
      <c r="Q154" s="35">
        <f>IF(A154="","","#"&amp;A154)</f>
        <v/>
      </c>
    </row>
    <row r="155">
      <c r="A155" s="46" t="inlineStr">
        <is>
          <t>ESCM 4410</t>
        </is>
      </c>
      <c r="B155" s="55" t="n"/>
      <c r="C155" s="48">
        <f>IFERROR(INDEX(Materiales!$B$4:$B$484,MATCH("#"&amp;$B155,Materiales!$K$4:$K$484,0)),"")</f>
        <v/>
      </c>
      <c r="D155" s="49">
        <f>IFERROR(INDEX(Materiales!$C$4:$C$484,MATCH("#"&amp;$B155,Materiales!$K$4:$K$484,0)),"")</f>
        <v/>
      </c>
      <c r="E155" s="50" t="n"/>
      <c r="F155" s="55" t="n"/>
      <c r="G155" s="56" t="n"/>
      <c r="H155" s="53">
        <f>IF($B155="",0,$E155*SUMIF(Plan!$M$5:$M$24,"#"&amp;$A155,Plan!E$5:E$24))</f>
        <v/>
      </c>
      <c r="I155" s="53">
        <f>IF($B155="",0,$E155*SUMIF(Plan!$M$5:$M$24,"#"&amp;$A155,Plan!F$5:F$24))</f>
        <v/>
      </c>
      <c r="J155" s="53">
        <f>IF($B155="",0,$E155*SUMIF(Plan!$M$5:$M$24,"#"&amp;$A155,Plan!G$5:G$24))</f>
        <v/>
      </c>
      <c r="K155" s="53">
        <f>IF($B155="",0,$E155*SUMIF(Plan!$M$5:$M$24,"#"&amp;$A155,Plan!H$5:H$24))</f>
        <v/>
      </c>
      <c r="L155" s="53">
        <f>IF($B155="",0,$E155*SUMIF(Plan!$M$5:$M$24,"#"&amp;$A155,Plan!I$5:I$24))</f>
        <v/>
      </c>
      <c r="M155" s="53">
        <f>IF($B155="",0,$E155*SUMIF(Plan!$M$5:$M$24,"#"&amp;$A155,Plan!J$5:J$24))</f>
        <v/>
      </c>
      <c r="N155" s="53">
        <f>IF($B155="",0,$E155*SUMIF(Plan!$M$5:$M$24,"#"&amp;$A155,Plan!K$5:K$24))</f>
        <v/>
      </c>
      <c r="O155" s="53">
        <f>IF($B155="",0,$E155*SUMIF(Plan!$M$5:$M$24,"#"&amp;$A155,Plan!L$5:L$24))</f>
        <v/>
      </c>
      <c r="P155" s="35">
        <f>IF(B155="","","#"&amp;B155)</f>
        <v/>
      </c>
      <c r="Q155" s="35">
        <f>IF(A155="","","#"&amp;A155)</f>
        <v/>
      </c>
    </row>
    <row r="156">
      <c r="A156" s="46" t="inlineStr">
        <is>
          <t>ESCM 4410</t>
        </is>
      </c>
      <c r="B156" s="55" t="n"/>
      <c r="C156" s="48">
        <f>IFERROR(INDEX(Materiales!$B$4:$B$484,MATCH("#"&amp;$B156,Materiales!$K$4:$K$484,0)),"")</f>
        <v/>
      </c>
      <c r="D156" s="49">
        <f>IFERROR(INDEX(Materiales!$C$4:$C$484,MATCH("#"&amp;$B156,Materiales!$K$4:$K$484,0)),"")</f>
        <v/>
      </c>
      <c r="E156" s="50" t="n"/>
      <c r="F156" s="55" t="n"/>
      <c r="G156" s="56" t="n"/>
      <c r="H156" s="53">
        <f>IF($B156="",0,$E156*SUMIF(Plan!$M$5:$M$24,"#"&amp;$A156,Plan!E$5:E$24))</f>
        <v/>
      </c>
      <c r="I156" s="53">
        <f>IF($B156="",0,$E156*SUMIF(Plan!$M$5:$M$24,"#"&amp;$A156,Plan!F$5:F$24))</f>
        <v/>
      </c>
      <c r="J156" s="53">
        <f>IF($B156="",0,$E156*SUMIF(Plan!$M$5:$M$24,"#"&amp;$A156,Plan!G$5:G$24))</f>
        <v/>
      </c>
      <c r="K156" s="53">
        <f>IF($B156="",0,$E156*SUMIF(Plan!$M$5:$M$24,"#"&amp;$A156,Plan!H$5:H$24))</f>
        <v/>
      </c>
      <c r="L156" s="53">
        <f>IF($B156="",0,$E156*SUMIF(Plan!$M$5:$M$24,"#"&amp;$A156,Plan!I$5:I$24))</f>
        <v/>
      </c>
      <c r="M156" s="53">
        <f>IF($B156="",0,$E156*SUMIF(Plan!$M$5:$M$24,"#"&amp;$A156,Plan!J$5:J$24))</f>
        <v/>
      </c>
      <c r="N156" s="53">
        <f>IF($B156="",0,$E156*SUMIF(Plan!$M$5:$M$24,"#"&amp;$A156,Plan!K$5:K$24))</f>
        <v/>
      </c>
      <c r="O156" s="53">
        <f>IF($B156="",0,$E156*SUMIF(Plan!$M$5:$M$24,"#"&amp;$A156,Plan!L$5:L$24))</f>
        <v/>
      </c>
      <c r="P156" s="35">
        <f>IF(B156="","","#"&amp;B156)</f>
        <v/>
      </c>
      <c r="Q156" s="35">
        <f>IF(A156="","","#"&amp;A156)</f>
        <v/>
      </c>
    </row>
    <row r="157">
      <c r="A157" s="46" t="inlineStr">
        <is>
          <t>ESCM 4410</t>
        </is>
      </c>
      <c r="B157" s="55" t="n"/>
      <c r="C157" s="48">
        <f>IFERROR(INDEX(Materiales!$B$4:$B$484,MATCH("#"&amp;$B157,Materiales!$K$4:$K$484,0)),"")</f>
        <v/>
      </c>
      <c r="D157" s="49">
        <f>IFERROR(INDEX(Materiales!$C$4:$C$484,MATCH("#"&amp;$B157,Materiales!$K$4:$K$484,0)),"")</f>
        <v/>
      </c>
      <c r="E157" s="50" t="n"/>
      <c r="F157" s="55" t="n"/>
      <c r="G157" s="56" t="n"/>
      <c r="H157" s="53">
        <f>IF($B157="",0,$E157*SUMIF(Plan!$M$5:$M$24,"#"&amp;$A157,Plan!E$5:E$24))</f>
        <v/>
      </c>
      <c r="I157" s="53">
        <f>IF($B157="",0,$E157*SUMIF(Plan!$M$5:$M$24,"#"&amp;$A157,Plan!F$5:F$24))</f>
        <v/>
      </c>
      <c r="J157" s="53">
        <f>IF($B157="",0,$E157*SUMIF(Plan!$M$5:$M$24,"#"&amp;$A157,Plan!G$5:G$24))</f>
        <v/>
      </c>
      <c r="K157" s="53">
        <f>IF($B157="",0,$E157*SUMIF(Plan!$M$5:$M$24,"#"&amp;$A157,Plan!H$5:H$24))</f>
        <v/>
      </c>
      <c r="L157" s="53">
        <f>IF($B157="",0,$E157*SUMIF(Plan!$M$5:$M$24,"#"&amp;$A157,Plan!I$5:I$24))</f>
        <v/>
      </c>
      <c r="M157" s="53">
        <f>IF($B157="",0,$E157*SUMIF(Plan!$M$5:$M$24,"#"&amp;$A157,Plan!J$5:J$24))</f>
        <v/>
      </c>
      <c r="N157" s="53">
        <f>IF($B157="",0,$E157*SUMIF(Plan!$M$5:$M$24,"#"&amp;$A157,Plan!K$5:K$24))</f>
        <v/>
      </c>
      <c r="O157" s="53">
        <f>IF($B157="",0,$E157*SUMIF(Plan!$M$5:$M$24,"#"&amp;$A157,Plan!L$5:L$24))</f>
        <v/>
      </c>
      <c r="P157" s="35">
        <f>IF(B157="","","#"&amp;B157)</f>
        <v/>
      </c>
      <c r="Q157" s="35">
        <f>IF(A157="","","#"&amp;A157)</f>
        <v/>
      </c>
    </row>
    <row r="158">
      <c r="A158" s="46" t="inlineStr">
        <is>
          <t>ESCM 4410</t>
        </is>
      </c>
      <c r="B158" s="55" t="n"/>
      <c r="C158" s="48">
        <f>IFERROR(INDEX(Materiales!$B$4:$B$484,MATCH("#"&amp;$B158,Materiales!$K$4:$K$484,0)),"")</f>
        <v/>
      </c>
      <c r="D158" s="49">
        <f>IFERROR(INDEX(Materiales!$C$4:$C$484,MATCH("#"&amp;$B158,Materiales!$K$4:$K$484,0)),"")</f>
        <v/>
      </c>
      <c r="E158" s="50" t="n"/>
      <c r="F158" s="55" t="n"/>
      <c r="G158" s="56" t="n"/>
      <c r="H158" s="53">
        <f>IF($B158="",0,$E158*SUMIF(Plan!$M$5:$M$24,"#"&amp;$A158,Plan!E$5:E$24))</f>
        <v/>
      </c>
      <c r="I158" s="53">
        <f>IF($B158="",0,$E158*SUMIF(Plan!$M$5:$M$24,"#"&amp;$A158,Plan!F$5:F$24))</f>
        <v/>
      </c>
      <c r="J158" s="53">
        <f>IF($B158="",0,$E158*SUMIF(Plan!$M$5:$M$24,"#"&amp;$A158,Plan!G$5:G$24))</f>
        <v/>
      </c>
      <c r="K158" s="53">
        <f>IF($B158="",0,$E158*SUMIF(Plan!$M$5:$M$24,"#"&amp;$A158,Plan!H$5:H$24))</f>
        <v/>
      </c>
      <c r="L158" s="53">
        <f>IF($B158="",0,$E158*SUMIF(Plan!$M$5:$M$24,"#"&amp;$A158,Plan!I$5:I$24))</f>
        <v/>
      </c>
      <c r="M158" s="53">
        <f>IF($B158="",0,$E158*SUMIF(Plan!$M$5:$M$24,"#"&amp;$A158,Plan!J$5:J$24))</f>
        <v/>
      </c>
      <c r="N158" s="53">
        <f>IF($B158="",0,$E158*SUMIF(Plan!$M$5:$M$24,"#"&amp;$A158,Plan!K$5:K$24))</f>
        <v/>
      </c>
      <c r="O158" s="53">
        <f>IF($B158="",0,$E158*SUMIF(Plan!$M$5:$M$24,"#"&amp;$A158,Plan!L$5:L$24))</f>
        <v/>
      </c>
      <c r="P158" s="35">
        <f>IF(B158="","","#"&amp;B158)</f>
        <v/>
      </c>
      <c r="Q158" s="35">
        <f>IF(A158="","","#"&amp;A158)</f>
        <v/>
      </c>
    </row>
    <row r="159" ht="20" customHeight="1">
      <c r="A159" s="44" t="inlineStr">
        <is>
          <t>FRENTE:  SN 5100 NW   —   consumo por CADA metro de avance</t>
        </is>
      </c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</row>
    <row r="160">
      <c r="A160" s="46" t="inlineStr">
        <is>
          <t>SN 5100 NW</t>
        </is>
      </c>
      <c r="B160" s="55" t="n"/>
      <c r="C160" s="48">
        <f>IFERROR(INDEX(Materiales!$B$4:$B$484,MATCH("#"&amp;$B160,Materiales!$K$4:$K$484,0)),"")</f>
        <v/>
      </c>
      <c r="D160" s="49">
        <f>IFERROR(INDEX(Materiales!$C$4:$C$484,MATCH("#"&amp;$B160,Materiales!$K$4:$K$484,0)),"")</f>
        <v/>
      </c>
      <c r="E160" s="50" t="n"/>
      <c r="F160" s="55" t="n"/>
      <c r="G160" s="56" t="n"/>
      <c r="H160" s="53">
        <f>IF($B160="",0,$E160*SUMIF(Plan!$M$5:$M$24,"#"&amp;$A160,Plan!E$5:E$24))</f>
        <v/>
      </c>
      <c r="I160" s="53">
        <f>IF($B160="",0,$E160*SUMIF(Plan!$M$5:$M$24,"#"&amp;$A160,Plan!F$5:F$24))</f>
        <v/>
      </c>
      <c r="J160" s="53">
        <f>IF($B160="",0,$E160*SUMIF(Plan!$M$5:$M$24,"#"&amp;$A160,Plan!G$5:G$24))</f>
        <v/>
      </c>
      <c r="K160" s="53">
        <f>IF($B160="",0,$E160*SUMIF(Plan!$M$5:$M$24,"#"&amp;$A160,Plan!H$5:H$24))</f>
        <v/>
      </c>
      <c r="L160" s="53">
        <f>IF($B160="",0,$E160*SUMIF(Plan!$M$5:$M$24,"#"&amp;$A160,Plan!I$5:I$24))</f>
        <v/>
      </c>
      <c r="M160" s="53">
        <f>IF($B160="",0,$E160*SUMIF(Plan!$M$5:$M$24,"#"&amp;$A160,Plan!J$5:J$24))</f>
        <v/>
      </c>
      <c r="N160" s="53">
        <f>IF($B160="",0,$E160*SUMIF(Plan!$M$5:$M$24,"#"&amp;$A160,Plan!K$5:K$24))</f>
        <v/>
      </c>
      <c r="O160" s="53">
        <f>IF($B160="",0,$E160*SUMIF(Plan!$M$5:$M$24,"#"&amp;$A160,Plan!L$5:L$24))</f>
        <v/>
      </c>
      <c r="P160" s="35">
        <f>IF(B160="","","#"&amp;B160)</f>
        <v/>
      </c>
      <c r="Q160" s="35">
        <f>IF(A160="","","#"&amp;A160)</f>
        <v/>
      </c>
    </row>
    <row r="161">
      <c r="A161" s="46" t="inlineStr">
        <is>
          <t>SN 5100 NW</t>
        </is>
      </c>
      <c r="B161" s="55" t="n"/>
      <c r="C161" s="48">
        <f>IFERROR(INDEX(Materiales!$B$4:$B$484,MATCH("#"&amp;$B161,Materiales!$K$4:$K$484,0)),"")</f>
        <v/>
      </c>
      <c r="D161" s="49">
        <f>IFERROR(INDEX(Materiales!$C$4:$C$484,MATCH("#"&amp;$B161,Materiales!$K$4:$K$484,0)),"")</f>
        <v/>
      </c>
      <c r="E161" s="50" t="n"/>
      <c r="F161" s="55" t="n"/>
      <c r="G161" s="56" t="n"/>
      <c r="H161" s="53">
        <f>IF($B161="",0,$E161*SUMIF(Plan!$M$5:$M$24,"#"&amp;$A161,Plan!E$5:E$24))</f>
        <v/>
      </c>
      <c r="I161" s="53">
        <f>IF($B161="",0,$E161*SUMIF(Plan!$M$5:$M$24,"#"&amp;$A161,Plan!F$5:F$24))</f>
        <v/>
      </c>
      <c r="J161" s="53">
        <f>IF($B161="",0,$E161*SUMIF(Plan!$M$5:$M$24,"#"&amp;$A161,Plan!G$5:G$24))</f>
        <v/>
      </c>
      <c r="K161" s="53">
        <f>IF($B161="",0,$E161*SUMIF(Plan!$M$5:$M$24,"#"&amp;$A161,Plan!H$5:H$24))</f>
        <v/>
      </c>
      <c r="L161" s="53">
        <f>IF($B161="",0,$E161*SUMIF(Plan!$M$5:$M$24,"#"&amp;$A161,Plan!I$5:I$24))</f>
        <v/>
      </c>
      <c r="M161" s="53">
        <f>IF($B161="",0,$E161*SUMIF(Plan!$M$5:$M$24,"#"&amp;$A161,Plan!J$5:J$24))</f>
        <v/>
      </c>
      <c r="N161" s="53">
        <f>IF($B161="",0,$E161*SUMIF(Plan!$M$5:$M$24,"#"&amp;$A161,Plan!K$5:K$24))</f>
        <v/>
      </c>
      <c r="O161" s="53">
        <f>IF($B161="",0,$E161*SUMIF(Plan!$M$5:$M$24,"#"&amp;$A161,Plan!L$5:L$24))</f>
        <v/>
      </c>
      <c r="P161" s="35">
        <f>IF(B161="","","#"&amp;B161)</f>
        <v/>
      </c>
      <c r="Q161" s="35">
        <f>IF(A161="","","#"&amp;A161)</f>
        <v/>
      </c>
    </row>
    <row r="162">
      <c r="A162" s="46" t="inlineStr">
        <is>
          <t>SN 5100 NW</t>
        </is>
      </c>
      <c r="B162" s="55" t="n"/>
      <c r="C162" s="48">
        <f>IFERROR(INDEX(Materiales!$B$4:$B$484,MATCH("#"&amp;$B162,Materiales!$K$4:$K$484,0)),"")</f>
        <v/>
      </c>
      <c r="D162" s="49">
        <f>IFERROR(INDEX(Materiales!$C$4:$C$484,MATCH("#"&amp;$B162,Materiales!$K$4:$K$484,0)),"")</f>
        <v/>
      </c>
      <c r="E162" s="50" t="n"/>
      <c r="F162" s="55" t="n"/>
      <c r="G162" s="56" t="n"/>
      <c r="H162" s="53">
        <f>IF($B162="",0,$E162*SUMIF(Plan!$M$5:$M$24,"#"&amp;$A162,Plan!E$5:E$24))</f>
        <v/>
      </c>
      <c r="I162" s="53">
        <f>IF($B162="",0,$E162*SUMIF(Plan!$M$5:$M$24,"#"&amp;$A162,Plan!F$5:F$24))</f>
        <v/>
      </c>
      <c r="J162" s="53">
        <f>IF($B162="",0,$E162*SUMIF(Plan!$M$5:$M$24,"#"&amp;$A162,Plan!G$5:G$24))</f>
        <v/>
      </c>
      <c r="K162" s="53">
        <f>IF($B162="",0,$E162*SUMIF(Plan!$M$5:$M$24,"#"&amp;$A162,Plan!H$5:H$24))</f>
        <v/>
      </c>
      <c r="L162" s="53">
        <f>IF($B162="",0,$E162*SUMIF(Plan!$M$5:$M$24,"#"&amp;$A162,Plan!I$5:I$24))</f>
        <v/>
      </c>
      <c r="M162" s="53">
        <f>IF($B162="",0,$E162*SUMIF(Plan!$M$5:$M$24,"#"&amp;$A162,Plan!J$5:J$24))</f>
        <v/>
      </c>
      <c r="N162" s="53">
        <f>IF($B162="",0,$E162*SUMIF(Plan!$M$5:$M$24,"#"&amp;$A162,Plan!K$5:K$24))</f>
        <v/>
      </c>
      <c r="O162" s="53">
        <f>IF($B162="",0,$E162*SUMIF(Plan!$M$5:$M$24,"#"&amp;$A162,Plan!L$5:L$24))</f>
        <v/>
      </c>
      <c r="P162" s="35">
        <f>IF(B162="","","#"&amp;B162)</f>
        <v/>
      </c>
      <c r="Q162" s="35">
        <f>IF(A162="","","#"&amp;A162)</f>
        <v/>
      </c>
    </row>
    <row r="163">
      <c r="A163" s="46" t="inlineStr">
        <is>
          <t>SN 5100 NW</t>
        </is>
      </c>
      <c r="B163" s="55" t="n"/>
      <c r="C163" s="48">
        <f>IFERROR(INDEX(Materiales!$B$4:$B$484,MATCH("#"&amp;$B163,Materiales!$K$4:$K$484,0)),"")</f>
        <v/>
      </c>
      <c r="D163" s="49">
        <f>IFERROR(INDEX(Materiales!$C$4:$C$484,MATCH("#"&amp;$B163,Materiales!$K$4:$K$484,0)),"")</f>
        <v/>
      </c>
      <c r="E163" s="50" t="n"/>
      <c r="F163" s="55" t="n"/>
      <c r="G163" s="56" t="n"/>
      <c r="H163" s="53">
        <f>IF($B163="",0,$E163*SUMIF(Plan!$M$5:$M$24,"#"&amp;$A163,Plan!E$5:E$24))</f>
        <v/>
      </c>
      <c r="I163" s="53">
        <f>IF($B163="",0,$E163*SUMIF(Plan!$M$5:$M$24,"#"&amp;$A163,Plan!F$5:F$24))</f>
        <v/>
      </c>
      <c r="J163" s="53">
        <f>IF($B163="",0,$E163*SUMIF(Plan!$M$5:$M$24,"#"&amp;$A163,Plan!G$5:G$24))</f>
        <v/>
      </c>
      <c r="K163" s="53">
        <f>IF($B163="",0,$E163*SUMIF(Plan!$M$5:$M$24,"#"&amp;$A163,Plan!H$5:H$24))</f>
        <v/>
      </c>
      <c r="L163" s="53">
        <f>IF($B163="",0,$E163*SUMIF(Plan!$M$5:$M$24,"#"&amp;$A163,Plan!I$5:I$24))</f>
        <v/>
      </c>
      <c r="M163" s="53">
        <f>IF($B163="",0,$E163*SUMIF(Plan!$M$5:$M$24,"#"&amp;$A163,Plan!J$5:J$24))</f>
        <v/>
      </c>
      <c r="N163" s="53">
        <f>IF($B163="",0,$E163*SUMIF(Plan!$M$5:$M$24,"#"&amp;$A163,Plan!K$5:K$24))</f>
        <v/>
      </c>
      <c r="O163" s="53">
        <f>IF($B163="",0,$E163*SUMIF(Plan!$M$5:$M$24,"#"&amp;$A163,Plan!L$5:L$24))</f>
        <v/>
      </c>
      <c r="P163" s="35">
        <f>IF(B163="","","#"&amp;B163)</f>
        <v/>
      </c>
      <c r="Q163" s="35">
        <f>IF(A163="","","#"&amp;A163)</f>
        <v/>
      </c>
    </row>
    <row r="164">
      <c r="A164" s="46" t="inlineStr">
        <is>
          <t>SN 5100 NW</t>
        </is>
      </c>
      <c r="B164" s="55" t="n"/>
      <c r="C164" s="48">
        <f>IFERROR(INDEX(Materiales!$B$4:$B$484,MATCH("#"&amp;$B164,Materiales!$K$4:$K$484,0)),"")</f>
        <v/>
      </c>
      <c r="D164" s="49">
        <f>IFERROR(INDEX(Materiales!$C$4:$C$484,MATCH("#"&amp;$B164,Materiales!$K$4:$K$484,0)),"")</f>
        <v/>
      </c>
      <c r="E164" s="50" t="n"/>
      <c r="F164" s="55" t="n"/>
      <c r="G164" s="56" t="n"/>
      <c r="H164" s="53">
        <f>IF($B164="",0,$E164*SUMIF(Plan!$M$5:$M$24,"#"&amp;$A164,Plan!E$5:E$24))</f>
        <v/>
      </c>
      <c r="I164" s="53">
        <f>IF($B164="",0,$E164*SUMIF(Plan!$M$5:$M$24,"#"&amp;$A164,Plan!F$5:F$24))</f>
        <v/>
      </c>
      <c r="J164" s="53">
        <f>IF($B164="",0,$E164*SUMIF(Plan!$M$5:$M$24,"#"&amp;$A164,Plan!G$5:G$24))</f>
        <v/>
      </c>
      <c r="K164" s="53">
        <f>IF($B164="",0,$E164*SUMIF(Plan!$M$5:$M$24,"#"&amp;$A164,Plan!H$5:H$24))</f>
        <v/>
      </c>
      <c r="L164" s="53">
        <f>IF($B164="",0,$E164*SUMIF(Plan!$M$5:$M$24,"#"&amp;$A164,Plan!I$5:I$24))</f>
        <v/>
      </c>
      <c r="M164" s="53">
        <f>IF($B164="",0,$E164*SUMIF(Plan!$M$5:$M$24,"#"&amp;$A164,Plan!J$5:J$24))</f>
        <v/>
      </c>
      <c r="N164" s="53">
        <f>IF($B164="",0,$E164*SUMIF(Plan!$M$5:$M$24,"#"&amp;$A164,Plan!K$5:K$24))</f>
        <v/>
      </c>
      <c r="O164" s="53">
        <f>IF($B164="",0,$E164*SUMIF(Plan!$M$5:$M$24,"#"&amp;$A164,Plan!L$5:L$24))</f>
        <v/>
      </c>
      <c r="P164" s="35">
        <f>IF(B164="","","#"&amp;B164)</f>
        <v/>
      </c>
      <c r="Q164" s="35">
        <f>IF(A164="","","#"&amp;A164)</f>
        <v/>
      </c>
    </row>
    <row r="165">
      <c r="A165" s="46" t="inlineStr">
        <is>
          <t>SN 5100 NW</t>
        </is>
      </c>
      <c r="B165" s="55" t="n"/>
      <c r="C165" s="48">
        <f>IFERROR(INDEX(Materiales!$B$4:$B$484,MATCH("#"&amp;$B165,Materiales!$K$4:$K$484,0)),"")</f>
        <v/>
      </c>
      <c r="D165" s="49">
        <f>IFERROR(INDEX(Materiales!$C$4:$C$484,MATCH("#"&amp;$B165,Materiales!$K$4:$K$484,0)),"")</f>
        <v/>
      </c>
      <c r="E165" s="50" t="n"/>
      <c r="F165" s="55" t="n"/>
      <c r="G165" s="56" t="n"/>
      <c r="H165" s="53">
        <f>IF($B165="",0,$E165*SUMIF(Plan!$M$5:$M$24,"#"&amp;$A165,Plan!E$5:E$24))</f>
        <v/>
      </c>
      <c r="I165" s="53">
        <f>IF($B165="",0,$E165*SUMIF(Plan!$M$5:$M$24,"#"&amp;$A165,Plan!F$5:F$24))</f>
        <v/>
      </c>
      <c r="J165" s="53">
        <f>IF($B165="",0,$E165*SUMIF(Plan!$M$5:$M$24,"#"&amp;$A165,Plan!G$5:G$24))</f>
        <v/>
      </c>
      <c r="K165" s="53">
        <f>IF($B165="",0,$E165*SUMIF(Plan!$M$5:$M$24,"#"&amp;$A165,Plan!H$5:H$24))</f>
        <v/>
      </c>
      <c r="L165" s="53">
        <f>IF($B165="",0,$E165*SUMIF(Plan!$M$5:$M$24,"#"&amp;$A165,Plan!I$5:I$24))</f>
        <v/>
      </c>
      <c r="M165" s="53">
        <f>IF($B165="",0,$E165*SUMIF(Plan!$M$5:$M$24,"#"&amp;$A165,Plan!J$5:J$24))</f>
        <v/>
      </c>
      <c r="N165" s="53">
        <f>IF($B165="",0,$E165*SUMIF(Plan!$M$5:$M$24,"#"&amp;$A165,Plan!K$5:K$24))</f>
        <v/>
      </c>
      <c r="O165" s="53">
        <f>IF($B165="",0,$E165*SUMIF(Plan!$M$5:$M$24,"#"&amp;$A165,Plan!L$5:L$24))</f>
        <v/>
      </c>
      <c r="P165" s="35">
        <f>IF(B165="","","#"&amp;B165)</f>
        <v/>
      </c>
      <c r="Q165" s="35">
        <f>IF(A165="","","#"&amp;A165)</f>
        <v/>
      </c>
    </row>
    <row r="166">
      <c r="A166" s="46" t="inlineStr">
        <is>
          <t>SN 5100 NW</t>
        </is>
      </c>
      <c r="B166" s="55" t="n"/>
      <c r="C166" s="48">
        <f>IFERROR(INDEX(Materiales!$B$4:$B$484,MATCH("#"&amp;$B166,Materiales!$K$4:$K$484,0)),"")</f>
        <v/>
      </c>
      <c r="D166" s="49">
        <f>IFERROR(INDEX(Materiales!$C$4:$C$484,MATCH("#"&amp;$B166,Materiales!$K$4:$K$484,0)),"")</f>
        <v/>
      </c>
      <c r="E166" s="50" t="n"/>
      <c r="F166" s="55" t="n"/>
      <c r="G166" s="56" t="n"/>
      <c r="H166" s="53">
        <f>IF($B166="",0,$E166*SUMIF(Plan!$M$5:$M$24,"#"&amp;$A166,Plan!E$5:E$24))</f>
        <v/>
      </c>
      <c r="I166" s="53">
        <f>IF($B166="",0,$E166*SUMIF(Plan!$M$5:$M$24,"#"&amp;$A166,Plan!F$5:F$24))</f>
        <v/>
      </c>
      <c r="J166" s="53">
        <f>IF($B166="",0,$E166*SUMIF(Plan!$M$5:$M$24,"#"&amp;$A166,Plan!G$5:G$24))</f>
        <v/>
      </c>
      <c r="K166" s="53">
        <f>IF($B166="",0,$E166*SUMIF(Plan!$M$5:$M$24,"#"&amp;$A166,Plan!H$5:H$24))</f>
        <v/>
      </c>
      <c r="L166" s="53">
        <f>IF($B166="",0,$E166*SUMIF(Plan!$M$5:$M$24,"#"&amp;$A166,Plan!I$5:I$24))</f>
        <v/>
      </c>
      <c r="M166" s="53">
        <f>IF($B166="",0,$E166*SUMIF(Plan!$M$5:$M$24,"#"&amp;$A166,Plan!J$5:J$24))</f>
        <v/>
      </c>
      <c r="N166" s="53">
        <f>IF($B166="",0,$E166*SUMIF(Plan!$M$5:$M$24,"#"&amp;$A166,Plan!K$5:K$24))</f>
        <v/>
      </c>
      <c r="O166" s="53">
        <f>IF($B166="",0,$E166*SUMIF(Plan!$M$5:$M$24,"#"&amp;$A166,Plan!L$5:L$24))</f>
        <v/>
      </c>
      <c r="P166" s="35">
        <f>IF(B166="","","#"&amp;B166)</f>
        <v/>
      </c>
      <c r="Q166" s="35">
        <f>IF(A166="","","#"&amp;A166)</f>
        <v/>
      </c>
    </row>
    <row r="167">
      <c r="A167" s="46" t="inlineStr">
        <is>
          <t>SN 5100 NW</t>
        </is>
      </c>
      <c r="B167" s="55" t="n"/>
      <c r="C167" s="48">
        <f>IFERROR(INDEX(Materiales!$B$4:$B$484,MATCH("#"&amp;$B167,Materiales!$K$4:$K$484,0)),"")</f>
        <v/>
      </c>
      <c r="D167" s="49">
        <f>IFERROR(INDEX(Materiales!$C$4:$C$484,MATCH("#"&amp;$B167,Materiales!$K$4:$K$484,0)),"")</f>
        <v/>
      </c>
      <c r="E167" s="50" t="n"/>
      <c r="F167" s="55" t="n"/>
      <c r="G167" s="56" t="n"/>
      <c r="H167" s="53">
        <f>IF($B167="",0,$E167*SUMIF(Plan!$M$5:$M$24,"#"&amp;$A167,Plan!E$5:E$24))</f>
        <v/>
      </c>
      <c r="I167" s="53">
        <f>IF($B167="",0,$E167*SUMIF(Plan!$M$5:$M$24,"#"&amp;$A167,Plan!F$5:F$24))</f>
        <v/>
      </c>
      <c r="J167" s="53">
        <f>IF($B167="",0,$E167*SUMIF(Plan!$M$5:$M$24,"#"&amp;$A167,Plan!G$5:G$24))</f>
        <v/>
      </c>
      <c r="K167" s="53">
        <f>IF($B167="",0,$E167*SUMIF(Plan!$M$5:$M$24,"#"&amp;$A167,Plan!H$5:H$24))</f>
        <v/>
      </c>
      <c r="L167" s="53">
        <f>IF($B167="",0,$E167*SUMIF(Plan!$M$5:$M$24,"#"&amp;$A167,Plan!I$5:I$24))</f>
        <v/>
      </c>
      <c r="M167" s="53">
        <f>IF($B167="",0,$E167*SUMIF(Plan!$M$5:$M$24,"#"&amp;$A167,Plan!J$5:J$24))</f>
        <v/>
      </c>
      <c r="N167" s="53">
        <f>IF($B167="",0,$E167*SUMIF(Plan!$M$5:$M$24,"#"&amp;$A167,Plan!K$5:K$24))</f>
        <v/>
      </c>
      <c r="O167" s="53">
        <f>IF($B167="",0,$E167*SUMIF(Plan!$M$5:$M$24,"#"&amp;$A167,Plan!L$5:L$24))</f>
        <v/>
      </c>
      <c r="P167" s="35">
        <f>IF(B167="","","#"&amp;B167)</f>
        <v/>
      </c>
      <c r="Q167" s="35">
        <f>IF(A167="","","#"&amp;A167)</f>
        <v/>
      </c>
    </row>
    <row r="168">
      <c r="A168" s="46" t="inlineStr">
        <is>
          <t>SN 5100 NW</t>
        </is>
      </c>
      <c r="B168" s="55" t="n"/>
      <c r="C168" s="48">
        <f>IFERROR(INDEX(Materiales!$B$4:$B$484,MATCH("#"&amp;$B168,Materiales!$K$4:$K$484,0)),"")</f>
        <v/>
      </c>
      <c r="D168" s="49">
        <f>IFERROR(INDEX(Materiales!$C$4:$C$484,MATCH("#"&amp;$B168,Materiales!$K$4:$K$484,0)),"")</f>
        <v/>
      </c>
      <c r="E168" s="50" t="n"/>
      <c r="F168" s="55" t="n"/>
      <c r="G168" s="56" t="n"/>
      <c r="H168" s="53">
        <f>IF($B168="",0,$E168*SUMIF(Plan!$M$5:$M$24,"#"&amp;$A168,Plan!E$5:E$24))</f>
        <v/>
      </c>
      <c r="I168" s="53">
        <f>IF($B168="",0,$E168*SUMIF(Plan!$M$5:$M$24,"#"&amp;$A168,Plan!F$5:F$24))</f>
        <v/>
      </c>
      <c r="J168" s="53">
        <f>IF($B168="",0,$E168*SUMIF(Plan!$M$5:$M$24,"#"&amp;$A168,Plan!G$5:G$24))</f>
        <v/>
      </c>
      <c r="K168" s="53">
        <f>IF($B168="",0,$E168*SUMIF(Plan!$M$5:$M$24,"#"&amp;$A168,Plan!H$5:H$24))</f>
        <v/>
      </c>
      <c r="L168" s="53">
        <f>IF($B168="",0,$E168*SUMIF(Plan!$M$5:$M$24,"#"&amp;$A168,Plan!I$5:I$24))</f>
        <v/>
      </c>
      <c r="M168" s="53">
        <f>IF($B168="",0,$E168*SUMIF(Plan!$M$5:$M$24,"#"&amp;$A168,Plan!J$5:J$24))</f>
        <v/>
      </c>
      <c r="N168" s="53">
        <f>IF($B168="",0,$E168*SUMIF(Plan!$M$5:$M$24,"#"&amp;$A168,Plan!K$5:K$24))</f>
        <v/>
      </c>
      <c r="O168" s="53">
        <f>IF($B168="",0,$E168*SUMIF(Plan!$M$5:$M$24,"#"&amp;$A168,Plan!L$5:L$24))</f>
        <v/>
      </c>
      <c r="P168" s="35">
        <f>IF(B168="","","#"&amp;B168)</f>
        <v/>
      </c>
      <c r="Q168" s="35">
        <f>IF(A168="","","#"&amp;A168)</f>
        <v/>
      </c>
    </row>
    <row r="169">
      <c r="A169" s="46" t="inlineStr">
        <is>
          <t>SN 5100 NW</t>
        </is>
      </c>
      <c r="B169" s="55" t="n"/>
      <c r="C169" s="48">
        <f>IFERROR(INDEX(Materiales!$B$4:$B$484,MATCH("#"&amp;$B169,Materiales!$K$4:$K$484,0)),"")</f>
        <v/>
      </c>
      <c r="D169" s="49">
        <f>IFERROR(INDEX(Materiales!$C$4:$C$484,MATCH("#"&amp;$B169,Materiales!$K$4:$K$484,0)),"")</f>
        <v/>
      </c>
      <c r="E169" s="50" t="n"/>
      <c r="F169" s="55" t="n"/>
      <c r="G169" s="56" t="n"/>
      <c r="H169" s="53">
        <f>IF($B169="",0,$E169*SUMIF(Plan!$M$5:$M$24,"#"&amp;$A169,Plan!E$5:E$24))</f>
        <v/>
      </c>
      <c r="I169" s="53">
        <f>IF($B169="",0,$E169*SUMIF(Plan!$M$5:$M$24,"#"&amp;$A169,Plan!F$5:F$24))</f>
        <v/>
      </c>
      <c r="J169" s="53">
        <f>IF($B169="",0,$E169*SUMIF(Plan!$M$5:$M$24,"#"&amp;$A169,Plan!G$5:G$24))</f>
        <v/>
      </c>
      <c r="K169" s="53">
        <f>IF($B169="",0,$E169*SUMIF(Plan!$M$5:$M$24,"#"&amp;$A169,Plan!H$5:H$24))</f>
        <v/>
      </c>
      <c r="L169" s="53">
        <f>IF($B169="",0,$E169*SUMIF(Plan!$M$5:$M$24,"#"&amp;$A169,Plan!I$5:I$24))</f>
        <v/>
      </c>
      <c r="M169" s="53">
        <f>IF($B169="",0,$E169*SUMIF(Plan!$M$5:$M$24,"#"&amp;$A169,Plan!J$5:J$24))</f>
        <v/>
      </c>
      <c r="N169" s="53">
        <f>IF($B169="",0,$E169*SUMIF(Plan!$M$5:$M$24,"#"&amp;$A169,Plan!K$5:K$24))</f>
        <v/>
      </c>
      <c r="O169" s="53">
        <f>IF($B169="",0,$E169*SUMIF(Plan!$M$5:$M$24,"#"&amp;$A169,Plan!L$5:L$24))</f>
        <v/>
      </c>
      <c r="P169" s="35">
        <f>IF(B169="","","#"&amp;B169)</f>
        <v/>
      </c>
      <c r="Q169" s="35">
        <f>IF(A169="","","#"&amp;A169)</f>
        <v/>
      </c>
    </row>
    <row r="170">
      <c r="A170" s="46" t="inlineStr">
        <is>
          <t>SN 5100 NW</t>
        </is>
      </c>
      <c r="B170" s="55" t="n"/>
      <c r="C170" s="48">
        <f>IFERROR(INDEX(Materiales!$B$4:$B$484,MATCH("#"&amp;$B170,Materiales!$K$4:$K$484,0)),"")</f>
        <v/>
      </c>
      <c r="D170" s="49">
        <f>IFERROR(INDEX(Materiales!$C$4:$C$484,MATCH("#"&amp;$B170,Materiales!$K$4:$K$484,0)),"")</f>
        <v/>
      </c>
      <c r="E170" s="50" t="n"/>
      <c r="F170" s="55" t="n"/>
      <c r="G170" s="56" t="n"/>
      <c r="H170" s="53">
        <f>IF($B170="",0,$E170*SUMIF(Plan!$M$5:$M$24,"#"&amp;$A170,Plan!E$5:E$24))</f>
        <v/>
      </c>
      <c r="I170" s="53">
        <f>IF($B170="",0,$E170*SUMIF(Plan!$M$5:$M$24,"#"&amp;$A170,Plan!F$5:F$24))</f>
        <v/>
      </c>
      <c r="J170" s="53">
        <f>IF($B170="",0,$E170*SUMIF(Plan!$M$5:$M$24,"#"&amp;$A170,Plan!G$5:G$24))</f>
        <v/>
      </c>
      <c r="K170" s="53">
        <f>IF($B170="",0,$E170*SUMIF(Plan!$M$5:$M$24,"#"&amp;$A170,Plan!H$5:H$24))</f>
        <v/>
      </c>
      <c r="L170" s="53">
        <f>IF($B170="",0,$E170*SUMIF(Plan!$M$5:$M$24,"#"&amp;$A170,Plan!I$5:I$24))</f>
        <v/>
      </c>
      <c r="M170" s="53">
        <f>IF($B170="",0,$E170*SUMIF(Plan!$M$5:$M$24,"#"&amp;$A170,Plan!J$5:J$24))</f>
        <v/>
      </c>
      <c r="N170" s="53">
        <f>IF($B170="",0,$E170*SUMIF(Plan!$M$5:$M$24,"#"&amp;$A170,Plan!K$5:K$24))</f>
        <v/>
      </c>
      <c r="O170" s="53">
        <f>IF($B170="",0,$E170*SUMIF(Plan!$M$5:$M$24,"#"&amp;$A170,Plan!L$5:L$24))</f>
        <v/>
      </c>
      <c r="P170" s="35">
        <f>IF(B170="","","#"&amp;B170)</f>
        <v/>
      </c>
      <c r="Q170" s="35">
        <f>IF(A170="","","#"&amp;A170)</f>
        <v/>
      </c>
    </row>
    <row r="171">
      <c r="A171" s="46" t="inlineStr">
        <is>
          <t>SN 5100 NW</t>
        </is>
      </c>
      <c r="B171" s="55" t="n"/>
      <c r="C171" s="48">
        <f>IFERROR(INDEX(Materiales!$B$4:$B$484,MATCH("#"&amp;$B171,Materiales!$K$4:$K$484,0)),"")</f>
        <v/>
      </c>
      <c r="D171" s="49">
        <f>IFERROR(INDEX(Materiales!$C$4:$C$484,MATCH("#"&amp;$B171,Materiales!$K$4:$K$484,0)),"")</f>
        <v/>
      </c>
      <c r="E171" s="50" t="n"/>
      <c r="F171" s="55" t="n"/>
      <c r="G171" s="56" t="n"/>
      <c r="H171" s="53">
        <f>IF($B171="",0,$E171*SUMIF(Plan!$M$5:$M$24,"#"&amp;$A171,Plan!E$5:E$24))</f>
        <v/>
      </c>
      <c r="I171" s="53">
        <f>IF($B171="",0,$E171*SUMIF(Plan!$M$5:$M$24,"#"&amp;$A171,Plan!F$5:F$24))</f>
        <v/>
      </c>
      <c r="J171" s="53">
        <f>IF($B171="",0,$E171*SUMIF(Plan!$M$5:$M$24,"#"&amp;$A171,Plan!G$5:G$24))</f>
        <v/>
      </c>
      <c r="K171" s="53">
        <f>IF($B171="",0,$E171*SUMIF(Plan!$M$5:$M$24,"#"&amp;$A171,Plan!H$5:H$24))</f>
        <v/>
      </c>
      <c r="L171" s="53">
        <f>IF($B171="",0,$E171*SUMIF(Plan!$M$5:$M$24,"#"&amp;$A171,Plan!I$5:I$24))</f>
        <v/>
      </c>
      <c r="M171" s="53">
        <f>IF($B171="",0,$E171*SUMIF(Plan!$M$5:$M$24,"#"&amp;$A171,Plan!J$5:J$24))</f>
        <v/>
      </c>
      <c r="N171" s="53">
        <f>IF($B171="",0,$E171*SUMIF(Plan!$M$5:$M$24,"#"&amp;$A171,Plan!K$5:K$24))</f>
        <v/>
      </c>
      <c r="O171" s="53">
        <f>IF($B171="",0,$E171*SUMIF(Plan!$M$5:$M$24,"#"&amp;$A171,Plan!L$5:L$24))</f>
        <v/>
      </c>
      <c r="P171" s="35">
        <f>IF(B171="","","#"&amp;B171)</f>
        <v/>
      </c>
      <c r="Q171" s="35">
        <f>IF(A171="","","#"&amp;A171)</f>
        <v/>
      </c>
    </row>
    <row r="172">
      <c r="A172" s="46" t="inlineStr">
        <is>
          <t>SN 5100 NW</t>
        </is>
      </c>
      <c r="B172" s="55" t="n"/>
      <c r="C172" s="48">
        <f>IFERROR(INDEX(Materiales!$B$4:$B$484,MATCH("#"&amp;$B172,Materiales!$K$4:$K$484,0)),"")</f>
        <v/>
      </c>
      <c r="D172" s="49">
        <f>IFERROR(INDEX(Materiales!$C$4:$C$484,MATCH("#"&amp;$B172,Materiales!$K$4:$K$484,0)),"")</f>
        <v/>
      </c>
      <c r="E172" s="50" t="n"/>
      <c r="F172" s="55" t="n"/>
      <c r="G172" s="56" t="n"/>
      <c r="H172" s="53">
        <f>IF($B172="",0,$E172*SUMIF(Plan!$M$5:$M$24,"#"&amp;$A172,Plan!E$5:E$24))</f>
        <v/>
      </c>
      <c r="I172" s="53">
        <f>IF($B172="",0,$E172*SUMIF(Plan!$M$5:$M$24,"#"&amp;$A172,Plan!F$5:F$24))</f>
        <v/>
      </c>
      <c r="J172" s="53">
        <f>IF($B172="",0,$E172*SUMIF(Plan!$M$5:$M$24,"#"&amp;$A172,Plan!G$5:G$24))</f>
        <v/>
      </c>
      <c r="K172" s="53">
        <f>IF($B172="",0,$E172*SUMIF(Plan!$M$5:$M$24,"#"&amp;$A172,Plan!H$5:H$24))</f>
        <v/>
      </c>
      <c r="L172" s="53">
        <f>IF($B172="",0,$E172*SUMIF(Plan!$M$5:$M$24,"#"&amp;$A172,Plan!I$5:I$24))</f>
        <v/>
      </c>
      <c r="M172" s="53">
        <f>IF($B172="",0,$E172*SUMIF(Plan!$M$5:$M$24,"#"&amp;$A172,Plan!J$5:J$24))</f>
        <v/>
      </c>
      <c r="N172" s="53">
        <f>IF($B172="",0,$E172*SUMIF(Plan!$M$5:$M$24,"#"&amp;$A172,Plan!K$5:K$24))</f>
        <v/>
      </c>
      <c r="O172" s="53">
        <f>IF($B172="",0,$E172*SUMIF(Plan!$M$5:$M$24,"#"&amp;$A172,Plan!L$5:L$24))</f>
        <v/>
      </c>
      <c r="P172" s="35">
        <f>IF(B172="","","#"&amp;B172)</f>
        <v/>
      </c>
      <c r="Q172" s="35">
        <f>IF(A172="","","#"&amp;A172)</f>
        <v/>
      </c>
    </row>
    <row r="173">
      <c r="A173" s="46" t="inlineStr">
        <is>
          <t>SN 5100 NW</t>
        </is>
      </c>
      <c r="B173" s="55" t="n"/>
      <c r="C173" s="48">
        <f>IFERROR(INDEX(Materiales!$B$4:$B$484,MATCH("#"&amp;$B173,Materiales!$K$4:$K$484,0)),"")</f>
        <v/>
      </c>
      <c r="D173" s="49">
        <f>IFERROR(INDEX(Materiales!$C$4:$C$484,MATCH("#"&amp;$B173,Materiales!$K$4:$K$484,0)),"")</f>
        <v/>
      </c>
      <c r="E173" s="50" t="n"/>
      <c r="F173" s="55" t="n"/>
      <c r="G173" s="56" t="n"/>
      <c r="H173" s="53">
        <f>IF($B173="",0,$E173*SUMIF(Plan!$M$5:$M$24,"#"&amp;$A173,Plan!E$5:E$24))</f>
        <v/>
      </c>
      <c r="I173" s="53">
        <f>IF($B173="",0,$E173*SUMIF(Plan!$M$5:$M$24,"#"&amp;$A173,Plan!F$5:F$24))</f>
        <v/>
      </c>
      <c r="J173" s="53">
        <f>IF($B173="",0,$E173*SUMIF(Plan!$M$5:$M$24,"#"&amp;$A173,Plan!G$5:G$24))</f>
        <v/>
      </c>
      <c r="K173" s="53">
        <f>IF($B173="",0,$E173*SUMIF(Plan!$M$5:$M$24,"#"&amp;$A173,Plan!H$5:H$24))</f>
        <v/>
      </c>
      <c r="L173" s="53">
        <f>IF($B173="",0,$E173*SUMIF(Plan!$M$5:$M$24,"#"&amp;$A173,Plan!I$5:I$24))</f>
        <v/>
      </c>
      <c r="M173" s="53">
        <f>IF($B173="",0,$E173*SUMIF(Plan!$M$5:$M$24,"#"&amp;$A173,Plan!J$5:J$24))</f>
        <v/>
      </c>
      <c r="N173" s="53">
        <f>IF($B173="",0,$E173*SUMIF(Plan!$M$5:$M$24,"#"&amp;$A173,Plan!K$5:K$24))</f>
        <v/>
      </c>
      <c r="O173" s="53">
        <f>IF($B173="",0,$E173*SUMIF(Plan!$M$5:$M$24,"#"&amp;$A173,Plan!L$5:L$24))</f>
        <v/>
      </c>
      <c r="P173" s="35">
        <f>IF(B173="","","#"&amp;B173)</f>
        <v/>
      </c>
      <c r="Q173" s="35">
        <f>IF(A173="","","#"&amp;A173)</f>
        <v/>
      </c>
    </row>
    <row r="174">
      <c r="A174" s="46" t="inlineStr">
        <is>
          <t>SN 5100 NW</t>
        </is>
      </c>
      <c r="B174" s="55" t="n"/>
      <c r="C174" s="48">
        <f>IFERROR(INDEX(Materiales!$B$4:$B$484,MATCH("#"&amp;$B174,Materiales!$K$4:$K$484,0)),"")</f>
        <v/>
      </c>
      <c r="D174" s="49">
        <f>IFERROR(INDEX(Materiales!$C$4:$C$484,MATCH("#"&amp;$B174,Materiales!$K$4:$K$484,0)),"")</f>
        <v/>
      </c>
      <c r="E174" s="50" t="n"/>
      <c r="F174" s="55" t="n"/>
      <c r="G174" s="56" t="n"/>
      <c r="H174" s="53">
        <f>IF($B174="",0,$E174*SUMIF(Plan!$M$5:$M$24,"#"&amp;$A174,Plan!E$5:E$24))</f>
        <v/>
      </c>
      <c r="I174" s="53">
        <f>IF($B174="",0,$E174*SUMIF(Plan!$M$5:$M$24,"#"&amp;$A174,Plan!F$5:F$24))</f>
        <v/>
      </c>
      <c r="J174" s="53">
        <f>IF($B174="",0,$E174*SUMIF(Plan!$M$5:$M$24,"#"&amp;$A174,Plan!G$5:G$24))</f>
        <v/>
      </c>
      <c r="K174" s="53">
        <f>IF($B174="",0,$E174*SUMIF(Plan!$M$5:$M$24,"#"&amp;$A174,Plan!H$5:H$24))</f>
        <v/>
      </c>
      <c r="L174" s="53">
        <f>IF($B174="",0,$E174*SUMIF(Plan!$M$5:$M$24,"#"&amp;$A174,Plan!I$5:I$24))</f>
        <v/>
      </c>
      <c r="M174" s="53">
        <f>IF($B174="",0,$E174*SUMIF(Plan!$M$5:$M$24,"#"&amp;$A174,Plan!J$5:J$24))</f>
        <v/>
      </c>
      <c r="N174" s="53">
        <f>IF($B174="",0,$E174*SUMIF(Plan!$M$5:$M$24,"#"&amp;$A174,Plan!K$5:K$24))</f>
        <v/>
      </c>
      <c r="O174" s="53">
        <f>IF($B174="",0,$E174*SUMIF(Plan!$M$5:$M$24,"#"&amp;$A174,Plan!L$5:L$24))</f>
        <v/>
      </c>
      <c r="P174" s="35">
        <f>IF(B174="","","#"&amp;B174)</f>
        <v/>
      </c>
      <c r="Q174" s="35">
        <f>IF(A174="","","#"&amp;A174)</f>
        <v/>
      </c>
    </row>
    <row r="175">
      <c r="A175" s="46" t="inlineStr">
        <is>
          <t>SN 5100 NW</t>
        </is>
      </c>
      <c r="B175" s="55" t="n"/>
      <c r="C175" s="48">
        <f>IFERROR(INDEX(Materiales!$B$4:$B$484,MATCH("#"&amp;$B175,Materiales!$K$4:$K$484,0)),"")</f>
        <v/>
      </c>
      <c r="D175" s="49">
        <f>IFERROR(INDEX(Materiales!$C$4:$C$484,MATCH("#"&amp;$B175,Materiales!$K$4:$K$484,0)),"")</f>
        <v/>
      </c>
      <c r="E175" s="50" t="n"/>
      <c r="F175" s="55" t="n"/>
      <c r="G175" s="56" t="n"/>
      <c r="H175" s="53">
        <f>IF($B175="",0,$E175*SUMIF(Plan!$M$5:$M$24,"#"&amp;$A175,Plan!E$5:E$24))</f>
        <v/>
      </c>
      <c r="I175" s="53">
        <f>IF($B175="",0,$E175*SUMIF(Plan!$M$5:$M$24,"#"&amp;$A175,Plan!F$5:F$24))</f>
        <v/>
      </c>
      <c r="J175" s="53">
        <f>IF($B175="",0,$E175*SUMIF(Plan!$M$5:$M$24,"#"&amp;$A175,Plan!G$5:G$24))</f>
        <v/>
      </c>
      <c r="K175" s="53">
        <f>IF($B175="",0,$E175*SUMIF(Plan!$M$5:$M$24,"#"&amp;$A175,Plan!H$5:H$24))</f>
        <v/>
      </c>
      <c r="L175" s="53">
        <f>IF($B175="",0,$E175*SUMIF(Plan!$M$5:$M$24,"#"&amp;$A175,Plan!I$5:I$24))</f>
        <v/>
      </c>
      <c r="M175" s="53">
        <f>IF($B175="",0,$E175*SUMIF(Plan!$M$5:$M$24,"#"&amp;$A175,Plan!J$5:J$24))</f>
        <v/>
      </c>
      <c r="N175" s="53">
        <f>IF($B175="",0,$E175*SUMIF(Plan!$M$5:$M$24,"#"&amp;$A175,Plan!K$5:K$24))</f>
        <v/>
      </c>
      <c r="O175" s="53">
        <f>IF($B175="",0,$E175*SUMIF(Plan!$M$5:$M$24,"#"&amp;$A175,Plan!L$5:L$24))</f>
        <v/>
      </c>
      <c r="P175" s="35">
        <f>IF(B175="","","#"&amp;B175)</f>
        <v/>
      </c>
      <c r="Q175" s="35">
        <f>IF(A175="","","#"&amp;A175)</f>
        <v/>
      </c>
    </row>
    <row r="176">
      <c r="A176" s="46" t="inlineStr">
        <is>
          <t>SN 5100 NW</t>
        </is>
      </c>
      <c r="B176" s="55" t="n"/>
      <c r="C176" s="48">
        <f>IFERROR(INDEX(Materiales!$B$4:$B$484,MATCH("#"&amp;$B176,Materiales!$K$4:$K$484,0)),"")</f>
        <v/>
      </c>
      <c r="D176" s="49">
        <f>IFERROR(INDEX(Materiales!$C$4:$C$484,MATCH("#"&amp;$B176,Materiales!$K$4:$K$484,0)),"")</f>
        <v/>
      </c>
      <c r="E176" s="50" t="n"/>
      <c r="F176" s="55" t="n"/>
      <c r="G176" s="56" t="n"/>
      <c r="H176" s="53">
        <f>IF($B176="",0,$E176*SUMIF(Plan!$M$5:$M$24,"#"&amp;$A176,Plan!E$5:E$24))</f>
        <v/>
      </c>
      <c r="I176" s="53">
        <f>IF($B176="",0,$E176*SUMIF(Plan!$M$5:$M$24,"#"&amp;$A176,Plan!F$5:F$24))</f>
        <v/>
      </c>
      <c r="J176" s="53">
        <f>IF($B176="",0,$E176*SUMIF(Plan!$M$5:$M$24,"#"&amp;$A176,Plan!G$5:G$24))</f>
        <v/>
      </c>
      <c r="K176" s="53">
        <f>IF($B176="",0,$E176*SUMIF(Plan!$M$5:$M$24,"#"&amp;$A176,Plan!H$5:H$24))</f>
        <v/>
      </c>
      <c r="L176" s="53">
        <f>IF($B176="",0,$E176*SUMIF(Plan!$M$5:$M$24,"#"&amp;$A176,Plan!I$5:I$24))</f>
        <v/>
      </c>
      <c r="M176" s="53">
        <f>IF($B176="",0,$E176*SUMIF(Plan!$M$5:$M$24,"#"&amp;$A176,Plan!J$5:J$24))</f>
        <v/>
      </c>
      <c r="N176" s="53">
        <f>IF($B176="",0,$E176*SUMIF(Plan!$M$5:$M$24,"#"&amp;$A176,Plan!K$5:K$24))</f>
        <v/>
      </c>
      <c r="O176" s="53">
        <f>IF($B176="",0,$E176*SUMIF(Plan!$M$5:$M$24,"#"&amp;$A176,Plan!L$5:L$24))</f>
        <v/>
      </c>
      <c r="P176" s="35">
        <f>IF(B176="","","#"&amp;B176)</f>
        <v/>
      </c>
      <c r="Q176" s="35">
        <f>IF(A176="","","#"&amp;A176)</f>
        <v/>
      </c>
    </row>
    <row r="177">
      <c r="A177" s="46" t="inlineStr">
        <is>
          <t>SN 5100 NW</t>
        </is>
      </c>
      <c r="B177" s="55" t="n"/>
      <c r="C177" s="48">
        <f>IFERROR(INDEX(Materiales!$B$4:$B$484,MATCH("#"&amp;$B177,Materiales!$K$4:$K$484,0)),"")</f>
        <v/>
      </c>
      <c r="D177" s="49">
        <f>IFERROR(INDEX(Materiales!$C$4:$C$484,MATCH("#"&amp;$B177,Materiales!$K$4:$K$484,0)),"")</f>
        <v/>
      </c>
      <c r="E177" s="50" t="n"/>
      <c r="F177" s="55" t="n"/>
      <c r="G177" s="56" t="n"/>
      <c r="H177" s="53">
        <f>IF($B177="",0,$E177*SUMIF(Plan!$M$5:$M$24,"#"&amp;$A177,Plan!E$5:E$24))</f>
        <v/>
      </c>
      <c r="I177" s="53">
        <f>IF($B177="",0,$E177*SUMIF(Plan!$M$5:$M$24,"#"&amp;$A177,Plan!F$5:F$24))</f>
        <v/>
      </c>
      <c r="J177" s="53">
        <f>IF($B177="",0,$E177*SUMIF(Plan!$M$5:$M$24,"#"&amp;$A177,Plan!G$5:G$24))</f>
        <v/>
      </c>
      <c r="K177" s="53">
        <f>IF($B177="",0,$E177*SUMIF(Plan!$M$5:$M$24,"#"&amp;$A177,Plan!H$5:H$24))</f>
        <v/>
      </c>
      <c r="L177" s="53">
        <f>IF($B177="",0,$E177*SUMIF(Plan!$M$5:$M$24,"#"&amp;$A177,Plan!I$5:I$24))</f>
        <v/>
      </c>
      <c r="M177" s="53">
        <f>IF($B177="",0,$E177*SUMIF(Plan!$M$5:$M$24,"#"&amp;$A177,Plan!J$5:J$24))</f>
        <v/>
      </c>
      <c r="N177" s="53">
        <f>IF($B177="",0,$E177*SUMIF(Plan!$M$5:$M$24,"#"&amp;$A177,Plan!K$5:K$24))</f>
        <v/>
      </c>
      <c r="O177" s="53">
        <f>IF($B177="",0,$E177*SUMIF(Plan!$M$5:$M$24,"#"&amp;$A177,Plan!L$5:L$24))</f>
        <v/>
      </c>
      <c r="P177" s="35">
        <f>IF(B177="","","#"&amp;B177)</f>
        <v/>
      </c>
      <c r="Q177" s="35">
        <f>IF(A177="","","#"&amp;A177)</f>
        <v/>
      </c>
    </row>
    <row r="178">
      <c r="A178" s="46" t="inlineStr">
        <is>
          <t>SN 5100 NW</t>
        </is>
      </c>
      <c r="B178" s="55" t="n"/>
      <c r="C178" s="48">
        <f>IFERROR(INDEX(Materiales!$B$4:$B$484,MATCH("#"&amp;$B178,Materiales!$K$4:$K$484,0)),"")</f>
        <v/>
      </c>
      <c r="D178" s="49">
        <f>IFERROR(INDEX(Materiales!$C$4:$C$484,MATCH("#"&amp;$B178,Materiales!$K$4:$K$484,0)),"")</f>
        <v/>
      </c>
      <c r="E178" s="50" t="n"/>
      <c r="F178" s="55" t="n"/>
      <c r="G178" s="56" t="n"/>
      <c r="H178" s="53">
        <f>IF($B178="",0,$E178*SUMIF(Plan!$M$5:$M$24,"#"&amp;$A178,Plan!E$5:E$24))</f>
        <v/>
      </c>
      <c r="I178" s="53">
        <f>IF($B178="",0,$E178*SUMIF(Plan!$M$5:$M$24,"#"&amp;$A178,Plan!F$5:F$24))</f>
        <v/>
      </c>
      <c r="J178" s="53">
        <f>IF($B178="",0,$E178*SUMIF(Plan!$M$5:$M$24,"#"&amp;$A178,Plan!G$5:G$24))</f>
        <v/>
      </c>
      <c r="K178" s="53">
        <f>IF($B178="",0,$E178*SUMIF(Plan!$M$5:$M$24,"#"&amp;$A178,Plan!H$5:H$24))</f>
        <v/>
      </c>
      <c r="L178" s="53">
        <f>IF($B178="",0,$E178*SUMIF(Plan!$M$5:$M$24,"#"&amp;$A178,Plan!I$5:I$24))</f>
        <v/>
      </c>
      <c r="M178" s="53">
        <f>IF($B178="",0,$E178*SUMIF(Plan!$M$5:$M$24,"#"&amp;$A178,Plan!J$5:J$24))</f>
        <v/>
      </c>
      <c r="N178" s="53">
        <f>IF($B178="",0,$E178*SUMIF(Plan!$M$5:$M$24,"#"&amp;$A178,Plan!K$5:K$24))</f>
        <v/>
      </c>
      <c r="O178" s="53">
        <f>IF($B178="",0,$E178*SUMIF(Plan!$M$5:$M$24,"#"&amp;$A178,Plan!L$5:L$24))</f>
        <v/>
      </c>
      <c r="P178" s="35">
        <f>IF(B178="","","#"&amp;B178)</f>
        <v/>
      </c>
      <c r="Q178" s="35">
        <f>IF(A178="","","#"&amp;A178)</f>
        <v/>
      </c>
    </row>
    <row r="179">
      <c r="A179" s="46" t="inlineStr">
        <is>
          <t>SN 5100 NW</t>
        </is>
      </c>
      <c r="B179" s="55" t="n"/>
      <c r="C179" s="48">
        <f>IFERROR(INDEX(Materiales!$B$4:$B$484,MATCH("#"&amp;$B179,Materiales!$K$4:$K$484,0)),"")</f>
        <v/>
      </c>
      <c r="D179" s="49">
        <f>IFERROR(INDEX(Materiales!$C$4:$C$484,MATCH("#"&amp;$B179,Materiales!$K$4:$K$484,0)),"")</f>
        <v/>
      </c>
      <c r="E179" s="50" t="n"/>
      <c r="F179" s="55" t="n"/>
      <c r="G179" s="56" t="n"/>
      <c r="H179" s="53">
        <f>IF($B179="",0,$E179*SUMIF(Plan!$M$5:$M$24,"#"&amp;$A179,Plan!E$5:E$24))</f>
        <v/>
      </c>
      <c r="I179" s="53">
        <f>IF($B179="",0,$E179*SUMIF(Plan!$M$5:$M$24,"#"&amp;$A179,Plan!F$5:F$24))</f>
        <v/>
      </c>
      <c r="J179" s="53">
        <f>IF($B179="",0,$E179*SUMIF(Plan!$M$5:$M$24,"#"&amp;$A179,Plan!G$5:G$24))</f>
        <v/>
      </c>
      <c r="K179" s="53">
        <f>IF($B179="",0,$E179*SUMIF(Plan!$M$5:$M$24,"#"&amp;$A179,Plan!H$5:H$24))</f>
        <v/>
      </c>
      <c r="L179" s="53">
        <f>IF($B179="",0,$E179*SUMIF(Plan!$M$5:$M$24,"#"&amp;$A179,Plan!I$5:I$24))</f>
        <v/>
      </c>
      <c r="M179" s="53">
        <f>IF($B179="",0,$E179*SUMIF(Plan!$M$5:$M$24,"#"&amp;$A179,Plan!J$5:J$24))</f>
        <v/>
      </c>
      <c r="N179" s="53">
        <f>IF($B179="",0,$E179*SUMIF(Plan!$M$5:$M$24,"#"&amp;$A179,Plan!K$5:K$24))</f>
        <v/>
      </c>
      <c r="O179" s="53">
        <f>IF($B179="",0,$E179*SUMIF(Plan!$M$5:$M$24,"#"&amp;$A179,Plan!L$5:L$24))</f>
        <v/>
      </c>
      <c r="P179" s="35">
        <f>IF(B179="","","#"&amp;B179)</f>
        <v/>
      </c>
      <c r="Q179" s="35">
        <f>IF(A179="","","#"&amp;A179)</f>
        <v/>
      </c>
    </row>
    <row r="180">
      <c r="A180" s="46" t="inlineStr">
        <is>
          <t>SN 5100 NW</t>
        </is>
      </c>
      <c r="B180" s="55" t="n"/>
      <c r="C180" s="48">
        <f>IFERROR(INDEX(Materiales!$B$4:$B$484,MATCH("#"&amp;$B180,Materiales!$K$4:$K$484,0)),"")</f>
        <v/>
      </c>
      <c r="D180" s="49">
        <f>IFERROR(INDEX(Materiales!$C$4:$C$484,MATCH("#"&amp;$B180,Materiales!$K$4:$K$484,0)),"")</f>
        <v/>
      </c>
      <c r="E180" s="50" t="n"/>
      <c r="F180" s="55" t="n"/>
      <c r="G180" s="56" t="n"/>
      <c r="H180" s="53">
        <f>IF($B180="",0,$E180*SUMIF(Plan!$M$5:$M$24,"#"&amp;$A180,Plan!E$5:E$24))</f>
        <v/>
      </c>
      <c r="I180" s="53">
        <f>IF($B180="",0,$E180*SUMIF(Plan!$M$5:$M$24,"#"&amp;$A180,Plan!F$5:F$24))</f>
        <v/>
      </c>
      <c r="J180" s="53">
        <f>IF($B180="",0,$E180*SUMIF(Plan!$M$5:$M$24,"#"&amp;$A180,Plan!G$5:G$24))</f>
        <v/>
      </c>
      <c r="K180" s="53">
        <f>IF($B180="",0,$E180*SUMIF(Plan!$M$5:$M$24,"#"&amp;$A180,Plan!H$5:H$24))</f>
        <v/>
      </c>
      <c r="L180" s="53">
        <f>IF($B180="",0,$E180*SUMIF(Plan!$M$5:$M$24,"#"&amp;$A180,Plan!I$5:I$24))</f>
        <v/>
      </c>
      <c r="M180" s="53">
        <f>IF($B180="",0,$E180*SUMIF(Plan!$M$5:$M$24,"#"&amp;$A180,Plan!J$5:J$24))</f>
        <v/>
      </c>
      <c r="N180" s="53">
        <f>IF($B180="",0,$E180*SUMIF(Plan!$M$5:$M$24,"#"&amp;$A180,Plan!K$5:K$24))</f>
        <v/>
      </c>
      <c r="O180" s="53">
        <f>IF($B180="",0,$E180*SUMIF(Plan!$M$5:$M$24,"#"&amp;$A180,Plan!L$5:L$24))</f>
        <v/>
      </c>
      <c r="P180" s="35">
        <f>IF(B180="","","#"&amp;B180)</f>
        <v/>
      </c>
      <c r="Q180" s="35">
        <f>IF(A180="","","#"&amp;A180)</f>
        <v/>
      </c>
    </row>
    <row r="181">
      <c r="A181" s="46" t="inlineStr">
        <is>
          <t>SN 5100 NW</t>
        </is>
      </c>
      <c r="B181" s="55" t="n"/>
      <c r="C181" s="48">
        <f>IFERROR(INDEX(Materiales!$B$4:$B$484,MATCH("#"&amp;$B181,Materiales!$K$4:$K$484,0)),"")</f>
        <v/>
      </c>
      <c r="D181" s="49">
        <f>IFERROR(INDEX(Materiales!$C$4:$C$484,MATCH("#"&amp;$B181,Materiales!$K$4:$K$484,0)),"")</f>
        <v/>
      </c>
      <c r="E181" s="50" t="n"/>
      <c r="F181" s="55" t="n"/>
      <c r="G181" s="56" t="n"/>
      <c r="H181" s="53">
        <f>IF($B181="",0,$E181*SUMIF(Plan!$M$5:$M$24,"#"&amp;$A181,Plan!E$5:E$24))</f>
        <v/>
      </c>
      <c r="I181" s="53">
        <f>IF($B181="",0,$E181*SUMIF(Plan!$M$5:$M$24,"#"&amp;$A181,Plan!F$5:F$24))</f>
        <v/>
      </c>
      <c r="J181" s="53">
        <f>IF($B181="",0,$E181*SUMIF(Plan!$M$5:$M$24,"#"&amp;$A181,Plan!G$5:G$24))</f>
        <v/>
      </c>
      <c r="K181" s="53">
        <f>IF($B181="",0,$E181*SUMIF(Plan!$M$5:$M$24,"#"&amp;$A181,Plan!H$5:H$24))</f>
        <v/>
      </c>
      <c r="L181" s="53">
        <f>IF($B181="",0,$E181*SUMIF(Plan!$M$5:$M$24,"#"&amp;$A181,Plan!I$5:I$24))</f>
        <v/>
      </c>
      <c r="M181" s="53">
        <f>IF($B181="",0,$E181*SUMIF(Plan!$M$5:$M$24,"#"&amp;$A181,Plan!J$5:J$24))</f>
        <v/>
      </c>
      <c r="N181" s="53">
        <f>IF($B181="",0,$E181*SUMIF(Plan!$M$5:$M$24,"#"&amp;$A181,Plan!K$5:K$24))</f>
        <v/>
      </c>
      <c r="O181" s="53">
        <f>IF($B181="",0,$E181*SUMIF(Plan!$M$5:$M$24,"#"&amp;$A181,Plan!L$5:L$24))</f>
        <v/>
      </c>
      <c r="P181" s="35">
        <f>IF(B181="","","#"&amp;B181)</f>
        <v/>
      </c>
      <c r="Q181" s="35">
        <f>IF(A181="","","#"&amp;A181)</f>
        <v/>
      </c>
    </row>
    <row r="182">
      <c r="A182" s="46" t="inlineStr">
        <is>
          <t>SN 5100 NW</t>
        </is>
      </c>
      <c r="B182" s="55" t="n"/>
      <c r="C182" s="48">
        <f>IFERROR(INDEX(Materiales!$B$4:$B$484,MATCH("#"&amp;$B182,Materiales!$K$4:$K$484,0)),"")</f>
        <v/>
      </c>
      <c r="D182" s="49">
        <f>IFERROR(INDEX(Materiales!$C$4:$C$484,MATCH("#"&amp;$B182,Materiales!$K$4:$K$484,0)),"")</f>
        <v/>
      </c>
      <c r="E182" s="50" t="n"/>
      <c r="F182" s="55" t="n"/>
      <c r="G182" s="56" t="n"/>
      <c r="H182" s="53">
        <f>IF($B182="",0,$E182*SUMIF(Plan!$M$5:$M$24,"#"&amp;$A182,Plan!E$5:E$24))</f>
        <v/>
      </c>
      <c r="I182" s="53">
        <f>IF($B182="",0,$E182*SUMIF(Plan!$M$5:$M$24,"#"&amp;$A182,Plan!F$5:F$24))</f>
        <v/>
      </c>
      <c r="J182" s="53">
        <f>IF($B182="",0,$E182*SUMIF(Plan!$M$5:$M$24,"#"&amp;$A182,Plan!G$5:G$24))</f>
        <v/>
      </c>
      <c r="K182" s="53">
        <f>IF($B182="",0,$E182*SUMIF(Plan!$M$5:$M$24,"#"&amp;$A182,Plan!H$5:H$24))</f>
        <v/>
      </c>
      <c r="L182" s="53">
        <f>IF($B182="",0,$E182*SUMIF(Plan!$M$5:$M$24,"#"&amp;$A182,Plan!I$5:I$24))</f>
        <v/>
      </c>
      <c r="M182" s="53">
        <f>IF($B182="",0,$E182*SUMIF(Plan!$M$5:$M$24,"#"&amp;$A182,Plan!J$5:J$24))</f>
        <v/>
      </c>
      <c r="N182" s="53">
        <f>IF($B182="",0,$E182*SUMIF(Plan!$M$5:$M$24,"#"&amp;$A182,Plan!K$5:K$24))</f>
        <v/>
      </c>
      <c r="O182" s="53">
        <f>IF($B182="",0,$E182*SUMIF(Plan!$M$5:$M$24,"#"&amp;$A182,Plan!L$5:L$24))</f>
        <v/>
      </c>
      <c r="P182" s="35">
        <f>IF(B182="","","#"&amp;B182)</f>
        <v/>
      </c>
      <c r="Q182" s="35">
        <f>IF(A182="","","#"&amp;A182)</f>
        <v/>
      </c>
    </row>
    <row r="183">
      <c r="A183" s="46" t="inlineStr">
        <is>
          <t>SN 5100 NW</t>
        </is>
      </c>
      <c r="B183" s="55" t="n"/>
      <c r="C183" s="48">
        <f>IFERROR(INDEX(Materiales!$B$4:$B$484,MATCH("#"&amp;$B183,Materiales!$K$4:$K$484,0)),"")</f>
        <v/>
      </c>
      <c r="D183" s="49">
        <f>IFERROR(INDEX(Materiales!$C$4:$C$484,MATCH("#"&amp;$B183,Materiales!$K$4:$K$484,0)),"")</f>
        <v/>
      </c>
      <c r="E183" s="50" t="n"/>
      <c r="F183" s="55" t="n"/>
      <c r="G183" s="56" t="n"/>
      <c r="H183" s="53">
        <f>IF($B183="",0,$E183*SUMIF(Plan!$M$5:$M$24,"#"&amp;$A183,Plan!E$5:E$24))</f>
        <v/>
      </c>
      <c r="I183" s="53">
        <f>IF($B183="",0,$E183*SUMIF(Plan!$M$5:$M$24,"#"&amp;$A183,Plan!F$5:F$24))</f>
        <v/>
      </c>
      <c r="J183" s="53">
        <f>IF($B183="",0,$E183*SUMIF(Plan!$M$5:$M$24,"#"&amp;$A183,Plan!G$5:G$24))</f>
        <v/>
      </c>
      <c r="K183" s="53">
        <f>IF($B183="",0,$E183*SUMIF(Plan!$M$5:$M$24,"#"&amp;$A183,Plan!H$5:H$24))</f>
        <v/>
      </c>
      <c r="L183" s="53">
        <f>IF($B183="",0,$E183*SUMIF(Plan!$M$5:$M$24,"#"&amp;$A183,Plan!I$5:I$24))</f>
        <v/>
      </c>
      <c r="M183" s="53">
        <f>IF($B183="",0,$E183*SUMIF(Plan!$M$5:$M$24,"#"&amp;$A183,Plan!J$5:J$24))</f>
        <v/>
      </c>
      <c r="N183" s="53">
        <f>IF($B183="",0,$E183*SUMIF(Plan!$M$5:$M$24,"#"&amp;$A183,Plan!K$5:K$24))</f>
        <v/>
      </c>
      <c r="O183" s="53">
        <f>IF($B183="",0,$E183*SUMIF(Plan!$M$5:$M$24,"#"&amp;$A183,Plan!L$5:L$24))</f>
        <v/>
      </c>
      <c r="P183" s="35">
        <f>IF(B183="","","#"&amp;B183)</f>
        <v/>
      </c>
      <c r="Q183" s="35">
        <f>IF(A183="","","#"&amp;A183)</f>
        <v/>
      </c>
    </row>
    <row r="184">
      <c r="A184" s="46" t="inlineStr">
        <is>
          <t>SN 5100 NW</t>
        </is>
      </c>
      <c r="B184" s="55" t="n"/>
      <c r="C184" s="48">
        <f>IFERROR(INDEX(Materiales!$B$4:$B$484,MATCH("#"&amp;$B184,Materiales!$K$4:$K$484,0)),"")</f>
        <v/>
      </c>
      <c r="D184" s="49">
        <f>IFERROR(INDEX(Materiales!$C$4:$C$484,MATCH("#"&amp;$B184,Materiales!$K$4:$K$484,0)),"")</f>
        <v/>
      </c>
      <c r="E184" s="50" t="n"/>
      <c r="F184" s="55" t="n"/>
      <c r="G184" s="56" t="n"/>
      <c r="H184" s="53">
        <f>IF($B184="",0,$E184*SUMIF(Plan!$M$5:$M$24,"#"&amp;$A184,Plan!E$5:E$24))</f>
        <v/>
      </c>
      <c r="I184" s="53">
        <f>IF($B184="",0,$E184*SUMIF(Plan!$M$5:$M$24,"#"&amp;$A184,Plan!F$5:F$24))</f>
        <v/>
      </c>
      <c r="J184" s="53">
        <f>IF($B184="",0,$E184*SUMIF(Plan!$M$5:$M$24,"#"&amp;$A184,Plan!G$5:G$24))</f>
        <v/>
      </c>
      <c r="K184" s="53">
        <f>IF($B184="",0,$E184*SUMIF(Plan!$M$5:$M$24,"#"&amp;$A184,Plan!H$5:H$24))</f>
        <v/>
      </c>
      <c r="L184" s="53">
        <f>IF($B184="",0,$E184*SUMIF(Plan!$M$5:$M$24,"#"&amp;$A184,Plan!I$5:I$24))</f>
        <v/>
      </c>
      <c r="M184" s="53">
        <f>IF($B184="",0,$E184*SUMIF(Plan!$M$5:$M$24,"#"&amp;$A184,Plan!J$5:J$24))</f>
        <v/>
      </c>
      <c r="N184" s="53">
        <f>IF($B184="",0,$E184*SUMIF(Plan!$M$5:$M$24,"#"&amp;$A184,Plan!K$5:K$24))</f>
        <v/>
      </c>
      <c r="O184" s="53">
        <f>IF($B184="",0,$E184*SUMIF(Plan!$M$5:$M$24,"#"&amp;$A184,Plan!L$5:L$24))</f>
        <v/>
      </c>
      <c r="P184" s="35">
        <f>IF(B184="","","#"&amp;B184)</f>
        <v/>
      </c>
      <c r="Q184" s="35">
        <f>IF(A184="","","#"&amp;A184)</f>
        <v/>
      </c>
    </row>
    <row r="185">
      <c r="A185" s="46" t="inlineStr">
        <is>
          <t>SN 5100 NW</t>
        </is>
      </c>
      <c r="B185" s="55" t="n"/>
      <c r="C185" s="48">
        <f>IFERROR(INDEX(Materiales!$B$4:$B$484,MATCH("#"&amp;$B185,Materiales!$K$4:$K$484,0)),"")</f>
        <v/>
      </c>
      <c r="D185" s="49">
        <f>IFERROR(INDEX(Materiales!$C$4:$C$484,MATCH("#"&amp;$B185,Materiales!$K$4:$K$484,0)),"")</f>
        <v/>
      </c>
      <c r="E185" s="50" t="n"/>
      <c r="F185" s="55" t="n"/>
      <c r="G185" s="56" t="n"/>
      <c r="H185" s="53">
        <f>IF($B185="",0,$E185*SUMIF(Plan!$M$5:$M$24,"#"&amp;$A185,Plan!E$5:E$24))</f>
        <v/>
      </c>
      <c r="I185" s="53">
        <f>IF($B185="",0,$E185*SUMIF(Plan!$M$5:$M$24,"#"&amp;$A185,Plan!F$5:F$24))</f>
        <v/>
      </c>
      <c r="J185" s="53">
        <f>IF($B185="",0,$E185*SUMIF(Plan!$M$5:$M$24,"#"&amp;$A185,Plan!G$5:G$24))</f>
        <v/>
      </c>
      <c r="K185" s="53">
        <f>IF($B185="",0,$E185*SUMIF(Plan!$M$5:$M$24,"#"&amp;$A185,Plan!H$5:H$24))</f>
        <v/>
      </c>
      <c r="L185" s="53">
        <f>IF($B185="",0,$E185*SUMIF(Plan!$M$5:$M$24,"#"&amp;$A185,Plan!I$5:I$24))</f>
        <v/>
      </c>
      <c r="M185" s="53">
        <f>IF($B185="",0,$E185*SUMIF(Plan!$M$5:$M$24,"#"&amp;$A185,Plan!J$5:J$24))</f>
        <v/>
      </c>
      <c r="N185" s="53">
        <f>IF($B185="",0,$E185*SUMIF(Plan!$M$5:$M$24,"#"&amp;$A185,Plan!K$5:K$24))</f>
        <v/>
      </c>
      <c r="O185" s="53">
        <f>IF($B185="",0,$E185*SUMIF(Plan!$M$5:$M$24,"#"&amp;$A185,Plan!L$5:L$24))</f>
        <v/>
      </c>
      <c r="P185" s="35">
        <f>IF(B185="","","#"&amp;B185)</f>
        <v/>
      </c>
      <c r="Q185" s="35">
        <f>IF(A185="","","#"&amp;A185)</f>
        <v/>
      </c>
    </row>
    <row r="186">
      <c r="A186" s="46" t="inlineStr">
        <is>
          <t>SN 5100 NW</t>
        </is>
      </c>
      <c r="B186" s="55" t="n"/>
      <c r="C186" s="48">
        <f>IFERROR(INDEX(Materiales!$B$4:$B$484,MATCH("#"&amp;$B186,Materiales!$K$4:$K$484,0)),"")</f>
        <v/>
      </c>
      <c r="D186" s="49">
        <f>IFERROR(INDEX(Materiales!$C$4:$C$484,MATCH("#"&amp;$B186,Materiales!$K$4:$K$484,0)),"")</f>
        <v/>
      </c>
      <c r="E186" s="50" t="n"/>
      <c r="F186" s="55" t="n"/>
      <c r="G186" s="56" t="n"/>
      <c r="H186" s="53">
        <f>IF($B186="",0,$E186*SUMIF(Plan!$M$5:$M$24,"#"&amp;$A186,Plan!E$5:E$24))</f>
        <v/>
      </c>
      <c r="I186" s="53">
        <f>IF($B186="",0,$E186*SUMIF(Plan!$M$5:$M$24,"#"&amp;$A186,Plan!F$5:F$24))</f>
        <v/>
      </c>
      <c r="J186" s="53">
        <f>IF($B186="",0,$E186*SUMIF(Plan!$M$5:$M$24,"#"&amp;$A186,Plan!G$5:G$24))</f>
        <v/>
      </c>
      <c r="K186" s="53">
        <f>IF($B186="",0,$E186*SUMIF(Plan!$M$5:$M$24,"#"&amp;$A186,Plan!H$5:H$24))</f>
        <v/>
      </c>
      <c r="L186" s="53">
        <f>IF($B186="",0,$E186*SUMIF(Plan!$M$5:$M$24,"#"&amp;$A186,Plan!I$5:I$24))</f>
        <v/>
      </c>
      <c r="M186" s="53">
        <f>IF($B186="",0,$E186*SUMIF(Plan!$M$5:$M$24,"#"&amp;$A186,Plan!J$5:J$24))</f>
        <v/>
      </c>
      <c r="N186" s="53">
        <f>IF($B186="",0,$E186*SUMIF(Plan!$M$5:$M$24,"#"&amp;$A186,Plan!K$5:K$24))</f>
        <v/>
      </c>
      <c r="O186" s="53">
        <f>IF($B186="",0,$E186*SUMIF(Plan!$M$5:$M$24,"#"&amp;$A186,Plan!L$5:L$24))</f>
        <v/>
      </c>
      <c r="P186" s="35">
        <f>IF(B186="","","#"&amp;B186)</f>
        <v/>
      </c>
      <c r="Q186" s="35">
        <f>IF(A186="","","#"&amp;A186)</f>
        <v/>
      </c>
    </row>
    <row r="187">
      <c r="A187" s="46" t="inlineStr">
        <is>
          <t>SN 5100 NW</t>
        </is>
      </c>
      <c r="B187" s="55" t="n"/>
      <c r="C187" s="48">
        <f>IFERROR(INDEX(Materiales!$B$4:$B$484,MATCH("#"&amp;$B187,Materiales!$K$4:$K$484,0)),"")</f>
        <v/>
      </c>
      <c r="D187" s="49">
        <f>IFERROR(INDEX(Materiales!$C$4:$C$484,MATCH("#"&amp;$B187,Materiales!$K$4:$K$484,0)),"")</f>
        <v/>
      </c>
      <c r="E187" s="50" t="n"/>
      <c r="F187" s="55" t="n"/>
      <c r="G187" s="56" t="n"/>
      <c r="H187" s="53">
        <f>IF($B187="",0,$E187*SUMIF(Plan!$M$5:$M$24,"#"&amp;$A187,Plan!E$5:E$24))</f>
        <v/>
      </c>
      <c r="I187" s="53">
        <f>IF($B187="",0,$E187*SUMIF(Plan!$M$5:$M$24,"#"&amp;$A187,Plan!F$5:F$24))</f>
        <v/>
      </c>
      <c r="J187" s="53">
        <f>IF($B187="",0,$E187*SUMIF(Plan!$M$5:$M$24,"#"&amp;$A187,Plan!G$5:G$24))</f>
        <v/>
      </c>
      <c r="K187" s="53">
        <f>IF($B187="",0,$E187*SUMIF(Plan!$M$5:$M$24,"#"&amp;$A187,Plan!H$5:H$24))</f>
        <v/>
      </c>
      <c r="L187" s="53">
        <f>IF($B187="",0,$E187*SUMIF(Plan!$M$5:$M$24,"#"&amp;$A187,Plan!I$5:I$24))</f>
        <v/>
      </c>
      <c r="M187" s="53">
        <f>IF($B187="",0,$E187*SUMIF(Plan!$M$5:$M$24,"#"&amp;$A187,Plan!J$5:J$24))</f>
        <v/>
      </c>
      <c r="N187" s="53">
        <f>IF($B187="",0,$E187*SUMIF(Plan!$M$5:$M$24,"#"&amp;$A187,Plan!K$5:K$24))</f>
        <v/>
      </c>
      <c r="O187" s="53">
        <f>IF($B187="",0,$E187*SUMIF(Plan!$M$5:$M$24,"#"&amp;$A187,Plan!L$5:L$24))</f>
        <v/>
      </c>
      <c r="P187" s="35">
        <f>IF(B187="","","#"&amp;B187)</f>
        <v/>
      </c>
      <c r="Q187" s="35">
        <f>IF(A187="","","#"&amp;A187)</f>
        <v/>
      </c>
    </row>
    <row r="188">
      <c r="A188" s="46" t="inlineStr">
        <is>
          <t>SN 5100 NW</t>
        </is>
      </c>
      <c r="B188" s="55" t="n"/>
      <c r="C188" s="48">
        <f>IFERROR(INDEX(Materiales!$B$4:$B$484,MATCH("#"&amp;$B188,Materiales!$K$4:$K$484,0)),"")</f>
        <v/>
      </c>
      <c r="D188" s="49">
        <f>IFERROR(INDEX(Materiales!$C$4:$C$484,MATCH("#"&amp;$B188,Materiales!$K$4:$K$484,0)),"")</f>
        <v/>
      </c>
      <c r="E188" s="50" t="n"/>
      <c r="F188" s="55" t="n"/>
      <c r="G188" s="56" t="n"/>
      <c r="H188" s="53">
        <f>IF($B188="",0,$E188*SUMIF(Plan!$M$5:$M$24,"#"&amp;$A188,Plan!E$5:E$24))</f>
        <v/>
      </c>
      <c r="I188" s="53">
        <f>IF($B188="",0,$E188*SUMIF(Plan!$M$5:$M$24,"#"&amp;$A188,Plan!F$5:F$24))</f>
        <v/>
      </c>
      <c r="J188" s="53">
        <f>IF($B188="",0,$E188*SUMIF(Plan!$M$5:$M$24,"#"&amp;$A188,Plan!G$5:G$24))</f>
        <v/>
      </c>
      <c r="K188" s="53">
        <f>IF($B188="",0,$E188*SUMIF(Plan!$M$5:$M$24,"#"&amp;$A188,Plan!H$5:H$24))</f>
        <v/>
      </c>
      <c r="L188" s="53">
        <f>IF($B188="",0,$E188*SUMIF(Plan!$M$5:$M$24,"#"&amp;$A188,Plan!I$5:I$24))</f>
        <v/>
      </c>
      <c r="M188" s="53">
        <f>IF($B188="",0,$E188*SUMIF(Plan!$M$5:$M$24,"#"&amp;$A188,Plan!J$5:J$24))</f>
        <v/>
      </c>
      <c r="N188" s="53">
        <f>IF($B188="",0,$E188*SUMIF(Plan!$M$5:$M$24,"#"&amp;$A188,Plan!K$5:K$24))</f>
        <v/>
      </c>
      <c r="O188" s="53">
        <f>IF($B188="",0,$E188*SUMIF(Plan!$M$5:$M$24,"#"&amp;$A188,Plan!L$5:L$24))</f>
        <v/>
      </c>
      <c r="P188" s="35">
        <f>IF(B188="","","#"&amp;B188)</f>
        <v/>
      </c>
      <c r="Q188" s="35">
        <f>IF(A188="","","#"&amp;A188)</f>
        <v/>
      </c>
    </row>
    <row r="189">
      <c r="A189" s="46" t="inlineStr">
        <is>
          <t>SN 5100 NW</t>
        </is>
      </c>
      <c r="B189" s="55" t="n"/>
      <c r="C189" s="48">
        <f>IFERROR(INDEX(Materiales!$B$4:$B$484,MATCH("#"&amp;$B189,Materiales!$K$4:$K$484,0)),"")</f>
        <v/>
      </c>
      <c r="D189" s="49">
        <f>IFERROR(INDEX(Materiales!$C$4:$C$484,MATCH("#"&amp;$B189,Materiales!$K$4:$K$484,0)),"")</f>
        <v/>
      </c>
      <c r="E189" s="50" t="n"/>
      <c r="F189" s="55" t="n"/>
      <c r="G189" s="56" t="n"/>
      <c r="H189" s="53">
        <f>IF($B189="",0,$E189*SUMIF(Plan!$M$5:$M$24,"#"&amp;$A189,Plan!E$5:E$24))</f>
        <v/>
      </c>
      <c r="I189" s="53">
        <f>IF($B189="",0,$E189*SUMIF(Plan!$M$5:$M$24,"#"&amp;$A189,Plan!F$5:F$24))</f>
        <v/>
      </c>
      <c r="J189" s="53">
        <f>IF($B189="",0,$E189*SUMIF(Plan!$M$5:$M$24,"#"&amp;$A189,Plan!G$5:G$24))</f>
        <v/>
      </c>
      <c r="K189" s="53">
        <f>IF($B189="",0,$E189*SUMIF(Plan!$M$5:$M$24,"#"&amp;$A189,Plan!H$5:H$24))</f>
        <v/>
      </c>
      <c r="L189" s="53">
        <f>IF($B189="",0,$E189*SUMIF(Plan!$M$5:$M$24,"#"&amp;$A189,Plan!I$5:I$24))</f>
        <v/>
      </c>
      <c r="M189" s="53">
        <f>IF($B189="",0,$E189*SUMIF(Plan!$M$5:$M$24,"#"&amp;$A189,Plan!J$5:J$24))</f>
        <v/>
      </c>
      <c r="N189" s="53">
        <f>IF($B189="",0,$E189*SUMIF(Plan!$M$5:$M$24,"#"&amp;$A189,Plan!K$5:K$24))</f>
        <v/>
      </c>
      <c r="O189" s="53">
        <f>IF($B189="",0,$E189*SUMIF(Plan!$M$5:$M$24,"#"&amp;$A189,Plan!L$5:L$24))</f>
        <v/>
      </c>
      <c r="P189" s="35">
        <f>IF(B189="","","#"&amp;B189)</f>
        <v/>
      </c>
      <c r="Q189" s="35">
        <f>IF(A189="","","#"&amp;A189)</f>
        <v/>
      </c>
    </row>
  </sheetData>
  <mergeCells count="8">
    <mergeCell ref="A66:G66"/>
    <mergeCell ref="A159:G159"/>
    <mergeCell ref="A97:G97"/>
    <mergeCell ref="A35:G35"/>
    <mergeCell ref="A4:G4"/>
    <mergeCell ref="A2:Q2"/>
    <mergeCell ref="A128:G128"/>
    <mergeCell ref="A1:Q1"/>
  </mergeCells>
  <dataValidations count="1">
    <dataValidation sqref="B4:B189" showDropDown="0" showInputMessage="0" showErrorMessage="0" allowBlank="1" errorTitle="Codigo no valido" error="Elige un codigo del maestro (hoja Materiales)." type="list">
      <formula1>Materiales!$A$4:$A$484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F2CC"/>
    <outlinePr summaryBelow="1" summaryRight="1"/>
    <pageSetUpPr/>
  </sheetPr>
  <dimension ref="A1:M50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3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hidden="1" width="12" customWidth="1" min="13" max="13"/>
  </cols>
  <sheetData>
    <row r="1" ht="26" customHeight="1">
      <c r="A1" s="1" t="inlineStr">
        <is>
          <t>PASO 4 — Stock actual y ordenes ya emitidas</t>
        </is>
      </c>
    </row>
    <row r="2" ht="18" customHeight="1">
      <c r="A2" s="2" t="inlineStr">
        <is>
          <t>Este maestro NO trae stock: cargalo en la columna C. En las columnas de semana pon las ordenes ya emitidas, en la semana en que llegaran.</t>
        </is>
      </c>
    </row>
    <row r="3">
      <c r="E3" s="59">
        <f>Plan!E$3</f>
        <v/>
      </c>
      <c r="F3" s="59">
        <f>Plan!F$3</f>
        <v/>
      </c>
      <c r="G3" s="59">
        <f>Plan!G$3</f>
        <v/>
      </c>
      <c r="H3" s="59">
        <f>Plan!H$3</f>
        <v/>
      </c>
      <c r="I3" s="59">
        <f>Plan!I$3</f>
        <v/>
      </c>
      <c r="J3" s="59">
        <f>Plan!J$3</f>
        <v/>
      </c>
      <c r="K3" s="59">
        <f>Plan!K$3</f>
        <v/>
      </c>
      <c r="L3" s="59">
        <f>Plan!L$3</f>
        <v/>
      </c>
    </row>
    <row r="4" ht="32" customHeight="1">
      <c r="A4" s="6" t="inlineStr">
        <is>
          <t>Codigo</t>
        </is>
      </c>
      <c r="B4" s="6" t="inlineStr">
        <is>
          <t>Producto (auto)</t>
        </is>
      </c>
      <c r="C4" s="6" t="inlineStr">
        <is>
          <t>Stock actual</t>
        </is>
      </c>
      <c r="D4" s="6" t="inlineStr">
        <is>
          <t>N° OC / Proveedor</t>
        </is>
      </c>
      <c r="E4" s="6" t="inlineStr">
        <is>
          <t>Sem 1</t>
        </is>
      </c>
      <c r="F4" s="6" t="inlineStr">
        <is>
          <t>Sem 2</t>
        </is>
      </c>
      <c r="G4" s="6" t="inlineStr">
        <is>
          <t>Sem 3</t>
        </is>
      </c>
      <c r="H4" s="6" t="inlineStr">
        <is>
          <t>Sem 4</t>
        </is>
      </c>
      <c r="I4" s="6" t="inlineStr">
        <is>
          <t>Sem 5</t>
        </is>
      </c>
      <c r="J4" s="6" t="inlineStr">
        <is>
          <t>Sem 6</t>
        </is>
      </c>
      <c r="K4" s="6" t="inlineStr">
        <is>
          <t>Sem 7</t>
        </is>
      </c>
      <c r="L4" s="6" t="inlineStr">
        <is>
          <t>Sem 8</t>
        </is>
      </c>
      <c r="M4" s="6" t="inlineStr">
        <is>
          <t>clave</t>
        </is>
      </c>
    </row>
    <row r="5">
      <c r="A5" s="28" t="inlineStr">
        <is>
          <t>1</t>
        </is>
      </c>
      <c r="B5" s="60">
        <f>IFERROR(INDEX(Materiales!$B$4:$B$484,MATCH("#"&amp;$A5,Materiales!$K$4:$K$484,0)),"")</f>
        <v/>
      </c>
      <c r="C5" s="34" t="n"/>
      <c r="D5" s="32" t="n"/>
      <c r="E5" s="34" t="n"/>
      <c r="F5" s="34" t="n"/>
      <c r="G5" s="34" t="n"/>
      <c r="H5" s="34" t="n"/>
      <c r="I5" s="34" t="n"/>
      <c r="J5" s="34" t="n"/>
      <c r="K5" s="34" t="n"/>
      <c r="L5" s="34" t="n"/>
      <c r="M5" s="35">
        <f>IF(A5="","","#"&amp;A5)</f>
        <v/>
      </c>
    </row>
    <row r="6">
      <c r="A6" s="28" t="inlineStr">
        <is>
          <t>2</t>
        </is>
      </c>
      <c r="B6" s="60">
        <f>IFERROR(INDEX(Materiales!$B$4:$B$484,MATCH("#"&amp;$A6,Materiales!$K$4:$K$484,0)),"")</f>
        <v/>
      </c>
      <c r="C6" s="34" t="n"/>
      <c r="D6" s="32" t="n"/>
      <c r="E6" s="34" t="n"/>
      <c r="F6" s="34" t="n"/>
      <c r="G6" s="34" t="n"/>
      <c r="H6" s="34" t="n"/>
      <c r="I6" s="34" t="n"/>
      <c r="J6" s="34" t="n"/>
      <c r="K6" s="34" t="n"/>
      <c r="L6" s="34" t="n"/>
      <c r="M6" s="35">
        <f>IF(A6="","","#"&amp;A6)</f>
        <v/>
      </c>
    </row>
    <row r="7">
      <c r="A7" s="28" t="inlineStr">
        <is>
          <t>3</t>
        </is>
      </c>
      <c r="B7" s="60">
        <f>IFERROR(INDEX(Materiales!$B$4:$B$484,MATCH("#"&amp;$A7,Materiales!$K$4:$K$484,0)),"")</f>
        <v/>
      </c>
      <c r="C7" s="34" t="n"/>
      <c r="D7" s="32" t="n"/>
      <c r="E7" s="34" t="n"/>
      <c r="F7" s="34" t="n"/>
      <c r="G7" s="34" t="n"/>
      <c r="H7" s="34" t="n"/>
      <c r="I7" s="34" t="n"/>
      <c r="J7" s="34" t="n"/>
      <c r="K7" s="34" t="n"/>
      <c r="L7" s="34" t="n"/>
      <c r="M7" s="35">
        <f>IF(A7="","","#"&amp;A7)</f>
        <v/>
      </c>
    </row>
    <row r="8">
      <c r="A8" s="28" t="inlineStr">
        <is>
          <t>4</t>
        </is>
      </c>
      <c r="B8" s="60">
        <f>IFERROR(INDEX(Materiales!$B$4:$B$484,MATCH("#"&amp;$A8,Materiales!$K$4:$K$484,0)),"")</f>
        <v/>
      </c>
      <c r="C8" s="34" t="n"/>
      <c r="D8" s="32" t="n"/>
      <c r="E8" s="34" t="n"/>
      <c r="F8" s="34" t="n"/>
      <c r="G8" s="34" t="n"/>
      <c r="H8" s="34" t="n"/>
      <c r="I8" s="34" t="n"/>
      <c r="J8" s="34" t="n"/>
      <c r="K8" s="34" t="n"/>
      <c r="L8" s="34" t="n"/>
      <c r="M8" s="35">
        <f>IF(A8="","","#"&amp;A8)</f>
        <v/>
      </c>
    </row>
    <row r="9">
      <c r="A9" s="28" t="inlineStr">
        <is>
          <t>5</t>
        </is>
      </c>
      <c r="B9" s="60">
        <f>IFERROR(INDEX(Materiales!$B$4:$B$484,MATCH("#"&amp;$A9,Materiales!$K$4:$K$484,0)),"")</f>
        <v/>
      </c>
      <c r="C9" s="34" t="n"/>
      <c r="D9" s="32" t="n"/>
      <c r="E9" s="34" t="n"/>
      <c r="F9" s="34" t="n"/>
      <c r="G9" s="34" t="n"/>
      <c r="H9" s="34" t="n"/>
      <c r="I9" s="34" t="n"/>
      <c r="J9" s="34" t="n"/>
      <c r="K9" s="34" t="n"/>
      <c r="L9" s="34" t="n"/>
      <c r="M9" s="35">
        <f>IF(A9="","","#"&amp;A9)</f>
        <v/>
      </c>
    </row>
    <row r="10">
      <c r="A10" s="28" t="inlineStr">
        <is>
          <t>6</t>
        </is>
      </c>
      <c r="B10" s="60">
        <f>IFERROR(INDEX(Materiales!$B$4:$B$484,MATCH("#"&amp;$A10,Materiales!$K$4:$K$484,0)),"")</f>
        <v/>
      </c>
      <c r="C10" s="34" t="n"/>
      <c r="D10" s="32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5">
        <f>IF(A10="","","#"&amp;A10)</f>
        <v/>
      </c>
    </row>
    <row r="11">
      <c r="A11" s="28" t="inlineStr">
        <is>
          <t>7</t>
        </is>
      </c>
      <c r="B11" s="60">
        <f>IFERROR(INDEX(Materiales!$B$4:$B$484,MATCH("#"&amp;$A11,Materiales!$K$4:$K$484,0)),"")</f>
        <v/>
      </c>
      <c r="C11" s="34" t="n"/>
      <c r="D11" s="32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5">
        <f>IF(A11="","","#"&amp;A11)</f>
        <v/>
      </c>
    </row>
    <row r="12">
      <c r="A12" s="28" t="inlineStr">
        <is>
          <t>8</t>
        </is>
      </c>
      <c r="B12" s="60">
        <f>IFERROR(INDEX(Materiales!$B$4:$B$484,MATCH("#"&amp;$A12,Materiales!$K$4:$K$484,0)),"")</f>
        <v/>
      </c>
      <c r="C12" s="34" t="n"/>
      <c r="D12" s="32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5">
        <f>IF(A12="","","#"&amp;A12)</f>
        <v/>
      </c>
    </row>
    <row r="13">
      <c r="A13" s="28" t="inlineStr">
        <is>
          <t>9</t>
        </is>
      </c>
      <c r="B13" s="60">
        <f>IFERROR(INDEX(Materiales!$B$4:$B$484,MATCH("#"&amp;$A13,Materiales!$K$4:$K$484,0)),"")</f>
        <v/>
      </c>
      <c r="C13" s="34" t="n"/>
      <c r="D13" s="32" t="n"/>
      <c r="E13" s="34" t="n"/>
      <c r="F13" s="34" t="n"/>
      <c r="G13" s="34" t="n"/>
      <c r="H13" s="34" t="n"/>
      <c r="I13" s="34" t="n"/>
      <c r="J13" s="34" t="n"/>
      <c r="K13" s="34" t="n"/>
      <c r="L13" s="34" t="n"/>
      <c r="M13" s="35">
        <f>IF(A13="","","#"&amp;A13)</f>
        <v/>
      </c>
    </row>
    <row r="14">
      <c r="A14" s="28" t="inlineStr">
        <is>
          <t>10</t>
        </is>
      </c>
      <c r="B14" s="60">
        <f>IFERROR(INDEX(Materiales!$B$4:$B$484,MATCH("#"&amp;$A14,Materiales!$K$4:$K$484,0)),"")</f>
        <v/>
      </c>
      <c r="C14" s="34" t="n"/>
      <c r="D14" s="32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5">
        <f>IF(A14="","","#"&amp;A14)</f>
        <v/>
      </c>
    </row>
    <row r="15">
      <c r="A15" s="28" t="inlineStr">
        <is>
          <t>11</t>
        </is>
      </c>
      <c r="B15" s="60">
        <f>IFERROR(INDEX(Materiales!$B$4:$B$484,MATCH("#"&amp;$A15,Materiales!$K$4:$K$484,0)),"")</f>
        <v/>
      </c>
      <c r="C15" s="34" t="n"/>
      <c r="D15" s="32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5">
        <f>IF(A15="","","#"&amp;A15)</f>
        <v/>
      </c>
    </row>
    <row r="16">
      <c r="A16" s="28" t="inlineStr">
        <is>
          <t>12</t>
        </is>
      </c>
      <c r="B16" s="60">
        <f>IFERROR(INDEX(Materiales!$B$4:$B$484,MATCH("#"&amp;$A16,Materiales!$K$4:$K$484,0)),"")</f>
        <v/>
      </c>
      <c r="C16" s="34" t="n"/>
      <c r="D16" s="32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5">
        <f>IF(A16="","","#"&amp;A16)</f>
        <v/>
      </c>
    </row>
    <row r="17">
      <c r="A17" s="28" t="inlineStr">
        <is>
          <t>13</t>
        </is>
      </c>
      <c r="B17" s="60">
        <f>IFERROR(INDEX(Materiales!$B$4:$B$484,MATCH("#"&amp;$A17,Materiales!$K$4:$K$484,0)),"")</f>
        <v/>
      </c>
      <c r="C17" s="34" t="n"/>
      <c r="D17" s="32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5">
        <f>IF(A17="","","#"&amp;A17)</f>
        <v/>
      </c>
    </row>
    <row r="18">
      <c r="A18" s="28" t="inlineStr">
        <is>
          <t>14</t>
        </is>
      </c>
      <c r="B18" s="60">
        <f>IFERROR(INDEX(Materiales!$B$4:$B$484,MATCH("#"&amp;$A18,Materiales!$K$4:$K$484,0)),"")</f>
        <v/>
      </c>
      <c r="C18" s="34" t="n"/>
      <c r="D18" s="32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5">
        <f>IF(A18="","","#"&amp;A18)</f>
        <v/>
      </c>
    </row>
    <row r="19">
      <c r="A19" s="28" t="inlineStr">
        <is>
          <t>15</t>
        </is>
      </c>
      <c r="B19" s="60">
        <f>IFERROR(INDEX(Materiales!$B$4:$B$484,MATCH("#"&amp;$A19,Materiales!$K$4:$K$484,0)),"")</f>
        <v/>
      </c>
      <c r="C19" s="34" t="n"/>
      <c r="D19" s="32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5">
        <f>IF(A19="","","#"&amp;A19)</f>
        <v/>
      </c>
    </row>
    <row r="20">
      <c r="A20" s="28" t="inlineStr">
        <is>
          <t>16</t>
        </is>
      </c>
      <c r="B20" s="60">
        <f>IFERROR(INDEX(Materiales!$B$4:$B$484,MATCH("#"&amp;$A20,Materiales!$K$4:$K$484,0)),"")</f>
        <v/>
      </c>
      <c r="C20" s="34" t="n"/>
      <c r="D20" s="32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5">
        <f>IF(A20="","","#"&amp;A20)</f>
        <v/>
      </c>
    </row>
    <row r="21">
      <c r="A21" s="28" t="inlineStr">
        <is>
          <t>17</t>
        </is>
      </c>
      <c r="B21" s="60">
        <f>IFERROR(INDEX(Materiales!$B$4:$B$484,MATCH("#"&amp;$A21,Materiales!$K$4:$K$484,0)),"")</f>
        <v/>
      </c>
      <c r="C21" s="34" t="n"/>
      <c r="D21" s="32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5">
        <f>IF(A21="","","#"&amp;A21)</f>
        <v/>
      </c>
    </row>
    <row r="22">
      <c r="A22" s="28" t="inlineStr">
        <is>
          <t>18</t>
        </is>
      </c>
      <c r="B22" s="60">
        <f>IFERROR(INDEX(Materiales!$B$4:$B$484,MATCH("#"&amp;$A22,Materiales!$K$4:$K$484,0)),"")</f>
        <v/>
      </c>
      <c r="C22" s="34" t="n"/>
      <c r="D22" s="32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5">
        <f>IF(A22="","","#"&amp;A22)</f>
        <v/>
      </c>
    </row>
    <row r="23">
      <c r="A23" s="28" t="inlineStr">
        <is>
          <t>19</t>
        </is>
      </c>
      <c r="B23" s="60">
        <f>IFERROR(INDEX(Materiales!$B$4:$B$484,MATCH("#"&amp;$A23,Materiales!$K$4:$K$484,0)),"")</f>
        <v/>
      </c>
      <c r="C23" s="34" t="n"/>
      <c r="D23" s="32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5">
        <f>IF(A23="","","#"&amp;A23)</f>
        <v/>
      </c>
    </row>
    <row r="24">
      <c r="A24" s="28" t="inlineStr">
        <is>
          <t>20</t>
        </is>
      </c>
      <c r="B24" s="60">
        <f>IFERROR(INDEX(Materiales!$B$4:$B$484,MATCH("#"&amp;$A24,Materiales!$K$4:$K$484,0)),"")</f>
        <v/>
      </c>
      <c r="C24" s="34" t="n"/>
      <c r="D24" s="32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5">
        <f>IF(A24="","","#"&amp;A24)</f>
        <v/>
      </c>
    </row>
    <row r="25">
      <c r="A25" s="28" t="inlineStr">
        <is>
          <t>21</t>
        </is>
      </c>
      <c r="B25" s="60">
        <f>IFERROR(INDEX(Materiales!$B$4:$B$484,MATCH("#"&amp;$A25,Materiales!$K$4:$K$484,0)),"")</f>
        <v/>
      </c>
      <c r="C25" s="34" t="n"/>
      <c r="D25" s="32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5">
        <f>IF(A25="","","#"&amp;A25)</f>
        <v/>
      </c>
    </row>
    <row r="26">
      <c r="A26" s="28" t="inlineStr">
        <is>
          <t>22</t>
        </is>
      </c>
      <c r="B26" s="60">
        <f>IFERROR(INDEX(Materiales!$B$4:$B$484,MATCH("#"&amp;$A26,Materiales!$K$4:$K$484,0)),"")</f>
        <v/>
      </c>
      <c r="C26" s="34" t="n"/>
      <c r="D26" s="32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5">
        <f>IF(A26="","","#"&amp;A26)</f>
        <v/>
      </c>
    </row>
    <row r="27">
      <c r="A27" s="28" t="inlineStr">
        <is>
          <t>23</t>
        </is>
      </c>
      <c r="B27" s="60">
        <f>IFERROR(INDEX(Materiales!$B$4:$B$484,MATCH("#"&amp;$A27,Materiales!$K$4:$K$484,0)),"")</f>
        <v/>
      </c>
      <c r="C27" s="34" t="n"/>
      <c r="D27" s="32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5">
        <f>IF(A27="","","#"&amp;A27)</f>
        <v/>
      </c>
    </row>
    <row r="28">
      <c r="A28" s="28" t="inlineStr">
        <is>
          <t>24</t>
        </is>
      </c>
      <c r="B28" s="60">
        <f>IFERROR(INDEX(Materiales!$B$4:$B$484,MATCH("#"&amp;$A28,Materiales!$K$4:$K$484,0)),"")</f>
        <v/>
      </c>
      <c r="C28" s="34" t="n"/>
      <c r="D28" s="32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5">
        <f>IF(A28="","","#"&amp;A28)</f>
        <v/>
      </c>
    </row>
    <row r="29">
      <c r="A29" s="28" t="inlineStr">
        <is>
          <t>25</t>
        </is>
      </c>
      <c r="B29" s="60">
        <f>IFERROR(INDEX(Materiales!$B$4:$B$484,MATCH("#"&amp;$A29,Materiales!$K$4:$K$484,0)),"")</f>
        <v/>
      </c>
      <c r="C29" s="34" t="n"/>
      <c r="D29" s="32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5">
        <f>IF(A29="","","#"&amp;A29)</f>
        <v/>
      </c>
    </row>
    <row r="30">
      <c r="A30" s="28" t="inlineStr">
        <is>
          <t>26</t>
        </is>
      </c>
      <c r="B30" s="60">
        <f>IFERROR(INDEX(Materiales!$B$4:$B$484,MATCH("#"&amp;$A30,Materiales!$K$4:$K$484,0)),"")</f>
        <v/>
      </c>
      <c r="C30" s="34" t="n"/>
      <c r="D30" s="32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5">
        <f>IF(A30="","","#"&amp;A30)</f>
        <v/>
      </c>
    </row>
    <row r="31">
      <c r="A31" s="28" t="inlineStr">
        <is>
          <t>27</t>
        </is>
      </c>
      <c r="B31" s="60">
        <f>IFERROR(INDEX(Materiales!$B$4:$B$484,MATCH("#"&amp;$A31,Materiales!$K$4:$K$484,0)),"")</f>
        <v/>
      </c>
      <c r="C31" s="34" t="n"/>
      <c r="D31" s="32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5">
        <f>IF(A31="","","#"&amp;A31)</f>
        <v/>
      </c>
    </row>
    <row r="32">
      <c r="A32" s="28" t="inlineStr">
        <is>
          <t>28</t>
        </is>
      </c>
      <c r="B32" s="60">
        <f>IFERROR(INDEX(Materiales!$B$4:$B$484,MATCH("#"&amp;$A32,Materiales!$K$4:$K$484,0)),"")</f>
        <v/>
      </c>
      <c r="C32" s="34" t="n"/>
      <c r="D32" s="32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5">
        <f>IF(A32="","","#"&amp;A32)</f>
        <v/>
      </c>
    </row>
    <row r="33">
      <c r="A33" s="28" t="inlineStr">
        <is>
          <t>29</t>
        </is>
      </c>
      <c r="B33" s="60">
        <f>IFERROR(INDEX(Materiales!$B$4:$B$484,MATCH("#"&amp;$A33,Materiales!$K$4:$K$484,0)),"")</f>
        <v/>
      </c>
      <c r="C33" s="34" t="n"/>
      <c r="D33" s="32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5">
        <f>IF(A33="","","#"&amp;A33)</f>
        <v/>
      </c>
    </row>
    <row r="34">
      <c r="A34" s="28" t="inlineStr">
        <is>
          <t>30</t>
        </is>
      </c>
      <c r="B34" s="60">
        <f>IFERROR(INDEX(Materiales!$B$4:$B$484,MATCH("#"&amp;$A34,Materiales!$K$4:$K$484,0)),"")</f>
        <v/>
      </c>
      <c r="C34" s="34" t="n"/>
      <c r="D34" s="32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5">
        <f>IF(A34="","","#"&amp;A34)</f>
        <v/>
      </c>
    </row>
    <row r="35">
      <c r="A35" s="28" t="inlineStr">
        <is>
          <t>31</t>
        </is>
      </c>
      <c r="B35" s="60">
        <f>IFERROR(INDEX(Materiales!$B$4:$B$484,MATCH("#"&amp;$A35,Materiales!$K$4:$K$484,0)),"")</f>
        <v/>
      </c>
      <c r="C35" s="34" t="n"/>
      <c r="D35" s="32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5">
        <f>IF(A35="","","#"&amp;A35)</f>
        <v/>
      </c>
    </row>
    <row r="36">
      <c r="A36" s="28" t="inlineStr">
        <is>
          <t>32</t>
        </is>
      </c>
      <c r="B36" s="60">
        <f>IFERROR(INDEX(Materiales!$B$4:$B$484,MATCH("#"&amp;$A36,Materiales!$K$4:$K$484,0)),"")</f>
        <v/>
      </c>
      <c r="C36" s="34" t="n"/>
      <c r="D36" s="32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5">
        <f>IF(A36="","","#"&amp;A36)</f>
        <v/>
      </c>
    </row>
    <row r="37">
      <c r="A37" s="28" t="inlineStr">
        <is>
          <t>33</t>
        </is>
      </c>
      <c r="B37" s="60">
        <f>IFERROR(INDEX(Materiales!$B$4:$B$484,MATCH("#"&amp;$A37,Materiales!$K$4:$K$484,0)),"")</f>
        <v/>
      </c>
      <c r="C37" s="34" t="n"/>
      <c r="D37" s="32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5">
        <f>IF(A37="","","#"&amp;A37)</f>
        <v/>
      </c>
    </row>
    <row r="38">
      <c r="A38" s="28" t="inlineStr">
        <is>
          <t>34</t>
        </is>
      </c>
      <c r="B38" s="60">
        <f>IFERROR(INDEX(Materiales!$B$4:$B$484,MATCH("#"&amp;$A38,Materiales!$K$4:$K$484,0)),"")</f>
        <v/>
      </c>
      <c r="C38" s="34" t="n"/>
      <c r="D38" s="32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5">
        <f>IF(A38="","","#"&amp;A38)</f>
        <v/>
      </c>
    </row>
    <row r="39">
      <c r="A39" s="28" t="inlineStr">
        <is>
          <t>35</t>
        </is>
      </c>
      <c r="B39" s="60">
        <f>IFERROR(INDEX(Materiales!$B$4:$B$484,MATCH("#"&amp;$A39,Materiales!$K$4:$K$484,0)),"")</f>
        <v/>
      </c>
      <c r="C39" s="34" t="n"/>
      <c r="D39" s="32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5">
        <f>IF(A39="","","#"&amp;A39)</f>
        <v/>
      </c>
    </row>
    <row r="40">
      <c r="A40" s="28" t="inlineStr">
        <is>
          <t>36</t>
        </is>
      </c>
      <c r="B40" s="60">
        <f>IFERROR(INDEX(Materiales!$B$4:$B$484,MATCH("#"&amp;$A40,Materiales!$K$4:$K$484,0)),"")</f>
        <v/>
      </c>
      <c r="C40" s="34" t="n"/>
      <c r="D40" s="32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5">
        <f>IF(A40="","","#"&amp;A40)</f>
        <v/>
      </c>
    </row>
    <row r="41">
      <c r="A41" s="28" t="inlineStr">
        <is>
          <t>37</t>
        </is>
      </c>
      <c r="B41" s="60">
        <f>IFERROR(INDEX(Materiales!$B$4:$B$484,MATCH("#"&amp;$A41,Materiales!$K$4:$K$484,0)),"")</f>
        <v/>
      </c>
      <c r="C41" s="34" t="n"/>
      <c r="D41" s="32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5">
        <f>IF(A41="","","#"&amp;A41)</f>
        <v/>
      </c>
    </row>
    <row r="42">
      <c r="A42" s="28" t="inlineStr">
        <is>
          <t>38</t>
        </is>
      </c>
      <c r="B42" s="60">
        <f>IFERROR(INDEX(Materiales!$B$4:$B$484,MATCH("#"&amp;$A42,Materiales!$K$4:$K$484,0)),"")</f>
        <v/>
      </c>
      <c r="C42" s="34" t="n"/>
      <c r="D42" s="32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5">
        <f>IF(A42="","","#"&amp;A42)</f>
        <v/>
      </c>
    </row>
    <row r="43">
      <c r="A43" s="28" t="inlineStr">
        <is>
          <t>39</t>
        </is>
      </c>
      <c r="B43" s="60">
        <f>IFERROR(INDEX(Materiales!$B$4:$B$484,MATCH("#"&amp;$A43,Materiales!$K$4:$K$484,0)),"")</f>
        <v/>
      </c>
      <c r="C43" s="34" t="n"/>
      <c r="D43" s="32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5">
        <f>IF(A43="","","#"&amp;A43)</f>
        <v/>
      </c>
    </row>
    <row r="44">
      <c r="A44" s="28" t="inlineStr">
        <is>
          <t>40</t>
        </is>
      </c>
      <c r="B44" s="60">
        <f>IFERROR(INDEX(Materiales!$B$4:$B$484,MATCH("#"&amp;$A44,Materiales!$K$4:$K$484,0)),"")</f>
        <v/>
      </c>
      <c r="C44" s="34" t="n"/>
      <c r="D44" s="32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5">
        <f>IF(A44="","","#"&amp;A44)</f>
        <v/>
      </c>
    </row>
    <row r="45">
      <c r="A45" s="28" t="inlineStr">
        <is>
          <t>41</t>
        </is>
      </c>
      <c r="B45" s="60">
        <f>IFERROR(INDEX(Materiales!$B$4:$B$484,MATCH("#"&amp;$A45,Materiales!$K$4:$K$484,0)),"")</f>
        <v/>
      </c>
      <c r="C45" s="34" t="n"/>
      <c r="D45" s="32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5">
        <f>IF(A45="","","#"&amp;A45)</f>
        <v/>
      </c>
    </row>
    <row r="46">
      <c r="A46" s="28" t="inlineStr">
        <is>
          <t>42</t>
        </is>
      </c>
      <c r="B46" s="60">
        <f>IFERROR(INDEX(Materiales!$B$4:$B$484,MATCH("#"&amp;$A46,Materiales!$K$4:$K$484,0)),"")</f>
        <v/>
      </c>
      <c r="C46" s="34" t="n"/>
      <c r="D46" s="32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5">
        <f>IF(A46="","","#"&amp;A46)</f>
        <v/>
      </c>
    </row>
    <row r="47">
      <c r="A47" s="28" t="inlineStr">
        <is>
          <t>43</t>
        </is>
      </c>
      <c r="B47" s="60">
        <f>IFERROR(INDEX(Materiales!$B$4:$B$484,MATCH("#"&amp;$A47,Materiales!$K$4:$K$484,0)),"")</f>
        <v/>
      </c>
      <c r="C47" s="34" t="n"/>
      <c r="D47" s="32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5">
        <f>IF(A47="","","#"&amp;A47)</f>
        <v/>
      </c>
    </row>
    <row r="48">
      <c r="A48" s="28" t="inlineStr">
        <is>
          <t>44</t>
        </is>
      </c>
      <c r="B48" s="60">
        <f>IFERROR(INDEX(Materiales!$B$4:$B$484,MATCH("#"&amp;$A48,Materiales!$K$4:$K$484,0)),"")</f>
        <v/>
      </c>
      <c r="C48" s="34" t="n"/>
      <c r="D48" s="32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5">
        <f>IF(A48="","","#"&amp;A48)</f>
        <v/>
      </c>
    </row>
    <row r="49">
      <c r="A49" s="28" t="inlineStr">
        <is>
          <t>45</t>
        </is>
      </c>
      <c r="B49" s="60">
        <f>IFERROR(INDEX(Materiales!$B$4:$B$484,MATCH("#"&amp;$A49,Materiales!$K$4:$K$484,0)),"")</f>
        <v/>
      </c>
      <c r="C49" s="34" t="n"/>
      <c r="D49" s="32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5">
        <f>IF(A49="","","#"&amp;A49)</f>
        <v/>
      </c>
    </row>
    <row r="50">
      <c r="A50" s="28" t="inlineStr">
        <is>
          <t>46</t>
        </is>
      </c>
      <c r="B50" s="60">
        <f>IFERROR(INDEX(Materiales!$B$4:$B$484,MATCH("#"&amp;$A50,Materiales!$K$4:$K$484,0)),"")</f>
        <v/>
      </c>
      <c r="C50" s="34" t="n"/>
      <c r="D50" s="32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5">
        <f>IF(A50="","","#"&amp;A50)</f>
        <v/>
      </c>
    </row>
    <row r="51">
      <c r="A51" s="28" t="inlineStr">
        <is>
          <t>47</t>
        </is>
      </c>
      <c r="B51" s="60">
        <f>IFERROR(INDEX(Materiales!$B$4:$B$484,MATCH("#"&amp;$A51,Materiales!$K$4:$K$484,0)),"")</f>
        <v/>
      </c>
      <c r="C51" s="34" t="n"/>
      <c r="D51" s="32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5">
        <f>IF(A51="","","#"&amp;A51)</f>
        <v/>
      </c>
    </row>
    <row r="52">
      <c r="A52" s="28" t="inlineStr">
        <is>
          <t>48</t>
        </is>
      </c>
      <c r="B52" s="60">
        <f>IFERROR(INDEX(Materiales!$B$4:$B$484,MATCH("#"&amp;$A52,Materiales!$K$4:$K$484,0)),"")</f>
        <v/>
      </c>
      <c r="C52" s="34" t="n"/>
      <c r="D52" s="32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5">
        <f>IF(A52="","","#"&amp;A52)</f>
        <v/>
      </c>
    </row>
    <row r="53">
      <c r="A53" s="28" t="inlineStr">
        <is>
          <t>49</t>
        </is>
      </c>
      <c r="B53" s="60">
        <f>IFERROR(INDEX(Materiales!$B$4:$B$484,MATCH("#"&amp;$A53,Materiales!$K$4:$K$484,0)),"")</f>
        <v/>
      </c>
      <c r="C53" s="34" t="n"/>
      <c r="D53" s="32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5">
        <f>IF(A53="","","#"&amp;A53)</f>
        <v/>
      </c>
    </row>
    <row r="54">
      <c r="A54" s="28" t="inlineStr">
        <is>
          <t>50</t>
        </is>
      </c>
      <c r="B54" s="60">
        <f>IFERROR(INDEX(Materiales!$B$4:$B$484,MATCH("#"&amp;$A54,Materiales!$K$4:$K$484,0)),"")</f>
        <v/>
      </c>
      <c r="C54" s="34" t="n"/>
      <c r="D54" s="32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5">
        <f>IF(A54="","","#"&amp;A54)</f>
        <v/>
      </c>
    </row>
    <row r="55">
      <c r="A55" s="28" t="inlineStr">
        <is>
          <t>51</t>
        </is>
      </c>
      <c r="B55" s="60">
        <f>IFERROR(INDEX(Materiales!$B$4:$B$484,MATCH("#"&amp;$A55,Materiales!$K$4:$K$484,0)),"")</f>
        <v/>
      </c>
      <c r="C55" s="34" t="n"/>
      <c r="D55" s="32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5">
        <f>IF(A55="","","#"&amp;A55)</f>
        <v/>
      </c>
    </row>
    <row r="56">
      <c r="A56" s="28" t="inlineStr">
        <is>
          <t>52</t>
        </is>
      </c>
      <c r="B56" s="60">
        <f>IFERROR(INDEX(Materiales!$B$4:$B$484,MATCH("#"&amp;$A56,Materiales!$K$4:$K$484,0)),"")</f>
        <v/>
      </c>
      <c r="C56" s="34" t="n"/>
      <c r="D56" s="32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5">
        <f>IF(A56="","","#"&amp;A56)</f>
        <v/>
      </c>
    </row>
    <row r="57">
      <c r="A57" s="28" t="inlineStr">
        <is>
          <t>53</t>
        </is>
      </c>
      <c r="B57" s="60">
        <f>IFERROR(INDEX(Materiales!$B$4:$B$484,MATCH("#"&amp;$A57,Materiales!$K$4:$K$484,0)),"")</f>
        <v/>
      </c>
      <c r="C57" s="34" t="n"/>
      <c r="D57" s="32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5">
        <f>IF(A57="","","#"&amp;A57)</f>
        <v/>
      </c>
    </row>
    <row r="58">
      <c r="A58" s="28" t="inlineStr">
        <is>
          <t>54</t>
        </is>
      </c>
      <c r="B58" s="60">
        <f>IFERROR(INDEX(Materiales!$B$4:$B$484,MATCH("#"&amp;$A58,Materiales!$K$4:$K$484,0)),"")</f>
        <v/>
      </c>
      <c r="C58" s="34" t="n"/>
      <c r="D58" s="32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5">
        <f>IF(A58="","","#"&amp;A58)</f>
        <v/>
      </c>
    </row>
    <row r="59">
      <c r="A59" s="28" t="inlineStr">
        <is>
          <t>55</t>
        </is>
      </c>
      <c r="B59" s="60">
        <f>IFERROR(INDEX(Materiales!$B$4:$B$484,MATCH("#"&amp;$A59,Materiales!$K$4:$K$484,0)),"")</f>
        <v/>
      </c>
      <c r="C59" s="34" t="n"/>
      <c r="D59" s="32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5">
        <f>IF(A59="","","#"&amp;A59)</f>
        <v/>
      </c>
    </row>
    <row r="60">
      <c r="A60" s="28" t="inlineStr">
        <is>
          <t>56</t>
        </is>
      </c>
      <c r="B60" s="60">
        <f>IFERROR(INDEX(Materiales!$B$4:$B$484,MATCH("#"&amp;$A60,Materiales!$K$4:$K$484,0)),"")</f>
        <v/>
      </c>
      <c r="C60" s="34" t="n"/>
      <c r="D60" s="32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5">
        <f>IF(A60="","","#"&amp;A60)</f>
        <v/>
      </c>
    </row>
    <row r="61">
      <c r="A61" s="28" t="inlineStr">
        <is>
          <t>57</t>
        </is>
      </c>
      <c r="B61" s="60">
        <f>IFERROR(INDEX(Materiales!$B$4:$B$484,MATCH("#"&amp;$A61,Materiales!$K$4:$K$484,0)),"")</f>
        <v/>
      </c>
      <c r="C61" s="34" t="n"/>
      <c r="D61" s="32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5">
        <f>IF(A61="","","#"&amp;A61)</f>
        <v/>
      </c>
    </row>
    <row r="62">
      <c r="A62" s="28" t="inlineStr">
        <is>
          <t>58</t>
        </is>
      </c>
      <c r="B62" s="60">
        <f>IFERROR(INDEX(Materiales!$B$4:$B$484,MATCH("#"&amp;$A62,Materiales!$K$4:$K$484,0)),"")</f>
        <v/>
      </c>
      <c r="C62" s="34" t="n"/>
      <c r="D62" s="32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5">
        <f>IF(A62="","","#"&amp;A62)</f>
        <v/>
      </c>
    </row>
    <row r="63">
      <c r="A63" s="28" t="inlineStr">
        <is>
          <t>59</t>
        </is>
      </c>
      <c r="B63" s="60">
        <f>IFERROR(INDEX(Materiales!$B$4:$B$484,MATCH("#"&amp;$A63,Materiales!$K$4:$K$484,0)),"")</f>
        <v/>
      </c>
      <c r="C63" s="34" t="n"/>
      <c r="D63" s="32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5">
        <f>IF(A63="","","#"&amp;A63)</f>
        <v/>
      </c>
    </row>
    <row r="64">
      <c r="A64" s="28" t="inlineStr">
        <is>
          <t>60</t>
        </is>
      </c>
      <c r="B64" s="60">
        <f>IFERROR(INDEX(Materiales!$B$4:$B$484,MATCH("#"&amp;$A64,Materiales!$K$4:$K$484,0)),"")</f>
        <v/>
      </c>
      <c r="C64" s="34" t="n"/>
      <c r="D64" s="32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5">
        <f>IF(A64="","","#"&amp;A64)</f>
        <v/>
      </c>
    </row>
    <row r="65">
      <c r="A65" s="28" t="inlineStr">
        <is>
          <t>61</t>
        </is>
      </c>
      <c r="B65" s="60">
        <f>IFERROR(INDEX(Materiales!$B$4:$B$484,MATCH("#"&amp;$A65,Materiales!$K$4:$K$484,0)),"")</f>
        <v/>
      </c>
      <c r="C65" s="34" t="n"/>
      <c r="D65" s="32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5">
        <f>IF(A65="","","#"&amp;A65)</f>
        <v/>
      </c>
    </row>
    <row r="66">
      <c r="A66" s="28" t="inlineStr">
        <is>
          <t>62</t>
        </is>
      </c>
      <c r="B66" s="60">
        <f>IFERROR(INDEX(Materiales!$B$4:$B$484,MATCH("#"&amp;$A66,Materiales!$K$4:$K$484,0)),"")</f>
        <v/>
      </c>
      <c r="C66" s="34" t="n"/>
      <c r="D66" s="32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5">
        <f>IF(A66="","","#"&amp;A66)</f>
        <v/>
      </c>
    </row>
    <row r="67">
      <c r="A67" s="28" t="inlineStr">
        <is>
          <t>63</t>
        </is>
      </c>
      <c r="B67" s="60">
        <f>IFERROR(INDEX(Materiales!$B$4:$B$484,MATCH("#"&amp;$A67,Materiales!$K$4:$K$484,0)),"")</f>
        <v/>
      </c>
      <c r="C67" s="34" t="n"/>
      <c r="D67" s="32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5">
        <f>IF(A67="","","#"&amp;A67)</f>
        <v/>
      </c>
    </row>
    <row r="68">
      <c r="A68" s="28" t="inlineStr">
        <is>
          <t>64</t>
        </is>
      </c>
      <c r="B68" s="60">
        <f>IFERROR(INDEX(Materiales!$B$4:$B$484,MATCH("#"&amp;$A68,Materiales!$K$4:$K$484,0)),"")</f>
        <v/>
      </c>
      <c r="C68" s="34" t="n"/>
      <c r="D68" s="32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5">
        <f>IF(A68="","","#"&amp;A68)</f>
        <v/>
      </c>
    </row>
    <row r="69">
      <c r="A69" s="28" t="inlineStr">
        <is>
          <t>65</t>
        </is>
      </c>
      <c r="B69" s="60">
        <f>IFERROR(INDEX(Materiales!$B$4:$B$484,MATCH("#"&amp;$A69,Materiales!$K$4:$K$484,0)),"")</f>
        <v/>
      </c>
      <c r="C69" s="34" t="n"/>
      <c r="D69" s="32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5">
        <f>IF(A69="","","#"&amp;A69)</f>
        <v/>
      </c>
    </row>
    <row r="70">
      <c r="A70" s="28" t="inlineStr">
        <is>
          <t>66</t>
        </is>
      </c>
      <c r="B70" s="60">
        <f>IFERROR(INDEX(Materiales!$B$4:$B$484,MATCH("#"&amp;$A70,Materiales!$K$4:$K$484,0)),"")</f>
        <v/>
      </c>
      <c r="C70" s="34" t="n"/>
      <c r="D70" s="32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5">
        <f>IF(A70="","","#"&amp;A70)</f>
        <v/>
      </c>
    </row>
    <row r="71">
      <c r="A71" s="28" t="inlineStr">
        <is>
          <t>67</t>
        </is>
      </c>
      <c r="B71" s="60">
        <f>IFERROR(INDEX(Materiales!$B$4:$B$484,MATCH("#"&amp;$A71,Materiales!$K$4:$K$484,0)),"")</f>
        <v/>
      </c>
      <c r="C71" s="34" t="n"/>
      <c r="D71" s="32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5">
        <f>IF(A71="","","#"&amp;A71)</f>
        <v/>
      </c>
    </row>
    <row r="72">
      <c r="A72" s="28" t="inlineStr">
        <is>
          <t>68</t>
        </is>
      </c>
      <c r="B72" s="60">
        <f>IFERROR(INDEX(Materiales!$B$4:$B$484,MATCH("#"&amp;$A72,Materiales!$K$4:$K$484,0)),"")</f>
        <v/>
      </c>
      <c r="C72" s="34" t="n"/>
      <c r="D72" s="32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5">
        <f>IF(A72="","","#"&amp;A72)</f>
        <v/>
      </c>
    </row>
    <row r="73">
      <c r="A73" s="28" t="inlineStr">
        <is>
          <t>69</t>
        </is>
      </c>
      <c r="B73" s="60">
        <f>IFERROR(INDEX(Materiales!$B$4:$B$484,MATCH("#"&amp;$A73,Materiales!$K$4:$K$484,0)),"")</f>
        <v/>
      </c>
      <c r="C73" s="34" t="n"/>
      <c r="D73" s="32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5">
        <f>IF(A73="","","#"&amp;A73)</f>
        <v/>
      </c>
    </row>
    <row r="74">
      <c r="A74" s="28" t="inlineStr">
        <is>
          <t>70</t>
        </is>
      </c>
      <c r="B74" s="60">
        <f>IFERROR(INDEX(Materiales!$B$4:$B$484,MATCH("#"&amp;$A74,Materiales!$K$4:$K$484,0)),"")</f>
        <v/>
      </c>
      <c r="C74" s="34" t="n"/>
      <c r="D74" s="32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5">
        <f>IF(A74="","","#"&amp;A74)</f>
        <v/>
      </c>
    </row>
    <row r="75">
      <c r="A75" s="28" t="inlineStr">
        <is>
          <t>71</t>
        </is>
      </c>
      <c r="B75" s="60">
        <f>IFERROR(INDEX(Materiales!$B$4:$B$484,MATCH("#"&amp;$A75,Materiales!$K$4:$K$484,0)),"")</f>
        <v/>
      </c>
      <c r="C75" s="34" t="n"/>
      <c r="D75" s="32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5">
        <f>IF(A75="","","#"&amp;A75)</f>
        <v/>
      </c>
    </row>
    <row r="76">
      <c r="A76" s="28" t="inlineStr">
        <is>
          <t>72</t>
        </is>
      </c>
      <c r="B76" s="60">
        <f>IFERROR(INDEX(Materiales!$B$4:$B$484,MATCH("#"&amp;$A76,Materiales!$K$4:$K$484,0)),"")</f>
        <v/>
      </c>
      <c r="C76" s="34" t="n"/>
      <c r="D76" s="32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5">
        <f>IF(A76="","","#"&amp;A76)</f>
        <v/>
      </c>
    </row>
    <row r="77">
      <c r="A77" s="28" t="inlineStr">
        <is>
          <t>73</t>
        </is>
      </c>
      <c r="B77" s="60">
        <f>IFERROR(INDEX(Materiales!$B$4:$B$484,MATCH("#"&amp;$A77,Materiales!$K$4:$K$484,0)),"")</f>
        <v/>
      </c>
      <c r="C77" s="34" t="n"/>
      <c r="D77" s="32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5">
        <f>IF(A77="","","#"&amp;A77)</f>
        <v/>
      </c>
    </row>
    <row r="78">
      <c r="A78" s="28" t="inlineStr">
        <is>
          <t>74</t>
        </is>
      </c>
      <c r="B78" s="60">
        <f>IFERROR(INDEX(Materiales!$B$4:$B$484,MATCH("#"&amp;$A78,Materiales!$K$4:$K$484,0)),"")</f>
        <v/>
      </c>
      <c r="C78" s="34" t="n"/>
      <c r="D78" s="32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5">
        <f>IF(A78="","","#"&amp;A78)</f>
        <v/>
      </c>
    </row>
    <row r="79">
      <c r="A79" s="28" t="inlineStr">
        <is>
          <t>75</t>
        </is>
      </c>
      <c r="B79" s="60">
        <f>IFERROR(INDEX(Materiales!$B$4:$B$484,MATCH("#"&amp;$A79,Materiales!$K$4:$K$484,0)),"")</f>
        <v/>
      </c>
      <c r="C79" s="34" t="n"/>
      <c r="D79" s="32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5">
        <f>IF(A79="","","#"&amp;A79)</f>
        <v/>
      </c>
    </row>
    <row r="80">
      <c r="A80" s="28" t="inlineStr">
        <is>
          <t>76</t>
        </is>
      </c>
      <c r="B80" s="60">
        <f>IFERROR(INDEX(Materiales!$B$4:$B$484,MATCH("#"&amp;$A80,Materiales!$K$4:$K$484,0)),"")</f>
        <v/>
      </c>
      <c r="C80" s="34" t="n"/>
      <c r="D80" s="32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5">
        <f>IF(A80="","","#"&amp;A80)</f>
        <v/>
      </c>
    </row>
    <row r="81">
      <c r="A81" s="28" t="inlineStr">
        <is>
          <t>77</t>
        </is>
      </c>
      <c r="B81" s="60">
        <f>IFERROR(INDEX(Materiales!$B$4:$B$484,MATCH("#"&amp;$A81,Materiales!$K$4:$K$484,0)),"")</f>
        <v/>
      </c>
      <c r="C81" s="34" t="n"/>
      <c r="D81" s="32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5">
        <f>IF(A81="","","#"&amp;A81)</f>
        <v/>
      </c>
    </row>
    <row r="82">
      <c r="A82" s="28" t="inlineStr">
        <is>
          <t>78</t>
        </is>
      </c>
      <c r="B82" s="60">
        <f>IFERROR(INDEX(Materiales!$B$4:$B$484,MATCH("#"&amp;$A82,Materiales!$K$4:$K$484,0)),"")</f>
        <v/>
      </c>
      <c r="C82" s="34" t="n"/>
      <c r="D82" s="32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5">
        <f>IF(A82="","","#"&amp;A82)</f>
        <v/>
      </c>
    </row>
    <row r="83">
      <c r="A83" s="28" t="inlineStr">
        <is>
          <t>79</t>
        </is>
      </c>
      <c r="B83" s="60">
        <f>IFERROR(INDEX(Materiales!$B$4:$B$484,MATCH("#"&amp;$A83,Materiales!$K$4:$K$484,0)),"")</f>
        <v/>
      </c>
      <c r="C83" s="34" t="n"/>
      <c r="D83" s="32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5">
        <f>IF(A83="","","#"&amp;A83)</f>
        <v/>
      </c>
    </row>
    <row r="84">
      <c r="A84" s="28" t="inlineStr">
        <is>
          <t>80</t>
        </is>
      </c>
      <c r="B84" s="60">
        <f>IFERROR(INDEX(Materiales!$B$4:$B$484,MATCH("#"&amp;$A84,Materiales!$K$4:$K$484,0)),"")</f>
        <v/>
      </c>
      <c r="C84" s="34" t="n"/>
      <c r="D84" s="32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5">
        <f>IF(A84="","","#"&amp;A84)</f>
        <v/>
      </c>
    </row>
    <row r="85">
      <c r="A85" s="28" t="inlineStr">
        <is>
          <t>81</t>
        </is>
      </c>
      <c r="B85" s="60">
        <f>IFERROR(INDEX(Materiales!$B$4:$B$484,MATCH("#"&amp;$A85,Materiales!$K$4:$K$484,0)),"")</f>
        <v/>
      </c>
      <c r="C85" s="34" t="n"/>
      <c r="D85" s="32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5">
        <f>IF(A85="","","#"&amp;A85)</f>
        <v/>
      </c>
    </row>
    <row r="86">
      <c r="A86" s="28" t="inlineStr">
        <is>
          <t>82</t>
        </is>
      </c>
      <c r="B86" s="60">
        <f>IFERROR(INDEX(Materiales!$B$4:$B$484,MATCH("#"&amp;$A86,Materiales!$K$4:$K$484,0)),"")</f>
        <v/>
      </c>
      <c r="C86" s="34" t="n"/>
      <c r="D86" s="32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5">
        <f>IF(A86="","","#"&amp;A86)</f>
        <v/>
      </c>
    </row>
    <row r="87">
      <c r="A87" s="28" t="inlineStr">
        <is>
          <t>83</t>
        </is>
      </c>
      <c r="B87" s="60">
        <f>IFERROR(INDEX(Materiales!$B$4:$B$484,MATCH("#"&amp;$A87,Materiales!$K$4:$K$484,0)),"")</f>
        <v/>
      </c>
      <c r="C87" s="34" t="n"/>
      <c r="D87" s="32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5">
        <f>IF(A87="","","#"&amp;A87)</f>
        <v/>
      </c>
    </row>
    <row r="88">
      <c r="A88" s="28" t="inlineStr">
        <is>
          <t>84</t>
        </is>
      </c>
      <c r="B88" s="60">
        <f>IFERROR(INDEX(Materiales!$B$4:$B$484,MATCH("#"&amp;$A88,Materiales!$K$4:$K$484,0)),"")</f>
        <v/>
      </c>
      <c r="C88" s="34" t="n"/>
      <c r="D88" s="32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5">
        <f>IF(A88="","","#"&amp;A88)</f>
        <v/>
      </c>
    </row>
    <row r="89">
      <c r="A89" s="28" t="inlineStr">
        <is>
          <t>85</t>
        </is>
      </c>
      <c r="B89" s="60">
        <f>IFERROR(INDEX(Materiales!$B$4:$B$484,MATCH("#"&amp;$A89,Materiales!$K$4:$K$484,0)),"")</f>
        <v/>
      </c>
      <c r="C89" s="34" t="n"/>
      <c r="D89" s="32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5">
        <f>IF(A89="","","#"&amp;A89)</f>
        <v/>
      </c>
    </row>
    <row r="90">
      <c r="A90" s="28" t="inlineStr">
        <is>
          <t>86</t>
        </is>
      </c>
      <c r="B90" s="60">
        <f>IFERROR(INDEX(Materiales!$B$4:$B$484,MATCH("#"&amp;$A90,Materiales!$K$4:$K$484,0)),"")</f>
        <v/>
      </c>
      <c r="C90" s="34" t="n"/>
      <c r="D90" s="32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5">
        <f>IF(A90="","","#"&amp;A90)</f>
        <v/>
      </c>
    </row>
    <row r="91">
      <c r="A91" s="28" t="inlineStr">
        <is>
          <t>87</t>
        </is>
      </c>
      <c r="B91" s="60">
        <f>IFERROR(INDEX(Materiales!$B$4:$B$484,MATCH("#"&amp;$A91,Materiales!$K$4:$K$484,0)),"")</f>
        <v/>
      </c>
      <c r="C91" s="34" t="n"/>
      <c r="D91" s="32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5">
        <f>IF(A91="","","#"&amp;A91)</f>
        <v/>
      </c>
    </row>
    <row r="92">
      <c r="A92" s="28" t="inlineStr">
        <is>
          <t>88</t>
        </is>
      </c>
      <c r="B92" s="60">
        <f>IFERROR(INDEX(Materiales!$B$4:$B$484,MATCH("#"&amp;$A92,Materiales!$K$4:$K$484,0)),"")</f>
        <v/>
      </c>
      <c r="C92" s="34" t="n"/>
      <c r="D92" s="32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5">
        <f>IF(A92="","","#"&amp;A92)</f>
        <v/>
      </c>
    </row>
    <row r="93">
      <c r="A93" s="28" t="inlineStr">
        <is>
          <t>89</t>
        </is>
      </c>
      <c r="B93" s="60">
        <f>IFERROR(INDEX(Materiales!$B$4:$B$484,MATCH("#"&amp;$A93,Materiales!$K$4:$K$484,0)),"")</f>
        <v/>
      </c>
      <c r="C93" s="34" t="n"/>
      <c r="D93" s="32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5">
        <f>IF(A93="","","#"&amp;A93)</f>
        <v/>
      </c>
    </row>
    <row r="94">
      <c r="A94" s="28" t="inlineStr">
        <is>
          <t>90</t>
        </is>
      </c>
      <c r="B94" s="60">
        <f>IFERROR(INDEX(Materiales!$B$4:$B$484,MATCH("#"&amp;$A94,Materiales!$K$4:$K$484,0)),"")</f>
        <v/>
      </c>
      <c r="C94" s="34" t="n"/>
      <c r="D94" s="32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5">
        <f>IF(A94="","","#"&amp;A94)</f>
        <v/>
      </c>
    </row>
    <row r="95">
      <c r="A95" s="28" t="inlineStr">
        <is>
          <t>91</t>
        </is>
      </c>
      <c r="B95" s="60">
        <f>IFERROR(INDEX(Materiales!$B$4:$B$484,MATCH("#"&amp;$A95,Materiales!$K$4:$K$484,0)),"")</f>
        <v/>
      </c>
      <c r="C95" s="34" t="n"/>
      <c r="D95" s="32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5">
        <f>IF(A95="","","#"&amp;A95)</f>
        <v/>
      </c>
    </row>
    <row r="96">
      <c r="A96" s="28" t="inlineStr">
        <is>
          <t>92</t>
        </is>
      </c>
      <c r="B96" s="60">
        <f>IFERROR(INDEX(Materiales!$B$4:$B$484,MATCH("#"&amp;$A96,Materiales!$K$4:$K$484,0)),"")</f>
        <v/>
      </c>
      <c r="C96" s="34" t="n"/>
      <c r="D96" s="32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5">
        <f>IF(A96="","","#"&amp;A96)</f>
        <v/>
      </c>
    </row>
    <row r="97">
      <c r="A97" s="28" t="inlineStr">
        <is>
          <t>93</t>
        </is>
      </c>
      <c r="B97" s="60">
        <f>IFERROR(INDEX(Materiales!$B$4:$B$484,MATCH("#"&amp;$A97,Materiales!$K$4:$K$484,0)),"")</f>
        <v/>
      </c>
      <c r="C97" s="34" t="n"/>
      <c r="D97" s="32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5">
        <f>IF(A97="","","#"&amp;A97)</f>
        <v/>
      </c>
    </row>
    <row r="98">
      <c r="A98" s="28" t="inlineStr">
        <is>
          <t>94</t>
        </is>
      </c>
      <c r="B98" s="60">
        <f>IFERROR(INDEX(Materiales!$B$4:$B$484,MATCH("#"&amp;$A98,Materiales!$K$4:$K$484,0)),"")</f>
        <v/>
      </c>
      <c r="C98" s="34" t="n"/>
      <c r="D98" s="32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5">
        <f>IF(A98="","","#"&amp;A98)</f>
        <v/>
      </c>
    </row>
    <row r="99">
      <c r="A99" s="28" t="inlineStr">
        <is>
          <t>95</t>
        </is>
      </c>
      <c r="B99" s="60">
        <f>IFERROR(INDEX(Materiales!$B$4:$B$484,MATCH("#"&amp;$A99,Materiales!$K$4:$K$484,0)),"")</f>
        <v/>
      </c>
      <c r="C99" s="34" t="n"/>
      <c r="D99" s="32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5">
        <f>IF(A99="","","#"&amp;A99)</f>
        <v/>
      </c>
    </row>
    <row r="100">
      <c r="A100" s="28" t="inlineStr">
        <is>
          <t>96</t>
        </is>
      </c>
      <c r="B100" s="60">
        <f>IFERROR(INDEX(Materiales!$B$4:$B$484,MATCH("#"&amp;$A100,Materiales!$K$4:$K$484,0)),"")</f>
        <v/>
      </c>
      <c r="C100" s="34" t="n"/>
      <c r="D100" s="32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5">
        <f>IF(A100="","","#"&amp;A100)</f>
        <v/>
      </c>
    </row>
    <row r="101">
      <c r="A101" s="28" t="inlineStr">
        <is>
          <t>97</t>
        </is>
      </c>
      <c r="B101" s="60">
        <f>IFERROR(INDEX(Materiales!$B$4:$B$484,MATCH("#"&amp;$A101,Materiales!$K$4:$K$484,0)),"")</f>
        <v/>
      </c>
      <c r="C101" s="34" t="n"/>
      <c r="D101" s="32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5">
        <f>IF(A101="","","#"&amp;A101)</f>
        <v/>
      </c>
    </row>
    <row r="102">
      <c r="A102" s="28" t="inlineStr">
        <is>
          <t>98</t>
        </is>
      </c>
      <c r="B102" s="60">
        <f>IFERROR(INDEX(Materiales!$B$4:$B$484,MATCH("#"&amp;$A102,Materiales!$K$4:$K$484,0)),"")</f>
        <v/>
      </c>
      <c r="C102" s="34" t="n"/>
      <c r="D102" s="32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5">
        <f>IF(A102="","","#"&amp;A102)</f>
        <v/>
      </c>
    </row>
    <row r="103">
      <c r="A103" s="28" t="inlineStr">
        <is>
          <t>99</t>
        </is>
      </c>
      <c r="B103" s="60">
        <f>IFERROR(INDEX(Materiales!$B$4:$B$484,MATCH("#"&amp;$A103,Materiales!$K$4:$K$484,0)),"")</f>
        <v/>
      </c>
      <c r="C103" s="34" t="n"/>
      <c r="D103" s="32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5">
        <f>IF(A103="","","#"&amp;A103)</f>
        <v/>
      </c>
    </row>
    <row r="104">
      <c r="A104" s="28" t="inlineStr">
        <is>
          <t>100</t>
        </is>
      </c>
      <c r="B104" s="60">
        <f>IFERROR(INDEX(Materiales!$B$4:$B$484,MATCH("#"&amp;$A104,Materiales!$K$4:$K$484,0)),"")</f>
        <v/>
      </c>
      <c r="C104" s="34" t="n"/>
      <c r="D104" s="32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5">
        <f>IF(A104="","","#"&amp;A104)</f>
        <v/>
      </c>
    </row>
    <row r="105">
      <c r="A105" s="28" t="inlineStr">
        <is>
          <t>101</t>
        </is>
      </c>
      <c r="B105" s="60">
        <f>IFERROR(INDEX(Materiales!$B$4:$B$484,MATCH("#"&amp;$A105,Materiales!$K$4:$K$484,0)),"")</f>
        <v/>
      </c>
      <c r="C105" s="34" t="n"/>
      <c r="D105" s="32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5">
        <f>IF(A105="","","#"&amp;A105)</f>
        <v/>
      </c>
    </row>
    <row r="106">
      <c r="A106" s="28" t="inlineStr">
        <is>
          <t>102</t>
        </is>
      </c>
      <c r="B106" s="60">
        <f>IFERROR(INDEX(Materiales!$B$4:$B$484,MATCH("#"&amp;$A106,Materiales!$K$4:$K$484,0)),"")</f>
        <v/>
      </c>
      <c r="C106" s="34" t="n"/>
      <c r="D106" s="32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5">
        <f>IF(A106="","","#"&amp;A106)</f>
        <v/>
      </c>
    </row>
    <row r="107">
      <c r="A107" s="28" t="inlineStr">
        <is>
          <t>103</t>
        </is>
      </c>
      <c r="B107" s="60">
        <f>IFERROR(INDEX(Materiales!$B$4:$B$484,MATCH("#"&amp;$A107,Materiales!$K$4:$K$484,0)),"")</f>
        <v/>
      </c>
      <c r="C107" s="34" t="n"/>
      <c r="D107" s="32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5">
        <f>IF(A107="","","#"&amp;A107)</f>
        <v/>
      </c>
    </row>
    <row r="108">
      <c r="A108" s="28" t="inlineStr">
        <is>
          <t>104</t>
        </is>
      </c>
      <c r="B108" s="60">
        <f>IFERROR(INDEX(Materiales!$B$4:$B$484,MATCH("#"&amp;$A108,Materiales!$K$4:$K$484,0)),"")</f>
        <v/>
      </c>
      <c r="C108" s="34" t="n"/>
      <c r="D108" s="32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5">
        <f>IF(A108="","","#"&amp;A108)</f>
        <v/>
      </c>
    </row>
    <row r="109">
      <c r="A109" s="28" t="inlineStr">
        <is>
          <t>105</t>
        </is>
      </c>
      <c r="B109" s="60">
        <f>IFERROR(INDEX(Materiales!$B$4:$B$484,MATCH("#"&amp;$A109,Materiales!$K$4:$K$484,0)),"")</f>
        <v/>
      </c>
      <c r="C109" s="34" t="n"/>
      <c r="D109" s="32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5">
        <f>IF(A109="","","#"&amp;A109)</f>
        <v/>
      </c>
    </row>
    <row r="110">
      <c r="A110" s="28" t="inlineStr">
        <is>
          <t>106</t>
        </is>
      </c>
      <c r="B110" s="60">
        <f>IFERROR(INDEX(Materiales!$B$4:$B$484,MATCH("#"&amp;$A110,Materiales!$K$4:$K$484,0)),"")</f>
        <v/>
      </c>
      <c r="C110" s="34" t="n"/>
      <c r="D110" s="32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5">
        <f>IF(A110="","","#"&amp;A110)</f>
        <v/>
      </c>
    </row>
    <row r="111">
      <c r="A111" s="28" t="inlineStr">
        <is>
          <t>108</t>
        </is>
      </c>
      <c r="B111" s="60">
        <f>IFERROR(INDEX(Materiales!$B$4:$B$484,MATCH("#"&amp;$A111,Materiales!$K$4:$K$484,0)),"")</f>
        <v/>
      </c>
      <c r="C111" s="34" t="n"/>
      <c r="D111" s="32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5">
        <f>IF(A111="","","#"&amp;A111)</f>
        <v/>
      </c>
    </row>
    <row r="112">
      <c r="A112" s="28" t="inlineStr">
        <is>
          <t>109</t>
        </is>
      </c>
      <c r="B112" s="60">
        <f>IFERROR(INDEX(Materiales!$B$4:$B$484,MATCH("#"&amp;$A112,Materiales!$K$4:$K$484,0)),"")</f>
        <v/>
      </c>
      <c r="C112" s="34" t="n"/>
      <c r="D112" s="32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5">
        <f>IF(A112="","","#"&amp;A112)</f>
        <v/>
      </c>
    </row>
    <row r="113">
      <c r="A113" s="28" t="inlineStr">
        <is>
          <t>110</t>
        </is>
      </c>
      <c r="B113" s="60">
        <f>IFERROR(INDEX(Materiales!$B$4:$B$484,MATCH("#"&amp;$A113,Materiales!$K$4:$K$484,0)),"")</f>
        <v/>
      </c>
      <c r="C113" s="34" t="n"/>
      <c r="D113" s="32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5">
        <f>IF(A113="","","#"&amp;A113)</f>
        <v/>
      </c>
    </row>
    <row r="114">
      <c r="A114" s="28" t="inlineStr">
        <is>
          <t>111</t>
        </is>
      </c>
      <c r="B114" s="60">
        <f>IFERROR(INDEX(Materiales!$B$4:$B$484,MATCH("#"&amp;$A114,Materiales!$K$4:$K$484,0)),"")</f>
        <v/>
      </c>
      <c r="C114" s="34" t="n"/>
      <c r="D114" s="32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5">
        <f>IF(A114="","","#"&amp;A114)</f>
        <v/>
      </c>
    </row>
    <row r="115">
      <c r="A115" s="28" t="inlineStr">
        <is>
          <t>112</t>
        </is>
      </c>
      <c r="B115" s="60">
        <f>IFERROR(INDEX(Materiales!$B$4:$B$484,MATCH("#"&amp;$A115,Materiales!$K$4:$K$484,0)),"")</f>
        <v/>
      </c>
      <c r="C115" s="34" t="n"/>
      <c r="D115" s="32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5">
        <f>IF(A115="","","#"&amp;A115)</f>
        <v/>
      </c>
    </row>
    <row r="116">
      <c r="A116" s="28" t="inlineStr">
        <is>
          <t>113</t>
        </is>
      </c>
      <c r="B116" s="60">
        <f>IFERROR(INDEX(Materiales!$B$4:$B$484,MATCH("#"&amp;$A116,Materiales!$K$4:$K$484,0)),"")</f>
        <v/>
      </c>
      <c r="C116" s="34" t="n"/>
      <c r="D116" s="32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5">
        <f>IF(A116="","","#"&amp;A116)</f>
        <v/>
      </c>
    </row>
    <row r="117">
      <c r="A117" s="28" t="inlineStr">
        <is>
          <t>114</t>
        </is>
      </c>
      <c r="B117" s="60">
        <f>IFERROR(INDEX(Materiales!$B$4:$B$484,MATCH("#"&amp;$A117,Materiales!$K$4:$K$484,0)),"")</f>
        <v/>
      </c>
      <c r="C117" s="34" t="n"/>
      <c r="D117" s="32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5">
        <f>IF(A117="","","#"&amp;A117)</f>
        <v/>
      </c>
    </row>
    <row r="118">
      <c r="A118" s="28" t="inlineStr">
        <is>
          <t>115</t>
        </is>
      </c>
      <c r="B118" s="60">
        <f>IFERROR(INDEX(Materiales!$B$4:$B$484,MATCH("#"&amp;$A118,Materiales!$K$4:$K$484,0)),"")</f>
        <v/>
      </c>
      <c r="C118" s="34" t="n"/>
      <c r="D118" s="32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5">
        <f>IF(A118="","","#"&amp;A118)</f>
        <v/>
      </c>
    </row>
    <row r="119">
      <c r="A119" s="28" t="inlineStr">
        <is>
          <t>116</t>
        </is>
      </c>
      <c r="B119" s="60">
        <f>IFERROR(INDEX(Materiales!$B$4:$B$484,MATCH("#"&amp;$A119,Materiales!$K$4:$K$484,0)),"")</f>
        <v/>
      </c>
      <c r="C119" s="34" t="n"/>
      <c r="D119" s="32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5">
        <f>IF(A119="","","#"&amp;A119)</f>
        <v/>
      </c>
    </row>
    <row r="120">
      <c r="A120" s="28" t="inlineStr">
        <is>
          <t>117</t>
        </is>
      </c>
      <c r="B120" s="60">
        <f>IFERROR(INDEX(Materiales!$B$4:$B$484,MATCH("#"&amp;$A120,Materiales!$K$4:$K$484,0)),"")</f>
        <v/>
      </c>
      <c r="C120" s="34" t="n"/>
      <c r="D120" s="32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5">
        <f>IF(A120="","","#"&amp;A120)</f>
        <v/>
      </c>
    </row>
    <row r="121">
      <c r="A121" s="28" t="inlineStr">
        <is>
          <t>118</t>
        </is>
      </c>
      <c r="B121" s="60">
        <f>IFERROR(INDEX(Materiales!$B$4:$B$484,MATCH("#"&amp;$A121,Materiales!$K$4:$K$484,0)),"")</f>
        <v/>
      </c>
      <c r="C121" s="34" t="n"/>
      <c r="D121" s="32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5">
        <f>IF(A121="","","#"&amp;A121)</f>
        <v/>
      </c>
    </row>
    <row r="122">
      <c r="A122" s="28" t="inlineStr">
        <is>
          <t>119</t>
        </is>
      </c>
      <c r="B122" s="60">
        <f>IFERROR(INDEX(Materiales!$B$4:$B$484,MATCH("#"&amp;$A122,Materiales!$K$4:$K$484,0)),"")</f>
        <v/>
      </c>
      <c r="C122" s="34" t="n"/>
      <c r="D122" s="32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5">
        <f>IF(A122="","","#"&amp;A122)</f>
        <v/>
      </c>
    </row>
    <row r="123">
      <c r="A123" s="28" t="inlineStr">
        <is>
          <t>120</t>
        </is>
      </c>
      <c r="B123" s="60">
        <f>IFERROR(INDEX(Materiales!$B$4:$B$484,MATCH("#"&amp;$A123,Materiales!$K$4:$K$484,0)),"")</f>
        <v/>
      </c>
      <c r="C123" s="34" t="n"/>
      <c r="D123" s="32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5">
        <f>IF(A123="","","#"&amp;A123)</f>
        <v/>
      </c>
    </row>
    <row r="124">
      <c r="A124" s="28" t="inlineStr">
        <is>
          <t>121</t>
        </is>
      </c>
      <c r="B124" s="60">
        <f>IFERROR(INDEX(Materiales!$B$4:$B$484,MATCH("#"&amp;$A124,Materiales!$K$4:$K$484,0)),"")</f>
        <v/>
      </c>
      <c r="C124" s="34" t="n"/>
      <c r="D124" s="32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5">
        <f>IF(A124="","","#"&amp;A124)</f>
        <v/>
      </c>
    </row>
    <row r="125">
      <c r="A125" s="28" t="inlineStr">
        <is>
          <t>122</t>
        </is>
      </c>
      <c r="B125" s="60">
        <f>IFERROR(INDEX(Materiales!$B$4:$B$484,MATCH("#"&amp;$A125,Materiales!$K$4:$K$484,0)),"")</f>
        <v/>
      </c>
      <c r="C125" s="34" t="n"/>
      <c r="D125" s="32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5">
        <f>IF(A125="","","#"&amp;A125)</f>
        <v/>
      </c>
    </row>
    <row r="126">
      <c r="A126" s="28" t="inlineStr">
        <is>
          <t>123</t>
        </is>
      </c>
      <c r="B126" s="60">
        <f>IFERROR(INDEX(Materiales!$B$4:$B$484,MATCH("#"&amp;$A126,Materiales!$K$4:$K$484,0)),"")</f>
        <v/>
      </c>
      <c r="C126" s="34" t="n"/>
      <c r="D126" s="32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5">
        <f>IF(A126="","","#"&amp;A126)</f>
        <v/>
      </c>
    </row>
    <row r="127">
      <c r="A127" s="28" t="inlineStr">
        <is>
          <t>124</t>
        </is>
      </c>
      <c r="B127" s="60">
        <f>IFERROR(INDEX(Materiales!$B$4:$B$484,MATCH("#"&amp;$A127,Materiales!$K$4:$K$484,0)),"")</f>
        <v/>
      </c>
      <c r="C127" s="34" t="n"/>
      <c r="D127" s="32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5">
        <f>IF(A127="","","#"&amp;A127)</f>
        <v/>
      </c>
    </row>
    <row r="128">
      <c r="A128" s="28" t="inlineStr">
        <is>
          <t>125</t>
        </is>
      </c>
      <c r="B128" s="60">
        <f>IFERROR(INDEX(Materiales!$B$4:$B$484,MATCH("#"&amp;$A128,Materiales!$K$4:$K$484,0)),"")</f>
        <v/>
      </c>
      <c r="C128" s="34" t="n"/>
      <c r="D128" s="32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5">
        <f>IF(A128="","","#"&amp;A128)</f>
        <v/>
      </c>
    </row>
    <row r="129">
      <c r="A129" s="28" t="inlineStr">
        <is>
          <t>126</t>
        </is>
      </c>
      <c r="B129" s="60">
        <f>IFERROR(INDEX(Materiales!$B$4:$B$484,MATCH("#"&amp;$A129,Materiales!$K$4:$K$484,0)),"")</f>
        <v/>
      </c>
      <c r="C129" s="34" t="n"/>
      <c r="D129" s="32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5">
        <f>IF(A129="","","#"&amp;A129)</f>
        <v/>
      </c>
    </row>
    <row r="130">
      <c r="A130" s="28" t="inlineStr">
        <is>
          <t>127</t>
        </is>
      </c>
      <c r="B130" s="60">
        <f>IFERROR(INDEX(Materiales!$B$4:$B$484,MATCH("#"&amp;$A130,Materiales!$K$4:$K$484,0)),"")</f>
        <v/>
      </c>
      <c r="C130" s="34" t="n"/>
      <c r="D130" s="32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5">
        <f>IF(A130="","","#"&amp;A130)</f>
        <v/>
      </c>
    </row>
    <row r="131">
      <c r="A131" s="28" t="inlineStr">
        <is>
          <t>128</t>
        </is>
      </c>
      <c r="B131" s="60">
        <f>IFERROR(INDEX(Materiales!$B$4:$B$484,MATCH("#"&amp;$A131,Materiales!$K$4:$K$484,0)),"")</f>
        <v/>
      </c>
      <c r="C131" s="34" t="n"/>
      <c r="D131" s="32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5">
        <f>IF(A131="","","#"&amp;A131)</f>
        <v/>
      </c>
    </row>
    <row r="132">
      <c r="A132" s="28" t="inlineStr">
        <is>
          <t>129</t>
        </is>
      </c>
      <c r="B132" s="60">
        <f>IFERROR(INDEX(Materiales!$B$4:$B$484,MATCH("#"&amp;$A132,Materiales!$K$4:$K$484,0)),"")</f>
        <v/>
      </c>
      <c r="C132" s="34" t="n"/>
      <c r="D132" s="32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5">
        <f>IF(A132="","","#"&amp;A132)</f>
        <v/>
      </c>
    </row>
    <row r="133">
      <c r="A133" s="28" t="inlineStr">
        <is>
          <t>130</t>
        </is>
      </c>
      <c r="B133" s="60">
        <f>IFERROR(INDEX(Materiales!$B$4:$B$484,MATCH("#"&amp;$A133,Materiales!$K$4:$K$484,0)),"")</f>
        <v/>
      </c>
      <c r="C133" s="34" t="n"/>
      <c r="D133" s="32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5">
        <f>IF(A133="","","#"&amp;A133)</f>
        <v/>
      </c>
    </row>
    <row r="134">
      <c r="A134" s="28" t="inlineStr">
        <is>
          <t>131</t>
        </is>
      </c>
      <c r="B134" s="60">
        <f>IFERROR(INDEX(Materiales!$B$4:$B$484,MATCH("#"&amp;$A134,Materiales!$K$4:$K$484,0)),"")</f>
        <v/>
      </c>
      <c r="C134" s="34" t="n"/>
      <c r="D134" s="32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5">
        <f>IF(A134="","","#"&amp;A134)</f>
        <v/>
      </c>
    </row>
    <row r="135">
      <c r="A135" s="28" t="inlineStr">
        <is>
          <t>4627133</t>
        </is>
      </c>
      <c r="B135" s="60">
        <f>IFERROR(INDEX(Materiales!$B$4:$B$484,MATCH("#"&amp;$A135,Materiales!$K$4:$K$484,0)),"")</f>
        <v/>
      </c>
      <c r="C135" s="34" t="n"/>
      <c r="D135" s="32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5">
        <f>IF(A135="","","#"&amp;A135)</f>
        <v/>
      </c>
    </row>
    <row r="136">
      <c r="A136" s="28" t="inlineStr">
        <is>
          <t>21746575</t>
        </is>
      </c>
      <c r="B136" s="60">
        <f>IFERROR(INDEX(Materiales!$B$4:$B$484,MATCH("#"&amp;$A136,Materiales!$K$4:$K$484,0)),"")</f>
        <v/>
      </c>
      <c r="C136" s="34" t="n"/>
      <c r="D136" s="32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5">
        <f>IF(A136="","","#"&amp;A136)</f>
        <v/>
      </c>
    </row>
    <row r="137">
      <c r="A137" s="28" t="inlineStr">
        <is>
          <t>24063074</t>
        </is>
      </c>
      <c r="B137" s="60">
        <f>IFERROR(INDEX(Materiales!$B$4:$B$484,MATCH("#"&amp;$A137,Materiales!$K$4:$K$484,0)),"")</f>
        <v/>
      </c>
      <c r="C137" s="34" t="n"/>
      <c r="D137" s="32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5">
        <f>IF(A137="","","#"&amp;A137)</f>
        <v/>
      </c>
    </row>
    <row r="138">
      <c r="A138" s="28" t="inlineStr">
        <is>
          <t>60159323</t>
        </is>
      </c>
      <c r="B138" s="60">
        <f>IFERROR(INDEX(Materiales!$B$4:$B$484,MATCH("#"&amp;$A138,Materiales!$K$4:$K$484,0)),"")</f>
        <v/>
      </c>
      <c r="C138" s="34" t="n"/>
      <c r="D138" s="32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5">
        <f>IF(A138="","","#"&amp;A138)</f>
        <v/>
      </c>
    </row>
    <row r="139">
      <c r="A139" s="28" t="inlineStr">
        <is>
          <t>60211330</t>
        </is>
      </c>
      <c r="B139" s="60">
        <f>IFERROR(INDEX(Materiales!$B$4:$B$484,MATCH("#"&amp;$A139,Materiales!$K$4:$K$484,0)),"")</f>
        <v/>
      </c>
      <c r="C139" s="34" t="n"/>
      <c r="D139" s="32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5">
        <f>IF(A139="","","#"&amp;A139)</f>
        <v/>
      </c>
    </row>
    <row r="140">
      <c r="A140" s="28" t="inlineStr">
        <is>
          <t>60250669</t>
        </is>
      </c>
      <c r="B140" s="60">
        <f>IFERROR(INDEX(Materiales!$B$4:$B$484,MATCH("#"&amp;$A140,Materiales!$K$4:$K$484,0)),"")</f>
        <v/>
      </c>
      <c r="C140" s="34" t="n"/>
      <c r="D140" s="32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5">
        <f>IF(A140="","","#"&amp;A140)</f>
        <v/>
      </c>
    </row>
    <row r="141">
      <c r="A141" s="28" t="inlineStr">
        <is>
          <t>1200000022</t>
        </is>
      </c>
      <c r="B141" s="60">
        <f>IFERROR(INDEX(Materiales!$B$4:$B$484,MATCH("#"&amp;$A141,Materiales!$K$4:$K$484,0)),"")</f>
        <v/>
      </c>
      <c r="C141" s="34" t="n"/>
      <c r="D141" s="32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5">
        <f>IF(A141="","","#"&amp;A141)</f>
        <v/>
      </c>
    </row>
    <row r="142">
      <c r="A142" s="28" t="inlineStr">
        <is>
          <t>1300000023</t>
        </is>
      </c>
      <c r="B142" s="60">
        <f>IFERROR(INDEX(Materiales!$B$4:$B$484,MATCH("#"&amp;$A142,Materiales!$K$4:$K$484,0)),"")</f>
        <v/>
      </c>
      <c r="C142" s="34" t="n"/>
      <c r="D142" s="32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5">
        <f>IF(A142="","","#"&amp;A142)</f>
        <v/>
      </c>
    </row>
    <row r="143">
      <c r="A143" s="28" t="inlineStr">
        <is>
          <t>1300000026</t>
        </is>
      </c>
      <c r="B143" s="60">
        <f>IFERROR(INDEX(Materiales!$B$4:$B$484,MATCH("#"&amp;$A143,Materiales!$K$4:$K$484,0)),"")</f>
        <v/>
      </c>
      <c r="C143" s="34" t="n"/>
      <c r="D143" s="32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5">
        <f>IF(A143="","","#"&amp;A143)</f>
        <v/>
      </c>
    </row>
    <row r="144">
      <c r="A144" s="28" t="inlineStr">
        <is>
          <t>1300000036</t>
        </is>
      </c>
      <c r="B144" s="60">
        <f>IFERROR(INDEX(Materiales!$B$4:$B$484,MATCH("#"&amp;$A144,Materiales!$K$4:$K$484,0)),"")</f>
        <v/>
      </c>
      <c r="C144" s="34" t="n"/>
      <c r="D144" s="32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5">
        <f>IF(A144="","","#"&amp;A144)</f>
        <v/>
      </c>
    </row>
    <row r="145">
      <c r="A145" s="28" t="inlineStr">
        <is>
          <t>1300000037</t>
        </is>
      </c>
      <c r="B145" s="60">
        <f>IFERROR(INDEX(Materiales!$B$4:$B$484,MATCH("#"&amp;$A145,Materiales!$K$4:$K$484,0)),"")</f>
        <v/>
      </c>
      <c r="C145" s="34" t="n"/>
      <c r="D145" s="32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5">
        <f>IF(A145="","","#"&amp;A145)</f>
        <v/>
      </c>
    </row>
    <row r="146">
      <c r="A146" s="28" t="inlineStr">
        <is>
          <t>1300000039</t>
        </is>
      </c>
      <c r="B146" s="60">
        <f>IFERROR(INDEX(Materiales!$B$4:$B$484,MATCH("#"&amp;$A146,Materiales!$K$4:$K$484,0)),"")</f>
        <v/>
      </c>
      <c r="C146" s="34" t="n"/>
      <c r="D146" s="32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5">
        <f>IF(A146="","","#"&amp;A146)</f>
        <v/>
      </c>
    </row>
    <row r="147">
      <c r="A147" s="28" t="inlineStr">
        <is>
          <t>1500000031</t>
        </is>
      </c>
      <c r="B147" s="60">
        <f>IFERROR(INDEX(Materiales!$B$4:$B$484,MATCH("#"&amp;$A147,Materiales!$K$4:$K$484,0)),"")</f>
        <v/>
      </c>
      <c r="C147" s="34" t="n"/>
      <c r="D147" s="32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5">
        <f>IF(A147="","","#"&amp;A147)</f>
        <v/>
      </c>
    </row>
    <row r="148">
      <c r="A148" s="28" t="inlineStr">
        <is>
          <t>1500000032</t>
        </is>
      </c>
      <c r="B148" s="60">
        <f>IFERROR(INDEX(Materiales!$B$4:$B$484,MATCH("#"&amp;$A148,Materiales!$K$4:$K$484,0)),"")</f>
        <v/>
      </c>
      <c r="C148" s="34" t="n"/>
      <c r="D148" s="32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5">
        <f>IF(A148="","","#"&amp;A148)</f>
        <v/>
      </c>
    </row>
    <row r="149">
      <c r="A149" s="28" t="inlineStr">
        <is>
          <t>1500001431</t>
        </is>
      </c>
      <c r="B149" s="60">
        <f>IFERROR(INDEX(Materiales!$B$4:$B$484,MATCH("#"&amp;$A149,Materiales!$K$4:$K$484,0)),"")</f>
        <v/>
      </c>
      <c r="C149" s="34" t="n"/>
      <c r="D149" s="32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5">
        <f>IF(A149="","","#"&amp;A149)</f>
        <v/>
      </c>
    </row>
    <row r="150">
      <c r="A150" s="28" t="inlineStr">
        <is>
          <t>1500001437</t>
        </is>
      </c>
      <c r="B150" s="60">
        <f>IFERROR(INDEX(Materiales!$B$4:$B$484,MATCH("#"&amp;$A150,Materiales!$K$4:$K$484,0)),"")</f>
        <v/>
      </c>
      <c r="C150" s="34" t="n"/>
      <c r="D150" s="32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5">
        <f>IF(A150="","","#"&amp;A150)</f>
        <v/>
      </c>
    </row>
    <row r="151">
      <c r="A151" s="28" t="inlineStr">
        <is>
          <t>1500001438</t>
        </is>
      </c>
      <c r="B151" s="60">
        <f>IFERROR(INDEX(Materiales!$B$4:$B$484,MATCH("#"&amp;$A151,Materiales!$K$4:$K$484,0)),"")</f>
        <v/>
      </c>
      <c r="C151" s="34" t="n"/>
      <c r="D151" s="32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5">
        <f>IF(A151="","","#"&amp;A151)</f>
        <v/>
      </c>
    </row>
    <row r="152">
      <c r="A152" s="28" t="inlineStr">
        <is>
          <t>1500001441</t>
        </is>
      </c>
      <c r="B152" s="60">
        <f>IFERROR(INDEX(Materiales!$B$4:$B$484,MATCH("#"&amp;$A152,Materiales!$K$4:$K$484,0)),"")</f>
        <v/>
      </c>
      <c r="C152" s="34" t="n"/>
      <c r="D152" s="32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5">
        <f>IF(A152="","","#"&amp;A152)</f>
        <v/>
      </c>
    </row>
    <row r="153">
      <c r="A153" s="28" t="inlineStr">
        <is>
          <t>1500001442</t>
        </is>
      </c>
      <c r="B153" s="60">
        <f>IFERROR(INDEX(Materiales!$B$4:$B$484,MATCH("#"&amp;$A153,Materiales!$K$4:$K$484,0)),"")</f>
        <v/>
      </c>
      <c r="C153" s="34" t="n"/>
      <c r="D153" s="32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5">
        <f>IF(A153="","","#"&amp;A153)</f>
        <v/>
      </c>
    </row>
    <row r="154">
      <c r="A154" s="28" t="inlineStr">
        <is>
          <t>1500001443</t>
        </is>
      </c>
      <c r="B154" s="60">
        <f>IFERROR(INDEX(Materiales!$B$4:$B$484,MATCH("#"&amp;$A154,Materiales!$K$4:$K$484,0)),"")</f>
        <v/>
      </c>
      <c r="C154" s="34" t="n"/>
      <c r="D154" s="32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5">
        <f>IF(A154="","","#"&amp;A154)</f>
        <v/>
      </c>
    </row>
    <row r="155">
      <c r="A155" s="28" t="inlineStr">
        <is>
          <t>1500001454</t>
        </is>
      </c>
      <c r="B155" s="60">
        <f>IFERROR(INDEX(Materiales!$B$4:$B$484,MATCH("#"&amp;$A155,Materiales!$K$4:$K$484,0)),"")</f>
        <v/>
      </c>
      <c r="C155" s="34" t="n"/>
      <c r="D155" s="32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5">
        <f>IF(A155="","","#"&amp;A155)</f>
        <v/>
      </c>
    </row>
    <row r="156">
      <c r="A156" s="28" t="inlineStr">
        <is>
          <t>1500001491</t>
        </is>
      </c>
      <c r="B156" s="60">
        <f>IFERROR(INDEX(Materiales!$B$4:$B$484,MATCH("#"&amp;$A156,Materiales!$K$4:$K$484,0)),"")</f>
        <v/>
      </c>
      <c r="C156" s="34" t="n"/>
      <c r="D156" s="32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5">
        <f>IF(A156="","","#"&amp;A156)</f>
        <v/>
      </c>
    </row>
    <row r="157">
      <c r="A157" s="28" t="inlineStr">
        <is>
          <t>1500002431</t>
        </is>
      </c>
      <c r="B157" s="60">
        <f>IFERROR(INDEX(Materiales!$B$4:$B$484,MATCH("#"&amp;$A157,Materiales!$K$4:$K$484,0)),"")</f>
        <v/>
      </c>
      <c r="C157" s="34" t="n"/>
      <c r="D157" s="32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5">
        <f>IF(A157="","","#"&amp;A157)</f>
        <v/>
      </c>
    </row>
    <row r="158">
      <c r="A158" s="28" t="inlineStr">
        <is>
          <t>1500002432</t>
        </is>
      </c>
      <c r="B158" s="60">
        <f>IFERROR(INDEX(Materiales!$B$4:$B$484,MATCH("#"&amp;$A158,Materiales!$K$4:$K$484,0)),"")</f>
        <v/>
      </c>
      <c r="C158" s="34" t="n"/>
      <c r="D158" s="32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5">
        <f>IF(A158="","","#"&amp;A158)</f>
        <v/>
      </c>
    </row>
    <row r="159">
      <c r="A159" s="28" t="inlineStr">
        <is>
          <t>1500002649</t>
        </is>
      </c>
      <c r="B159" s="60">
        <f>IFERROR(INDEX(Materiales!$B$4:$B$484,MATCH("#"&amp;$A159,Materiales!$K$4:$K$484,0)),"")</f>
        <v/>
      </c>
      <c r="C159" s="34" t="n"/>
      <c r="D159" s="32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5">
        <f>IF(A159="","","#"&amp;A159)</f>
        <v/>
      </c>
    </row>
    <row r="160">
      <c r="A160" s="28" t="inlineStr">
        <is>
          <t>1500002650</t>
        </is>
      </c>
      <c r="B160" s="60">
        <f>IFERROR(INDEX(Materiales!$B$4:$B$484,MATCH("#"&amp;$A160,Materiales!$K$4:$K$484,0)),"")</f>
        <v/>
      </c>
      <c r="C160" s="34" t="n"/>
      <c r="D160" s="32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5">
        <f>IF(A160="","","#"&amp;A160)</f>
        <v/>
      </c>
    </row>
    <row r="161">
      <c r="A161" s="28" t="inlineStr">
        <is>
          <t>1500002745</t>
        </is>
      </c>
      <c r="B161" s="60">
        <f>IFERROR(INDEX(Materiales!$B$4:$B$484,MATCH("#"&amp;$A161,Materiales!$K$4:$K$484,0)),"")</f>
        <v/>
      </c>
      <c r="C161" s="34" t="n"/>
      <c r="D161" s="32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5">
        <f>IF(A161="","","#"&amp;A161)</f>
        <v/>
      </c>
    </row>
    <row r="162">
      <c r="A162" s="28" t="inlineStr">
        <is>
          <t>1500002765</t>
        </is>
      </c>
      <c r="B162" s="60">
        <f>IFERROR(INDEX(Materiales!$B$4:$B$484,MATCH("#"&amp;$A162,Materiales!$K$4:$K$484,0)),"")</f>
        <v/>
      </c>
      <c r="C162" s="34" t="n"/>
      <c r="D162" s="32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5">
        <f>IF(A162="","","#"&amp;A162)</f>
        <v/>
      </c>
    </row>
    <row r="163">
      <c r="A163" s="28" t="inlineStr">
        <is>
          <t>1500002766</t>
        </is>
      </c>
      <c r="B163" s="60">
        <f>IFERROR(INDEX(Materiales!$B$4:$B$484,MATCH("#"&amp;$A163,Materiales!$K$4:$K$484,0)),"")</f>
        <v/>
      </c>
      <c r="C163" s="34" t="n"/>
      <c r="D163" s="32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5">
        <f>IF(A163="","","#"&amp;A163)</f>
        <v/>
      </c>
    </row>
    <row r="164">
      <c r="A164" s="28" t="inlineStr">
        <is>
          <t>1500002859</t>
        </is>
      </c>
      <c r="B164" s="60">
        <f>IFERROR(INDEX(Materiales!$B$4:$B$484,MATCH("#"&amp;$A164,Materiales!$K$4:$K$484,0)),"")</f>
        <v/>
      </c>
      <c r="C164" s="34" t="n"/>
      <c r="D164" s="32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5">
        <f>IF(A164="","","#"&amp;A164)</f>
        <v/>
      </c>
    </row>
    <row r="165">
      <c r="A165" s="28" t="inlineStr">
        <is>
          <t>1500003013</t>
        </is>
      </c>
      <c r="B165" s="60">
        <f>IFERROR(INDEX(Materiales!$B$4:$B$484,MATCH("#"&amp;$A165,Materiales!$K$4:$K$484,0)),"")</f>
        <v/>
      </c>
      <c r="C165" s="34" t="n"/>
      <c r="D165" s="32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5">
        <f>IF(A165="","","#"&amp;A165)</f>
        <v/>
      </c>
    </row>
    <row r="166">
      <c r="A166" s="28" t="inlineStr">
        <is>
          <t>1500003022</t>
        </is>
      </c>
      <c r="B166" s="60">
        <f>IFERROR(INDEX(Materiales!$B$4:$B$484,MATCH("#"&amp;$A166,Materiales!$K$4:$K$484,0)),"")</f>
        <v/>
      </c>
      <c r="C166" s="34" t="n"/>
      <c r="D166" s="32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5">
        <f>IF(A166="","","#"&amp;A166)</f>
        <v/>
      </c>
    </row>
    <row r="167">
      <c r="A167" s="28" t="inlineStr">
        <is>
          <t>1500003086</t>
        </is>
      </c>
      <c r="B167" s="60">
        <f>IFERROR(INDEX(Materiales!$B$4:$B$484,MATCH("#"&amp;$A167,Materiales!$K$4:$K$484,0)),"")</f>
        <v/>
      </c>
      <c r="C167" s="34" t="n"/>
      <c r="D167" s="32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5">
        <f>IF(A167="","","#"&amp;A167)</f>
        <v/>
      </c>
    </row>
    <row r="168">
      <c r="A168" s="28" t="inlineStr">
        <is>
          <t>1500003087</t>
        </is>
      </c>
      <c r="B168" s="60">
        <f>IFERROR(INDEX(Materiales!$B$4:$B$484,MATCH("#"&amp;$A168,Materiales!$K$4:$K$484,0)),"")</f>
        <v/>
      </c>
      <c r="C168" s="34" t="n"/>
      <c r="D168" s="32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5">
        <f>IF(A168="","","#"&amp;A168)</f>
        <v/>
      </c>
    </row>
    <row r="169">
      <c r="A169" s="28" t="inlineStr">
        <is>
          <t>1500003149</t>
        </is>
      </c>
      <c r="B169" s="60">
        <f>IFERROR(INDEX(Materiales!$B$4:$B$484,MATCH("#"&amp;$A169,Materiales!$K$4:$K$484,0)),"")</f>
        <v/>
      </c>
      <c r="C169" s="34" t="n"/>
      <c r="D169" s="32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5">
        <f>IF(A169="","","#"&amp;A169)</f>
        <v/>
      </c>
    </row>
    <row r="170">
      <c r="A170" s="28" t="inlineStr">
        <is>
          <t>1500003164</t>
        </is>
      </c>
      <c r="B170" s="60">
        <f>IFERROR(INDEX(Materiales!$B$4:$B$484,MATCH("#"&amp;$A170,Materiales!$K$4:$K$484,0)),"")</f>
        <v/>
      </c>
      <c r="C170" s="34" t="n"/>
      <c r="D170" s="32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5">
        <f>IF(A170="","","#"&amp;A170)</f>
        <v/>
      </c>
    </row>
    <row r="171">
      <c r="A171" s="28" t="inlineStr">
        <is>
          <t>1500003165</t>
        </is>
      </c>
      <c r="B171" s="60">
        <f>IFERROR(INDEX(Materiales!$B$4:$B$484,MATCH("#"&amp;$A171,Materiales!$K$4:$K$484,0)),"")</f>
        <v/>
      </c>
      <c r="C171" s="34" t="n"/>
      <c r="D171" s="32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5">
        <f>IF(A171="","","#"&amp;A171)</f>
        <v/>
      </c>
    </row>
    <row r="172">
      <c r="A172" s="28" t="inlineStr">
        <is>
          <t>1500003182</t>
        </is>
      </c>
      <c r="B172" s="60">
        <f>IFERROR(INDEX(Materiales!$B$4:$B$484,MATCH("#"&amp;$A172,Materiales!$K$4:$K$484,0)),"")</f>
        <v/>
      </c>
      <c r="C172" s="34" t="n"/>
      <c r="D172" s="32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5">
        <f>IF(A172="","","#"&amp;A172)</f>
        <v/>
      </c>
    </row>
    <row r="173">
      <c r="A173" s="28" t="inlineStr">
        <is>
          <t>1500003208</t>
        </is>
      </c>
      <c r="B173" s="60">
        <f>IFERROR(INDEX(Materiales!$B$4:$B$484,MATCH("#"&amp;$A173,Materiales!$K$4:$K$484,0)),"")</f>
        <v/>
      </c>
      <c r="C173" s="34" t="n"/>
      <c r="D173" s="32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5">
        <f>IF(A173="","","#"&amp;A173)</f>
        <v/>
      </c>
    </row>
    <row r="174">
      <c r="A174" s="28" t="inlineStr">
        <is>
          <t>1500003358</t>
        </is>
      </c>
      <c r="B174" s="60">
        <f>IFERROR(INDEX(Materiales!$B$4:$B$484,MATCH("#"&amp;$A174,Materiales!$K$4:$K$484,0)),"")</f>
        <v/>
      </c>
      <c r="C174" s="34" t="n"/>
      <c r="D174" s="32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5">
        <f>IF(A174="","","#"&amp;A174)</f>
        <v/>
      </c>
    </row>
    <row r="175">
      <c r="A175" s="28" t="inlineStr">
        <is>
          <t>1500003364</t>
        </is>
      </c>
      <c r="B175" s="60">
        <f>IFERROR(INDEX(Materiales!$B$4:$B$484,MATCH("#"&amp;$A175,Materiales!$K$4:$K$484,0)),"")</f>
        <v/>
      </c>
      <c r="C175" s="34" t="n"/>
      <c r="D175" s="32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5">
        <f>IF(A175="","","#"&amp;A175)</f>
        <v/>
      </c>
    </row>
    <row r="176">
      <c r="A176" s="28" t="inlineStr">
        <is>
          <t>1500003378</t>
        </is>
      </c>
      <c r="B176" s="60">
        <f>IFERROR(INDEX(Materiales!$B$4:$B$484,MATCH("#"&amp;$A176,Materiales!$K$4:$K$484,0)),"")</f>
        <v/>
      </c>
      <c r="C176" s="34" t="n"/>
      <c r="D176" s="32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5">
        <f>IF(A176="","","#"&amp;A176)</f>
        <v/>
      </c>
    </row>
    <row r="177">
      <c r="A177" s="28" t="inlineStr">
        <is>
          <t>1500003379</t>
        </is>
      </c>
      <c r="B177" s="60">
        <f>IFERROR(INDEX(Materiales!$B$4:$B$484,MATCH("#"&amp;$A177,Materiales!$K$4:$K$484,0)),"")</f>
        <v/>
      </c>
      <c r="C177" s="34" t="n"/>
      <c r="D177" s="32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5">
        <f>IF(A177="","","#"&amp;A177)</f>
        <v/>
      </c>
    </row>
    <row r="178">
      <c r="A178" s="28" t="inlineStr">
        <is>
          <t>1500003424</t>
        </is>
      </c>
      <c r="B178" s="60">
        <f>IFERROR(INDEX(Materiales!$B$4:$B$484,MATCH("#"&amp;$A178,Materiales!$K$4:$K$484,0)),"")</f>
        <v/>
      </c>
      <c r="C178" s="34" t="n"/>
      <c r="D178" s="32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5">
        <f>IF(A178="","","#"&amp;A178)</f>
        <v/>
      </c>
    </row>
    <row r="179">
      <c r="A179" s="28" t="inlineStr">
        <is>
          <t>1600000006</t>
        </is>
      </c>
      <c r="B179" s="60">
        <f>IFERROR(INDEX(Materiales!$B$4:$B$484,MATCH("#"&amp;$A179,Materiales!$K$4:$K$484,0)),"")</f>
        <v/>
      </c>
      <c r="C179" s="34" t="n"/>
      <c r="D179" s="32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5">
        <f>IF(A179="","","#"&amp;A179)</f>
        <v/>
      </c>
    </row>
    <row r="180">
      <c r="A180" s="28" t="inlineStr">
        <is>
          <t>1600000008</t>
        </is>
      </c>
      <c r="B180" s="60">
        <f>IFERROR(INDEX(Materiales!$B$4:$B$484,MATCH("#"&amp;$A180,Materiales!$K$4:$K$484,0)),"")</f>
        <v/>
      </c>
      <c r="C180" s="34" t="n"/>
      <c r="D180" s="32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5">
        <f>IF(A180="","","#"&amp;A180)</f>
        <v/>
      </c>
    </row>
    <row r="181">
      <c r="A181" s="28" t="inlineStr">
        <is>
          <t>1600000009</t>
        </is>
      </c>
      <c r="B181" s="60">
        <f>IFERROR(INDEX(Materiales!$B$4:$B$484,MATCH("#"&amp;$A181,Materiales!$K$4:$K$484,0)),"")</f>
        <v/>
      </c>
      <c r="C181" s="34" t="n"/>
      <c r="D181" s="32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5">
        <f>IF(A181="","","#"&amp;A181)</f>
        <v/>
      </c>
    </row>
    <row r="182">
      <c r="A182" s="28" t="inlineStr">
        <is>
          <t>1700000144</t>
        </is>
      </c>
      <c r="B182" s="60">
        <f>IFERROR(INDEX(Materiales!$B$4:$B$484,MATCH("#"&amp;$A182,Materiales!$K$4:$K$484,0)),"")</f>
        <v/>
      </c>
      <c r="C182" s="34" t="n"/>
      <c r="D182" s="32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5">
        <f>IF(A182="","","#"&amp;A182)</f>
        <v/>
      </c>
    </row>
    <row r="183">
      <c r="A183" s="28" t="inlineStr">
        <is>
          <t>1700000170</t>
        </is>
      </c>
      <c r="B183" s="60">
        <f>IFERROR(INDEX(Materiales!$B$4:$B$484,MATCH("#"&amp;$A183,Materiales!$K$4:$K$484,0)),"")</f>
        <v/>
      </c>
      <c r="C183" s="34" t="n"/>
      <c r="D183" s="32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5">
        <f>IF(A183="","","#"&amp;A183)</f>
        <v/>
      </c>
    </row>
    <row r="184">
      <c r="A184" s="28" t="inlineStr">
        <is>
          <t>1900000069</t>
        </is>
      </c>
      <c r="B184" s="60">
        <f>IFERROR(INDEX(Materiales!$B$4:$B$484,MATCH("#"&amp;$A184,Materiales!$K$4:$K$484,0)),"")</f>
        <v/>
      </c>
      <c r="C184" s="34" t="n"/>
      <c r="D184" s="32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5">
        <f>IF(A184="","","#"&amp;A184)</f>
        <v/>
      </c>
    </row>
    <row r="185">
      <c r="A185" s="28" t="inlineStr">
        <is>
          <t>1900000088</t>
        </is>
      </c>
      <c r="B185" s="60">
        <f>IFERROR(INDEX(Materiales!$B$4:$B$484,MATCH("#"&amp;$A185,Materiales!$K$4:$K$484,0)),"")</f>
        <v/>
      </c>
      <c r="C185" s="34" t="n"/>
      <c r="D185" s="32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5">
        <f>IF(A185="","","#"&amp;A185)</f>
        <v/>
      </c>
    </row>
    <row r="186">
      <c r="A186" s="28" t="inlineStr">
        <is>
          <t>1900000106</t>
        </is>
      </c>
      <c r="B186" s="60">
        <f>IFERROR(INDEX(Materiales!$B$4:$B$484,MATCH("#"&amp;$A186,Materiales!$K$4:$K$484,0)),"")</f>
        <v/>
      </c>
      <c r="C186" s="34" t="n"/>
      <c r="D186" s="32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5">
        <f>IF(A186="","","#"&amp;A186)</f>
        <v/>
      </c>
    </row>
    <row r="187">
      <c r="A187" s="28" t="inlineStr">
        <is>
          <t>1900000107</t>
        </is>
      </c>
      <c r="B187" s="60">
        <f>IFERROR(INDEX(Materiales!$B$4:$B$484,MATCH("#"&amp;$A187,Materiales!$K$4:$K$484,0)),"")</f>
        <v/>
      </c>
      <c r="C187" s="34" t="n"/>
      <c r="D187" s="32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5">
        <f>IF(A187="","","#"&amp;A187)</f>
        <v/>
      </c>
    </row>
    <row r="188">
      <c r="A188" s="28" t="inlineStr">
        <is>
          <t>1900000108</t>
        </is>
      </c>
      <c r="B188" s="60">
        <f>IFERROR(INDEX(Materiales!$B$4:$B$484,MATCH("#"&amp;$A188,Materiales!$K$4:$K$484,0)),"")</f>
        <v/>
      </c>
      <c r="C188" s="34" t="n"/>
      <c r="D188" s="32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5">
        <f>IF(A188="","","#"&amp;A188)</f>
        <v/>
      </c>
    </row>
    <row r="189">
      <c r="A189" s="28" t="inlineStr">
        <is>
          <t>1900000184</t>
        </is>
      </c>
      <c r="B189" s="60">
        <f>IFERROR(INDEX(Materiales!$B$4:$B$484,MATCH("#"&amp;$A189,Materiales!$K$4:$K$484,0)),"")</f>
        <v/>
      </c>
      <c r="C189" s="34" t="n"/>
      <c r="D189" s="32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5">
        <f>IF(A189="","","#"&amp;A189)</f>
        <v/>
      </c>
    </row>
    <row r="190">
      <c r="A190" s="28" t="inlineStr">
        <is>
          <t>1900000187</t>
        </is>
      </c>
      <c r="B190" s="60">
        <f>IFERROR(INDEX(Materiales!$B$4:$B$484,MATCH("#"&amp;$A190,Materiales!$K$4:$K$484,0)),"")</f>
        <v/>
      </c>
      <c r="C190" s="34" t="n"/>
      <c r="D190" s="32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5">
        <f>IF(A190="","","#"&amp;A190)</f>
        <v/>
      </c>
    </row>
    <row r="191">
      <c r="A191" s="28" t="inlineStr">
        <is>
          <t>1900000200</t>
        </is>
      </c>
      <c r="B191" s="60">
        <f>IFERROR(INDEX(Materiales!$B$4:$B$484,MATCH("#"&amp;$A191,Materiales!$K$4:$K$484,0)),"")</f>
        <v/>
      </c>
      <c r="C191" s="34" t="n"/>
      <c r="D191" s="32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5">
        <f>IF(A191="","","#"&amp;A191)</f>
        <v/>
      </c>
    </row>
    <row r="192">
      <c r="A192" s="28" t="inlineStr">
        <is>
          <t>1900000201</t>
        </is>
      </c>
      <c r="B192" s="60">
        <f>IFERROR(INDEX(Materiales!$B$4:$B$484,MATCH("#"&amp;$A192,Materiales!$K$4:$K$484,0)),"")</f>
        <v/>
      </c>
      <c r="C192" s="34" t="n"/>
      <c r="D192" s="32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5">
        <f>IF(A192="","","#"&amp;A192)</f>
        <v/>
      </c>
    </row>
    <row r="193">
      <c r="A193" s="28" t="inlineStr">
        <is>
          <t>1900000203</t>
        </is>
      </c>
      <c r="B193" s="60">
        <f>IFERROR(INDEX(Materiales!$B$4:$B$484,MATCH("#"&amp;$A193,Materiales!$K$4:$K$484,0)),"")</f>
        <v/>
      </c>
      <c r="C193" s="34" t="n"/>
      <c r="D193" s="32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5">
        <f>IF(A193="","","#"&amp;A193)</f>
        <v/>
      </c>
    </row>
    <row r="194">
      <c r="A194" s="28" t="inlineStr">
        <is>
          <t>1900000205</t>
        </is>
      </c>
      <c r="B194" s="60">
        <f>IFERROR(INDEX(Materiales!$B$4:$B$484,MATCH("#"&amp;$A194,Materiales!$K$4:$K$484,0)),"")</f>
        <v/>
      </c>
      <c r="C194" s="34" t="n"/>
      <c r="D194" s="32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5">
        <f>IF(A194="","","#"&amp;A194)</f>
        <v/>
      </c>
    </row>
    <row r="195">
      <c r="A195" s="28" t="inlineStr">
        <is>
          <t>1900000253</t>
        </is>
      </c>
      <c r="B195" s="60">
        <f>IFERROR(INDEX(Materiales!$B$4:$B$484,MATCH("#"&amp;$A195,Materiales!$K$4:$K$484,0)),"")</f>
        <v/>
      </c>
      <c r="C195" s="34" t="n"/>
      <c r="D195" s="32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5">
        <f>IF(A195="","","#"&amp;A195)</f>
        <v/>
      </c>
    </row>
    <row r="196">
      <c r="A196" s="28" t="inlineStr">
        <is>
          <t>1900000254</t>
        </is>
      </c>
      <c r="B196" s="60">
        <f>IFERROR(INDEX(Materiales!$B$4:$B$484,MATCH("#"&amp;$A196,Materiales!$K$4:$K$484,0)),"")</f>
        <v/>
      </c>
      <c r="C196" s="34" t="n"/>
      <c r="D196" s="32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5">
        <f>IF(A196="","","#"&amp;A196)</f>
        <v/>
      </c>
    </row>
    <row r="197">
      <c r="A197" s="28" t="inlineStr">
        <is>
          <t>1900000265</t>
        </is>
      </c>
      <c r="B197" s="60">
        <f>IFERROR(INDEX(Materiales!$B$4:$B$484,MATCH("#"&amp;$A197,Materiales!$K$4:$K$484,0)),"")</f>
        <v/>
      </c>
      <c r="C197" s="34" t="n"/>
      <c r="D197" s="32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5">
        <f>IF(A197="","","#"&amp;A197)</f>
        <v/>
      </c>
    </row>
    <row r="198">
      <c r="A198" s="28" t="inlineStr">
        <is>
          <t>1900000295</t>
        </is>
      </c>
      <c r="B198" s="60">
        <f>IFERROR(INDEX(Materiales!$B$4:$B$484,MATCH("#"&amp;$A198,Materiales!$K$4:$K$484,0)),"")</f>
        <v/>
      </c>
      <c r="C198" s="34" t="n"/>
      <c r="D198" s="32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5">
        <f>IF(A198="","","#"&amp;A198)</f>
        <v/>
      </c>
    </row>
    <row r="199">
      <c r="A199" s="28" t="inlineStr">
        <is>
          <t>1900000296</t>
        </is>
      </c>
      <c r="B199" s="60">
        <f>IFERROR(INDEX(Materiales!$B$4:$B$484,MATCH("#"&amp;$A199,Materiales!$K$4:$K$484,0)),"")</f>
        <v/>
      </c>
      <c r="C199" s="34" t="n"/>
      <c r="D199" s="32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5">
        <f>IF(A199="","","#"&amp;A199)</f>
        <v/>
      </c>
    </row>
    <row r="200">
      <c r="A200" s="28" t="inlineStr">
        <is>
          <t>2100000012</t>
        </is>
      </c>
      <c r="B200" s="60">
        <f>IFERROR(INDEX(Materiales!$B$4:$B$484,MATCH("#"&amp;$A200,Materiales!$K$4:$K$484,0)),"")</f>
        <v/>
      </c>
      <c r="C200" s="34" t="n"/>
      <c r="D200" s="32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5">
        <f>IF(A200="","","#"&amp;A200)</f>
        <v/>
      </c>
    </row>
    <row r="201">
      <c r="A201" s="28" t="inlineStr">
        <is>
          <t>2100000014</t>
        </is>
      </c>
      <c r="B201" s="60">
        <f>IFERROR(INDEX(Materiales!$B$4:$B$484,MATCH("#"&amp;$A201,Materiales!$K$4:$K$484,0)),"")</f>
        <v/>
      </c>
      <c r="C201" s="34" t="n"/>
      <c r="D201" s="32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5">
        <f>IF(A201="","","#"&amp;A201)</f>
        <v/>
      </c>
    </row>
    <row r="202">
      <c r="A202" s="28" t="inlineStr">
        <is>
          <t>2100000018</t>
        </is>
      </c>
      <c r="B202" s="60">
        <f>IFERROR(INDEX(Materiales!$B$4:$B$484,MATCH("#"&amp;$A202,Materiales!$K$4:$K$484,0)),"")</f>
        <v/>
      </c>
      <c r="C202" s="34" t="n"/>
      <c r="D202" s="32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5">
        <f>IF(A202="","","#"&amp;A202)</f>
        <v/>
      </c>
    </row>
    <row r="203">
      <c r="A203" s="28" t="inlineStr">
        <is>
          <t>ALM-001</t>
        </is>
      </c>
      <c r="B203" s="60">
        <f>IFERROR(INDEX(Materiales!$B$4:$B$484,MATCH("#"&amp;$A203,Materiales!$K$4:$K$484,0)),"")</f>
        <v/>
      </c>
      <c r="C203" s="34" t="n"/>
      <c r="D203" s="32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5">
        <f>IF(A203="","","#"&amp;A203)</f>
        <v/>
      </c>
    </row>
    <row r="204">
      <c r="A204" s="28" t="inlineStr">
        <is>
          <t>ALM-002</t>
        </is>
      </c>
      <c r="B204" s="60">
        <f>IFERROR(INDEX(Materiales!$B$4:$B$484,MATCH("#"&amp;$A204,Materiales!$K$4:$K$484,0)),"")</f>
        <v/>
      </c>
      <c r="C204" s="34" t="n"/>
      <c r="D204" s="32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5">
        <f>IF(A204="","","#"&amp;A204)</f>
        <v/>
      </c>
    </row>
    <row r="205">
      <c r="A205" s="28" t="inlineStr">
        <is>
          <t>ALM-003</t>
        </is>
      </c>
      <c r="B205" s="60">
        <f>IFERROR(INDEX(Materiales!$B$4:$B$484,MATCH("#"&amp;$A205,Materiales!$K$4:$K$484,0)),"")</f>
        <v/>
      </c>
      <c r="C205" s="34" t="n"/>
      <c r="D205" s="32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5">
        <f>IF(A205="","","#"&amp;A205)</f>
        <v/>
      </c>
    </row>
    <row r="206">
      <c r="A206" s="28" t="inlineStr">
        <is>
          <t>ALM-004</t>
        </is>
      </c>
      <c r="B206" s="60">
        <f>IFERROR(INDEX(Materiales!$B$4:$B$484,MATCH("#"&amp;$A206,Materiales!$K$4:$K$484,0)),"")</f>
        <v/>
      </c>
      <c r="C206" s="34" t="n"/>
      <c r="D206" s="32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5">
        <f>IF(A206="","","#"&amp;A206)</f>
        <v/>
      </c>
    </row>
    <row r="207">
      <c r="A207" s="28" t="inlineStr">
        <is>
          <t>ALM-005</t>
        </is>
      </c>
      <c r="B207" s="60">
        <f>IFERROR(INDEX(Materiales!$B$4:$B$484,MATCH("#"&amp;$A207,Materiales!$K$4:$K$484,0)),"")</f>
        <v/>
      </c>
      <c r="C207" s="34" t="n"/>
      <c r="D207" s="32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5">
        <f>IF(A207="","","#"&amp;A207)</f>
        <v/>
      </c>
    </row>
    <row r="208">
      <c r="A208" s="28" t="inlineStr">
        <is>
          <t>ALM-006</t>
        </is>
      </c>
      <c r="B208" s="60">
        <f>IFERROR(INDEX(Materiales!$B$4:$B$484,MATCH("#"&amp;$A208,Materiales!$K$4:$K$484,0)),"")</f>
        <v/>
      </c>
      <c r="C208" s="34" t="n"/>
      <c r="D208" s="32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5">
        <f>IF(A208="","","#"&amp;A208)</f>
        <v/>
      </c>
    </row>
    <row r="209">
      <c r="A209" s="28" t="inlineStr">
        <is>
          <t>ALM-007</t>
        </is>
      </c>
      <c r="B209" s="60">
        <f>IFERROR(INDEX(Materiales!$B$4:$B$484,MATCH("#"&amp;$A209,Materiales!$K$4:$K$484,0)),"")</f>
        <v/>
      </c>
      <c r="C209" s="34" t="n"/>
      <c r="D209" s="32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5">
        <f>IF(A209="","","#"&amp;A209)</f>
        <v/>
      </c>
    </row>
    <row r="210">
      <c r="A210" s="28" t="inlineStr">
        <is>
          <t>ALM-008</t>
        </is>
      </c>
      <c r="B210" s="60">
        <f>IFERROR(INDEX(Materiales!$B$4:$B$484,MATCH("#"&amp;$A210,Materiales!$K$4:$K$484,0)),"")</f>
        <v/>
      </c>
      <c r="C210" s="34" t="n"/>
      <c r="D210" s="32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5">
        <f>IF(A210="","","#"&amp;A210)</f>
        <v/>
      </c>
    </row>
    <row r="211">
      <c r="A211" s="28" t="inlineStr">
        <is>
          <t>ALM-009</t>
        </is>
      </c>
      <c r="B211" s="60">
        <f>IFERROR(INDEX(Materiales!$B$4:$B$484,MATCH("#"&amp;$A211,Materiales!$K$4:$K$484,0)),"")</f>
        <v/>
      </c>
      <c r="C211" s="34" t="n"/>
      <c r="D211" s="32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5">
        <f>IF(A211="","","#"&amp;A211)</f>
        <v/>
      </c>
    </row>
    <row r="212">
      <c r="A212" s="28" t="inlineStr">
        <is>
          <t>ALM-010</t>
        </is>
      </c>
      <c r="B212" s="60">
        <f>IFERROR(INDEX(Materiales!$B$4:$B$484,MATCH("#"&amp;$A212,Materiales!$K$4:$K$484,0)),"")</f>
        <v/>
      </c>
      <c r="C212" s="34" t="n"/>
      <c r="D212" s="32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5">
        <f>IF(A212="","","#"&amp;A212)</f>
        <v/>
      </c>
    </row>
    <row r="213">
      <c r="A213" s="28" t="inlineStr">
        <is>
          <t>ALM-011</t>
        </is>
      </c>
      <c r="B213" s="60">
        <f>IFERROR(INDEX(Materiales!$B$4:$B$484,MATCH("#"&amp;$A213,Materiales!$K$4:$K$484,0)),"")</f>
        <v/>
      </c>
      <c r="C213" s="34" t="n"/>
      <c r="D213" s="32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5">
        <f>IF(A213="","","#"&amp;A213)</f>
        <v/>
      </c>
    </row>
    <row r="214">
      <c r="A214" s="28" t="inlineStr">
        <is>
          <t>ALM-012</t>
        </is>
      </c>
      <c r="B214" s="60">
        <f>IFERROR(INDEX(Materiales!$B$4:$B$484,MATCH("#"&amp;$A214,Materiales!$K$4:$K$484,0)),"")</f>
        <v/>
      </c>
      <c r="C214" s="34" t="n"/>
      <c r="D214" s="32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5">
        <f>IF(A214="","","#"&amp;A214)</f>
        <v/>
      </c>
    </row>
    <row r="215">
      <c r="A215" s="28" t="inlineStr">
        <is>
          <t>ALM-013</t>
        </is>
      </c>
      <c r="B215" s="60">
        <f>IFERROR(INDEX(Materiales!$B$4:$B$484,MATCH("#"&amp;$A215,Materiales!$K$4:$K$484,0)),"")</f>
        <v/>
      </c>
      <c r="C215" s="34" t="n"/>
      <c r="D215" s="32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5">
        <f>IF(A215="","","#"&amp;A215)</f>
        <v/>
      </c>
    </row>
    <row r="216">
      <c r="A216" s="28" t="inlineStr">
        <is>
          <t>ALM-014</t>
        </is>
      </c>
      <c r="B216" s="60">
        <f>IFERROR(INDEX(Materiales!$B$4:$B$484,MATCH("#"&amp;$A216,Materiales!$K$4:$K$484,0)),"")</f>
        <v/>
      </c>
      <c r="C216" s="34" t="n"/>
      <c r="D216" s="32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5">
        <f>IF(A216="","","#"&amp;A216)</f>
        <v/>
      </c>
    </row>
    <row r="217">
      <c r="A217" s="28" t="inlineStr">
        <is>
          <t>ALM-015</t>
        </is>
      </c>
      <c r="B217" s="60">
        <f>IFERROR(INDEX(Materiales!$B$4:$B$484,MATCH("#"&amp;$A217,Materiales!$K$4:$K$484,0)),"")</f>
        <v/>
      </c>
      <c r="C217" s="34" t="n"/>
      <c r="D217" s="32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5">
        <f>IF(A217="","","#"&amp;A217)</f>
        <v/>
      </c>
    </row>
    <row r="218">
      <c r="A218" s="28" t="inlineStr">
        <is>
          <t>ALM-016</t>
        </is>
      </c>
      <c r="B218" s="60">
        <f>IFERROR(INDEX(Materiales!$B$4:$B$484,MATCH("#"&amp;$A218,Materiales!$K$4:$K$484,0)),"")</f>
        <v/>
      </c>
      <c r="C218" s="34" t="n"/>
      <c r="D218" s="32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5">
        <f>IF(A218="","","#"&amp;A218)</f>
        <v/>
      </c>
    </row>
    <row r="219">
      <c r="A219" s="28" t="inlineStr">
        <is>
          <t>ALM-017</t>
        </is>
      </c>
      <c r="B219" s="60">
        <f>IFERROR(INDEX(Materiales!$B$4:$B$484,MATCH("#"&amp;$A219,Materiales!$K$4:$K$484,0)),"")</f>
        <v/>
      </c>
      <c r="C219" s="34" t="n"/>
      <c r="D219" s="32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5">
        <f>IF(A219="","","#"&amp;A219)</f>
        <v/>
      </c>
    </row>
    <row r="220">
      <c r="A220" s="28" t="inlineStr">
        <is>
          <t>ALM-018</t>
        </is>
      </c>
      <c r="B220" s="60">
        <f>IFERROR(INDEX(Materiales!$B$4:$B$484,MATCH("#"&amp;$A220,Materiales!$K$4:$K$484,0)),"")</f>
        <v/>
      </c>
      <c r="C220" s="34" t="n"/>
      <c r="D220" s="32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5">
        <f>IF(A220="","","#"&amp;A220)</f>
        <v/>
      </c>
    </row>
    <row r="221">
      <c r="A221" s="28" t="inlineStr">
        <is>
          <t>ALM-019</t>
        </is>
      </c>
      <c r="B221" s="60">
        <f>IFERROR(INDEX(Materiales!$B$4:$B$484,MATCH("#"&amp;$A221,Materiales!$K$4:$K$484,0)),"")</f>
        <v/>
      </c>
      <c r="C221" s="34" t="n"/>
      <c r="D221" s="32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5">
        <f>IF(A221="","","#"&amp;A221)</f>
        <v/>
      </c>
    </row>
    <row r="222">
      <c r="A222" s="28" t="inlineStr">
        <is>
          <t>ALM-020</t>
        </is>
      </c>
      <c r="B222" s="60">
        <f>IFERROR(INDEX(Materiales!$B$4:$B$484,MATCH("#"&amp;$A222,Materiales!$K$4:$K$484,0)),"")</f>
        <v/>
      </c>
      <c r="C222" s="34" t="n"/>
      <c r="D222" s="32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5">
        <f>IF(A222="","","#"&amp;A222)</f>
        <v/>
      </c>
    </row>
    <row r="223">
      <c r="A223" s="28" t="inlineStr">
        <is>
          <t>ALM-021</t>
        </is>
      </c>
      <c r="B223" s="60">
        <f>IFERROR(INDEX(Materiales!$B$4:$B$484,MATCH("#"&amp;$A223,Materiales!$K$4:$K$484,0)),"")</f>
        <v/>
      </c>
      <c r="C223" s="34" t="n"/>
      <c r="D223" s="32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5">
        <f>IF(A223="","","#"&amp;A223)</f>
        <v/>
      </c>
    </row>
    <row r="224">
      <c r="A224" s="28" t="inlineStr">
        <is>
          <t>ALM-022</t>
        </is>
      </c>
      <c r="B224" s="60">
        <f>IFERROR(INDEX(Materiales!$B$4:$B$484,MATCH("#"&amp;$A224,Materiales!$K$4:$K$484,0)),"")</f>
        <v/>
      </c>
      <c r="C224" s="34" t="n"/>
      <c r="D224" s="32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5">
        <f>IF(A224="","","#"&amp;A224)</f>
        <v/>
      </c>
    </row>
    <row r="225">
      <c r="A225" s="28" t="inlineStr">
        <is>
          <t>ALM-023</t>
        </is>
      </c>
      <c r="B225" s="60">
        <f>IFERROR(INDEX(Materiales!$B$4:$B$484,MATCH("#"&amp;$A225,Materiales!$K$4:$K$484,0)),"")</f>
        <v/>
      </c>
      <c r="C225" s="34" t="n"/>
      <c r="D225" s="32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5">
        <f>IF(A225="","","#"&amp;A225)</f>
        <v/>
      </c>
    </row>
    <row r="226">
      <c r="A226" s="28" t="inlineStr">
        <is>
          <t>ALM-024</t>
        </is>
      </c>
      <c r="B226" s="60">
        <f>IFERROR(INDEX(Materiales!$B$4:$B$484,MATCH("#"&amp;$A226,Materiales!$K$4:$K$484,0)),"")</f>
        <v/>
      </c>
      <c r="C226" s="34" t="n"/>
      <c r="D226" s="32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5">
        <f>IF(A226="","","#"&amp;A226)</f>
        <v/>
      </c>
    </row>
    <row r="227">
      <c r="A227" s="28" t="inlineStr">
        <is>
          <t>ALM-025</t>
        </is>
      </c>
      <c r="B227" s="60">
        <f>IFERROR(INDEX(Materiales!$B$4:$B$484,MATCH("#"&amp;$A227,Materiales!$K$4:$K$484,0)),"")</f>
        <v/>
      </c>
      <c r="C227" s="34" t="n"/>
      <c r="D227" s="32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5">
        <f>IF(A227="","","#"&amp;A227)</f>
        <v/>
      </c>
    </row>
    <row r="228">
      <c r="A228" s="28" t="inlineStr">
        <is>
          <t>ALM-026</t>
        </is>
      </c>
      <c r="B228" s="60">
        <f>IFERROR(INDEX(Materiales!$B$4:$B$484,MATCH("#"&amp;$A228,Materiales!$K$4:$K$484,0)),"")</f>
        <v/>
      </c>
      <c r="C228" s="34" t="n"/>
      <c r="D228" s="32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5">
        <f>IF(A228="","","#"&amp;A228)</f>
        <v/>
      </c>
    </row>
    <row r="229">
      <c r="A229" s="28" t="inlineStr">
        <is>
          <t>ALM-027</t>
        </is>
      </c>
      <c r="B229" s="60">
        <f>IFERROR(INDEX(Materiales!$B$4:$B$484,MATCH("#"&amp;$A229,Materiales!$K$4:$K$484,0)),"")</f>
        <v/>
      </c>
      <c r="C229" s="34" t="n"/>
      <c r="D229" s="32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5">
        <f>IF(A229="","","#"&amp;A229)</f>
        <v/>
      </c>
    </row>
    <row r="230">
      <c r="A230" s="28" t="inlineStr">
        <is>
          <t>ALM-028</t>
        </is>
      </c>
      <c r="B230" s="60">
        <f>IFERROR(INDEX(Materiales!$B$4:$B$484,MATCH("#"&amp;$A230,Materiales!$K$4:$K$484,0)),"")</f>
        <v/>
      </c>
      <c r="C230" s="34" t="n"/>
      <c r="D230" s="32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5">
        <f>IF(A230="","","#"&amp;A230)</f>
        <v/>
      </c>
    </row>
    <row r="231">
      <c r="A231" s="28" t="inlineStr">
        <is>
          <t>ALM-029</t>
        </is>
      </c>
      <c r="B231" s="60">
        <f>IFERROR(INDEX(Materiales!$B$4:$B$484,MATCH("#"&amp;$A231,Materiales!$K$4:$K$484,0)),"")</f>
        <v/>
      </c>
      <c r="C231" s="34" t="n"/>
      <c r="D231" s="32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5">
        <f>IF(A231="","","#"&amp;A231)</f>
        <v/>
      </c>
    </row>
    <row r="232">
      <c r="A232" s="28" t="inlineStr">
        <is>
          <t>ALM-030</t>
        </is>
      </c>
      <c r="B232" s="60">
        <f>IFERROR(INDEX(Materiales!$B$4:$B$484,MATCH("#"&amp;$A232,Materiales!$K$4:$K$484,0)),"")</f>
        <v/>
      </c>
      <c r="C232" s="34" t="n"/>
      <c r="D232" s="32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5">
        <f>IF(A232="","","#"&amp;A232)</f>
        <v/>
      </c>
    </row>
    <row r="233">
      <c r="A233" s="28" t="inlineStr">
        <is>
          <t>ALM-031</t>
        </is>
      </c>
      <c r="B233" s="60">
        <f>IFERROR(INDEX(Materiales!$B$4:$B$484,MATCH("#"&amp;$A233,Materiales!$K$4:$K$484,0)),"")</f>
        <v/>
      </c>
      <c r="C233" s="34" t="n"/>
      <c r="D233" s="32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5">
        <f>IF(A233="","","#"&amp;A233)</f>
        <v/>
      </c>
    </row>
    <row r="234">
      <c r="A234" s="28" t="inlineStr">
        <is>
          <t>ALM-032</t>
        </is>
      </c>
      <c r="B234" s="60">
        <f>IFERROR(INDEX(Materiales!$B$4:$B$484,MATCH("#"&amp;$A234,Materiales!$K$4:$K$484,0)),"")</f>
        <v/>
      </c>
      <c r="C234" s="34" t="n"/>
      <c r="D234" s="32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5">
        <f>IF(A234="","","#"&amp;A234)</f>
        <v/>
      </c>
    </row>
    <row r="235">
      <c r="A235" s="28" t="inlineStr">
        <is>
          <t>ALM-033</t>
        </is>
      </c>
      <c r="B235" s="60">
        <f>IFERROR(INDEX(Materiales!$B$4:$B$484,MATCH("#"&amp;$A235,Materiales!$K$4:$K$484,0)),"")</f>
        <v/>
      </c>
      <c r="C235" s="34" t="n"/>
      <c r="D235" s="32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5">
        <f>IF(A235="","","#"&amp;A235)</f>
        <v/>
      </c>
    </row>
    <row r="236">
      <c r="A236" s="28" t="inlineStr">
        <is>
          <t>ALM-034</t>
        </is>
      </c>
      <c r="B236" s="60">
        <f>IFERROR(INDEX(Materiales!$B$4:$B$484,MATCH("#"&amp;$A236,Materiales!$K$4:$K$484,0)),"")</f>
        <v/>
      </c>
      <c r="C236" s="34" t="n"/>
      <c r="D236" s="32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5">
        <f>IF(A236="","","#"&amp;A236)</f>
        <v/>
      </c>
    </row>
    <row r="237">
      <c r="A237" s="28" t="inlineStr">
        <is>
          <t>ALM-035</t>
        </is>
      </c>
      <c r="B237" s="60">
        <f>IFERROR(INDEX(Materiales!$B$4:$B$484,MATCH("#"&amp;$A237,Materiales!$K$4:$K$484,0)),"")</f>
        <v/>
      </c>
      <c r="C237" s="34" t="n"/>
      <c r="D237" s="32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5">
        <f>IF(A237="","","#"&amp;A237)</f>
        <v/>
      </c>
    </row>
    <row r="238">
      <c r="A238" s="28" t="inlineStr">
        <is>
          <t>ALM-036</t>
        </is>
      </c>
      <c r="B238" s="60">
        <f>IFERROR(INDEX(Materiales!$B$4:$B$484,MATCH("#"&amp;$A238,Materiales!$K$4:$K$484,0)),"")</f>
        <v/>
      </c>
      <c r="C238" s="34" t="n"/>
      <c r="D238" s="32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5">
        <f>IF(A238="","","#"&amp;A238)</f>
        <v/>
      </c>
    </row>
    <row r="239">
      <c r="A239" s="28" t="inlineStr">
        <is>
          <t>ALM-037</t>
        </is>
      </c>
      <c r="B239" s="60">
        <f>IFERROR(INDEX(Materiales!$B$4:$B$484,MATCH("#"&amp;$A239,Materiales!$K$4:$K$484,0)),"")</f>
        <v/>
      </c>
      <c r="C239" s="34" t="n"/>
      <c r="D239" s="32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5">
        <f>IF(A239="","","#"&amp;A239)</f>
        <v/>
      </c>
    </row>
    <row r="240">
      <c r="A240" s="28" t="inlineStr">
        <is>
          <t>ALM-038</t>
        </is>
      </c>
      <c r="B240" s="60">
        <f>IFERROR(INDEX(Materiales!$B$4:$B$484,MATCH("#"&amp;$A240,Materiales!$K$4:$K$484,0)),"")</f>
        <v/>
      </c>
      <c r="C240" s="34" t="n"/>
      <c r="D240" s="32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5">
        <f>IF(A240="","","#"&amp;A240)</f>
        <v/>
      </c>
    </row>
    <row r="241">
      <c r="A241" s="28" t="inlineStr">
        <is>
          <t>ALM-040</t>
        </is>
      </c>
      <c r="B241" s="60">
        <f>IFERROR(INDEX(Materiales!$B$4:$B$484,MATCH("#"&amp;$A241,Materiales!$K$4:$K$484,0)),"")</f>
        <v/>
      </c>
      <c r="C241" s="34" t="n"/>
      <c r="D241" s="32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5">
        <f>IF(A241="","","#"&amp;A241)</f>
        <v/>
      </c>
    </row>
    <row r="242">
      <c r="A242" s="28" t="inlineStr">
        <is>
          <t>ALM-041</t>
        </is>
      </c>
      <c r="B242" s="60">
        <f>IFERROR(INDEX(Materiales!$B$4:$B$484,MATCH("#"&amp;$A242,Materiales!$K$4:$K$484,0)),"")</f>
        <v/>
      </c>
      <c r="C242" s="34" t="n"/>
      <c r="D242" s="32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5">
        <f>IF(A242="","","#"&amp;A242)</f>
        <v/>
      </c>
    </row>
    <row r="243">
      <c r="A243" s="28" t="inlineStr">
        <is>
          <t>ALM-042</t>
        </is>
      </c>
      <c r="B243" s="60">
        <f>IFERROR(INDEX(Materiales!$B$4:$B$484,MATCH("#"&amp;$A243,Materiales!$K$4:$K$484,0)),"")</f>
        <v/>
      </c>
      <c r="C243" s="34" t="n"/>
      <c r="D243" s="32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5">
        <f>IF(A243="","","#"&amp;A243)</f>
        <v/>
      </c>
    </row>
    <row r="244">
      <c r="A244" s="28" t="inlineStr">
        <is>
          <t>ALM-043</t>
        </is>
      </c>
      <c r="B244" s="60">
        <f>IFERROR(INDEX(Materiales!$B$4:$B$484,MATCH("#"&amp;$A244,Materiales!$K$4:$K$484,0)),"")</f>
        <v/>
      </c>
      <c r="C244" s="34" t="n"/>
      <c r="D244" s="32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5">
        <f>IF(A244="","","#"&amp;A244)</f>
        <v/>
      </c>
    </row>
    <row r="245">
      <c r="A245" s="28" t="inlineStr">
        <is>
          <t>ALM-044</t>
        </is>
      </c>
      <c r="B245" s="60">
        <f>IFERROR(INDEX(Materiales!$B$4:$B$484,MATCH("#"&amp;$A245,Materiales!$K$4:$K$484,0)),"")</f>
        <v/>
      </c>
      <c r="C245" s="34" t="n"/>
      <c r="D245" s="32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5">
        <f>IF(A245="","","#"&amp;A245)</f>
        <v/>
      </c>
    </row>
    <row r="246">
      <c r="A246" s="28" t="inlineStr">
        <is>
          <t>ALM-045</t>
        </is>
      </c>
      <c r="B246" s="60">
        <f>IFERROR(INDEX(Materiales!$B$4:$B$484,MATCH("#"&amp;$A246,Materiales!$K$4:$K$484,0)),"")</f>
        <v/>
      </c>
      <c r="C246" s="34" t="n"/>
      <c r="D246" s="32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5">
        <f>IF(A246="","","#"&amp;A246)</f>
        <v/>
      </c>
    </row>
    <row r="247">
      <c r="A247" s="28" t="inlineStr">
        <is>
          <t>ALM-046</t>
        </is>
      </c>
      <c r="B247" s="60">
        <f>IFERROR(INDEX(Materiales!$B$4:$B$484,MATCH("#"&amp;$A247,Materiales!$K$4:$K$484,0)),"")</f>
        <v/>
      </c>
      <c r="C247" s="34" t="n"/>
      <c r="D247" s="32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5">
        <f>IF(A247="","","#"&amp;A247)</f>
        <v/>
      </c>
    </row>
    <row r="248">
      <c r="A248" s="28" t="inlineStr">
        <is>
          <t>ALM-047</t>
        </is>
      </c>
      <c r="B248" s="60">
        <f>IFERROR(INDEX(Materiales!$B$4:$B$484,MATCH("#"&amp;$A248,Materiales!$K$4:$K$484,0)),"")</f>
        <v/>
      </c>
      <c r="C248" s="34" t="n"/>
      <c r="D248" s="32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5">
        <f>IF(A248="","","#"&amp;A248)</f>
        <v/>
      </c>
    </row>
    <row r="249">
      <c r="A249" s="28" t="inlineStr">
        <is>
          <t>ALM-048</t>
        </is>
      </c>
      <c r="B249" s="60">
        <f>IFERROR(INDEX(Materiales!$B$4:$B$484,MATCH("#"&amp;$A249,Materiales!$K$4:$K$484,0)),"")</f>
        <v/>
      </c>
      <c r="C249" s="34" t="n"/>
      <c r="D249" s="32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5">
        <f>IF(A249="","","#"&amp;A249)</f>
        <v/>
      </c>
    </row>
    <row r="250">
      <c r="A250" s="28" t="inlineStr">
        <is>
          <t>ALM-049</t>
        </is>
      </c>
      <c r="B250" s="60">
        <f>IFERROR(INDEX(Materiales!$B$4:$B$484,MATCH("#"&amp;$A250,Materiales!$K$4:$K$484,0)),"")</f>
        <v/>
      </c>
      <c r="C250" s="34" t="n"/>
      <c r="D250" s="32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5">
        <f>IF(A250="","","#"&amp;A250)</f>
        <v/>
      </c>
    </row>
    <row r="251">
      <c r="A251" s="28" t="inlineStr">
        <is>
          <t>ALM-050</t>
        </is>
      </c>
      <c r="B251" s="60">
        <f>IFERROR(INDEX(Materiales!$B$4:$B$484,MATCH("#"&amp;$A251,Materiales!$K$4:$K$484,0)),"")</f>
        <v/>
      </c>
      <c r="C251" s="34" t="n"/>
      <c r="D251" s="32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5">
        <f>IF(A251="","","#"&amp;A251)</f>
        <v/>
      </c>
    </row>
    <row r="252">
      <c r="A252" s="28" t="inlineStr">
        <is>
          <t>ALM-051</t>
        </is>
      </c>
      <c r="B252" s="60">
        <f>IFERROR(INDEX(Materiales!$B$4:$B$484,MATCH("#"&amp;$A252,Materiales!$K$4:$K$484,0)),"")</f>
        <v/>
      </c>
      <c r="C252" s="34" t="n"/>
      <c r="D252" s="32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5">
        <f>IF(A252="","","#"&amp;A252)</f>
        <v/>
      </c>
    </row>
    <row r="253">
      <c r="A253" s="28" t="inlineStr">
        <is>
          <t>ALM-052</t>
        </is>
      </c>
      <c r="B253" s="60">
        <f>IFERROR(INDEX(Materiales!$B$4:$B$484,MATCH("#"&amp;$A253,Materiales!$K$4:$K$484,0)),"")</f>
        <v/>
      </c>
      <c r="C253" s="34" t="n"/>
      <c r="D253" s="32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5">
        <f>IF(A253="","","#"&amp;A253)</f>
        <v/>
      </c>
    </row>
    <row r="254">
      <c r="A254" s="28" t="inlineStr">
        <is>
          <t>ALM-053</t>
        </is>
      </c>
      <c r="B254" s="60">
        <f>IFERROR(INDEX(Materiales!$B$4:$B$484,MATCH("#"&amp;$A254,Materiales!$K$4:$K$484,0)),"")</f>
        <v/>
      </c>
      <c r="C254" s="34" t="n"/>
      <c r="D254" s="32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5">
        <f>IF(A254="","","#"&amp;A254)</f>
        <v/>
      </c>
    </row>
    <row r="255">
      <c r="A255" s="28" t="inlineStr">
        <is>
          <t>ALM-054</t>
        </is>
      </c>
      <c r="B255" s="60">
        <f>IFERROR(INDEX(Materiales!$B$4:$B$484,MATCH("#"&amp;$A255,Materiales!$K$4:$K$484,0)),"")</f>
        <v/>
      </c>
      <c r="C255" s="34" t="n"/>
      <c r="D255" s="32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5">
        <f>IF(A255="","","#"&amp;A255)</f>
        <v/>
      </c>
    </row>
    <row r="256">
      <c r="A256" s="28" t="inlineStr">
        <is>
          <t>ALM-055</t>
        </is>
      </c>
      <c r="B256" s="60">
        <f>IFERROR(INDEX(Materiales!$B$4:$B$484,MATCH("#"&amp;$A256,Materiales!$K$4:$K$484,0)),"")</f>
        <v/>
      </c>
      <c r="C256" s="34" t="n"/>
      <c r="D256" s="32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5">
        <f>IF(A256="","","#"&amp;A256)</f>
        <v/>
      </c>
    </row>
    <row r="257">
      <c r="A257" s="28" t="inlineStr">
        <is>
          <t>ALM-056</t>
        </is>
      </c>
      <c r="B257" s="60">
        <f>IFERROR(INDEX(Materiales!$B$4:$B$484,MATCH("#"&amp;$A257,Materiales!$K$4:$K$484,0)),"")</f>
        <v/>
      </c>
      <c r="C257" s="34" t="n"/>
      <c r="D257" s="32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5">
        <f>IF(A257="","","#"&amp;A257)</f>
        <v/>
      </c>
    </row>
    <row r="258">
      <c r="A258" s="28" t="inlineStr">
        <is>
          <t>ALM-057</t>
        </is>
      </c>
      <c r="B258" s="60">
        <f>IFERROR(INDEX(Materiales!$B$4:$B$484,MATCH("#"&amp;$A258,Materiales!$K$4:$K$484,0)),"")</f>
        <v/>
      </c>
      <c r="C258" s="34" t="n"/>
      <c r="D258" s="32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5">
        <f>IF(A258="","","#"&amp;A258)</f>
        <v/>
      </c>
    </row>
    <row r="259">
      <c r="A259" s="28" t="inlineStr">
        <is>
          <t>ALM-058</t>
        </is>
      </c>
      <c r="B259" s="60">
        <f>IFERROR(INDEX(Materiales!$B$4:$B$484,MATCH("#"&amp;$A259,Materiales!$K$4:$K$484,0)),"")</f>
        <v/>
      </c>
      <c r="C259" s="34" t="n"/>
      <c r="D259" s="32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5">
        <f>IF(A259="","","#"&amp;A259)</f>
        <v/>
      </c>
    </row>
    <row r="260">
      <c r="A260" s="28" t="inlineStr">
        <is>
          <t>ALM-059</t>
        </is>
      </c>
      <c r="B260" s="60">
        <f>IFERROR(INDEX(Materiales!$B$4:$B$484,MATCH("#"&amp;$A260,Materiales!$K$4:$K$484,0)),"")</f>
        <v/>
      </c>
      <c r="C260" s="34" t="n"/>
      <c r="D260" s="32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5">
        <f>IF(A260="","","#"&amp;A260)</f>
        <v/>
      </c>
    </row>
    <row r="261">
      <c r="A261" s="28" t="inlineStr">
        <is>
          <t>ALM-060</t>
        </is>
      </c>
      <c r="B261" s="60">
        <f>IFERROR(INDEX(Materiales!$B$4:$B$484,MATCH("#"&amp;$A261,Materiales!$K$4:$K$484,0)),"")</f>
        <v/>
      </c>
      <c r="C261" s="34" t="n"/>
      <c r="D261" s="32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5">
        <f>IF(A261="","","#"&amp;A261)</f>
        <v/>
      </c>
    </row>
    <row r="262">
      <c r="A262" s="28" t="inlineStr">
        <is>
          <t>ALM-061</t>
        </is>
      </c>
      <c r="B262" s="60">
        <f>IFERROR(INDEX(Materiales!$B$4:$B$484,MATCH("#"&amp;$A262,Materiales!$K$4:$K$484,0)),"")</f>
        <v/>
      </c>
      <c r="C262" s="34" t="n"/>
      <c r="D262" s="32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5">
        <f>IF(A262="","","#"&amp;A262)</f>
        <v/>
      </c>
    </row>
    <row r="263">
      <c r="A263" s="28" t="inlineStr">
        <is>
          <t>ALM-062</t>
        </is>
      </c>
      <c r="B263" s="60">
        <f>IFERROR(INDEX(Materiales!$B$4:$B$484,MATCH("#"&amp;$A263,Materiales!$K$4:$K$484,0)),"")</f>
        <v/>
      </c>
      <c r="C263" s="34" t="n"/>
      <c r="D263" s="32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5">
        <f>IF(A263="","","#"&amp;A263)</f>
        <v/>
      </c>
    </row>
    <row r="264">
      <c r="A264" s="28" t="inlineStr">
        <is>
          <t>ALM-063</t>
        </is>
      </c>
      <c r="B264" s="60">
        <f>IFERROR(INDEX(Materiales!$B$4:$B$484,MATCH("#"&amp;$A264,Materiales!$K$4:$K$484,0)),"")</f>
        <v/>
      </c>
      <c r="C264" s="34" t="n"/>
      <c r="D264" s="32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5">
        <f>IF(A264="","","#"&amp;A264)</f>
        <v/>
      </c>
    </row>
    <row r="265">
      <c r="A265" s="28" t="inlineStr">
        <is>
          <t>ALM-064</t>
        </is>
      </c>
      <c r="B265" s="60">
        <f>IFERROR(INDEX(Materiales!$B$4:$B$484,MATCH("#"&amp;$A265,Materiales!$K$4:$K$484,0)),"")</f>
        <v/>
      </c>
      <c r="C265" s="34" t="n"/>
      <c r="D265" s="32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5">
        <f>IF(A265="","","#"&amp;A265)</f>
        <v/>
      </c>
    </row>
    <row r="266">
      <c r="A266" s="28" t="inlineStr">
        <is>
          <t>ALM-065</t>
        </is>
      </c>
      <c r="B266" s="60">
        <f>IFERROR(INDEX(Materiales!$B$4:$B$484,MATCH("#"&amp;$A266,Materiales!$K$4:$K$484,0)),"")</f>
        <v/>
      </c>
      <c r="C266" s="34" t="n"/>
      <c r="D266" s="32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5">
        <f>IF(A266="","","#"&amp;A266)</f>
        <v/>
      </c>
    </row>
    <row r="267">
      <c r="A267" s="28" t="inlineStr">
        <is>
          <t>ALM-066</t>
        </is>
      </c>
      <c r="B267" s="60">
        <f>IFERROR(INDEX(Materiales!$B$4:$B$484,MATCH("#"&amp;$A267,Materiales!$K$4:$K$484,0)),"")</f>
        <v/>
      </c>
      <c r="C267" s="34" t="n"/>
      <c r="D267" s="32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5">
        <f>IF(A267="","","#"&amp;A267)</f>
        <v/>
      </c>
    </row>
    <row r="268">
      <c r="A268" s="28" t="inlineStr">
        <is>
          <t>ALM-067</t>
        </is>
      </c>
      <c r="B268" s="60">
        <f>IFERROR(INDEX(Materiales!$B$4:$B$484,MATCH("#"&amp;$A268,Materiales!$K$4:$K$484,0)),"")</f>
        <v/>
      </c>
      <c r="C268" s="34" t="n"/>
      <c r="D268" s="32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5">
        <f>IF(A268="","","#"&amp;A268)</f>
        <v/>
      </c>
    </row>
    <row r="269">
      <c r="A269" s="28" t="inlineStr">
        <is>
          <t>ALM-068</t>
        </is>
      </c>
      <c r="B269" s="60">
        <f>IFERROR(INDEX(Materiales!$B$4:$B$484,MATCH("#"&amp;$A269,Materiales!$K$4:$K$484,0)),"")</f>
        <v/>
      </c>
      <c r="C269" s="34" t="n"/>
      <c r="D269" s="32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5">
        <f>IF(A269="","","#"&amp;A269)</f>
        <v/>
      </c>
    </row>
    <row r="270">
      <c r="A270" s="28" t="inlineStr">
        <is>
          <t>ALM-069</t>
        </is>
      </c>
      <c r="B270" s="60">
        <f>IFERROR(INDEX(Materiales!$B$4:$B$484,MATCH("#"&amp;$A270,Materiales!$K$4:$K$484,0)),"")</f>
        <v/>
      </c>
      <c r="C270" s="34" t="n"/>
      <c r="D270" s="32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5">
        <f>IF(A270="","","#"&amp;A270)</f>
        <v/>
      </c>
    </row>
    <row r="271">
      <c r="A271" s="28" t="inlineStr">
        <is>
          <t>ALM-070</t>
        </is>
      </c>
      <c r="B271" s="60">
        <f>IFERROR(INDEX(Materiales!$B$4:$B$484,MATCH("#"&amp;$A271,Materiales!$K$4:$K$484,0)),"")</f>
        <v/>
      </c>
      <c r="C271" s="34" t="n"/>
      <c r="D271" s="32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5">
        <f>IF(A271="","","#"&amp;A271)</f>
        <v/>
      </c>
    </row>
    <row r="272">
      <c r="A272" s="28" t="inlineStr">
        <is>
          <t>ALM-071</t>
        </is>
      </c>
      <c r="B272" s="60">
        <f>IFERROR(INDEX(Materiales!$B$4:$B$484,MATCH("#"&amp;$A272,Materiales!$K$4:$K$484,0)),"")</f>
        <v/>
      </c>
      <c r="C272" s="34" t="n"/>
      <c r="D272" s="32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5">
        <f>IF(A272="","","#"&amp;A272)</f>
        <v/>
      </c>
    </row>
    <row r="273">
      <c r="A273" s="28" t="inlineStr">
        <is>
          <t>ALM-072</t>
        </is>
      </c>
      <c r="B273" s="60">
        <f>IFERROR(INDEX(Materiales!$B$4:$B$484,MATCH("#"&amp;$A273,Materiales!$K$4:$K$484,0)),"")</f>
        <v/>
      </c>
      <c r="C273" s="34" t="n"/>
      <c r="D273" s="32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5">
        <f>IF(A273="","","#"&amp;A273)</f>
        <v/>
      </c>
    </row>
    <row r="274">
      <c r="A274" s="28" t="inlineStr">
        <is>
          <t>ALM-073</t>
        </is>
      </c>
      <c r="B274" s="60">
        <f>IFERROR(INDEX(Materiales!$B$4:$B$484,MATCH("#"&amp;$A274,Materiales!$K$4:$K$484,0)),"")</f>
        <v/>
      </c>
      <c r="C274" s="34" t="n"/>
      <c r="D274" s="32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5">
        <f>IF(A274="","","#"&amp;A274)</f>
        <v/>
      </c>
    </row>
    <row r="275">
      <c r="A275" s="28" t="inlineStr">
        <is>
          <t>ALM-074</t>
        </is>
      </c>
      <c r="B275" s="60">
        <f>IFERROR(INDEX(Materiales!$B$4:$B$484,MATCH("#"&amp;$A275,Materiales!$K$4:$K$484,0)),"")</f>
        <v/>
      </c>
      <c r="C275" s="34" t="n"/>
      <c r="D275" s="32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5">
        <f>IF(A275="","","#"&amp;A275)</f>
        <v/>
      </c>
    </row>
    <row r="276">
      <c r="A276" s="28" t="inlineStr">
        <is>
          <t>ALM-075</t>
        </is>
      </c>
      <c r="B276" s="60">
        <f>IFERROR(INDEX(Materiales!$B$4:$B$484,MATCH("#"&amp;$A276,Materiales!$K$4:$K$484,0)),"")</f>
        <v/>
      </c>
      <c r="C276" s="34" t="n"/>
      <c r="D276" s="32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5">
        <f>IF(A276="","","#"&amp;A276)</f>
        <v/>
      </c>
    </row>
    <row r="277">
      <c r="A277" s="28" t="inlineStr">
        <is>
          <t>ALM-076</t>
        </is>
      </c>
      <c r="B277" s="60">
        <f>IFERROR(INDEX(Materiales!$B$4:$B$484,MATCH("#"&amp;$A277,Materiales!$K$4:$K$484,0)),"")</f>
        <v/>
      </c>
      <c r="C277" s="34" t="n"/>
      <c r="D277" s="32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5">
        <f>IF(A277="","","#"&amp;A277)</f>
        <v/>
      </c>
    </row>
    <row r="278">
      <c r="A278" s="28" t="inlineStr">
        <is>
          <t>ALM-077</t>
        </is>
      </c>
      <c r="B278" s="60">
        <f>IFERROR(INDEX(Materiales!$B$4:$B$484,MATCH("#"&amp;$A278,Materiales!$K$4:$K$484,0)),"")</f>
        <v/>
      </c>
      <c r="C278" s="34" t="n"/>
      <c r="D278" s="32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5">
        <f>IF(A278="","","#"&amp;A278)</f>
        <v/>
      </c>
    </row>
    <row r="279">
      <c r="A279" s="28" t="inlineStr">
        <is>
          <t>ALM-080</t>
        </is>
      </c>
      <c r="B279" s="60">
        <f>IFERROR(INDEX(Materiales!$B$4:$B$484,MATCH("#"&amp;$A279,Materiales!$K$4:$K$484,0)),"")</f>
        <v/>
      </c>
      <c r="C279" s="34" t="n"/>
      <c r="D279" s="32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5">
        <f>IF(A279="","","#"&amp;A279)</f>
        <v/>
      </c>
    </row>
    <row r="280">
      <c r="A280" s="28" t="inlineStr">
        <is>
          <t>ALM-085</t>
        </is>
      </c>
      <c r="B280" s="60">
        <f>IFERROR(INDEX(Materiales!$B$4:$B$484,MATCH("#"&amp;$A280,Materiales!$K$4:$K$484,0)),"")</f>
        <v/>
      </c>
      <c r="C280" s="34" t="n"/>
      <c r="D280" s="32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5">
        <f>IF(A280="","","#"&amp;A280)</f>
        <v/>
      </c>
    </row>
    <row r="281">
      <c r="A281" s="28" t="inlineStr">
        <is>
          <t>ART-00001</t>
        </is>
      </c>
      <c r="B281" s="60">
        <f>IFERROR(INDEX(Materiales!$B$4:$B$484,MATCH("#"&amp;$A281,Materiales!$K$4:$K$484,0)),"")</f>
        <v/>
      </c>
      <c r="C281" s="34" t="n"/>
      <c r="D281" s="32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5">
        <f>IF(A281="","","#"&amp;A281)</f>
        <v/>
      </c>
    </row>
    <row r="282">
      <c r="A282" s="28" t="inlineStr">
        <is>
          <t>ART-00002</t>
        </is>
      </c>
      <c r="B282" s="60">
        <f>IFERROR(INDEX(Materiales!$B$4:$B$484,MATCH("#"&amp;$A282,Materiales!$K$4:$K$484,0)),"")</f>
        <v/>
      </c>
      <c r="C282" s="34" t="n"/>
      <c r="D282" s="32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5">
        <f>IF(A282="","","#"&amp;A282)</f>
        <v/>
      </c>
    </row>
    <row r="283">
      <c r="A283" s="28" t="inlineStr">
        <is>
          <t>ART-00003</t>
        </is>
      </c>
      <c r="B283" s="60">
        <f>IFERROR(INDEX(Materiales!$B$4:$B$484,MATCH("#"&amp;$A283,Materiales!$K$4:$K$484,0)),"")</f>
        <v/>
      </c>
      <c r="C283" s="34" t="n"/>
      <c r="D283" s="32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5">
        <f>IF(A283="","","#"&amp;A283)</f>
        <v/>
      </c>
    </row>
    <row r="284">
      <c r="A284" s="28" t="inlineStr">
        <is>
          <t>ART-00004</t>
        </is>
      </c>
      <c r="B284" s="60">
        <f>IFERROR(INDEX(Materiales!$B$4:$B$484,MATCH("#"&amp;$A284,Materiales!$K$4:$K$484,0)),"")</f>
        <v/>
      </c>
      <c r="C284" s="34" t="n"/>
      <c r="D284" s="32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5">
        <f>IF(A284="","","#"&amp;A284)</f>
        <v/>
      </c>
    </row>
    <row r="285">
      <c r="A285" s="28" t="inlineStr">
        <is>
          <t>ART-00005</t>
        </is>
      </c>
      <c r="B285" s="60">
        <f>IFERROR(INDEX(Materiales!$B$4:$B$484,MATCH("#"&amp;$A285,Materiales!$K$4:$K$484,0)),"")</f>
        <v/>
      </c>
      <c r="C285" s="34" t="n"/>
      <c r="D285" s="32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5">
        <f>IF(A285="","","#"&amp;A285)</f>
        <v/>
      </c>
    </row>
    <row r="286">
      <c r="A286" s="28" t="inlineStr">
        <is>
          <t>ART-00006</t>
        </is>
      </c>
      <c r="B286" s="60">
        <f>IFERROR(INDEX(Materiales!$B$4:$B$484,MATCH("#"&amp;$A286,Materiales!$K$4:$K$484,0)),"")</f>
        <v/>
      </c>
      <c r="C286" s="34" t="n"/>
      <c r="D286" s="32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5">
        <f>IF(A286="","","#"&amp;A286)</f>
        <v/>
      </c>
    </row>
    <row r="287">
      <c r="A287" s="28" t="inlineStr">
        <is>
          <t>ART-00007</t>
        </is>
      </c>
      <c r="B287" s="60">
        <f>IFERROR(INDEX(Materiales!$B$4:$B$484,MATCH("#"&amp;$A287,Materiales!$K$4:$K$484,0)),"")</f>
        <v/>
      </c>
      <c r="C287" s="34" t="n"/>
      <c r="D287" s="32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5">
        <f>IF(A287="","","#"&amp;A287)</f>
        <v/>
      </c>
    </row>
    <row r="288">
      <c r="A288" s="28" t="inlineStr">
        <is>
          <t>ART-00008</t>
        </is>
      </c>
      <c r="B288" s="60">
        <f>IFERROR(INDEX(Materiales!$B$4:$B$484,MATCH("#"&amp;$A288,Materiales!$K$4:$K$484,0)),"")</f>
        <v/>
      </c>
      <c r="C288" s="34" t="n"/>
      <c r="D288" s="32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5">
        <f>IF(A288="","","#"&amp;A288)</f>
        <v/>
      </c>
    </row>
    <row r="289">
      <c r="A289" s="28" t="inlineStr">
        <is>
          <t>ART-00009</t>
        </is>
      </c>
      <c r="B289" s="60">
        <f>IFERROR(INDEX(Materiales!$B$4:$B$484,MATCH("#"&amp;$A289,Materiales!$K$4:$K$484,0)),"")</f>
        <v/>
      </c>
      <c r="C289" s="34" t="n"/>
      <c r="D289" s="32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5">
        <f>IF(A289="","","#"&amp;A289)</f>
        <v/>
      </c>
    </row>
    <row r="290">
      <c r="A290" s="28" t="inlineStr">
        <is>
          <t>ART-00010</t>
        </is>
      </c>
      <c r="B290" s="60">
        <f>IFERROR(INDEX(Materiales!$B$4:$B$484,MATCH("#"&amp;$A290,Materiales!$K$4:$K$484,0)),"")</f>
        <v/>
      </c>
      <c r="C290" s="34" t="n"/>
      <c r="D290" s="32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5">
        <f>IF(A290="","","#"&amp;A290)</f>
        <v/>
      </c>
    </row>
    <row r="291">
      <c r="A291" s="28" t="inlineStr">
        <is>
          <t>ART-00011</t>
        </is>
      </c>
      <c r="B291" s="60">
        <f>IFERROR(INDEX(Materiales!$B$4:$B$484,MATCH("#"&amp;$A291,Materiales!$K$4:$K$484,0)),"")</f>
        <v/>
      </c>
      <c r="C291" s="34" t="n"/>
      <c r="D291" s="32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5">
        <f>IF(A291="","","#"&amp;A291)</f>
        <v/>
      </c>
    </row>
    <row r="292">
      <c r="A292" s="28" t="inlineStr">
        <is>
          <t>ART-00012</t>
        </is>
      </c>
      <c r="B292" s="60">
        <f>IFERROR(INDEX(Materiales!$B$4:$B$484,MATCH("#"&amp;$A292,Materiales!$K$4:$K$484,0)),"")</f>
        <v/>
      </c>
      <c r="C292" s="34" t="n"/>
      <c r="D292" s="32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5">
        <f>IF(A292="","","#"&amp;A292)</f>
        <v/>
      </c>
    </row>
    <row r="293">
      <c r="A293" s="28" t="inlineStr">
        <is>
          <t>ART-00016</t>
        </is>
      </c>
      <c r="B293" s="60">
        <f>IFERROR(INDEX(Materiales!$B$4:$B$484,MATCH("#"&amp;$A293,Materiales!$K$4:$K$484,0)),"")</f>
        <v/>
      </c>
      <c r="C293" s="34" t="n"/>
      <c r="D293" s="32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5">
        <f>IF(A293="","","#"&amp;A293)</f>
        <v/>
      </c>
    </row>
    <row r="294">
      <c r="A294" s="28" t="inlineStr">
        <is>
          <t>ART-00017</t>
        </is>
      </c>
      <c r="B294" s="60">
        <f>IFERROR(INDEX(Materiales!$B$4:$B$484,MATCH("#"&amp;$A294,Materiales!$K$4:$K$484,0)),"")</f>
        <v/>
      </c>
      <c r="C294" s="34" t="n"/>
      <c r="D294" s="32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5">
        <f>IF(A294="","","#"&amp;A294)</f>
        <v/>
      </c>
    </row>
    <row r="295">
      <c r="A295" s="28" t="inlineStr">
        <is>
          <t>ART-00018</t>
        </is>
      </c>
      <c r="B295" s="60">
        <f>IFERROR(INDEX(Materiales!$B$4:$B$484,MATCH("#"&amp;$A295,Materiales!$K$4:$K$484,0)),"")</f>
        <v/>
      </c>
      <c r="C295" s="34" t="n"/>
      <c r="D295" s="32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5">
        <f>IF(A295="","","#"&amp;A295)</f>
        <v/>
      </c>
    </row>
    <row r="296">
      <c r="A296" s="28" t="inlineStr">
        <is>
          <t>ART-00019</t>
        </is>
      </c>
      <c r="B296" s="60">
        <f>IFERROR(INDEX(Materiales!$B$4:$B$484,MATCH("#"&amp;$A296,Materiales!$K$4:$K$484,0)),"")</f>
        <v/>
      </c>
      <c r="C296" s="34" t="n"/>
      <c r="D296" s="32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5">
        <f>IF(A296="","","#"&amp;A296)</f>
        <v/>
      </c>
    </row>
    <row r="297">
      <c r="A297" s="28" t="inlineStr">
        <is>
          <t>ART-00020</t>
        </is>
      </c>
      <c r="B297" s="60">
        <f>IFERROR(INDEX(Materiales!$B$4:$B$484,MATCH("#"&amp;$A297,Materiales!$K$4:$K$484,0)),"")</f>
        <v/>
      </c>
      <c r="C297" s="34" t="n"/>
      <c r="D297" s="32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5">
        <f>IF(A297="","","#"&amp;A297)</f>
        <v/>
      </c>
    </row>
    <row r="298">
      <c r="A298" s="28" t="inlineStr">
        <is>
          <t>ART-00021</t>
        </is>
      </c>
      <c r="B298" s="60">
        <f>IFERROR(INDEX(Materiales!$B$4:$B$484,MATCH("#"&amp;$A298,Materiales!$K$4:$K$484,0)),"")</f>
        <v/>
      </c>
      <c r="C298" s="34" t="n"/>
      <c r="D298" s="32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5">
        <f>IF(A298="","","#"&amp;A298)</f>
        <v/>
      </c>
    </row>
    <row r="299">
      <c r="A299" s="28" t="inlineStr">
        <is>
          <t>ART-00022</t>
        </is>
      </c>
      <c r="B299" s="60">
        <f>IFERROR(INDEX(Materiales!$B$4:$B$484,MATCH("#"&amp;$A299,Materiales!$K$4:$K$484,0)),"")</f>
        <v/>
      </c>
      <c r="C299" s="34" t="n"/>
      <c r="D299" s="32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5">
        <f>IF(A299="","","#"&amp;A299)</f>
        <v/>
      </c>
    </row>
    <row r="300">
      <c r="A300" s="28" t="inlineStr">
        <is>
          <t>ART-00023</t>
        </is>
      </c>
      <c r="B300" s="60">
        <f>IFERROR(INDEX(Materiales!$B$4:$B$484,MATCH("#"&amp;$A300,Materiales!$K$4:$K$484,0)),"")</f>
        <v/>
      </c>
      <c r="C300" s="34" t="n"/>
      <c r="D300" s="32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5">
        <f>IF(A300="","","#"&amp;A300)</f>
        <v/>
      </c>
    </row>
    <row r="301">
      <c r="A301" s="28" t="inlineStr">
        <is>
          <t>ART-00024</t>
        </is>
      </c>
      <c r="B301" s="60">
        <f>IFERROR(INDEX(Materiales!$B$4:$B$484,MATCH("#"&amp;$A301,Materiales!$K$4:$K$484,0)),"")</f>
        <v/>
      </c>
      <c r="C301" s="34" t="n"/>
      <c r="D301" s="32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5">
        <f>IF(A301="","","#"&amp;A301)</f>
        <v/>
      </c>
    </row>
    <row r="302">
      <c r="A302" s="28" t="inlineStr">
        <is>
          <t>ART-00025</t>
        </is>
      </c>
      <c r="B302" s="60">
        <f>IFERROR(INDEX(Materiales!$B$4:$B$484,MATCH("#"&amp;$A302,Materiales!$K$4:$K$484,0)),"")</f>
        <v/>
      </c>
      <c r="C302" s="34" t="n"/>
      <c r="D302" s="32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5">
        <f>IF(A302="","","#"&amp;A302)</f>
        <v/>
      </c>
    </row>
    <row r="303">
      <c r="A303" s="28" t="inlineStr">
        <is>
          <t>ART-00026</t>
        </is>
      </c>
      <c r="B303" s="60">
        <f>IFERROR(INDEX(Materiales!$B$4:$B$484,MATCH("#"&amp;$A303,Materiales!$K$4:$K$484,0)),"")</f>
        <v/>
      </c>
      <c r="C303" s="34" t="n"/>
      <c r="D303" s="32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5">
        <f>IF(A303="","","#"&amp;A303)</f>
        <v/>
      </c>
    </row>
    <row r="304">
      <c r="A304" s="28" t="inlineStr">
        <is>
          <t>ART-00027</t>
        </is>
      </c>
      <c r="B304" s="60">
        <f>IFERROR(INDEX(Materiales!$B$4:$B$484,MATCH("#"&amp;$A304,Materiales!$K$4:$K$484,0)),"")</f>
        <v/>
      </c>
      <c r="C304" s="34" t="n"/>
      <c r="D304" s="32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5">
        <f>IF(A304="","","#"&amp;A304)</f>
        <v/>
      </c>
    </row>
    <row r="305">
      <c r="A305" s="28" t="inlineStr">
        <is>
          <t>ART-00028</t>
        </is>
      </c>
      <c r="B305" s="60">
        <f>IFERROR(INDEX(Materiales!$B$4:$B$484,MATCH("#"&amp;$A305,Materiales!$K$4:$K$484,0)),"")</f>
        <v/>
      </c>
      <c r="C305" s="34" t="n"/>
      <c r="D305" s="32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5">
        <f>IF(A305="","","#"&amp;A305)</f>
        <v/>
      </c>
    </row>
    <row r="306">
      <c r="A306" s="28" t="inlineStr">
        <is>
          <t>ART-00029</t>
        </is>
      </c>
      <c r="B306" s="60">
        <f>IFERROR(INDEX(Materiales!$B$4:$B$484,MATCH("#"&amp;$A306,Materiales!$K$4:$K$484,0)),"")</f>
        <v/>
      </c>
      <c r="C306" s="34" t="n"/>
      <c r="D306" s="32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5">
        <f>IF(A306="","","#"&amp;A306)</f>
        <v/>
      </c>
    </row>
    <row r="307">
      <c r="A307" s="28" t="inlineStr">
        <is>
          <t>ART-00030</t>
        </is>
      </c>
      <c r="B307" s="60">
        <f>IFERROR(INDEX(Materiales!$B$4:$B$484,MATCH("#"&amp;$A307,Materiales!$K$4:$K$484,0)),"")</f>
        <v/>
      </c>
      <c r="C307" s="34" t="n"/>
      <c r="D307" s="32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5">
        <f>IF(A307="","","#"&amp;A307)</f>
        <v/>
      </c>
    </row>
    <row r="308">
      <c r="A308" s="28" t="inlineStr">
        <is>
          <t>ART-00031</t>
        </is>
      </c>
      <c r="B308" s="60">
        <f>IFERROR(INDEX(Materiales!$B$4:$B$484,MATCH("#"&amp;$A308,Materiales!$K$4:$K$484,0)),"")</f>
        <v/>
      </c>
      <c r="C308" s="34" t="n"/>
      <c r="D308" s="32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5">
        <f>IF(A308="","","#"&amp;A308)</f>
        <v/>
      </c>
    </row>
    <row r="309">
      <c r="A309" s="28" t="inlineStr">
        <is>
          <t>ART-00032</t>
        </is>
      </c>
      <c r="B309" s="60">
        <f>IFERROR(INDEX(Materiales!$B$4:$B$484,MATCH("#"&amp;$A309,Materiales!$K$4:$K$484,0)),"")</f>
        <v/>
      </c>
      <c r="C309" s="34" t="n"/>
      <c r="D309" s="32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5">
        <f>IF(A309="","","#"&amp;A309)</f>
        <v/>
      </c>
    </row>
    <row r="310">
      <c r="A310" s="28" t="inlineStr">
        <is>
          <t>ART-00033</t>
        </is>
      </c>
      <c r="B310" s="60">
        <f>IFERROR(INDEX(Materiales!$B$4:$B$484,MATCH("#"&amp;$A310,Materiales!$K$4:$K$484,0)),"")</f>
        <v/>
      </c>
      <c r="C310" s="34" t="n"/>
      <c r="D310" s="32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5">
        <f>IF(A310="","","#"&amp;A310)</f>
        <v/>
      </c>
    </row>
    <row r="311">
      <c r="A311" s="28" t="inlineStr">
        <is>
          <t>ART-00034</t>
        </is>
      </c>
      <c r="B311" s="60">
        <f>IFERROR(INDEX(Materiales!$B$4:$B$484,MATCH("#"&amp;$A311,Materiales!$K$4:$K$484,0)),"")</f>
        <v/>
      </c>
      <c r="C311" s="34" t="n"/>
      <c r="D311" s="32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5">
        <f>IF(A311="","","#"&amp;A311)</f>
        <v/>
      </c>
    </row>
    <row r="312">
      <c r="A312" s="28" t="inlineStr">
        <is>
          <t>ART-00035</t>
        </is>
      </c>
      <c r="B312" s="60">
        <f>IFERROR(INDEX(Materiales!$B$4:$B$484,MATCH("#"&amp;$A312,Materiales!$K$4:$K$484,0)),"")</f>
        <v/>
      </c>
      <c r="C312" s="34" t="n"/>
      <c r="D312" s="32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5">
        <f>IF(A312="","","#"&amp;A312)</f>
        <v/>
      </c>
    </row>
    <row r="313">
      <c r="A313" s="28" t="inlineStr">
        <is>
          <t>ART-00036</t>
        </is>
      </c>
      <c r="B313" s="60">
        <f>IFERROR(INDEX(Materiales!$B$4:$B$484,MATCH("#"&amp;$A313,Materiales!$K$4:$K$484,0)),"")</f>
        <v/>
      </c>
      <c r="C313" s="34" t="n"/>
      <c r="D313" s="32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5">
        <f>IF(A313="","","#"&amp;A313)</f>
        <v/>
      </c>
    </row>
    <row r="314">
      <c r="A314" s="28" t="inlineStr">
        <is>
          <t>ART-00037</t>
        </is>
      </c>
      <c r="B314" s="60">
        <f>IFERROR(INDEX(Materiales!$B$4:$B$484,MATCH("#"&amp;$A314,Materiales!$K$4:$K$484,0)),"")</f>
        <v/>
      </c>
      <c r="C314" s="34" t="n"/>
      <c r="D314" s="32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5">
        <f>IF(A314="","","#"&amp;A314)</f>
        <v/>
      </c>
    </row>
    <row r="315">
      <c r="A315" s="28" t="inlineStr">
        <is>
          <t>ART-00038</t>
        </is>
      </c>
      <c r="B315" s="60">
        <f>IFERROR(INDEX(Materiales!$B$4:$B$484,MATCH("#"&amp;$A315,Materiales!$K$4:$K$484,0)),"")</f>
        <v/>
      </c>
      <c r="C315" s="34" t="n"/>
      <c r="D315" s="32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5">
        <f>IF(A315="","","#"&amp;A315)</f>
        <v/>
      </c>
    </row>
    <row r="316">
      <c r="A316" s="28" t="inlineStr">
        <is>
          <t>ART-00039</t>
        </is>
      </c>
      <c r="B316" s="60">
        <f>IFERROR(INDEX(Materiales!$B$4:$B$484,MATCH("#"&amp;$A316,Materiales!$K$4:$K$484,0)),"")</f>
        <v/>
      </c>
      <c r="C316" s="34" t="n"/>
      <c r="D316" s="32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5">
        <f>IF(A316="","","#"&amp;A316)</f>
        <v/>
      </c>
    </row>
    <row r="317">
      <c r="A317" s="28" t="inlineStr">
        <is>
          <t>ART-00040</t>
        </is>
      </c>
      <c r="B317" s="60">
        <f>IFERROR(INDEX(Materiales!$B$4:$B$484,MATCH("#"&amp;$A317,Materiales!$K$4:$K$484,0)),"")</f>
        <v/>
      </c>
      <c r="C317" s="34" t="n"/>
      <c r="D317" s="32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5">
        <f>IF(A317="","","#"&amp;A317)</f>
        <v/>
      </c>
    </row>
    <row r="318">
      <c r="A318" s="28" t="inlineStr">
        <is>
          <t>ART-00041</t>
        </is>
      </c>
      <c r="B318" s="60">
        <f>IFERROR(INDEX(Materiales!$B$4:$B$484,MATCH("#"&amp;$A318,Materiales!$K$4:$K$484,0)),"")</f>
        <v/>
      </c>
      <c r="C318" s="34" t="n"/>
      <c r="D318" s="32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5">
        <f>IF(A318="","","#"&amp;A318)</f>
        <v/>
      </c>
    </row>
    <row r="319">
      <c r="A319" s="28" t="inlineStr">
        <is>
          <t>ART-00042</t>
        </is>
      </c>
      <c r="B319" s="60">
        <f>IFERROR(INDEX(Materiales!$B$4:$B$484,MATCH("#"&amp;$A319,Materiales!$K$4:$K$484,0)),"")</f>
        <v/>
      </c>
      <c r="C319" s="34" t="n"/>
      <c r="D319" s="32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5">
        <f>IF(A319="","","#"&amp;A319)</f>
        <v/>
      </c>
    </row>
    <row r="320">
      <c r="A320" s="28" t="inlineStr">
        <is>
          <t>ART-00043</t>
        </is>
      </c>
      <c r="B320" s="60">
        <f>IFERROR(INDEX(Materiales!$B$4:$B$484,MATCH("#"&amp;$A320,Materiales!$K$4:$K$484,0)),"")</f>
        <v/>
      </c>
      <c r="C320" s="34" t="n"/>
      <c r="D320" s="32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5">
        <f>IF(A320="","","#"&amp;A320)</f>
        <v/>
      </c>
    </row>
    <row r="321">
      <c r="A321" s="28" t="inlineStr">
        <is>
          <t>ART-00044</t>
        </is>
      </c>
      <c r="B321" s="60">
        <f>IFERROR(INDEX(Materiales!$B$4:$B$484,MATCH("#"&amp;$A321,Materiales!$K$4:$K$484,0)),"")</f>
        <v/>
      </c>
      <c r="C321" s="34" t="n"/>
      <c r="D321" s="32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5">
        <f>IF(A321="","","#"&amp;A321)</f>
        <v/>
      </c>
    </row>
    <row r="322">
      <c r="A322" s="28" t="inlineStr">
        <is>
          <t>ART-00045</t>
        </is>
      </c>
      <c r="B322" s="60">
        <f>IFERROR(INDEX(Materiales!$B$4:$B$484,MATCH("#"&amp;$A322,Materiales!$K$4:$K$484,0)),"")</f>
        <v/>
      </c>
      <c r="C322" s="34" t="n"/>
      <c r="D322" s="32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5">
        <f>IF(A322="","","#"&amp;A322)</f>
        <v/>
      </c>
    </row>
    <row r="323">
      <c r="A323" s="28" t="inlineStr">
        <is>
          <t>ART-00046</t>
        </is>
      </c>
      <c r="B323" s="60">
        <f>IFERROR(INDEX(Materiales!$B$4:$B$484,MATCH("#"&amp;$A323,Materiales!$K$4:$K$484,0)),"")</f>
        <v/>
      </c>
      <c r="C323" s="34" t="n"/>
      <c r="D323" s="32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5">
        <f>IF(A323="","","#"&amp;A323)</f>
        <v/>
      </c>
    </row>
    <row r="324">
      <c r="A324" s="28" t="inlineStr">
        <is>
          <t>ART-00047</t>
        </is>
      </c>
      <c r="B324" s="60">
        <f>IFERROR(INDEX(Materiales!$B$4:$B$484,MATCH("#"&amp;$A324,Materiales!$K$4:$K$484,0)),"")</f>
        <v/>
      </c>
      <c r="C324" s="34" t="n"/>
      <c r="D324" s="32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5">
        <f>IF(A324="","","#"&amp;A324)</f>
        <v/>
      </c>
    </row>
    <row r="325">
      <c r="A325" s="28" t="inlineStr">
        <is>
          <t>ART-00048</t>
        </is>
      </c>
      <c r="B325" s="60">
        <f>IFERROR(INDEX(Materiales!$B$4:$B$484,MATCH("#"&amp;$A325,Materiales!$K$4:$K$484,0)),"")</f>
        <v/>
      </c>
      <c r="C325" s="34" t="n"/>
      <c r="D325" s="32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5">
        <f>IF(A325="","","#"&amp;A325)</f>
        <v/>
      </c>
    </row>
    <row r="326">
      <c r="A326" s="28" t="inlineStr">
        <is>
          <t>ART-00049</t>
        </is>
      </c>
      <c r="B326" s="60">
        <f>IFERROR(INDEX(Materiales!$B$4:$B$484,MATCH("#"&amp;$A326,Materiales!$K$4:$K$484,0)),"")</f>
        <v/>
      </c>
      <c r="C326" s="34" t="n"/>
      <c r="D326" s="32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5">
        <f>IF(A326="","","#"&amp;A326)</f>
        <v/>
      </c>
    </row>
    <row r="327">
      <c r="A327" s="28" t="inlineStr">
        <is>
          <t>ART-00050</t>
        </is>
      </c>
      <c r="B327" s="60">
        <f>IFERROR(INDEX(Materiales!$B$4:$B$484,MATCH("#"&amp;$A327,Materiales!$K$4:$K$484,0)),"")</f>
        <v/>
      </c>
      <c r="C327" s="34" t="n"/>
      <c r="D327" s="32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5">
        <f>IF(A327="","","#"&amp;A327)</f>
        <v/>
      </c>
    </row>
    <row r="328">
      <c r="A328" s="28" t="inlineStr">
        <is>
          <t>ART-00051</t>
        </is>
      </c>
      <c r="B328" s="60">
        <f>IFERROR(INDEX(Materiales!$B$4:$B$484,MATCH("#"&amp;$A328,Materiales!$K$4:$K$484,0)),"")</f>
        <v/>
      </c>
      <c r="C328" s="34" t="n"/>
      <c r="D328" s="32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5">
        <f>IF(A328="","","#"&amp;A328)</f>
        <v/>
      </c>
    </row>
    <row r="329">
      <c r="A329" s="28" t="inlineStr">
        <is>
          <t>ART-00052</t>
        </is>
      </c>
      <c r="B329" s="60">
        <f>IFERROR(INDEX(Materiales!$B$4:$B$484,MATCH("#"&amp;$A329,Materiales!$K$4:$K$484,0)),"")</f>
        <v/>
      </c>
      <c r="C329" s="34" t="n"/>
      <c r="D329" s="32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5">
        <f>IF(A329="","","#"&amp;A329)</f>
        <v/>
      </c>
    </row>
    <row r="330">
      <c r="A330" s="28" t="inlineStr">
        <is>
          <t>ART-00053</t>
        </is>
      </c>
      <c r="B330" s="60">
        <f>IFERROR(INDEX(Materiales!$B$4:$B$484,MATCH("#"&amp;$A330,Materiales!$K$4:$K$484,0)),"")</f>
        <v/>
      </c>
      <c r="C330" s="34" t="n"/>
      <c r="D330" s="32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5">
        <f>IF(A330="","","#"&amp;A330)</f>
        <v/>
      </c>
    </row>
    <row r="331">
      <c r="A331" s="28" t="inlineStr">
        <is>
          <t>ART-00054</t>
        </is>
      </c>
      <c r="B331" s="60">
        <f>IFERROR(INDEX(Materiales!$B$4:$B$484,MATCH("#"&amp;$A331,Materiales!$K$4:$K$484,0)),"")</f>
        <v/>
      </c>
      <c r="C331" s="34" t="n"/>
      <c r="D331" s="32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5">
        <f>IF(A331="","","#"&amp;A331)</f>
        <v/>
      </c>
    </row>
    <row r="332">
      <c r="A332" s="28" t="inlineStr">
        <is>
          <t>ART-00055</t>
        </is>
      </c>
      <c r="B332" s="60">
        <f>IFERROR(INDEX(Materiales!$B$4:$B$484,MATCH("#"&amp;$A332,Materiales!$K$4:$K$484,0)),"")</f>
        <v/>
      </c>
      <c r="C332" s="34" t="n"/>
      <c r="D332" s="32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5">
        <f>IF(A332="","","#"&amp;A332)</f>
        <v/>
      </c>
    </row>
    <row r="333">
      <c r="A333" s="28" t="inlineStr">
        <is>
          <t>EPP-003</t>
        </is>
      </c>
      <c r="B333" s="60">
        <f>IFERROR(INDEX(Materiales!$B$4:$B$484,MATCH("#"&amp;$A333,Materiales!$K$4:$K$484,0)),"")</f>
        <v/>
      </c>
      <c r="C333" s="34" t="n"/>
      <c r="D333" s="32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5">
        <f>IF(A333="","","#"&amp;A333)</f>
        <v/>
      </c>
    </row>
    <row r="334">
      <c r="A334" s="28" t="inlineStr">
        <is>
          <t>EPP-005</t>
        </is>
      </c>
      <c r="B334" s="60">
        <f>IFERROR(INDEX(Materiales!$B$4:$B$484,MATCH("#"&amp;$A334,Materiales!$K$4:$K$484,0)),"")</f>
        <v/>
      </c>
      <c r="C334" s="34" t="n"/>
      <c r="D334" s="32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5">
        <f>IF(A334="","","#"&amp;A334)</f>
        <v/>
      </c>
    </row>
    <row r="335">
      <c r="A335" s="28" t="inlineStr">
        <is>
          <t>EPP-029</t>
        </is>
      </c>
      <c r="B335" s="60">
        <f>IFERROR(INDEX(Materiales!$B$4:$B$484,MATCH("#"&amp;$A335,Materiales!$K$4:$K$484,0)),"")</f>
        <v/>
      </c>
      <c r="C335" s="34" t="n"/>
      <c r="D335" s="32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5">
        <f>IF(A335="","","#"&amp;A335)</f>
        <v/>
      </c>
    </row>
    <row r="336">
      <c r="A336" s="28" t="inlineStr">
        <is>
          <t>EPP-030</t>
        </is>
      </c>
      <c r="B336" s="60">
        <f>IFERROR(INDEX(Materiales!$B$4:$B$484,MATCH("#"&amp;$A336,Materiales!$K$4:$K$484,0)),"")</f>
        <v/>
      </c>
      <c r="C336" s="34" t="n"/>
      <c r="D336" s="32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5">
        <f>IF(A336="","","#"&amp;A336)</f>
        <v/>
      </c>
    </row>
    <row r="337">
      <c r="A337" s="28" t="inlineStr">
        <is>
          <t>EPP-036</t>
        </is>
      </c>
      <c r="B337" s="60">
        <f>IFERROR(INDEX(Materiales!$B$4:$B$484,MATCH("#"&amp;$A337,Materiales!$K$4:$K$484,0)),"")</f>
        <v/>
      </c>
      <c r="C337" s="34" t="n"/>
      <c r="D337" s="32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5">
        <f>IF(A337="","","#"&amp;A337)</f>
        <v/>
      </c>
    </row>
    <row r="338">
      <c r="A338" s="28" t="inlineStr">
        <is>
          <t>EPP-037</t>
        </is>
      </c>
      <c r="B338" s="60">
        <f>IFERROR(INDEX(Materiales!$B$4:$B$484,MATCH("#"&amp;$A338,Materiales!$K$4:$K$484,0)),"")</f>
        <v/>
      </c>
      <c r="C338" s="34" t="n"/>
      <c r="D338" s="32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5">
        <f>IF(A338="","","#"&amp;A338)</f>
        <v/>
      </c>
    </row>
    <row r="339">
      <c r="A339" s="28" t="inlineStr">
        <is>
          <t>EPP-038</t>
        </is>
      </c>
      <c r="B339" s="60">
        <f>IFERROR(INDEX(Materiales!$B$4:$B$484,MATCH("#"&amp;$A339,Materiales!$K$4:$K$484,0)),"")</f>
        <v/>
      </c>
      <c r="C339" s="34" t="n"/>
      <c r="D339" s="32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5">
        <f>IF(A339="","","#"&amp;A339)</f>
        <v/>
      </c>
    </row>
    <row r="340">
      <c r="A340" s="28" t="inlineStr">
        <is>
          <t>EPP-039</t>
        </is>
      </c>
      <c r="B340" s="60">
        <f>IFERROR(INDEX(Materiales!$B$4:$B$484,MATCH("#"&amp;$A340,Materiales!$K$4:$K$484,0)),"")</f>
        <v/>
      </c>
      <c r="C340" s="34" t="n"/>
      <c r="D340" s="32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5">
        <f>IF(A340="","","#"&amp;A340)</f>
        <v/>
      </c>
    </row>
    <row r="341">
      <c r="A341" s="28" t="inlineStr">
        <is>
          <t>EPP-040</t>
        </is>
      </c>
      <c r="B341" s="60">
        <f>IFERROR(INDEX(Materiales!$B$4:$B$484,MATCH("#"&amp;$A341,Materiales!$K$4:$K$484,0)),"")</f>
        <v/>
      </c>
      <c r="C341" s="34" t="n"/>
      <c r="D341" s="32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5">
        <f>IF(A341="","","#"&amp;A341)</f>
        <v/>
      </c>
    </row>
    <row r="342">
      <c r="A342" s="28" t="inlineStr">
        <is>
          <t>EPP-041</t>
        </is>
      </c>
      <c r="B342" s="60">
        <f>IFERROR(INDEX(Materiales!$B$4:$B$484,MATCH("#"&amp;$A342,Materiales!$K$4:$K$484,0)),"")</f>
        <v/>
      </c>
      <c r="C342" s="34" t="n"/>
      <c r="D342" s="32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5">
        <f>IF(A342="","","#"&amp;A342)</f>
        <v/>
      </c>
    </row>
    <row r="343">
      <c r="A343" s="28" t="inlineStr">
        <is>
          <t>EPP-042</t>
        </is>
      </c>
      <c r="B343" s="60">
        <f>IFERROR(INDEX(Materiales!$B$4:$B$484,MATCH("#"&amp;$A343,Materiales!$K$4:$K$484,0)),"")</f>
        <v/>
      </c>
      <c r="C343" s="34" t="n"/>
      <c r="D343" s="32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5">
        <f>IF(A343="","","#"&amp;A343)</f>
        <v/>
      </c>
    </row>
    <row r="344">
      <c r="A344" s="28" t="inlineStr">
        <is>
          <t>EPP-043</t>
        </is>
      </c>
      <c r="B344" s="60">
        <f>IFERROR(INDEX(Materiales!$B$4:$B$484,MATCH("#"&amp;$A344,Materiales!$K$4:$K$484,0)),"")</f>
        <v/>
      </c>
      <c r="C344" s="34" t="n"/>
      <c r="D344" s="32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5">
        <f>IF(A344="","","#"&amp;A344)</f>
        <v/>
      </c>
    </row>
    <row r="345">
      <c r="A345" s="28" t="inlineStr">
        <is>
          <t>EPP-044</t>
        </is>
      </c>
      <c r="B345" s="60">
        <f>IFERROR(INDEX(Materiales!$B$4:$B$484,MATCH("#"&amp;$A345,Materiales!$K$4:$K$484,0)),"")</f>
        <v/>
      </c>
      <c r="C345" s="34" t="n"/>
      <c r="D345" s="32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5">
        <f>IF(A345="","","#"&amp;A345)</f>
        <v/>
      </c>
    </row>
    <row r="346">
      <c r="A346" s="28" t="inlineStr">
        <is>
          <t>EPP-045</t>
        </is>
      </c>
      <c r="B346" s="60">
        <f>IFERROR(INDEX(Materiales!$B$4:$B$484,MATCH("#"&amp;$A346,Materiales!$K$4:$K$484,0)),"")</f>
        <v/>
      </c>
      <c r="C346" s="34" t="n"/>
      <c r="D346" s="32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5">
        <f>IF(A346="","","#"&amp;A346)</f>
        <v/>
      </c>
    </row>
    <row r="347">
      <c r="A347" s="28" t="inlineStr">
        <is>
          <t>EPP-046</t>
        </is>
      </c>
      <c r="B347" s="60">
        <f>IFERROR(INDEX(Materiales!$B$4:$B$484,MATCH("#"&amp;$A347,Materiales!$K$4:$K$484,0)),"")</f>
        <v/>
      </c>
      <c r="C347" s="34" t="n"/>
      <c r="D347" s="32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5">
        <f>IF(A347="","","#"&amp;A347)</f>
        <v/>
      </c>
    </row>
    <row r="348">
      <c r="A348" s="28" t="inlineStr">
        <is>
          <t>EPP-047</t>
        </is>
      </c>
      <c r="B348" s="60">
        <f>IFERROR(INDEX(Materiales!$B$4:$B$484,MATCH("#"&amp;$A348,Materiales!$K$4:$K$484,0)),"")</f>
        <v/>
      </c>
      <c r="C348" s="34" t="n"/>
      <c r="D348" s="32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5">
        <f>IF(A348="","","#"&amp;A348)</f>
        <v/>
      </c>
    </row>
    <row r="349">
      <c r="A349" s="28" t="inlineStr">
        <is>
          <t>EPP-048</t>
        </is>
      </c>
      <c r="B349" s="60">
        <f>IFERROR(INDEX(Materiales!$B$4:$B$484,MATCH("#"&amp;$A349,Materiales!$K$4:$K$484,0)),"")</f>
        <v/>
      </c>
      <c r="C349" s="34" t="n"/>
      <c r="D349" s="32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5">
        <f>IF(A349="","","#"&amp;A349)</f>
        <v/>
      </c>
    </row>
    <row r="350">
      <c r="A350" s="28" t="inlineStr">
        <is>
          <t>EPP-049</t>
        </is>
      </c>
      <c r="B350" s="60">
        <f>IFERROR(INDEX(Materiales!$B$4:$B$484,MATCH("#"&amp;$A350,Materiales!$K$4:$K$484,0)),"")</f>
        <v/>
      </c>
      <c r="C350" s="34" t="n"/>
      <c r="D350" s="32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5">
        <f>IF(A350="","","#"&amp;A350)</f>
        <v/>
      </c>
    </row>
    <row r="351">
      <c r="A351" s="28" t="inlineStr">
        <is>
          <t>EPP-050</t>
        </is>
      </c>
      <c r="B351" s="60">
        <f>IFERROR(INDEX(Materiales!$B$4:$B$484,MATCH("#"&amp;$A351,Materiales!$K$4:$K$484,0)),"")</f>
        <v/>
      </c>
      <c r="C351" s="34" t="n"/>
      <c r="D351" s="32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5">
        <f>IF(A351="","","#"&amp;A351)</f>
        <v/>
      </c>
    </row>
    <row r="352">
      <c r="A352" s="28" t="inlineStr">
        <is>
          <t>EPP-051</t>
        </is>
      </c>
      <c r="B352" s="60">
        <f>IFERROR(INDEX(Materiales!$B$4:$B$484,MATCH("#"&amp;$A352,Materiales!$K$4:$K$484,0)),"")</f>
        <v/>
      </c>
      <c r="C352" s="34" t="n"/>
      <c r="D352" s="32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5">
        <f>IF(A352="","","#"&amp;A352)</f>
        <v/>
      </c>
    </row>
    <row r="353">
      <c r="A353" s="28" t="inlineStr">
        <is>
          <t>EPP-052</t>
        </is>
      </c>
      <c r="B353" s="60">
        <f>IFERROR(INDEX(Materiales!$B$4:$B$484,MATCH("#"&amp;$A353,Materiales!$K$4:$K$484,0)),"")</f>
        <v/>
      </c>
      <c r="C353" s="34" t="n"/>
      <c r="D353" s="32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5">
        <f>IF(A353="","","#"&amp;A353)</f>
        <v/>
      </c>
    </row>
    <row r="354">
      <c r="A354" s="28" t="inlineStr">
        <is>
          <t>EPP-053</t>
        </is>
      </c>
      <c r="B354" s="60">
        <f>IFERROR(INDEX(Materiales!$B$4:$B$484,MATCH("#"&amp;$A354,Materiales!$K$4:$K$484,0)),"")</f>
        <v/>
      </c>
      <c r="C354" s="34" t="n"/>
      <c r="D354" s="32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5">
        <f>IF(A354="","","#"&amp;A354)</f>
        <v/>
      </c>
    </row>
    <row r="355">
      <c r="A355" s="28" t="inlineStr">
        <is>
          <t>EPP-054</t>
        </is>
      </c>
      <c r="B355" s="60">
        <f>IFERROR(INDEX(Materiales!$B$4:$B$484,MATCH("#"&amp;$A355,Materiales!$K$4:$K$484,0)),"")</f>
        <v/>
      </c>
      <c r="C355" s="34" t="n"/>
      <c r="D355" s="32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5">
        <f>IF(A355="","","#"&amp;A355)</f>
        <v/>
      </c>
    </row>
    <row r="356">
      <c r="A356" s="28" t="inlineStr">
        <is>
          <t>EPP-055</t>
        </is>
      </c>
      <c r="B356" s="60">
        <f>IFERROR(INDEX(Materiales!$B$4:$B$484,MATCH("#"&amp;$A356,Materiales!$K$4:$K$484,0)),"")</f>
        <v/>
      </c>
      <c r="C356" s="34" t="n"/>
      <c r="D356" s="32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5">
        <f>IF(A356="","","#"&amp;A356)</f>
        <v/>
      </c>
    </row>
    <row r="357">
      <c r="A357" s="28" t="inlineStr">
        <is>
          <t>EPP-056</t>
        </is>
      </c>
      <c r="B357" s="60">
        <f>IFERROR(INDEX(Materiales!$B$4:$B$484,MATCH("#"&amp;$A357,Materiales!$K$4:$K$484,0)),"")</f>
        <v/>
      </c>
      <c r="C357" s="34" t="n"/>
      <c r="D357" s="32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5">
        <f>IF(A357="","","#"&amp;A357)</f>
        <v/>
      </c>
    </row>
    <row r="358">
      <c r="A358" s="28" t="inlineStr">
        <is>
          <t>EPP-057</t>
        </is>
      </c>
      <c r="B358" s="60">
        <f>IFERROR(INDEX(Materiales!$B$4:$B$484,MATCH("#"&amp;$A358,Materiales!$K$4:$K$484,0)),"")</f>
        <v/>
      </c>
      <c r="C358" s="34" t="n"/>
      <c r="D358" s="32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5">
        <f>IF(A358="","","#"&amp;A358)</f>
        <v/>
      </c>
    </row>
    <row r="359">
      <c r="A359" s="28" t="inlineStr">
        <is>
          <t>EPP-058</t>
        </is>
      </c>
      <c r="B359" s="60">
        <f>IFERROR(INDEX(Materiales!$B$4:$B$484,MATCH("#"&amp;$A359,Materiales!$K$4:$K$484,0)),"")</f>
        <v/>
      </c>
      <c r="C359" s="34" t="n"/>
      <c r="D359" s="32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5">
        <f>IF(A359="","","#"&amp;A359)</f>
        <v/>
      </c>
    </row>
    <row r="360">
      <c r="A360" s="28" t="inlineStr">
        <is>
          <t>EPP-059</t>
        </is>
      </c>
      <c r="B360" s="60">
        <f>IFERROR(INDEX(Materiales!$B$4:$B$484,MATCH("#"&amp;$A360,Materiales!$K$4:$K$484,0)),"")</f>
        <v/>
      </c>
      <c r="C360" s="34" t="n"/>
      <c r="D360" s="32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5">
        <f>IF(A360="","","#"&amp;A360)</f>
        <v/>
      </c>
    </row>
    <row r="361">
      <c r="A361" s="28" t="inlineStr">
        <is>
          <t>EPP-060</t>
        </is>
      </c>
      <c r="B361" s="60">
        <f>IFERROR(INDEX(Materiales!$B$4:$B$484,MATCH("#"&amp;$A361,Materiales!$K$4:$K$484,0)),"")</f>
        <v/>
      </c>
      <c r="C361" s="34" t="n"/>
      <c r="D361" s="32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5">
        <f>IF(A361="","","#"&amp;A361)</f>
        <v/>
      </c>
    </row>
    <row r="362">
      <c r="A362" s="28" t="inlineStr">
        <is>
          <t>EPP-061</t>
        </is>
      </c>
      <c r="B362" s="60">
        <f>IFERROR(INDEX(Materiales!$B$4:$B$484,MATCH("#"&amp;$A362,Materiales!$K$4:$K$484,0)),"")</f>
        <v/>
      </c>
      <c r="C362" s="34" t="n"/>
      <c r="D362" s="32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5">
        <f>IF(A362="","","#"&amp;A362)</f>
        <v/>
      </c>
    </row>
    <row r="363">
      <c r="A363" s="28" t="inlineStr">
        <is>
          <t>EPP-062</t>
        </is>
      </c>
      <c r="B363" s="60">
        <f>IFERROR(INDEX(Materiales!$B$4:$B$484,MATCH("#"&amp;$A363,Materiales!$K$4:$K$484,0)),"")</f>
        <v/>
      </c>
      <c r="C363" s="34" t="n"/>
      <c r="D363" s="32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5">
        <f>IF(A363="","","#"&amp;A363)</f>
        <v/>
      </c>
    </row>
    <row r="364">
      <c r="A364" s="28" t="inlineStr">
        <is>
          <t>EPP-063</t>
        </is>
      </c>
      <c r="B364" s="60">
        <f>IFERROR(INDEX(Materiales!$B$4:$B$484,MATCH("#"&amp;$A364,Materiales!$K$4:$K$484,0)),"")</f>
        <v/>
      </c>
      <c r="C364" s="34" t="n"/>
      <c r="D364" s="32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5">
        <f>IF(A364="","","#"&amp;A364)</f>
        <v/>
      </c>
    </row>
    <row r="365">
      <c r="A365" s="28" t="inlineStr">
        <is>
          <t>EPP-064</t>
        </is>
      </c>
      <c r="B365" s="60">
        <f>IFERROR(INDEX(Materiales!$B$4:$B$484,MATCH("#"&amp;$A365,Materiales!$K$4:$K$484,0)),"")</f>
        <v/>
      </c>
      <c r="C365" s="34" t="n"/>
      <c r="D365" s="32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5">
        <f>IF(A365="","","#"&amp;A365)</f>
        <v/>
      </c>
    </row>
    <row r="366">
      <c r="A366" s="28" t="inlineStr">
        <is>
          <t>EPP-065</t>
        </is>
      </c>
      <c r="B366" s="60">
        <f>IFERROR(INDEX(Materiales!$B$4:$B$484,MATCH("#"&amp;$A366,Materiales!$K$4:$K$484,0)),"")</f>
        <v/>
      </c>
      <c r="C366" s="34" t="n"/>
      <c r="D366" s="32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5">
        <f>IF(A366="","","#"&amp;A366)</f>
        <v/>
      </c>
    </row>
    <row r="367">
      <c r="A367" s="28" t="inlineStr">
        <is>
          <t>EPP-066</t>
        </is>
      </c>
      <c r="B367" s="60">
        <f>IFERROR(INDEX(Materiales!$B$4:$B$484,MATCH("#"&amp;$A367,Materiales!$K$4:$K$484,0)),"")</f>
        <v/>
      </c>
      <c r="C367" s="34" t="n"/>
      <c r="D367" s="32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5">
        <f>IF(A367="","","#"&amp;A367)</f>
        <v/>
      </c>
    </row>
    <row r="368">
      <c r="A368" s="28" t="inlineStr">
        <is>
          <t>EPP-067</t>
        </is>
      </c>
      <c r="B368" s="60">
        <f>IFERROR(INDEX(Materiales!$B$4:$B$484,MATCH("#"&amp;$A368,Materiales!$K$4:$K$484,0)),"")</f>
        <v/>
      </c>
      <c r="C368" s="34" t="n"/>
      <c r="D368" s="32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5">
        <f>IF(A368="","","#"&amp;A368)</f>
        <v/>
      </c>
    </row>
    <row r="369">
      <c r="A369" s="28" t="inlineStr">
        <is>
          <t>EPP-068</t>
        </is>
      </c>
      <c r="B369" s="60">
        <f>IFERROR(INDEX(Materiales!$B$4:$B$484,MATCH("#"&amp;$A369,Materiales!$K$4:$K$484,0)),"")</f>
        <v/>
      </c>
      <c r="C369" s="34" t="n"/>
      <c r="D369" s="32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5">
        <f>IF(A369="","","#"&amp;A369)</f>
        <v/>
      </c>
    </row>
    <row r="370">
      <c r="A370" s="28" t="inlineStr">
        <is>
          <t>EPP-069</t>
        </is>
      </c>
      <c r="B370" s="60">
        <f>IFERROR(INDEX(Materiales!$B$4:$B$484,MATCH("#"&amp;$A370,Materiales!$K$4:$K$484,0)),"")</f>
        <v/>
      </c>
      <c r="C370" s="34" t="n"/>
      <c r="D370" s="32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5">
        <f>IF(A370="","","#"&amp;A370)</f>
        <v/>
      </c>
    </row>
    <row r="371">
      <c r="A371" s="28" t="inlineStr">
        <is>
          <t>EPP-070</t>
        </is>
      </c>
      <c r="B371" s="60">
        <f>IFERROR(INDEX(Materiales!$B$4:$B$484,MATCH("#"&amp;$A371,Materiales!$K$4:$K$484,0)),"")</f>
        <v/>
      </c>
      <c r="C371" s="34" t="n"/>
      <c r="D371" s="32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5">
        <f>IF(A371="","","#"&amp;A371)</f>
        <v/>
      </c>
    </row>
    <row r="372">
      <c r="A372" s="28" t="inlineStr">
        <is>
          <t>EPP-071</t>
        </is>
      </c>
      <c r="B372" s="60">
        <f>IFERROR(INDEX(Materiales!$B$4:$B$484,MATCH("#"&amp;$A372,Materiales!$K$4:$K$484,0)),"")</f>
        <v/>
      </c>
      <c r="C372" s="34" t="n"/>
      <c r="D372" s="32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5">
        <f>IF(A372="","","#"&amp;A372)</f>
        <v/>
      </c>
    </row>
    <row r="373">
      <c r="A373" s="28" t="inlineStr">
        <is>
          <t>EPP-072</t>
        </is>
      </c>
      <c r="B373" s="60">
        <f>IFERROR(INDEX(Materiales!$B$4:$B$484,MATCH("#"&amp;$A373,Materiales!$K$4:$K$484,0)),"")</f>
        <v/>
      </c>
      <c r="C373" s="34" t="n"/>
      <c r="D373" s="32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5">
        <f>IF(A373="","","#"&amp;A373)</f>
        <v/>
      </c>
    </row>
    <row r="374">
      <c r="A374" s="28" t="inlineStr">
        <is>
          <t>EPP-073</t>
        </is>
      </c>
      <c r="B374" s="60">
        <f>IFERROR(INDEX(Materiales!$B$4:$B$484,MATCH("#"&amp;$A374,Materiales!$K$4:$K$484,0)),"")</f>
        <v/>
      </c>
      <c r="C374" s="34" t="n"/>
      <c r="D374" s="32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5">
        <f>IF(A374="","","#"&amp;A374)</f>
        <v/>
      </c>
    </row>
    <row r="375">
      <c r="A375" s="28" t="inlineStr">
        <is>
          <t>EPP-074</t>
        </is>
      </c>
      <c r="B375" s="60">
        <f>IFERROR(INDEX(Materiales!$B$4:$B$484,MATCH("#"&amp;$A375,Materiales!$K$4:$K$484,0)),"")</f>
        <v/>
      </c>
      <c r="C375" s="34" t="n"/>
      <c r="D375" s="32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5">
        <f>IF(A375="","","#"&amp;A375)</f>
        <v/>
      </c>
    </row>
    <row r="376">
      <c r="A376" s="28" t="inlineStr">
        <is>
          <t>EPP-075</t>
        </is>
      </c>
      <c r="B376" s="60">
        <f>IFERROR(INDEX(Materiales!$B$4:$B$484,MATCH("#"&amp;$A376,Materiales!$K$4:$K$484,0)),"")</f>
        <v/>
      </c>
      <c r="C376" s="34" t="n"/>
      <c r="D376" s="32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5">
        <f>IF(A376="","","#"&amp;A376)</f>
        <v/>
      </c>
    </row>
    <row r="377">
      <c r="A377" s="28" t="inlineStr">
        <is>
          <t>EPP-076</t>
        </is>
      </c>
      <c r="B377" s="60">
        <f>IFERROR(INDEX(Materiales!$B$4:$B$484,MATCH("#"&amp;$A377,Materiales!$K$4:$K$484,0)),"")</f>
        <v/>
      </c>
      <c r="C377" s="34" t="n"/>
      <c r="D377" s="32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5">
        <f>IF(A377="","","#"&amp;A377)</f>
        <v/>
      </c>
    </row>
    <row r="378">
      <c r="A378" s="28" t="inlineStr">
        <is>
          <t>EPP-077</t>
        </is>
      </c>
      <c r="B378" s="60">
        <f>IFERROR(INDEX(Materiales!$B$4:$B$484,MATCH("#"&amp;$A378,Materiales!$K$4:$K$484,0)),"")</f>
        <v/>
      </c>
      <c r="C378" s="34" t="n"/>
      <c r="D378" s="32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5">
        <f>IF(A378="","","#"&amp;A378)</f>
        <v/>
      </c>
    </row>
    <row r="379">
      <c r="A379" s="28" t="inlineStr">
        <is>
          <t>EPP-078</t>
        </is>
      </c>
      <c r="B379" s="60">
        <f>IFERROR(INDEX(Materiales!$B$4:$B$484,MATCH("#"&amp;$A379,Materiales!$K$4:$K$484,0)),"")</f>
        <v/>
      </c>
      <c r="C379" s="34" t="n"/>
      <c r="D379" s="32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5">
        <f>IF(A379="","","#"&amp;A379)</f>
        <v/>
      </c>
    </row>
    <row r="380">
      <c r="A380" s="28" t="inlineStr">
        <is>
          <t>EPP-079</t>
        </is>
      </c>
      <c r="B380" s="60">
        <f>IFERROR(INDEX(Materiales!$B$4:$B$484,MATCH("#"&amp;$A380,Materiales!$K$4:$K$484,0)),"")</f>
        <v/>
      </c>
      <c r="C380" s="34" t="n"/>
      <c r="D380" s="32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5">
        <f>IF(A380="","","#"&amp;A380)</f>
        <v/>
      </c>
    </row>
    <row r="381">
      <c r="A381" s="28" t="inlineStr">
        <is>
          <t>EPP-080</t>
        </is>
      </c>
      <c r="B381" s="60">
        <f>IFERROR(INDEX(Materiales!$B$4:$B$484,MATCH("#"&amp;$A381,Materiales!$K$4:$K$484,0)),"")</f>
        <v/>
      </c>
      <c r="C381" s="34" t="n"/>
      <c r="D381" s="32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5">
        <f>IF(A381="","","#"&amp;A381)</f>
        <v/>
      </c>
    </row>
    <row r="382">
      <c r="A382" s="28" t="inlineStr">
        <is>
          <t>EPP-081</t>
        </is>
      </c>
      <c r="B382" s="60">
        <f>IFERROR(INDEX(Materiales!$B$4:$B$484,MATCH("#"&amp;$A382,Materiales!$K$4:$K$484,0)),"")</f>
        <v/>
      </c>
      <c r="C382" s="34" t="n"/>
      <c r="D382" s="32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5">
        <f>IF(A382="","","#"&amp;A382)</f>
        <v/>
      </c>
    </row>
    <row r="383">
      <c r="A383" s="28" t="inlineStr">
        <is>
          <t>EPP-082</t>
        </is>
      </c>
      <c r="B383" s="60">
        <f>IFERROR(INDEX(Materiales!$B$4:$B$484,MATCH("#"&amp;$A383,Materiales!$K$4:$K$484,0)),"")</f>
        <v/>
      </c>
      <c r="C383" s="34" t="n"/>
      <c r="D383" s="32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5">
        <f>IF(A383="","","#"&amp;A383)</f>
        <v/>
      </c>
    </row>
    <row r="384">
      <c r="A384" s="28" t="inlineStr">
        <is>
          <t>EPP-083</t>
        </is>
      </c>
      <c r="B384" s="60">
        <f>IFERROR(INDEX(Materiales!$B$4:$B$484,MATCH("#"&amp;$A384,Materiales!$K$4:$K$484,0)),"")</f>
        <v/>
      </c>
      <c r="C384" s="34" t="n"/>
      <c r="D384" s="32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5">
        <f>IF(A384="","","#"&amp;A384)</f>
        <v/>
      </c>
    </row>
    <row r="385">
      <c r="A385" s="28" t="inlineStr">
        <is>
          <t>EPP-084</t>
        </is>
      </c>
      <c r="B385" s="60">
        <f>IFERROR(INDEX(Materiales!$B$4:$B$484,MATCH("#"&amp;$A385,Materiales!$K$4:$K$484,0)),"")</f>
        <v/>
      </c>
      <c r="C385" s="34" t="n"/>
      <c r="D385" s="32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5">
        <f>IF(A385="","","#"&amp;A385)</f>
        <v/>
      </c>
    </row>
    <row r="386">
      <c r="A386" s="28" t="inlineStr">
        <is>
          <t>EPP-085</t>
        </is>
      </c>
      <c r="B386" s="60">
        <f>IFERROR(INDEX(Materiales!$B$4:$B$484,MATCH("#"&amp;$A386,Materiales!$K$4:$K$484,0)),"")</f>
        <v/>
      </c>
      <c r="C386" s="34" t="n"/>
      <c r="D386" s="32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5">
        <f>IF(A386="","","#"&amp;A386)</f>
        <v/>
      </c>
    </row>
    <row r="387">
      <c r="A387" s="28" t="inlineStr">
        <is>
          <t>EPP-086</t>
        </is>
      </c>
      <c r="B387" s="60">
        <f>IFERROR(INDEX(Materiales!$B$4:$B$484,MATCH("#"&amp;$A387,Materiales!$K$4:$K$484,0)),"")</f>
        <v/>
      </c>
      <c r="C387" s="34" t="n"/>
      <c r="D387" s="32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5">
        <f>IF(A387="","","#"&amp;A387)</f>
        <v/>
      </c>
    </row>
    <row r="388">
      <c r="A388" s="28" t="inlineStr">
        <is>
          <t>EPP-087</t>
        </is>
      </c>
      <c r="B388" s="60">
        <f>IFERROR(INDEX(Materiales!$B$4:$B$484,MATCH("#"&amp;$A388,Materiales!$K$4:$K$484,0)),"")</f>
        <v/>
      </c>
      <c r="C388" s="34" t="n"/>
      <c r="D388" s="32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5">
        <f>IF(A388="","","#"&amp;A388)</f>
        <v/>
      </c>
    </row>
    <row r="389">
      <c r="A389" s="28" t="inlineStr">
        <is>
          <t>EPP-088</t>
        </is>
      </c>
      <c r="B389" s="60">
        <f>IFERROR(INDEX(Materiales!$B$4:$B$484,MATCH("#"&amp;$A389,Materiales!$K$4:$K$484,0)),"")</f>
        <v/>
      </c>
      <c r="C389" s="34" t="n"/>
      <c r="D389" s="32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5">
        <f>IF(A389="","","#"&amp;A389)</f>
        <v/>
      </c>
    </row>
    <row r="390">
      <c r="A390" s="28" t="inlineStr">
        <is>
          <t>EPP-089</t>
        </is>
      </c>
      <c r="B390" s="60">
        <f>IFERROR(INDEX(Materiales!$B$4:$B$484,MATCH("#"&amp;$A390,Materiales!$K$4:$K$484,0)),"")</f>
        <v/>
      </c>
      <c r="C390" s="34" t="n"/>
      <c r="D390" s="32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5">
        <f>IF(A390="","","#"&amp;A390)</f>
        <v/>
      </c>
    </row>
    <row r="391">
      <c r="A391" s="28" t="inlineStr">
        <is>
          <t>EPP-090</t>
        </is>
      </c>
      <c r="B391" s="60">
        <f>IFERROR(INDEX(Materiales!$B$4:$B$484,MATCH("#"&amp;$A391,Materiales!$K$4:$K$484,0)),"")</f>
        <v/>
      </c>
      <c r="C391" s="34" t="n"/>
      <c r="D391" s="32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5">
        <f>IF(A391="","","#"&amp;A391)</f>
        <v/>
      </c>
    </row>
    <row r="392">
      <c r="A392" s="28" t="inlineStr">
        <is>
          <t>EPP-91</t>
        </is>
      </c>
      <c r="B392" s="60">
        <f>IFERROR(INDEX(Materiales!$B$4:$B$484,MATCH("#"&amp;$A392,Materiales!$K$4:$K$484,0)),"")</f>
        <v/>
      </c>
      <c r="C392" s="34" t="n"/>
      <c r="D392" s="32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5">
        <f>IF(A392="","","#"&amp;A392)</f>
        <v/>
      </c>
    </row>
    <row r="393">
      <c r="A393" s="28" t="inlineStr">
        <is>
          <t>EPP-92</t>
        </is>
      </c>
      <c r="B393" s="60">
        <f>IFERROR(INDEX(Materiales!$B$4:$B$484,MATCH("#"&amp;$A393,Materiales!$K$4:$K$484,0)),"")</f>
        <v/>
      </c>
      <c r="C393" s="34" t="n"/>
      <c r="D393" s="32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5">
        <f>IF(A393="","","#"&amp;A393)</f>
        <v/>
      </c>
    </row>
    <row r="394">
      <c r="A394" s="28" t="inlineStr">
        <is>
          <t>EPP-93</t>
        </is>
      </c>
      <c r="B394" s="60">
        <f>IFERROR(INDEX(Materiales!$B$4:$B$484,MATCH("#"&amp;$A394,Materiales!$K$4:$K$484,0)),"")</f>
        <v/>
      </c>
      <c r="C394" s="34" t="n"/>
      <c r="D394" s="32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5">
        <f>IF(A394="","","#"&amp;A394)</f>
        <v/>
      </c>
    </row>
    <row r="395">
      <c r="A395" s="28" t="inlineStr">
        <is>
          <t>EPP-129</t>
        </is>
      </c>
      <c r="B395" s="60">
        <f>IFERROR(INDEX(Materiales!$B$4:$B$484,MATCH("#"&amp;$A395,Materiales!$K$4:$K$484,0)),"")</f>
        <v/>
      </c>
      <c r="C395" s="34" t="n"/>
      <c r="D395" s="32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5">
        <f>IF(A395="","","#"&amp;A395)</f>
        <v/>
      </c>
    </row>
    <row r="396">
      <c r="A396" s="28" t="inlineStr">
        <is>
          <t>FIL-001</t>
        </is>
      </c>
      <c r="B396" s="60">
        <f>IFERROR(INDEX(Materiales!$B$4:$B$484,MATCH("#"&amp;$A396,Materiales!$K$4:$K$484,0)),"")</f>
        <v/>
      </c>
      <c r="C396" s="34" t="n"/>
      <c r="D396" s="32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5">
        <f>IF(A396="","","#"&amp;A396)</f>
        <v/>
      </c>
    </row>
    <row r="397">
      <c r="A397" s="28" t="inlineStr">
        <is>
          <t>FIL-002</t>
        </is>
      </c>
      <c r="B397" s="60">
        <f>IFERROR(INDEX(Materiales!$B$4:$B$484,MATCH("#"&amp;$A397,Materiales!$K$4:$K$484,0)),"")</f>
        <v/>
      </c>
      <c r="C397" s="34" t="n"/>
      <c r="D397" s="32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5">
        <f>IF(A397="","","#"&amp;A397)</f>
        <v/>
      </c>
    </row>
    <row r="398">
      <c r="A398" s="28" t="inlineStr">
        <is>
          <t>FIL-003</t>
        </is>
      </c>
      <c r="B398" s="60">
        <f>IFERROR(INDEX(Materiales!$B$4:$B$484,MATCH("#"&amp;$A398,Materiales!$K$4:$K$484,0)),"")</f>
        <v/>
      </c>
      <c r="C398" s="34" t="n"/>
      <c r="D398" s="32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5">
        <f>IF(A398="","","#"&amp;A398)</f>
        <v/>
      </c>
    </row>
    <row r="399">
      <c r="A399" s="28" t="inlineStr">
        <is>
          <t>FIL-004</t>
        </is>
      </c>
      <c r="B399" s="60">
        <f>IFERROR(INDEX(Materiales!$B$4:$B$484,MATCH("#"&amp;$A399,Materiales!$K$4:$K$484,0)),"")</f>
        <v/>
      </c>
      <c r="C399" s="34" t="n"/>
      <c r="D399" s="32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5">
        <f>IF(A399="","","#"&amp;A399)</f>
        <v/>
      </c>
    </row>
    <row r="400">
      <c r="A400" s="28" t="inlineStr">
        <is>
          <t>FIL-005</t>
        </is>
      </c>
      <c r="B400" s="60">
        <f>IFERROR(INDEX(Materiales!$B$4:$B$484,MATCH("#"&amp;$A400,Materiales!$K$4:$K$484,0)),"")</f>
        <v/>
      </c>
      <c r="C400" s="34" t="n"/>
      <c r="D400" s="32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5">
        <f>IF(A400="","","#"&amp;A400)</f>
        <v/>
      </c>
    </row>
    <row r="401">
      <c r="A401" s="28" t="inlineStr">
        <is>
          <t>FIL-006</t>
        </is>
      </c>
      <c r="B401" s="60">
        <f>IFERROR(INDEX(Materiales!$B$4:$B$484,MATCH("#"&amp;$A401,Materiales!$K$4:$K$484,0)),"")</f>
        <v/>
      </c>
      <c r="C401" s="34" t="n"/>
      <c r="D401" s="32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5">
        <f>IF(A401="","","#"&amp;A401)</f>
        <v/>
      </c>
    </row>
    <row r="402">
      <c r="A402" s="28" t="inlineStr">
        <is>
          <t>FIL-007</t>
        </is>
      </c>
      <c r="B402" s="60">
        <f>IFERROR(INDEX(Materiales!$B$4:$B$484,MATCH("#"&amp;$A402,Materiales!$K$4:$K$484,0)),"")</f>
        <v/>
      </c>
      <c r="C402" s="34" t="n"/>
      <c r="D402" s="32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5">
        <f>IF(A402="","","#"&amp;A402)</f>
        <v/>
      </c>
    </row>
    <row r="403">
      <c r="A403" s="28" t="inlineStr">
        <is>
          <t>FIL-008</t>
        </is>
      </c>
      <c r="B403" s="60">
        <f>IFERROR(INDEX(Materiales!$B$4:$B$484,MATCH("#"&amp;$A403,Materiales!$K$4:$K$484,0)),"")</f>
        <v/>
      </c>
      <c r="C403" s="34" t="n"/>
      <c r="D403" s="32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5">
        <f>IF(A403="","","#"&amp;A403)</f>
        <v/>
      </c>
    </row>
    <row r="404">
      <c r="A404" s="28" t="inlineStr">
        <is>
          <t>FIL-011</t>
        </is>
      </c>
      <c r="B404" s="60">
        <f>IFERROR(INDEX(Materiales!$B$4:$B$484,MATCH("#"&amp;$A404,Materiales!$K$4:$K$484,0)),"")</f>
        <v/>
      </c>
      <c r="C404" s="34" t="n"/>
      <c r="D404" s="32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5">
        <f>IF(A404="","","#"&amp;A404)</f>
        <v/>
      </c>
    </row>
    <row r="405">
      <c r="A405" s="28" t="inlineStr">
        <is>
          <t>FIL-012</t>
        </is>
      </c>
      <c r="B405" s="60">
        <f>IFERROR(INDEX(Materiales!$B$4:$B$484,MATCH("#"&amp;$A405,Materiales!$K$4:$K$484,0)),"")</f>
        <v/>
      </c>
      <c r="C405" s="34" t="n"/>
      <c r="D405" s="32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5">
        <f>IF(A405="","","#"&amp;A405)</f>
        <v/>
      </c>
    </row>
    <row r="406">
      <c r="A406" s="28" t="inlineStr">
        <is>
          <t>FIL-013</t>
        </is>
      </c>
      <c r="B406" s="60">
        <f>IFERROR(INDEX(Materiales!$B$4:$B$484,MATCH("#"&amp;$A406,Materiales!$K$4:$K$484,0)),"")</f>
        <v/>
      </c>
      <c r="C406" s="34" t="n"/>
      <c r="D406" s="32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5">
        <f>IF(A406="","","#"&amp;A406)</f>
        <v/>
      </c>
    </row>
    <row r="407">
      <c r="A407" s="28" t="inlineStr">
        <is>
          <t>FIL-015</t>
        </is>
      </c>
      <c r="B407" s="60">
        <f>IFERROR(INDEX(Materiales!$B$4:$B$484,MATCH("#"&amp;$A407,Materiales!$K$4:$K$484,0)),"")</f>
        <v/>
      </c>
      <c r="C407" s="34" t="n"/>
      <c r="D407" s="32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5">
        <f>IF(A407="","","#"&amp;A407)</f>
        <v/>
      </c>
    </row>
    <row r="408">
      <c r="A408" s="28" t="inlineStr">
        <is>
          <t>FIL-016</t>
        </is>
      </c>
      <c r="B408" s="60">
        <f>IFERROR(INDEX(Materiales!$B$4:$B$484,MATCH("#"&amp;$A408,Materiales!$K$4:$K$484,0)),"")</f>
        <v/>
      </c>
      <c r="C408" s="34" t="n"/>
      <c r="D408" s="32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5">
        <f>IF(A408="","","#"&amp;A408)</f>
        <v/>
      </c>
    </row>
    <row r="409">
      <c r="A409" s="28" t="inlineStr">
        <is>
          <t>FIL-017</t>
        </is>
      </c>
      <c r="B409" s="60">
        <f>IFERROR(INDEX(Materiales!$B$4:$B$484,MATCH("#"&amp;$A409,Materiales!$K$4:$K$484,0)),"")</f>
        <v/>
      </c>
      <c r="C409" s="34" t="n"/>
      <c r="D409" s="32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5">
        <f>IF(A409="","","#"&amp;A409)</f>
        <v/>
      </c>
    </row>
    <row r="410">
      <c r="A410" s="28" t="inlineStr">
        <is>
          <t>FIL-018</t>
        </is>
      </c>
      <c r="B410" s="60">
        <f>IFERROR(INDEX(Materiales!$B$4:$B$484,MATCH("#"&amp;$A410,Materiales!$K$4:$K$484,0)),"")</f>
        <v/>
      </c>
      <c r="C410" s="34" t="n"/>
      <c r="D410" s="32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5">
        <f>IF(A410="","","#"&amp;A410)</f>
        <v/>
      </c>
    </row>
    <row r="411">
      <c r="A411" s="28" t="inlineStr">
        <is>
          <t>FIL-019</t>
        </is>
      </c>
      <c r="B411" s="60">
        <f>IFERROR(INDEX(Materiales!$B$4:$B$484,MATCH("#"&amp;$A411,Materiales!$K$4:$K$484,0)),"")</f>
        <v/>
      </c>
      <c r="C411" s="34" t="n"/>
      <c r="D411" s="32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5">
        <f>IF(A411="","","#"&amp;A411)</f>
        <v/>
      </c>
    </row>
    <row r="412">
      <c r="A412" s="28" t="inlineStr">
        <is>
          <t>FIL-020</t>
        </is>
      </c>
      <c r="B412" s="60">
        <f>IFERROR(INDEX(Materiales!$B$4:$B$484,MATCH("#"&amp;$A412,Materiales!$K$4:$K$484,0)),"")</f>
        <v/>
      </c>
      <c r="C412" s="34" t="n"/>
      <c r="D412" s="32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5">
        <f>IF(A412="","","#"&amp;A412)</f>
        <v/>
      </c>
    </row>
    <row r="413">
      <c r="A413" s="28" t="inlineStr">
        <is>
          <t>FIL-022</t>
        </is>
      </c>
      <c r="B413" s="60">
        <f>IFERROR(INDEX(Materiales!$B$4:$B$484,MATCH("#"&amp;$A413,Materiales!$K$4:$K$484,0)),"")</f>
        <v/>
      </c>
      <c r="C413" s="34" t="n"/>
      <c r="D413" s="32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5">
        <f>IF(A413="","","#"&amp;A413)</f>
        <v/>
      </c>
    </row>
    <row r="414">
      <c r="A414" s="28" t="inlineStr">
        <is>
          <t>FIL-023</t>
        </is>
      </c>
      <c r="B414" s="60">
        <f>IFERROR(INDEX(Materiales!$B$4:$B$484,MATCH("#"&amp;$A414,Materiales!$K$4:$K$484,0)),"")</f>
        <v/>
      </c>
      <c r="C414" s="34" t="n"/>
      <c r="D414" s="32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5">
        <f>IF(A414="","","#"&amp;A414)</f>
        <v/>
      </c>
    </row>
    <row r="415">
      <c r="A415" s="28" t="inlineStr">
        <is>
          <t>FIL-024</t>
        </is>
      </c>
      <c r="B415" s="60">
        <f>IFERROR(INDEX(Materiales!$B$4:$B$484,MATCH("#"&amp;$A415,Materiales!$K$4:$K$484,0)),"")</f>
        <v/>
      </c>
      <c r="C415" s="34" t="n"/>
      <c r="D415" s="32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5">
        <f>IF(A415="","","#"&amp;A415)</f>
        <v/>
      </c>
    </row>
    <row r="416">
      <c r="A416" s="28" t="inlineStr">
        <is>
          <t>FIL-025</t>
        </is>
      </c>
      <c r="B416" s="60">
        <f>IFERROR(INDEX(Materiales!$B$4:$B$484,MATCH("#"&amp;$A416,Materiales!$K$4:$K$484,0)),"")</f>
        <v/>
      </c>
      <c r="C416" s="34" t="n"/>
      <c r="D416" s="32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5">
        <f>IF(A416="","","#"&amp;A416)</f>
        <v/>
      </c>
    </row>
    <row r="417">
      <c r="A417" s="28" t="inlineStr">
        <is>
          <t>FIL-026</t>
        </is>
      </c>
      <c r="B417" s="60">
        <f>IFERROR(INDEX(Materiales!$B$4:$B$484,MATCH("#"&amp;$A417,Materiales!$K$4:$K$484,0)),"")</f>
        <v/>
      </c>
      <c r="C417" s="34" t="n"/>
      <c r="D417" s="32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5">
        <f>IF(A417="","","#"&amp;A417)</f>
        <v/>
      </c>
    </row>
    <row r="418">
      <c r="A418" s="28" t="inlineStr">
        <is>
          <t>FIL-027</t>
        </is>
      </c>
      <c r="B418" s="60">
        <f>IFERROR(INDEX(Materiales!$B$4:$B$484,MATCH("#"&amp;$A418,Materiales!$K$4:$K$484,0)),"")</f>
        <v/>
      </c>
      <c r="C418" s="34" t="n"/>
      <c r="D418" s="32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5">
        <f>IF(A418="","","#"&amp;A418)</f>
        <v/>
      </c>
    </row>
    <row r="419">
      <c r="A419" s="28" t="inlineStr">
        <is>
          <t>FIL-028</t>
        </is>
      </c>
      <c r="B419" s="60">
        <f>IFERROR(INDEX(Materiales!$B$4:$B$484,MATCH("#"&amp;$A419,Materiales!$K$4:$K$484,0)),"")</f>
        <v/>
      </c>
      <c r="C419" s="34" t="n"/>
      <c r="D419" s="32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5">
        <f>IF(A419="","","#"&amp;A419)</f>
        <v/>
      </c>
    </row>
    <row r="420">
      <c r="A420" s="28" t="inlineStr">
        <is>
          <t>FIL-029</t>
        </is>
      </c>
      <c r="B420" s="60">
        <f>IFERROR(INDEX(Materiales!$B$4:$B$484,MATCH("#"&amp;$A420,Materiales!$K$4:$K$484,0)),"")</f>
        <v/>
      </c>
      <c r="C420" s="34" t="n"/>
      <c r="D420" s="32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5">
        <f>IF(A420="","","#"&amp;A420)</f>
        <v/>
      </c>
    </row>
    <row r="421">
      <c r="A421" s="28" t="inlineStr">
        <is>
          <t>FIL-030</t>
        </is>
      </c>
      <c r="B421" s="60">
        <f>IFERROR(INDEX(Materiales!$B$4:$B$484,MATCH("#"&amp;$A421,Materiales!$K$4:$K$484,0)),"")</f>
        <v/>
      </c>
      <c r="C421" s="34" t="n"/>
      <c r="D421" s="32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5">
        <f>IF(A421="","","#"&amp;A421)</f>
        <v/>
      </c>
    </row>
    <row r="422">
      <c r="A422" s="28" t="inlineStr">
        <is>
          <t>FIL-031</t>
        </is>
      </c>
      <c r="B422" s="60">
        <f>IFERROR(INDEX(Materiales!$B$4:$B$484,MATCH("#"&amp;$A422,Materiales!$K$4:$K$484,0)),"")</f>
        <v/>
      </c>
      <c r="C422" s="34" t="n"/>
      <c r="D422" s="32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5">
        <f>IF(A422="","","#"&amp;A422)</f>
        <v/>
      </c>
    </row>
    <row r="423">
      <c r="A423" s="28" t="inlineStr">
        <is>
          <t>FIL-032</t>
        </is>
      </c>
      <c r="B423" s="60">
        <f>IFERROR(INDEX(Materiales!$B$4:$B$484,MATCH("#"&amp;$A423,Materiales!$K$4:$K$484,0)),"")</f>
        <v/>
      </c>
      <c r="C423" s="34" t="n"/>
      <c r="D423" s="32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5">
        <f>IF(A423="","","#"&amp;A423)</f>
        <v/>
      </c>
    </row>
    <row r="424">
      <c r="A424" s="28" t="inlineStr">
        <is>
          <t>FIL-034</t>
        </is>
      </c>
      <c r="B424" s="60">
        <f>IFERROR(INDEX(Materiales!$B$4:$B$484,MATCH("#"&amp;$A424,Materiales!$K$4:$K$484,0)),"")</f>
        <v/>
      </c>
      <c r="C424" s="34" t="n"/>
      <c r="D424" s="32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5">
        <f>IF(A424="","","#"&amp;A424)</f>
        <v/>
      </c>
    </row>
    <row r="425">
      <c r="A425" s="28" t="inlineStr">
        <is>
          <t>FIL-035</t>
        </is>
      </c>
      <c r="B425" s="60">
        <f>IFERROR(INDEX(Materiales!$B$4:$B$484,MATCH("#"&amp;$A425,Materiales!$K$4:$K$484,0)),"")</f>
        <v/>
      </c>
      <c r="C425" s="34" t="n"/>
      <c r="D425" s="32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5">
        <f>IF(A425="","","#"&amp;A425)</f>
        <v/>
      </c>
    </row>
    <row r="426">
      <c r="A426" s="28" t="inlineStr">
        <is>
          <t>FIL-036</t>
        </is>
      </c>
      <c r="B426" s="60">
        <f>IFERROR(INDEX(Materiales!$B$4:$B$484,MATCH("#"&amp;$A426,Materiales!$K$4:$K$484,0)),"")</f>
        <v/>
      </c>
      <c r="C426" s="34" t="n"/>
      <c r="D426" s="32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5">
        <f>IF(A426="","","#"&amp;A426)</f>
        <v/>
      </c>
    </row>
    <row r="427">
      <c r="A427" s="28" t="inlineStr">
        <is>
          <t>FIL-037</t>
        </is>
      </c>
      <c r="B427" s="60">
        <f>IFERROR(INDEX(Materiales!$B$4:$B$484,MATCH("#"&amp;$A427,Materiales!$K$4:$K$484,0)),"")</f>
        <v/>
      </c>
      <c r="C427" s="34" t="n"/>
      <c r="D427" s="32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5">
        <f>IF(A427="","","#"&amp;A427)</f>
        <v/>
      </c>
    </row>
    <row r="428">
      <c r="A428" s="28" t="inlineStr">
        <is>
          <t>FIL-038</t>
        </is>
      </c>
      <c r="B428" s="60">
        <f>IFERROR(INDEX(Materiales!$B$4:$B$484,MATCH("#"&amp;$A428,Materiales!$K$4:$K$484,0)),"")</f>
        <v/>
      </c>
      <c r="C428" s="34" t="n"/>
      <c r="D428" s="32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5">
        <f>IF(A428="","","#"&amp;A428)</f>
        <v/>
      </c>
    </row>
    <row r="429">
      <c r="A429" s="28" t="inlineStr">
        <is>
          <t>FIL-039</t>
        </is>
      </c>
      <c r="B429" s="60">
        <f>IFERROR(INDEX(Materiales!$B$4:$B$484,MATCH("#"&amp;$A429,Materiales!$K$4:$K$484,0)),"")</f>
        <v/>
      </c>
      <c r="C429" s="34" t="n"/>
      <c r="D429" s="32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5">
        <f>IF(A429="","","#"&amp;A429)</f>
        <v/>
      </c>
    </row>
    <row r="430">
      <c r="A430" s="28" t="inlineStr">
        <is>
          <t>M1000</t>
        </is>
      </c>
      <c r="B430" s="60">
        <f>IFERROR(INDEX(Materiales!$B$4:$B$484,MATCH("#"&amp;$A430,Materiales!$K$4:$K$484,0)),"")</f>
        <v/>
      </c>
      <c r="C430" s="34" t="n"/>
      <c r="D430" s="32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5">
        <f>IF(A430="","","#"&amp;A430)</f>
        <v/>
      </c>
    </row>
    <row r="431">
      <c r="A431" s="28" t="inlineStr">
        <is>
          <t>M3000</t>
        </is>
      </c>
      <c r="B431" s="60">
        <f>IFERROR(INDEX(Materiales!$B$4:$B$484,MATCH("#"&amp;$A431,Materiales!$K$4:$K$484,0)),"")</f>
        <v/>
      </c>
      <c r="C431" s="34" t="n"/>
      <c r="D431" s="32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5">
        <f>IF(A431="","","#"&amp;A431)</f>
        <v/>
      </c>
    </row>
    <row r="432">
      <c r="A432" s="28" t="inlineStr">
        <is>
          <t>M5000</t>
        </is>
      </c>
      <c r="B432" s="60">
        <f>IFERROR(INDEX(Materiales!$B$4:$B$484,MATCH("#"&amp;$A432,Materiales!$K$4:$K$484,0)),"")</f>
        <v/>
      </c>
      <c r="C432" s="34" t="n"/>
      <c r="D432" s="32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5">
        <f>IF(A432="","","#"&amp;A432)</f>
        <v/>
      </c>
    </row>
    <row r="433">
      <c r="A433" s="28" t="inlineStr">
        <is>
          <t>CARMEX18</t>
        </is>
      </c>
      <c r="B433" s="60">
        <f>IFERROR(INDEX(Materiales!$B$4:$B$484,MATCH("#"&amp;$A433,Materiales!$K$4:$K$484,0)),"")</f>
        <v/>
      </c>
      <c r="C433" s="34" t="n"/>
      <c r="D433" s="32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5">
        <f>IF(A433="","","#"&amp;A433)</f>
        <v/>
      </c>
    </row>
    <row r="434">
      <c r="A434" s="28" t="inlineStr">
        <is>
          <t>CARMEX240</t>
        </is>
      </c>
      <c r="B434" s="60">
        <f>IFERROR(INDEX(Materiales!$B$4:$B$484,MATCH("#"&amp;$A434,Materiales!$K$4:$K$484,0)),"")</f>
        <v/>
      </c>
      <c r="C434" s="34" t="n"/>
      <c r="D434" s="32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5">
        <f>IF(A434="","","#"&amp;A434)</f>
        <v/>
      </c>
    </row>
    <row r="435">
      <c r="A435" s="28" t="inlineStr">
        <is>
          <t>FAMECORTE</t>
        </is>
      </c>
      <c r="B435" s="60">
        <f>IFERROR(INDEX(Materiales!$B$4:$B$484,MATCH("#"&amp;$A435,Materiales!$K$4:$K$484,0)),"")</f>
        <v/>
      </c>
      <c r="C435" s="34" t="n"/>
      <c r="D435" s="32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5">
        <f>IF(A435="","","#"&amp;A435)</f>
        <v/>
      </c>
    </row>
    <row r="436">
      <c r="A436" s="28" t="inlineStr">
        <is>
          <t>NEITHER</t>
        </is>
      </c>
      <c r="B436" s="60">
        <f>IFERROR(INDEX(Materiales!$B$4:$B$484,MATCH("#"&amp;$A436,Materiales!$K$4:$K$484,0)),"")</f>
        <v/>
      </c>
      <c r="C436" s="34" t="n"/>
      <c r="D436" s="32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5">
        <f>IF(A436="","","#"&amp;A436)</f>
        <v/>
      </c>
    </row>
    <row r="437">
      <c r="A437" s="28" t="inlineStr">
        <is>
          <t>CORDON5G</t>
        </is>
      </c>
      <c r="B437" s="60">
        <f>IFERROR(INDEX(Materiales!$B$4:$B$484,MATCH("#"&amp;$A437,Materiales!$K$4:$K$484,0)),"")</f>
        <v/>
      </c>
      <c r="C437" s="34" t="n"/>
      <c r="D437" s="32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5">
        <f>IF(A437="","","#"&amp;A437)</f>
        <v/>
      </c>
    </row>
    <row r="438">
      <c r="A438" s="28" t="inlineStr">
        <is>
          <t>FANEL3_1</t>
        </is>
      </c>
      <c r="B438" s="60">
        <f>IFERROR(INDEX(Materiales!$B$4:$B$484,MATCH("#"&amp;$A438,Materiales!$K$4:$K$484,0)),"")</f>
        <v/>
      </c>
      <c r="C438" s="34" t="n"/>
      <c r="D438" s="32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5">
        <f>IF(A438="","","#"&amp;A438)</f>
        <v/>
      </c>
    </row>
    <row r="439">
      <c r="A439" s="28" t="inlineStr">
        <is>
          <t>FANEL3_2</t>
        </is>
      </c>
      <c r="B439" s="60">
        <f>IFERROR(INDEX(Materiales!$B$4:$B$484,MATCH("#"&amp;$A439,Materiales!$K$4:$K$484,0)),"")</f>
        <v/>
      </c>
      <c r="C439" s="34" t="n"/>
      <c r="D439" s="32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5">
        <f>IF(A439="","","#"&amp;A439)</f>
        <v/>
      </c>
    </row>
    <row r="440">
      <c r="A440" s="28" t="inlineStr">
        <is>
          <t>FANEL3_3</t>
        </is>
      </c>
      <c r="B440" s="60">
        <f>IFERROR(INDEX(Materiales!$B$4:$B$484,MATCH("#"&amp;$A440,Materiales!$K$4:$K$484,0)),"")</f>
        <v/>
      </c>
      <c r="C440" s="34" t="n"/>
      <c r="D440" s="32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5">
        <f>IF(A440="","","#"&amp;A440)</f>
        <v/>
      </c>
    </row>
    <row r="441">
      <c r="A441" s="28" t="inlineStr">
        <is>
          <t>FANEL3_4</t>
        </is>
      </c>
      <c r="B441" s="60">
        <f>IFERROR(INDEX(Materiales!$B$4:$B$484,MATCH("#"&amp;$A441,Materiales!$K$4:$K$484,0)),"")</f>
        <v/>
      </c>
      <c r="C441" s="34" t="n"/>
      <c r="D441" s="32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5">
        <f>IF(A441="","","#"&amp;A441)</f>
        <v/>
      </c>
    </row>
    <row r="442">
      <c r="A442" s="28" t="inlineStr">
        <is>
          <t>FANEL3_5</t>
        </is>
      </c>
      <c r="B442" s="60">
        <f>IFERROR(INDEX(Materiales!$B$4:$B$484,MATCH("#"&amp;$A442,Materiales!$K$4:$K$484,0)),"")</f>
        <v/>
      </c>
      <c r="C442" s="34" t="n"/>
      <c r="D442" s="32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5">
        <f>IF(A442="","","#"&amp;A442)</f>
        <v/>
      </c>
    </row>
    <row r="443">
      <c r="A443" s="28" t="inlineStr">
        <is>
          <t>FANEL3_6</t>
        </is>
      </c>
      <c r="B443" s="60">
        <f>IFERROR(INDEX(Materiales!$B$4:$B$484,MATCH("#"&amp;$A443,Materiales!$K$4:$K$484,0)),"")</f>
        <v/>
      </c>
      <c r="C443" s="34" t="n"/>
      <c r="D443" s="32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5">
        <f>IF(A443="","","#"&amp;A443)</f>
        <v/>
      </c>
    </row>
    <row r="444">
      <c r="A444" s="28" t="inlineStr">
        <is>
          <t>FANEL3_7</t>
        </is>
      </c>
      <c r="B444" s="60">
        <f>IFERROR(INDEX(Materiales!$B$4:$B$484,MATCH("#"&amp;$A444,Materiales!$K$4:$K$484,0)),"")</f>
        <v/>
      </c>
      <c r="C444" s="34" t="n"/>
      <c r="D444" s="32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5">
        <f>IF(A444="","","#"&amp;A444)</f>
        <v/>
      </c>
    </row>
    <row r="445">
      <c r="A445" s="28" t="inlineStr">
        <is>
          <t>FANEL3_8</t>
        </is>
      </c>
      <c r="B445" s="60">
        <f>IFERROR(INDEX(Materiales!$B$4:$B$484,MATCH("#"&amp;$A445,Materiales!$K$4:$K$484,0)),"")</f>
        <v/>
      </c>
      <c r="C445" s="34" t="n"/>
      <c r="D445" s="32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5">
        <f>IF(A445="","","#"&amp;A445)</f>
        <v/>
      </c>
    </row>
    <row r="446">
      <c r="A446" s="28" t="inlineStr">
        <is>
          <t>FANEL3_9</t>
        </is>
      </c>
      <c r="B446" s="60">
        <f>IFERROR(INDEX(Materiales!$B$4:$B$484,MATCH("#"&amp;$A446,Materiales!$K$4:$K$484,0)),"")</f>
        <v/>
      </c>
      <c r="C446" s="34" t="n"/>
      <c r="D446" s="32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5">
        <f>IF(A446="","","#"&amp;A446)</f>
        <v/>
      </c>
    </row>
    <row r="447">
      <c r="A447" s="28" t="inlineStr">
        <is>
          <t>FANEL3_10</t>
        </is>
      </c>
      <c r="B447" s="60">
        <f>IFERROR(INDEX(Materiales!$B$4:$B$484,MATCH("#"&amp;$A447,Materiales!$K$4:$K$484,0)),"")</f>
        <v/>
      </c>
      <c r="C447" s="34" t="n"/>
      <c r="D447" s="32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5">
        <f>IF(A447="","","#"&amp;A447)</f>
        <v/>
      </c>
    </row>
    <row r="448">
      <c r="A448" s="28" t="inlineStr">
        <is>
          <t>FANEL3_11</t>
        </is>
      </c>
      <c r="B448" s="60">
        <f>IFERROR(INDEX(Materiales!$B$4:$B$484,MATCH("#"&amp;$A448,Materiales!$K$4:$K$484,0)),"")</f>
        <v/>
      </c>
      <c r="C448" s="34" t="n"/>
      <c r="D448" s="32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5">
        <f>IF(A448="","","#"&amp;A448)</f>
        <v/>
      </c>
    </row>
    <row r="449">
      <c r="A449" s="28" t="inlineStr">
        <is>
          <t>FANEL3_12</t>
        </is>
      </c>
      <c r="B449" s="60">
        <f>IFERROR(INDEX(Materiales!$B$4:$B$484,MATCH("#"&amp;$A449,Materiales!$K$4:$K$484,0)),"")</f>
        <v/>
      </c>
      <c r="C449" s="34" t="n"/>
      <c r="D449" s="32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5">
        <f>IF(A449="","","#"&amp;A449)</f>
        <v/>
      </c>
    </row>
    <row r="450">
      <c r="A450" s="28" t="inlineStr">
        <is>
          <t>FANEL3_13</t>
        </is>
      </c>
      <c r="B450" s="60">
        <f>IFERROR(INDEX(Materiales!$B$4:$B$484,MATCH("#"&amp;$A450,Materiales!$K$4:$K$484,0)),"")</f>
        <v/>
      </c>
      <c r="C450" s="34" t="n"/>
      <c r="D450" s="32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5">
        <f>IF(A450="","","#"&amp;A450)</f>
        <v/>
      </c>
    </row>
    <row r="451">
      <c r="A451" s="28" t="inlineStr">
        <is>
          <t>FANEL3_14</t>
        </is>
      </c>
      <c r="B451" s="60">
        <f>IFERROR(INDEX(Materiales!$B$4:$B$484,MATCH("#"&amp;$A451,Materiales!$K$4:$K$484,0)),"")</f>
        <v/>
      </c>
      <c r="C451" s="34" t="n"/>
      <c r="D451" s="32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5">
        <f>IF(A451="","","#"&amp;A451)</f>
        <v/>
      </c>
    </row>
    <row r="452">
      <c r="A452" s="28" t="inlineStr">
        <is>
          <t>FANEL3_15</t>
        </is>
      </c>
      <c r="B452" s="60">
        <f>IFERROR(INDEX(Materiales!$B$4:$B$484,MATCH("#"&amp;$A452,Materiales!$K$4:$K$484,0)),"")</f>
        <v/>
      </c>
      <c r="C452" s="34" t="n"/>
      <c r="D452" s="32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5">
        <f>IF(A452="","","#"&amp;A452)</f>
        <v/>
      </c>
    </row>
    <row r="453">
      <c r="A453" s="28" t="inlineStr">
        <is>
          <t>FANEL3_16</t>
        </is>
      </c>
      <c r="B453" s="60">
        <f>IFERROR(INDEX(Materiales!$B$4:$B$484,MATCH("#"&amp;$A453,Materiales!$K$4:$K$484,0)),"")</f>
        <v/>
      </c>
      <c r="C453" s="34" t="n"/>
      <c r="D453" s="32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5">
        <f>IF(A453="","","#"&amp;A453)</f>
        <v/>
      </c>
    </row>
    <row r="454">
      <c r="A454" s="28" t="inlineStr">
        <is>
          <t>FANEL42_1</t>
        </is>
      </c>
      <c r="B454" s="60">
        <f>IFERROR(INDEX(Materiales!$B$4:$B$484,MATCH("#"&amp;$A454,Materiales!$K$4:$K$484,0)),"")</f>
        <v/>
      </c>
      <c r="C454" s="34" t="n"/>
      <c r="D454" s="32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5">
        <f>IF(A454="","","#"&amp;A454)</f>
        <v/>
      </c>
    </row>
    <row r="455">
      <c r="A455" s="28" t="inlineStr">
        <is>
          <t>FANEL42_2</t>
        </is>
      </c>
      <c r="B455" s="60">
        <f>IFERROR(INDEX(Materiales!$B$4:$B$484,MATCH("#"&amp;$A455,Materiales!$K$4:$K$484,0)),"")</f>
        <v/>
      </c>
      <c r="C455" s="34" t="n"/>
      <c r="D455" s="32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5">
        <f>IF(A455="","","#"&amp;A455)</f>
        <v/>
      </c>
    </row>
    <row r="456">
      <c r="A456" s="28" t="inlineStr">
        <is>
          <t>FANEL42_3</t>
        </is>
      </c>
      <c r="B456" s="60">
        <f>IFERROR(INDEX(Materiales!$B$4:$B$484,MATCH("#"&amp;$A456,Materiales!$K$4:$K$484,0)),"")</f>
        <v/>
      </c>
      <c r="C456" s="34" t="n"/>
      <c r="D456" s="32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5">
        <f>IF(A456="","","#"&amp;A456)</f>
        <v/>
      </c>
    </row>
    <row r="457">
      <c r="A457" s="28" t="inlineStr">
        <is>
          <t>FANEL42_4</t>
        </is>
      </c>
      <c r="B457" s="60">
        <f>IFERROR(INDEX(Materiales!$B$4:$B$484,MATCH("#"&amp;$A457,Materiales!$K$4:$K$484,0)),"")</f>
        <v/>
      </c>
      <c r="C457" s="34" t="n"/>
      <c r="D457" s="32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5">
        <f>IF(A457="","","#"&amp;A457)</f>
        <v/>
      </c>
    </row>
    <row r="458">
      <c r="A458" s="28" t="inlineStr">
        <is>
          <t>FANEL42_5</t>
        </is>
      </c>
      <c r="B458" s="60">
        <f>IFERROR(INDEX(Materiales!$B$4:$B$484,MATCH("#"&amp;$A458,Materiales!$K$4:$K$484,0)),"")</f>
        <v/>
      </c>
      <c r="C458" s="34" t="n"/>
      <c r="D458" s="32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5">
        <f>IF(A458="","","#"&amp;A458)</f>
        <v/>
      </c>
    </row>
    <row r="459">
      <c r="A459" s="28" t="inlineStr">
        <is>
          <t>FANEL42_6</t>
        </is>
      </c>
      <c r="B459" s="60">
        <f>IFERROR(INDEX(Materiales!$B$4:$B$484,MATCH("#"&amp;$A459,Materiales!$K$4:$K$484,0)),"")</f>
        <v/>
      </c>
      <c r="C459" s="34" t="n"/>
      <c r="D459" s="32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5">
        <f>IF(A459="","","#"&amp;A459)</f>
        <v/>
      </c>
    </row>
    <row r="460">
      <c r="A460" s="28" t="inlineStr">
        <is>
          <t>FANEL42_7</t>
        </is>
      </c>
      <c r="B460" s="60">
        <f>IFERROR(INDEX(Materiales!$B$4:$B$484,MATCH("#"&amp;$A460,Materiales!$K$4:$K$484,0)),"")</f>
        <v/>
      </c>
      <c r="C460" s="34" t="n"/>
      <c r="D460" s="32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5">
        <f>IF(A460="","","#"&amp;A460)</f>
        <v/>
      </c>
    </row>
    <row r="461">
      <c r="A461" s="28" t="inlineStr">
        <is>
          <t>FANEL42_8</t>
        </is>
      </c>
      <c r="B461" s="60">
        <f>IFERROR(INDEX(Materiales!$B$4:$B$484,MATCH("#"&amp;$A461,Materiales!$K$4:$K$484,0)),"")</f>
        <v/>
      </c>
      <c r="C461" s="34" t="n"/>
      <c r="D461" s="32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5">
        <f>IF(A461="","","#"&amp;A461)</f>
        <v/>
      </c>
    </row>
    <row r="462">
      <c r="A462" s="28" t="inlineStr">
        <is>
          <t>FANEL42_9</t>
        </is>
      </c>
      <c r="B462" s="60">
        <f>IFERROR(INDEX(Materiales!$B$4:$B$484,MATCH("#"&amp;$A462,Materiales!$K$4:$K$484,0)),"")</f>
        <v/>
      </c>
      <c r="C462" s="34" t="n"/>
      <c r="D462" s="32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5">
        <f>IF(A462="","","#"&amp;A462)</f>
        <v/>
      </c>
    </row>
    <row r="463">
      <c r="A463" s="28" t="inlineStr">
        <is>
          <t>FANEL42_10</t>
        </is>
      </c>
      <c r="B463" s="60">
        <f>IFERROR(INDEX(Materiales!$B$4:$B$484,MATCH("#"&amp;$A463,Materiales!$K$4:$K$484,0)),"")</f>
        <v/>
      </c>
      <c r="C463" s="34" t="n"/>
      <c r="D463" s="32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5">
        <f>IF(A463="","","#"&amp;A463)</f>
        <v/>
      </c>
    </row>
    <row r="464">
      <c r="A464" s="28" t="inlineStr">
        <is>
          <t>FANEL42_11</t>
        </is>
      </c>
      <c r="B464" s="60">
        <f>IFERROR(INDEX(Materiales!$B$4:$B$484,MATCH("#"&amp;$A464,Materiales!$K$4:$K$484,0)),"")</f>
        <v/>
      </c>
      <c r="C464" s="34" t="n"/>
      <c r="D464" s="32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5">
        <f>IF(A464="","","#"&amp;A464)</f>
        <v/>
      </c>
    </row>
    <row r="465">
      <c r="A465" s="28" t="inlineStr">
        <is>
          <t>FANEL42_12</t>
        </is>
      </c>
      <c r="B465" s="60">
        <f>IFERROR(INDEX(Materiales!$B$4:$B$484,MATCH("#"&amp;$A465,Materiales!$K$4:$K$484,0)),"")</f>
        <v/>
      </c>
      <c r="C465" s="34" t="n"/>
      <c r="D465" s="32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5">
        <f>IF(A465="","","#"&amp;A465)</f>
        <v/>
      </c>
    </row>
    <row r="466">
      <c r="A466" s="28" t="inlineStr">
        <is>
          <t>FANEL42_13</t>
        </is>
      </c>
      <c r="B466" s="60">
        <f>IFERROR(INDEX(Materiales!$B$4:$B$484,MATCH("#"&amp;$A466,Materiales!$K$4:$K$484,0)),"")</f>
        <v/>
      </c>
      <c r="C466" s="34" t="n"/>
      <c r="D466" s="32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5">
        <f>IF(A466="","","#"&amp;A466)</f>
        <v/>
      </c>
    </row>
    <row r="467">
      <c r="A467" s="28" t="inlineStr">
        <is>
          <t>FANEL42_14</t>
        </is>
      </c>
      <c r="B467" s="60">
        <f>IFERROR(INDEX(Materiales!$B$4:$B$484,MATCH("#"&amp;$A467,Materiales!$K$4:$K$484,0)),"")</f>
        <v/>
      </c>
      <c r="C467" s="34" t="n"/>
      <c r="D467" s="32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5">
        <f>IF(A467="","","#"&amp;A467)</f>
        <v/>
      </c>
    </row>
    <row r="468">
      <c r="A468" s="28" t="inlineStr">
        <is>
          <t>FANEL42_15</t>
        </is>
      </c>
      <c r="B468" s="60">
        <f>IFERROR(INDEX(Materiales!$B$4:$B$484,MATCH("#"&amp;$A468,Materiales!$K$4:$K$484,0)),"")</f>
        <v/>
      </c>
      <c r="C468" s="34" t="n"/>
      <c r="D468" s="32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5">
        <f>IF(A468="","","#"&amp;A468)</f>
        <v/>
      </c>
    </row>
    <row r="469">
      <c r="A469" s="28" t="inlineStr">
        <is>
          <t>FANEL42_16</t>
        </is>
      </c>
      <c r="B469" s="60">
        <f>IFERROR(INDEX(Materiales!$B$4:$B$484,MATCH("#"&amp;$A469,Materiales!$K$4:$K$484,0)),"")</f>
        <v/>
      </c>
      <c r="C469" s="34" t="n"/>
      <c r="D469" s="32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5">
        <f>IF(A469="","","#"&amp;A469)</f>
        <v/>
      </c>
    </row>
    <row r="470">
      <c r="A470" s="28" t="inlineStr">
        <is>
          <t>FANEL240_1</t>
        </is>
      </c>
      <c r="B470" s="60">
        <f>IFERROR(INDEX(Materiales!$B$4:$B$484,MATCH("#"&amp;$A470,Materiales!$K$4:$K$484,0)),"")</f>
        <v/>
      </c>
      <c r="C470" s="34" t="n"/>
      <c r="D470" s="32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5">
        <f>IF(A470="","","#"&amp;A470)</f>
        <v/>
      </c>
    </row>
    <row r="471">
      <c r="A471" s="28" t="inlineStr">
        <is>
          <t>FANEL240_2</t>
        </is>
      </c>
      <c r="B471" s="60">
        <f>IFERROR(INDEX(Materiales!$B$4:$B$484,MATCH("#"&amp;$A471,Materiales!$K$4:$K$484,0)),"")</f>
        <v/>
      </c>
      <c r="C471" s="34" t="n"/>
      <c r="D471" s="32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5">
        <f>IF(A471="","","#"&amp;A471)</f>
        <v/>
      </c>
    </row>
    <row r="472">
      <c r="A472" s="28" t="inlineStr">
        <is>
          <t>FANEL240_3</t>
        </is>
      </c>
      <c r="B472" s="60">
        <f>IFERROR(INDEX(Materiales!$B$4:$B$484,MATCH("#"&amp;$A472,Materiales!$K$4:$K$484,0)),"")</f>
        <v/>
      </c>
      <c r="C472" s="34" t="n"/>
      <c r="D472" s="32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5">
        <f>IF(A472="","","#"&amp;A472)</f>
        <v/>
      </c>
    </row>
    <row r="473">
      <c r="A473" s="28" t="inlineStr">
        <is>
          <t>FANEL240_4</t>
        </is>
      </c>
      <c r="B473" s="60">
        <f>IFERROR(INDEX(Materiales!$B$4:$B$484,MATCH("#"&amp;$A473,Materiales!$K$4:$K$484,0)),"")</f>
        <v/>
      </c>
      <c r="C473" s="34" t="n"/>
      <c r="D473" s="32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5">
        <f>IF(A473="","","#"&amp;A473)</f>
        <v/>
      </c>
    </row>
    <row r="474">
      <c r="A474" s="28" t="inlineStr">
        <is>
          <t>FANEL240_5</t>
        </is>
      </c>
      <c r="B474" s="60">
        <f>IFERROR(INDEX(Materiales!$B$4:$B$484,MATCH("#"&amp;$A474,Materiales!$K$4:$K$484,0)),"")</f>
        <v/>
      </c>
      <c r="C474" s="34" t="n"/>
      <c r="D474" s="32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5">
        <f>IF(A474="","","#"&amp;A474)</f>
        <v/>
      </c>
    </row>
    <row r="475">
      <c r="A475" s="28" t="inlineStr">
        <is>
          <t>FANEL240_6</t>
        </is>
      </c>
      <c r="B475" s="60">
        <f>IFERROR(INDEX(Materiales!$B$4:$B$484,MATCH("#"&amp;$A475,Materiales!$K$4:$K$484,0)),"")</f>
        <v/>
      </c>
      <c r="C475" s="34" t="n"/>
      <c r="D475" s="32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5">
        <f>IF(A475="","","#"&amp;A475)</f>
        <v/>
      </c>
    </row>
    <row r="476">
      <c r="A476" s="28" t="inlineStr">
        <is>
          <t>FANEL240_7</t>
        </is>
      </c>
      <c r="B476" s="60">
        <f>IFERROR(INDEX(Materiales!$B$4:$B$484,MATCH("#"&amp;$A476,Materiales!$K$4:$K$484,0)),"")</f>
        <v/>
      </c>
      <c r="C476" s="34" t="n"/>
      <c r="D476" s="32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5">
        <f>IF(A476="","","#"&amp;A476)</f>
        <v/>
      </c>
    </row>
    <row r="477">
      <c r="A477" s="28" t="inlineStr">
        <is>
          <t>FANEL240_8</t>
        </is>
      </c>
      <c r="B477" s="60">
        <f>IFERROR(INDEX(Materiales!$B$4:$B$484,MATCH("#"&amp;$A477,Materiales!$K$4:$K$484,0)),"")</f>
        <v/>
      </c>
      <c r="C477" s="34" t="n"/>
      <c r="D477" s="32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5">
        <f>IF(A477="","","#"&amp;A477)</f>
        <v/>
      </c>
    </row>
    <row r="478">
      <c r="A478" s="28" t="inlineStr">
        <is>
          <t>FANEL240_9</t>
        </is>
      </c>
      <c r="B478" s="60">
        <f>IFERROR(INDEX(Materiales!$B$4:$B$484,MATCH("#"&amp;$A478,Materiales!$K$4:$K$484,0)),"")</f>
        <v/>
      </c>
      <c r="C478" s="34" t="n"/>
      <c r="D478" s="32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5">
        <f>IF(A478="","","#"&amp;A478)</f>
        <v/>
      </c>
    </row>
    <row r="479">
      <c r="A479" s="28" t="inlineStr">
        <is>
          <t>FANEL240_10</t>
        </is>
      </c>
      <c r="B479" s="60">
        <f>IFERROR(INDEX(Materiales!$B$4:$B$484,MATCH("#"&amp;$A479,Materiales!$K$4:$K$484,0)),"")</f>
        <v/>
      </c>
      <c r="C479" s="34" t="n"/>
      <c r="D479" s="32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5">
        <f>IF(A479="","","#"&amp;A479)</f>
        <v/>
      </c>
    </row>
    <row r="480">
      <c r="A480" s="28" t="inlineStr">
        <is>
          <t>FANEL240_11</t>
        </is>
      </c>
      <c r="B480" s="60">
        <f>IFERROR(INDEX(Materiales!$B$4:$B$484,MATCH("#"&amp;$A480,Materiales!$K$4:$K$484,0)),"")</f>
        <v/>
      </c>
      <c r="C480" s="34" t="n"/>
      <c r="D480" s="32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5">
        <f>IF(A480="","","#"&amp;A480)</f>
        <v/>
      </c>
    </row>
    <row r="481">
      <c r="A481" s="28" t="inlineStr">
        <is>
          <t>FANEL240_12</t>
        </is>
      </c>
      <c r="B481" s="60">
        <f>IFERROR(INDEX(Materiales!$B$4:$B$484,MATCH("#"&amp;$A481,Materiales!$K$4:$K$484,0)),"")</f>
        <v/>
      </c>
      <c r="C481" s="34" t="n"/>
      <c r="D481" s="32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5">
        <f>IF(A481="","","#"&amp;A481)</f>
        <v/>
      </c>
    </row>
    <row r="482">
      <c r="A482" s="28" t="inlineStr">
        <is>
          <t>FANEL240_13</t>
        </is>
      </c>
      <c r="B482" s="60">
        <f>IFERROR(INDEX(Materiales!$B$4:$B$484,MATCH("#"&amp;$A482,Materiales!$K$4:$K$484,0)),"")</f>
        <v/>
      </c>
      <c r="C482" s="34" t="n"/>
      <c r="D482" s="32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5">
        <f>IF(A482="","","#"&amp;A482)</f>
        <v/>
      </c>
    </row>
    <row r="483">
      <c r="A483" s="28" t="inlineStr">
        <is>
          <t>FANEL240_14</t>
        </is>
      </c>
      <c r="B483" s="60">
        <f>IFERROR(INDEX(Materiales!$B$4:$B$484,MATCH("#"&amp;$A483,Materiales!$K$4:$K$484,0)),"")</f>
        <v/>
      </c>
      <c r="C483" s="34" t="n"/>
      <c r="D483" s="32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5">
        <f>IF(A483="","","#"&amp;A483)</f>
        <v/>
      </c>
    </row>
    <row r="484">
      <c r="A484" s="28" t="inlineStr">
        <is>
          <t>FANEL240_15</t>
        </is>
      </c>
      <c r="B484" s="60">
        <f>IFERROR(INDEX(Materiales!$B$4:$B$484,MATCH("#"&amp;$A484,Materiales!$K$4:$K$484,0)),"")</f>
        <v/>
      </c>
      <c r="C484" s="34" t="n"/>
      <c r="D484" s="32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5">
        <f>IF(A484="","","#"&amp;A484)</f>
        <v/>
      </c>
    </row>
    <row r="485">
      <c r="A485" s="28" t="inlineStr">
        <is>
          <t>FANEL240_16</t>
        </is>
      </c>
      <c r="B485" s="60">
        <f>IFERROR(INDEX(Materiales!$B$4:$B$484,MATCH("#"&amp;$A485,Materiales!$K$4:$K$484,0)),"")</f>
        <v/>
      </c>
      <c r="C485" s="34" t="n"/>
      <c r="D485" s="32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5">
        <f>IF(A485="","","#"&amp;A485)</f>
        <v/>
      </c>
    </row>
    <row r="486">
      <c r="A486" s="61" t="n"/>
      <c r="B486" s="60">
        <f>IFERROR(INDEX(Materiales!$B$4:$B$484,MATCH("#"&amp;$A486,Materiales!$K$4:$K$484,0)),"")</f>
        <v/>
      </c>
      <c r="C486" s="34" t="n"/>
      <c r="D486" s="32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5">
        <f>IF(A486="","","#"&amp;A486)</f>
        <v/>
      </c>
    </row>
    <row r="487">
      <c r="A487" s="61" t="n"/>
      <c r="B487" s="60">
        <f>IFERROR(INDEX(Materiales!$B$4:$B$484,MATCH("#"&amp;$A487,Materiales!$K$4:$K$484,0)),"")</f>
        <v/>
      </c>
      <c r="C487" s="34" t="n"/>
      <c r="D487" s="32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5">
        <f>IF(A487="","","#"&amp;A487)</f>
        <v/>
      </c>
    </row>
    <row r="488">
      <c r="A488" s="61" t="n"/>
      <c r="B488" s="60">
        <f>IFERROR(INDEX(Materiales!$B$4:$B$484,MATCH("#"&amp;$A488,Materiales!$K$4:$K$484,0)),"")</f>
        <v/>
      </c>
      <c r="C488" s="34" t="n"/>
      <c r="D488" s="32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5">
        <f>IF(A488="","","#"&amp;A488)</f>
        <v/>
      </c>
    </row>
    <row r="489">
      <c r="A489" s="61" t="n"/>
      <c r="B489" s="60">
        <f>IFERROR(INDEX(Materiales!$B$4:$B$484,MATCH("#"&amp;$A489,Materiales!$K$4:$K$484,0)),"")</f>
        <v/>
      </c>
      <c r="C489" s="34" t="n"/>
      <c r="D489" s="32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5">
        <f>IF(A489="","","#"&amp;A489)</f>
        <v/>
      </c>
    </row>
    <row r="490">
      <c r="A490" s="61" t="n"/>
      <c r="B490" s="60">
        <f>IFERROR(INDEX(Materiales!$B$4:$B$484,MATCH("#"&amp;$A490,Materiales!$K$4:$K$484,0)),"")</f>
        <v/>
      </c>
      <c r="C490" s="34" t="n"/>
      <c r="D490" s="32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5">
        <f>IF(A490="","","#"&amp;A490)</f>
        <v/>
      </c>
    </row>
    <row r="491">
      <c r="A491" s="61" t="n"/>
      <c r="B491" s="60">
        <f>IFERROR(INDEX(Materiales!$B$4:$B$484,MATCH("#"&amp;$A491,Materiales!$K$4:$K$484,0)),"")</f>
        <v/>
      </c>
      <c r="C491" s="34" t="n"/>
      <c r="D491" s="32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5">
        <f>IF(A491="","","#"&amp;A491)</f>
        <v/>
      </c>
    </row>
    <row r="492">
      <c r="A492" s="61" t="n"/>
      <c r="B492" s="60">
        <f>IFERROR(INDEX(Materiales!$B$4:$B$484,MATCH("#"&amp;$A492,Materiales!$K$4:$K$484,0)),"")</f>
        <v/>
      </c>
      <c r="C492" s="34" t="n"/>
      <c r="D492" s="32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5">
        <f>IF(A492="","","#"&amp;A492)</f>
        <v/>
      </c>
    </row>
    <row r="493">
      <c r="A493" s="61" t="n"/>
      <c r="B493" s="60">
        <f>IFERROR(INDEX(Materiales!$B$4:$B$484,MATCH("#"&amp;$A493,Materiales!$K$4:$K$484,0)),"")</f>
        <v/>
      </c>
      <c r="C493" s="34" t="n"/>
      <c r="D493" s="32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5">
        <f>IF(A493="","","#"&amp;A493)</f>
        <v/>
      </c>
    </row>
    <row r="494">
      <c r="A494" s="61" t="n"/>
      <c r="B494" s="60">
        <f>IFERROR(INDEX(Materiales!$B$4:$B$484,MATCH("#"&amp;$A494,Materiales!$K$4:$K$484,0)),"")</f>
        <v/>
      </c>
      <c r="C494" s="34" t="n"/>
      <c r="D494" s="32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5">
        <f>IF(A494="","","#"&amp;A494)</f>
        <v/>
      </c>
    </row>
    <row r="495">
      <c r="A495" s="61" t="n"/>
      <c r="B495" s="60">
        <f>IFERROR(INDEX(Materiales!$B$4:$B$484,MATCH("#"&amp;$A495,Materiales!$K$4:$K$484,0)),"")</f>
        <v/>
      </c>
      <c r="C495" s="34" t="n"/>
      <c r="D495" s="32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5">
        <f>IF(A495="","","#"&amp;A495)</f>
        <v/>
      </c>
    </row>
    <row r="496">
      <c r="A496" s="61" t="n"/>
      <c r="B496" s="60">
        <f>IFERROR(INDEX(Materiales!$B$4:$B$484,MATCH("#"&amp;$A496,Materiales!$K$4:$K$484,0)),"")</f>
        <v/>
      </c>
      <c r="C496" s="34" t="n"/>
      <c r="D496" s="32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5">
        <f>IF(A496="","","#"&amp;A496)</f>
        <v/>
      </c>
    </row>
    <row r="497">
      <c r="A497" s="61" t="n"/>
      <c r="B497" s="60">
        <f>IFERROR(INDEX(Materiales!$B$4:$B$484,MATCH("#"&amp;$A497,Materiales!$K$4:$K$484,0)),"")</f>
        <v/>
      </c>
      <c r="C497" s="34" t="n"/>
      <c r="D497" s="32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5">
        <f>IF(A497="","","#"&amp;A497)</f>
        <v/>
      </c>
    </row>
    <row r="498">
      <c r="A498" s="61" t="n"/>
      <c r="B498" s="60">
        <f>IFERROR(INDEX(Materiales!$B$4:$B$484,MATCH("#"&amp;$A498,Materiales!$K$4:$K$484,0)),"")</f>
        <v/>
      </c>
      <c r="C498" s="34" t="n"/>
      <c r="D498" s="32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5">
        <f>IF(A498="","","#"&amp;A498)</f>
        <v/>
      </c>
    </row>
    <row r="499">
      <c r="A499" s="61" t="n"/>
      <c r="B499" s="60">
        <f>IFERROR(INDEX(Materiales!$B$4:$B$484,MATCH("#"&amp;$A499,Materiales!$K$4:$K$484,0)),"")</f>
        <v/>
      </c>
      <c r="C499" s="34" t="n"/>
      <c r="D499" s="32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5">
        <f>IF(A499="","","#"&amp;A499)</f>
        <v/>
      </c>
    </row>
    <row r="500">
      <c r="A500" s="61" t="n"/>
      <c r="B500" s="60">
        <f>IFERROR(INDEX(Materiales!$B$4:$B$484,MATCH("#"&amp;$A500,Materiales!$K$4:$K$484,0)),"")</f>
        <v/>
      </c>
      <c r="C500" s="34" t="n"/>
      <c r="D500" s="32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5">
        <f>IF(A500="","","#"&amp;A500)</f>
        <v/>
      </c>
    </row>
    <row r="501">
      <c r="A501" s="61" t="n"/>
      <c r="B501" s="60">
        <f>IFERROR(INDEX(Materiales!$B$4:$B$484,MATCH("#"&amp;$A501,Materiales!$K$4:$K$484,0)),"")</f>
        <v/>
      </c>
      <c r="C501" s="34" t="n"/>
      <c r="D501" s="32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5">
        <f>IF(A501="","","#"&amp;A501)</f>
        <v/>
      </c>
    </row>
    <row r="502">
      <c r="A502" s="61" t="n"/>
      <c r="B502" s="60">
        <f>IFERROR(INDEX(Materiales!$B$4:$B$484,MATCH("#"&amp;$A502,Materiales!$K$4:$K$484,0)),"")</f>
        <v/>
      </c>
      <c r="C502" s="34" t="n"/>
      <c r="D502" s="32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5">
        <f>IF(A502="","","#"&amp;A502)</f>
        <v/>
      </c>
    </row>
    <row r="503">
      <c r="A503" s="61" t="n"/>
      <c r="B503" s="60">
        <f>IFERROR(INDEX(Materiales!$B$4:$B$484,MATCH("#"&amp;$A503,Materiales!$K$4:$K$484,0)),"")</f>
        <v/>
      </c>
      <c r="C503" s="34" t="n"/>
      <c r="D503" s="32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5">
        <f>IF(A503="","","#"&amp;A503)</f>
        <v/>
      </c>
    </row>
    <row r="504">
      <c r="A504" s="61" t="n"/>
      <c r="B504" s="60">
        <f>IFERROR(INDEX(Materiales!$B$4:$B$484,MATCH("#"&amp;$A504,Materiales!$K$4:$K$484,0)),"")</f>
        <v/>
      </c>
      <c r="C504" s="34" t="n"/>
      <c r="D504" s="32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5">
        <f>IF(A504="","","#"&amp;A504)</f>
        <v/>
      </c>
    </row>
    <row r="505">
      <c r="A505" s="61" t="n"/>
      <c r="B505" s="60">
        <f>IFERROR(INDEX(Materiales!$B$4:$B$484,MATCH("#"&amp;$A505,Materiales!$K$4:$K$484,0)),"")</f>
        <v/>
      </c>
      <c r="C505" s="34" t="n"/>
      <c r="D505" s="32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5">
        <f>IF(A505="","","#"&amp;A505)</f>
        <v/>
      </c>
    </row>
  </sheetData>
  <autoFilter ref="A4:L505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2F2F2"/>
    <outlinePr summaryBelow="1" summaryRight="1"/>
    <pageSetUpPr/>
  </sheetPr>
  <dimension ref="A1:M337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6" customHeight="1">
      <c r="A1" s="1" t="inlineStr">
        <is>
          <t>CALCULO MRP — no escribas en esta hoja</t>
        </is>
      </c>
    </row>
    <row r="2" ht="18" customHeight="1">
      <c r="A2" s="2" t="inlineStr">
        <is>
          <t>Un bloque de 6 renglones por item. Lee el renglon verde: es la semana en que debes pedir.</t>
        </is>
      </c>
    </row>
    <row r="3">
      <c r="E3" s="59">
        <f>Plan!E$3</f>
        <v/>
      </c>
      <c r="F3" s="59">
        <f>Plan!F$3</f>
        <v/>
      </c>
      <c r="G3" s="59">
        <f>Plan!G$3</f>
        <v/>
      </c>
      <c r="H3" s="59">
        <f>Plan!H$3</f>
        <v/>
      </c>
      <c r="I3" s="59">
        <f>Plan!I$3</f>
        <v/>
      </c>
      <c r="J3" s="59">
        <f>Plan!J$3</f>
        <v/>
      </c>
      <c r="K3" s="59">
        <f>Plan!K$3</f>
        <v/>
      </c>
      <c r="L3" s="59">
        <f>Plan!L$3</f>
        <v/>
      </c>
    </row>
    <row r="4" ht="32" customHeight="1">
      <c r="A4" s="6" t="inlineStr">
        <is>
          <t>Codigo</t>
        </is>
      </c>
      <c r="B4" s="6" t="inlineStr">
        <is>
          <t>Producto</t>
        </is>
      </c>
      <c r="C4" s="6" t="inlineStr">
        <is>
          <t>Concepto</t>
        </is>
      </c>
      <c r="D4" s="6" t="inlineStr">
        <is>
          <t>Inicial / hoy</t>
        </is>
      </c>
      <c r="E4" s="6" t="inlineStr">
        <is>
          <t>Sem 1</t>
        </is>
      </c>
      <c r="F4" s="6" t="inlineStr">
        <is>
          <t>Sem 2</t>
        </is>
      </c>
      <c r="G4" s="6" t="inlineStr">
        <is>
          <t>Sem 3</t>
        </is>
      </c>
      <c r="H4" s="6" t="inlineStr">
        <is>
          <t>Sem 4</t>
        </is>
      </c>
      <c r="I4" s="6" t="inlineStr">
        <is>
          <t>Sem 5</t>
        </is>
      </c>
      <c r="J4" s="6" t="inlineStr">
        <is>
          <t>Sem 6</t>
        </is>
      </c>
      <c r="K4" s="6" t="inlineStr">
        <is>
          <t>Sem 7</t>
        </is>
      </c>
      <c r="L4" s="6" t="inlineStr">
        <is>
          <t>Sem 8</t>
        </is>
      </c>
      <c r="M4" s="6" t="inlineStr">
        <is>
          <t>Alerta</t>
        </is>
      </c>
    </row>
    <row r="5">
      <c r="A5" s="62">
        <f>IF(Materiales!$A$4="","",Materiales!$A$4)</f>
        <v/>
      </c>
      <c r="B5" s="62">
        <f>IF(Materiales!$B$4="","",Materiales!$B$4)</f>
        <v/>
      </c>
      <c r="C5" s="63" t="inlineStr">
        <is>
          <t>Necesidad bruta</t>
        </is>
      </c>
      <c r="D5" s="64" t="n"/>
      <c r="E5" s="65">
        <f>ROUND(SUMIF(Consumo!$P$4:$P$189,"#"&amp;$A5,Consumo!H$4:H$189),4)</f>
        <v/>
      </c>
      <c r="F5" s="65">
        <f>ROUND(SUMIF(Consumo!$P$4:$P$189,"#"&amp;$A5,Consumo!I$4:I$189),4)</f>
        <v/>
      </c>
      <c r="G5" s="65">
        <f>ROUND(SUMIF(Consumo!$P$4:$P$189,"#"&amp;$A5,Consumo!J$4:J$189),4)</f>
        <v/>
      </c>
      <c r="H5" s="65">
        <f>ROUND(SUMIF(Consumo!$P$4:$P$189,"#"&amp;$A5,Consumo!K$4:K$189),4)</f>
        <v/>
      </c>
      <c r="I5" s="65">
        <f>ROUND(SUMIF(Consumo!$P$4:$P$189,"#"&amp;$A5,Consumo!L$4:L$189),4)</f>
        <v/>
      </c>
      <c r="J5" s="65">
        <f>ROUND(SUMIF(Consumo!$P$4:$P$189,"#"&amp;$A5,Consumo!M$4:M$189),4)</f>
        <v/>
      </c>
      <c r="K5" s="65">
        <f>ROUND(SUMIF(Consumo!$P$4:$P$189,"#"&amp;$A5,Consumo!N$4:N$189),4)</f>
        <v/>
      </c>
      <c r="L5" s="65">
        <f>ROUND(SUMIF(Consumo!$P$4:$P$189,"#"&amp;$A5,Consumo!O$4:O$189),4)</f>
        <v/>
      </c>
      <c r="M5" s="66" t="n"/>
    </row>
    <row r="6">
      <c r="C6" s="63" t="inlineStr">
        <is>
          <t>Recepciones programadas (ya pedido)</t>
        </is>
      </c>
      <c r="D6" s="64" t="n"/>
      <c r="E6" s="65">
        <f>SUMIF(Inventario!$M$5:$M$505,"#"&amp;$A5,Inventario!E$5:E$505)</f>
        <v/>
      </c>
      <c r="F6" s="65">
        <f>SUMIF(Inventario!$M$5:$M$505,"#"&amp;$A5,Inventario!F$5:F$505)</f>
        <v/>
      </c>
      <c r="G6" s="65">
        <f>SUMIF(Inventario!$M$5:$M$505,"#"&amp;$A5,Inventario!G$5:G$505)</f>
        <v/>
      </c>
      <c r="H6" s="65">
        <f>SUMIF(Inventario!$M$5:$M$505,"#"&amp;$A5,Inventario!H$5:H$505)</f>
        <v/>
      </c>
      <c r="I6" s="65">
        <f>SUMIF(Inventario!$M$5:$M$505,"#"&amp;$A5,Inventario!I$5:I$505)</f>
        <v/>
      </c>
      <c r="J6" s="65">
        <f>SUMIF(Inventario!$M$5:$M$505,"#"&amp;$A5,Inventario!J$5:J$505)</f>
        <v/>
      </c>
      <c r="K6" s="65">
        <f>SUMIF(Inventario!$M$5:$M$505,"#"&amp;$A5,Inventario!K$5:K$505)</f>
        <v/>
      </c>
      <c r="L6" s="65">
        <f>SUMIF(Inventario!$M$5:$M$505,"#"&amp;$A5,Inventario!L$5:L$505)</f>
        <v/>
      </c>
      <c r="M6" s="66" t="n"/>
    </row>
    <row r="7">
      <c r="C7" s="63" t="inlineStr">
        <is>
          <t>Stock proyectado disponible</t>
        </is>
      </c>
      <c r="D7" s="67">
        <f>SUMIF(Inventario!$M$5:$M$505,"#"&amp;$A5,Inventario!$C$5:$C$505)</f>
        <v/>
      </c>
      <c r="E7" s="68">
        <f>D7+E6+E9-E5</f>
        <v/>
      </c>
      <c r="F7" s="68">
        <f>E7+F6+F9-F5</f>
        <v/>
      </c>
      <c r="G7" s="68">
        <f>F7+G6+G9-G5</f>
        <v/>
      </c>
      <c r="H7" s="68">
        <f>G7+H6+H9-H5</f>
        <v/>
      </c>
      <c r="I7" s="68">
        <f>H7+I6+I9-I5</f>
        <v/>
      </c>
      <c r="J7" s="68">
        <f>I7+J6+J9-J5</f>
        <v/>
      </c>
      <c r="K7" s="68">
        <f>J7+K6+K9-K5</f>
        <v/>
      </c>
      <c r="L7" s="68">
        <f>K7+L6+L9-L5</f>
        <v/>
      </c>
      <c r="M7" s="66" t="n"/>
    </row>
    <row r="8">
      <c r="C8" s="63" t="inlineStr">
        <is>
          <t>Necesidad neta</t>
        </is>
      </c>
      <c r="D8" s="64" t="n"/>
      <c r="E8" s="69">
        <f>MAX(0,ROUND(E5+Materiales!$H$4-D7-E6,4))</f>
        <v/>
      </c>
      <c r="F8" s="69">
        <f>MAX(0,ROUND(F5+Materiales!$H$4-E7-F6,4))</f>
        <v/>
      </c>
      <c r="G8" s="69">
        <f>MAX(0,ROUND(G5+Materiales!$H$4-F7-G6,4))</f>
        <v/>
      </c>
      <c r="H8" s="69">
        <f>MAX(0,ROUND(H5+Materiales!$H$4-G7-H6,4))</f>
        <v/>
      </c>
      <c r="I8" s="69">
        <f>MAX(0,ROUND(I5+Materiales!$H$4-H7-I6,4))</f>
        <v/>
      </c>
      <c r="J8" s="69">
        <f>MAX(0,ROUND(J5+Materiales!$H$4-I7-J6,4))</f>
        <v/>
      </c>
      <c r="K8" s="69">
        <f>MAX(0,ROUND(K5+Materiales!$H$4-J7-K6,4))</f>
        <v/>
      </c>
      <c r="L8" s="69">
        <f>MAX(0,ROUND(L5+Materiales!$H$4-K7-L6,4))</f>
        <v/>
      </c>
      <c r="M8" s="66" t="n"/>
    </row>
    <row r="9">
      <c r="C9" s="63" t="inlineStr">
        <is>
          <t>Recepcion de orden planificada</t>
        </is>
      </c>
      <c r="D9" s="64" t="n"/>
      <c r="E9" s="65">
        <f>IF(E8&lt;=0,0,IF(Materiales!$G$4&lt;=0,E8,ROUNDUP(E8/Materiales!$G$4,0)*Materiales!$G$4))</f>
        <v/>
      </c>
      <c r="F9" s="65">
        <f>IF(F8&lt;=0,0,IF(Materiales!$G$4&lt;=0,F8,ROUNDUP(F8/Materiales!$G$4,0)*Materiales!$G$4))</f>
        <v/>
      </c>
      <c r="G9" s="65">
        <f>IF(G8&lt;=0,0,IF(Materiales!$G$4&lt;=0,G8,ROUNDUP(G8/Materiales!$G$4,0)*Materiales!$G$4))</f>
        <v/>
      </c>
      <c r="H9" s="65">
        <f>IF(H8&lt;=0,0,IF(Materiales!$G$4&lt;=0,H8,ROUNDUP(H8/Materiales!$G$4,0)*Materiales!$G$4))</f>
        <v/>
      </c>
      <c r="I9" s="65">
        <f>IF(I8&lt;=0,0,IF(Materiales!$G$4&lt;=0,I8,ROUNDUP(I8/Materiales!$G$4,0)*Materiales!$G$4))</f>
        <v/>
      </c>
      <c r="J9" s="65">
        <f>IF(J8&lt;=0,0,IF(Materiales!$G$4&lt;=0,J8,ROUNDUP(J8/Materiales!$G$4,0)*Materiales!$G$4))</f>
        <v/>
      </c>
      <c r="K9" s="65">
        <f>IF(K8&lt;=0,0,IF(Materiales!$G$4&lt;=0,K8,ROUNDUP(K8/Materiales!$G$4,0)*Materiales!$G$4))</f>
        <v/>
      </c>
      <c r="L9" s="65">
        <f>IF(L8&lt;=0,0,IF(Materiales!$G$4&lt;=0,L8,ROUNDUP(L8/Materiales!$G$4,0)*Materiales!$G$4))</f>
        <v/>
      </c>
      <c r="M9" s="66" t="n"/>
    </row>
    <row r="10">
      <c r="C10" s="70" t="inlineStr">
        <is>
          <t>LANZAMIENTO DE ORDEN — pedir esta semana</t>
        </is>
      </c>
      <c r="D10" s="64" t="n"/>
      <c r="E10" s="71">
        <f>IF(1+Materiales!$F$4&gt;8,0,INDEX($E$9:$L$9,1,1+Materiales!$F$4))</f>
        <v/>
      </c>
      <c r="F10" s="71">
        <f>IF(2+Materiales!$F$4&gt;8,0,INDEX($E$9:$L$9,1,2+Materiales!$F$4))</f>
        <v/>
      </c>
      <c r="G10" s="71">
        <f>IF(3+Materiales!$F$4&gt;8,0,INDEX($E$9:$L$9,1,3+Materiales!$F$4))</f>
        <v/>
      </c>
      <c r="H10" s="71">
        <f>IF(4+Materiales!$F$4&gt;8,0,INDEX($E$9:$L$9,1,4+Materiales!$F$4))</f>
        <v/>
      </c>
      <c r="I10" s="71">
        <f>IF(5+Materiales!$F$4&gt;8,0,INDEX($E$9:$L$9,1,5+Materiales!$F$4))</f>
        <v/>
      </c>
      <c r="J10" s="71">
        <f>IF(6+Materiales!$F$4&gt;8,0,INDEX($E$9:$L$9,1,6+Materiales!$F$4))</f>
        <v/>
      </c>
      <c r="K10" s="71">
        <f>IF(7+Materiales!$F$4&gt;8,0,INDEX($E$9:$L$9,1,7+Materiales!$F$4))</f>
        <v/>
      </c>
      <c r="L10" s="71">
        <f>IF(8+Materiales!$F$4&gt;8,0,INDEX($E$9:$L$9,1,8+Materiales!$F$4))</f>
        <v/>
      </c>
      <c r="M10" s="72">
        <f>IF($A5="","",IF(SUMPRODUCT((COLUMN($E$9:$L$9)-4&lt;=Materiales!$F$4)*$E$9:$L$9)&gt;0,"PEDIR YA (atrasado)","OK"))</f>
        <v/>
      </c>
    </row>
    <row r="11" ht="6" customHeight="1"/>
    <row r="12">
      <c r="A12" s="62">
        <f>IF(Materiales!$A$5="","",Materiales!$A$5)</f>
        <v/>
      </c>
      <c r="B12" s="62">
        <f>IF(Materiales!$B$5="","",Materiales!$B$5)</f>
        <v/>
      </c>
      <c r="C12" s="63" t="inlineStr">
        <is>
          <t>Necesidad bruta</t>
        </is>
      </c>
      <c r="D12" s="64" t="n"/>
      <c r="E12" s="65">
        <f>ROUND(SUMIF(Consumo!$P$4:$P$189,"#"&amp;$A12,Consumo!H$4:H$189),4)</f>
        <v/>
      </c>
      <c r="F12" s="65">
        <f>ROUND(SUMIF(Consumo!$P$4:$P$189,"#"&amp;$A12,Consumo!I$4:I$189),4)</f>
        <v/>
      </c>
      <c r="G12" s="65">
        <f>ROUND(SUMIF(Consumo!$P$4:$P$189,"#"&amp;$A12,Consumo!J$4:J$189),4)</f>
        <v/>
      </c>
      <c r="H12" s="65">
        <f>ROUND(SUMIF(Consumo!$P$4:$P$189,"#"&amp;$A12,Consumo!K$4:K$189),4)</f>
        <v/>
      </c>
      <c r="I12" s="65">
        <f>ROUND(SUMIF(Consumo!$P$4:$P$189,"#"&amp;$A12,Consumo!L$4:L$189),4)</f>
        <v/>
      </c>
      <c r="J12" s="65">
        <f>ROUND(SUMIF(Consumo!$P$4:$P$189,"#"&amp;$A12,Consumo!M$4:M$189),4)</f>
        <v/>
      </c>
      <c r="K12" s="65">
        <f>ROUND(SUMIF(Consumo!$P$4:$P$189,"#"&amp;$A12,Consumo!N$4:N$189),4)</f>
        <v/>
      </c>
      <c r="L12" s="65">
        <f>ROUND(SUMIF(Consumo!$P$4:$P$189,"#"&amp;$A12,Consumo!O$4:O$189),4)</f>
        <v/>
      </c>
      <c r="M12" s="66" t="n"/>
    </row>
    <row r="13">
      <c r="C13" s="63" t="inlineStr">
        <is>
          <t>Recepciones programadas (ya pedido)</t>
        </is>
      </c>
      <c r="D13" s="64" t="n"/>
      <c r="E13" s="65">
        <f>SUMIF(Inventario!$M$5:$M$505,"#"&amp;$A12,Inventario!E$5:E$505)</f>
        <v/>
      </c>
      <c r="F13" s="65">
        <f>SUMIF(Inventario!$M$5:$M$505,"#"&amp;$A12,Inventario!F$5:F$505)</f>
        <v/>
      </c>
      <c r="G13" s="65">
        <f>SUMIF(Inventario!$M$5:$M$505,"#"&amp;$A12,Inventario!G$5:G$505)</f>
        <v/>
      </c>
      <c r="H13" s="65">
        <f>SUMIF(Inventario!$M$5:$M$505,"#"&amp;$A12,Inventario!H$5:H$505)</f>
        <v/>
      </c>
      <c r="I13" s="65">
        <f>SUMIF(Inventario!$M$5:$M$505,"#"&amp;$A12,Inventario!I$5:I$505)</f>
        <v/>
      </c>
      <c r="J13" s="65">
        <f>SUMIF(Inventario!$M$5:$M$505,"#"&amp;$A12,Inventario!J$5:J$505)</f>
        <v/>
      </c>
      <c r="K13" s="65">
        <f>SUMIF(Inventario!$M$5:$M$505,"#"&amp;$A12,Inventario!K$5:K$505)</f>
        <v/>
      </c>
      <c r="L13" s="65">
        <f>SUMIF(Inventario!$M$5:$M$505,"#"&amp;$A12,Inventario!L$5:L$505)</f>
        <v/>
      </c>
      <c r="M13" s="66" t="n"/>
    </row>
    <row r="14">
      <c r="C14" s="63" t="inlineStr">
        <is>
          <t>Stock proyectado disponible</t>
        </is>
      </c>
      <c r="D14" s="67">
        <f>SUMIF(Inventario!$M$5:$M$505,"#"&amp;$A12,Inventario!$C$5:$C$505)</f>
        <v/>
      </c>
      <c r="E14" s="68">
        <f>D14+E13+E16-E12</f>
        <v/>
      </c>
      <c r="F14" s="68">
        <f>E14+F13+F16-F12</f>
        <v/>
      </c>
      <c r="G14" s="68">
        <f>F14+G13+G16-G12</f>
        <v/>
      </c>
      <c r="H14" s="68">
        <f>G14+H13+H16-H12</f>
        <v/>
      </c>
      <c r="I14" s="68">
        <f>H14+I13+I16-I12</f>
        <v/>
      </c>
      <c r="J14" s="68">
        <f>I14+J13+J16-J12</f>
        <v/>
      </c>
      <c r="K14" s="68">
        <f>J14+K13+K16-K12</f>
        <v/>
      </c>
      <c r="L14" s="68">
        <f>K14+L13+L16-L12</f>
        <v/>
      </c>
      <c r="M14" s="66" t="n"/>
    </row>
    <row r="15">
      <c r="C15" s="63" t="inlineStr">
        <is>
          <t>Necesidad neta</t>
        </is>
      </c>
      <c r="D15" s="64" t="n"/>
      <c r="E15" s="69">
        <f>MAX(0,ROUND(E12+Materiales!$H$5-D14-E13,4))</f>
        <v/>
      </c>
      <c r="F15" s="69">
        <f>MAX(0,ROUND(F12+Materiales!$H$5-E14-F13,4))</f>
        <v/>
      </c>
      <c r="G15" s="69">
        <f>MAX(0,ROUND(G12+Materiales!$H$5-F14-G13,4))</f>
        <v/>
      </c>
      <c r="H15" s="69">
        <f>MAX(0,ROUND(H12+Materiales!$H$5-G14-H13,4))</f>
        <v/>
      </c>
      <c r="I15" s="69">
        <f>MAX(0,ROUND(I12+Materiales!$H$5-H14-I13,4))</f>
        <v/>
      </c>
      <c r="J15" s="69">
        <f>MAX(0,ROUND(J12+Materiales!$H$5-I14-J13,4))</f>
        <v/>
      </c>
      <c r="K15" s="69">
        <f>MAX(0,ROUND(K12+Materiales!$H$5-J14-K13,4))</f>
        <v/>
      </c>
      <c r="L15" s="69">
        <f>MAX(0,ROUND(L12+Materiales!$H$5-K14-L13,4))</f>
        <v/>
      </c>
      <c r="M15" s="66" t="n"/>
    </row>
    <row r="16">
      <c r="C16" s="63" t="inlineStr">
        <is>
          <t>Recepcion de orden planificada</t>
        </is>
      </c>
      <c r="D16" s="64" t="n"/>
      <c r="E16" s="65">
        <f>IF(E15&lt;=0,0,IF(Materiales!$G$5&lt;=0,E15,ROUNDUP(E15/Materiales!$G$5,0)*Materiales!$G$5))</f>
        <v/>
      </c>
      <c r="F16" s="65">
        <f>IF(F15&lt;=0,0,IF(Materiales!$G$5&lt;=0,F15,ROUNDUP(F15/Materiales!$G$5,0)*Materiales!$G$5))</f>
        <v/>
      </c>
      <c r="G16" s="65">
        <f>IF(G15&lt;=0,0,IF(Materiales!$G$5&lt;=0,G15,ROUNDUP(G15/Materiales!$G$5,0)*Materiales!$G$5))</f>
        <v/>
      </c>
      <c r="H16" s="65">
        <f>IF(H15&lt;=0,0,IF(Materiales!$G$5&lt;=0,H15,ROUNDUP(H15/Materiales!$G$5,0)*Materiales!$G$5))</f>
        <v/>
      </c>
      <c r="I16" s="65">
        <f>IF(I15&lt;=0,0,IF(Materiales!$G$5&lt;=0,I15,ROUNDUP(I15/Materiales!$G$5,0)*Materiales!$G$5))</f>
        <v/>
      </c>
      <c r="J16" s="65">
        <f>IF(J15&lt;=0,0,IF(Materiales!$G$5&lt;=0,J15,ROUNDUP(J15/Materiales!$G$5,0)*Materiales!$G$5))</f>
        <v/>
      </c>
      <c r="K16" s="65">
        <f>IF(K15&lt;=0,0,IF(Materiales!$G$5&lt;=0,K15,ROUNDUP(K15/Materiales!$G$5,0)*Materiales!$G$5))</f>
        <v/>
      </c>
      <c r="L16" s="65">
        <f>IF(L15&lt;=0,0,IF(Materiales!$G$5&lt;=0,L15,ROUNDUP(L15/Materiales!$G$5,0)*Materiales!$G$5))</f>
        <v/>
      </c>
      <c r="M16" s="66" t="n"/>
    </row>
    <row r="17">
      <c r="C17" s="70" t="inlineStr">
        <is>
          <t>LANZAMIENTO DE ORDEN — pedir esta semana</t>
        </is>
      </c>
      <c r="D17" s="64" t="n"/>
      <c r="E17" s="71">
        <f>IF(1+Materiales!$F$5&gt;8,0,INDEX($E$16:$L$16,1,1+Materiales!$F$5))</f>
        <v/>
      </c>
      <c r="F17" s="71">
        <f>IF(2+Materiales!$F$5&gt;8,0,INDEX($E$16:$L$16,1,2+Materiales!$F$5))</f>
        <v/>
      </c>
      <c r="G17" s="71">
        <f>IF(3+Materiales!$F$5&gt;8,0,INDEX($E$16:$L$16,1,3+Materiales!$F$5))</f>
        <v/>
      </c>
      <c r="H17" s="71">
        <f>IF(4+Materiales!$F$5&gt;8,0,INDEX($E$16:$L$16,1,4+Materiales!$F$5))</f>
        <v/>
      </c>
      <c r="I17" s="71">
        <f>IF(5+Materiales!$F$5&gt;8,0,INDEX($E$16:$L$16,1,5+Materiales!$F$5))</f>
        <v/>
      </c>
      <c r="J17" s="71">
        <f>IF(6+Materiales!$F$5&gt;8,0,INDEX($E$16:$L$16,1,6+Materiales!$F$5))</f>
        <v/>
      </c>
      <c r="K17" s="71">
        <f>IF(7+Materiales!$F$5&gt;8,0,INDEX($E$16:$L$16,1,7+Materiales!$F$5))</f>
        <v/>
      </c>
      <c r="L17" s="71">
        <f>IF(8+Materiales!$F$5&gt;8,0,INDEX($E$16:$L$16,1,8+Materiales!$F$5))</f>
        <v/>
      </c>
      <c r="M17" s="72">
        <f>IF($A12="","",IF(SUMPRODUCT((COLUMN($E$16:$L$16)-4&lt;=Materiales!$F$5)*$E$16:$L$16)&gt;0,"PEDIR YA (atrasado)","OK"))</f>
        <v/>
      </c>
    </row>
    <row r="18" ht="6" customHeight="1"/>
    <row r="19">
      <c r="A19" s="62">
        <f>IF(Materiales!$A$6="","",Materiales!$A$6)</f>
        <v/>
      </c>
      <c r="B19" s="62">
        <f>IF(Materiales!$B$6="","",Materiales!$B$6)</f>
        <v/>
      </c>
      <c r="C19" s="63" t="inlineStr">
        <is>
          <t>Necesidad bruta</t>
        </is>
      </c>
      <c r="D19" s="64" t="n"/>
      <c r="E19" s="65">
        <f>ROUND(SUMIF(Consumo!$P$4:$P$189,"#"&amp;$A19,Consumo!H$4:H$189),4)</f>
        <v/>
      </c>
      <c r="F19" s="65">
        <f>ROUND(SUMIF(Consumo!$P$4:$P$189,"#"&amp;$A19,Consumo!I$4:I$189),4)</f>
        <v/>
      </c>
      <c r="G19" s="65">
        <f>ROUND(SUMIF(Consumo!$P$4:$P$189,"#"&amp;$A19,Consumo!J$4:J$189),4)</f>
        <v/>
      </c>
      <c r="H19" s="65">
        <f>ROUND(SUMIF(Consumo!$P$4:$P$189,"#"&amp;$A19,Consumo!K$4:K$189),4)</f>
        <v/>
      </c>
      <c r="I19" s="65">
        <f>ROUND(SUMIF(Consumo!$P$4:$P$189,"#"&amp;$A19,Consumo!L$4:L$189),4)</f>
        <v/>
      </c>
      <c r="J19" s="65">
        <f>ROUND(SUMIF(Consumo!$P$4:$P$189,"#"&amp;$A19,Consumo!M$4:M$189),4)</f>
        <v/>
      </c>
      <c r="K19" s="65">
        <f>ROUND(SUMIF(Consumo!$P$4:$P$189,"#"&amp;$A19,Consumo!N$4:N$189),4)</f>
        <v/>
      </c>
      <c r="L19" s="65">
        <f>ROUND(SUMIF(Consumo!$P$4:$P$189,"#"&amp;$A19,Consumo!O$4:O$189),4)</f>
        <v/>
      </c>
      <c r="M19" s="66" t="n"/>
    </row>
    <row r="20">
      <c r="C20" s="63" t="inlineStr">
        <is>
          <t>Recepciones programadas (ya pedido)</t>
        </is>
      </c>
      <c r="D20" s="64" t="n"/>
      <c r="E20" s="65">
        <f>SUMIF(Inventario!$M$5:$M$505,"#"&amp;$A19,Inventario!E$5:E$505)</f>
        <v/>
      </c>
      <c r="F20" s="65">
        <f>SUMIF(Inventario!$M$5:$M$505,"#"&amp;$A19,Inventario!F$5:F$505)</f>
        <v/>
      </c>
      <c r="G20" s="65">
        <f>SUMIF(Inventario!$M$5:$M$505,"#"&amp;$A19,Inventario!G$5:G$505)</f>
        <v/>
      </c>
      <c r="H20" s="65">
        <f>SUMIF(Inventario!$M$5:$M$505,"#"&amp;$A19,Inventario!H$5:H$505)</f>
        <v/>
      </c>
      <c r="I20" s="65">
        <f>SUMIF(Inventario!$M$5:$M$505,"#"&amp;$A19,Inventario!I$5:I$505)</f>
        <v/>
      </c>
      <c r="J20" s="65">
        <f>SUMIF(Inventario!$M$5:$M$505,"#"&amp;$A19,Inventario!J$5:J$505)</f>
        <v/>
      </c>
      <c r="K20" s="65">
        <f>SUMIF(Inventario!$M$5:$M$505,"#"&amp;$A19,Inventario!K$5:K$505)</f>
        <v/>
      </c>
      <c r="L20" s="65">
        <f>SUMIF(Inventario!$M$5:$M$505,"#"&amp;$A19,Inventario!L$5:L$505)</f>
        <v/>
      </c>
      <c r="M20" s="66" t="n"/>
    </row>
    <row r="21">
      <c r="C21" s="63" t="inlineStr">
        <is>
          <t>Stock proyectado disponible</t>
        </is>
      </c>
      <c r="D21" s="67">
        <f>SUMIF(Inventario!$M$5:$M$505,"#"&amp;$A19,Inventario!$C$5:$C$505)</f>
        <v/>
      </c>
      <c r="E21" s="68">
        <f>D21+E20+E23-E19</f>
        <v/>
      </c>
      <c r="F21" s="68">
        <f>E21+F20+F23-F19</f>
        <v/>
      </c>
      <c r="G21" s="68">
        <f>F21+G20+G23-G19</f>
        <v/>
      </c>
      <c r="H21" s="68">
        <f>G21+H20+H23-H19</f>
        <v/>
      </c>
      <c r="I21" s="68">
        <f>H21+I20+I23-I19</f>
        <v/>
      </c>
      <c r="J21" s="68">
        <f>I21+J20+J23-J19</f>
        <v/>
      </c>
      <c r="K21" s="68">
        <f>J21+K20+K23-K19</f>
        <v/>
      </c>
      <c r="L21" s="68">
        <f>K21+L20+L23-L19</f>
        <v/>
      </c>
      <c r="M21" s="66" t="n"/>
    </row>
    <row r="22">
      <c r="C22" s="63" t="inlineStr">
        <is>
          <t>Necesidad neta</t>
        </is>
      </c>
      <c r="D22" s="64" t="n"/>
      <c r="E22" s="69">
        <f>MAX(0,ROUND(E19+Materiales!$H$6-D21-E20,4))</f>
        <v/>
      </c>
      <c r="F22" s="69">
        <f>MAX(0,ROUND(F19+Materiales!$H$6-E21-F20,4))</f>
        <v/>
      </c>
      <c r="G22" s="69">
        <f>MAX(0,ROUND(G19+Materiales!$H$6-F21-G20,4))</f>
        <v/>
      </c>
      <c r="H22" s="69">
        <f>MAX(0,ROUND(H19+Materiales!$H$6-G21-H20,4))</f>
        <v/>
      </c>
      <c r="I22" s="69">
        <f>MAX(0,ROUND(I19+Materiales!$H$6-H21-I20,4))</f>
        <v/>
      </c>
      <c r="J22" s="69">
        <f>MAX(0,ROUND(J19+Materiales!$H$6-I21-J20,4))</f>
        <v/>
      </c>
      <c r="K22" s="69">
        <f>MAX(0,ROUND(K19+Materiales!$H$6-J21-K20,4))</f>
        <v/>
      </c>
      <c r="L22" s="69">
        <f>MAX(0,ROUND(L19+Materiales!$H$6-K21-L20,4))</f>
        <v/>
      </c>
      <c r="M22" s="66" t="n"/>
    </row>
    <row r="23">
      <c r="C23" s="63" t="inlineStr">
        <is>
          <t>Recepcion de orden planificada</t>
        </is>
      </c>
      <c r="D23" s="64" t="n"/>
      <c r="E23" s="65">
        <f>IF(E22&lt;=0,0,IF(Materiales!$G$6&lt;=0,E22,ROUNDUP(E22/Materiales!$G$6,0)*Materiales!$G$6))</f>
        <v/>
      </c>
      <c r="F23" s="65">
        <f>IF(F22&lt;=0,0,IF(Materiales!$G$6&lt;=0,F22,ROUNDUP(F22/Materiales!$G$6,0)*Materiales!$G$6))</f>
        <v/>
      </c>
      <c r="G23" s="65">
        <f>IF(G22&lt;=0,0,IF(Materiales!$G$6&lt;=0,G22,ROUNDUP(G22/Materiales!$G$6,0)*Materiales!$G$6))</f>
        <v/>
      </c>
      <c r="H23" s="65">
        <f>IF(H22&lt;=0,0,IF(Materiales!$G$6&lt;=0,H22,ROUNDUP(H22/Materiales!$G$6,0)*Materiales!$G$6))</f>
        <v/>
      </c>
      <c r="I23" s="65">
        <f>IF(I22&lt;=0,0,IF(Materiales!$G$6&lt;=0,I22,ROUNDUP(I22/Materiales!$G$6,0)*Materiales!$G$6))</f>
        <v/>
      </c>
      <c r="J23" s="65">
        <f>IF(J22&lt;=0,0,IF(Materiales!$G$6&lt;=0,J22,ROUNDUP(J22/Materiales!$G$6,0)*Materiales!$G$6))</f>
        <v/>
      </c>
      <c r="K23" s="65">
        <f>IF(K22&lt;=0,0,IF(Materiales!$G$6&lt;=0,K22,ROUNDUP(K22/Materiales!$G$6,0)*Materiales!$G$6))</f>
        <v/>
      </c>
      <c r="L23" s="65">
        <f>IF(L22&lt;=0,0,IF(Materiales!$G$6&lt;=0,L22,ROUNDUP(L22/Materiales!$G$6,0)*Materiales!$G$6))</f>
        <v/>
      </c>
      <c r="M23" s="66" t="n"/>
    </row>
    <row r="24">
      <c r="C24" s="70" t="inlineStr">
        <is>
          <t>LANZAMIENTO DE ORDEN — pedir esta semana</t>
        </is>
      </c>
      <c r="D24" s="64" t="n"/>
      <c r="E24" s="71">
        <f>IF(1+Materiales!$F$6&gt;8,0,INDEX($E$23:$L$23,1,1+Materiales!$F$6))</f>
        <v/>
      </c>
      <c r="F24" s="71">
        <f>IF(2+Materiales!$F$6&gt;8,0,INDEX($E$23:$L$23,1,2+Materiales!$F$6))</f>
        <v/>
      </c>
      <c r="G24" s="71">
        <f>IF(3+Materiales!$F$6&gt;8,0,INDEX($E$23:$L$23,1,3+Materiales!$F$6))</f>
        <v/>
      </c>
      <c r="H24" s="71">
        <f>IF(4+Materiales!$F$6&gt;8,0,INDEX($E$23:$L$23,1,4+Materiales!$F$6))</f>
        <v/>
      </c>
      <c r="I24" s="71">
        <f>IF(5+Materiales!$F$6&gt;8,0,INDEX($E$23:$L$23,1,5+Materiales!$F$6))</f>
        <v/>
      </c>
      <c r="J24" s="71">
        <f>IF(6+Materiales!$F$6&gt;8,0,INDEX($E$23:$L$23,1,6+Materiales!$F$6))</f>
        <v/>
      </c>
      <c r="K24" s="71">
        <f>IF(7+Materiales!$F$6&gt;8,0,INDEX($E$23:$L$23,1,7+Materiales!$F$6))</f>
        <v/>
      </c>
      <c r="L24" s="71">
        <f>IF(8+Materiales!$F$6&gt;8,0,INDEX($E$23:$L$23,1,8+Materiales!$F$6))</f>
        <v/>
      </c>
      <c r="M24" s="72">
        <f>IF($A19="","",IF(SUMPRODUCT((COLUMN($E$23:$L$23)-4&lt;=Materiales!$F$6)*$E$23:$L$23)&gt;0,"PEDIR YA (atrasado)","OK"))</f>
        <v/>
      </c>
    </row>
    <row r="25" ht="6" customHeight="1"/>
    <row r="26">
      <c r="A26" s="62">
        <f>IF(Materiales!$A$7="","",Materiales!$A$7)</f>
        <v/>
      </c>
      <c r="B26" s="62">
        <f>IF(Materiales!$B$7="","",Materiales!$B$7)</f>
        <v/>
      </c>
      <c r="C26" s="63" t="inlineStr">
        <is>
          <t>Necesidad bruta</t>
        </is>
      </c>
      <c r="D26" s="64" t="n"/>
      <c r="E26" s="65">
        <f>ROUND(SUMIF(Consumo!$P$4:$P$189,"#"&amp;$A26,Consumo!H$4:H$189),4)</f>
        <v/>
      </c>
      <c r="F26" s="65">
        <f>ROUND(SUMIF(Consumo!$P$4:$P$189,"#"&amp;$A26,Consumo!I$4:I$189),4)</f>
        <v/>
      </c>
      <c r="G26" s="65">
        <f>ROUND(SUMIF(Consumo!$P$4:$P$189,"#"&amp;$A26,Consumo!J$4:J$189),4)</f>
        <v/>
      </c>
      <c r="H26" s="65">
        <f>ROUND(SUMIF(Consumo!$P$4:$P$189,"#"&amp;$A26,Consumo!K$4:K$189),4)</f>
        <v/>
      </c>
      <c r="I26" s="65">
        <f>ROUND(SUMIF(Consumo!$P$4:$P$189,"#"&amp;$A26,Consumo!L$4:L$189),4)</f>
        <v/>
      </c>
      <c r="J26" s="65">
        <f>ROUND(SUMIF(Consumo!$P$4:$P$189,"#"&amp;$A26,Consumo!M$4:M$189),4)</f>
        <v/>
      </c>
      <c r="K26" s="65">
        <f>ROUND(SUMIF(Consumo!$P$4:$P$189,"#"&amp;$A26,Consumo!N$4:N$189),4)</f>
        <v/>
      </c>
      <c r="L26" s="65">
        <f>ROUND(SUMIF(Consumo!$P$4:$P$189,"#"&amp;$A26,Consumo!O$4:O$189),4)</f>
        <v/>
      </c>
      <c r="M26" s="66" t="n"/>
    </row>
    <row r="27">
      <c r="C27" s="63" t="inlineStr">
        <is>
          <t>Recepciones programadas (ya pedido)</t>
        </is>
      </c>
      <c r="D27" s="64" t="n"/>
      <c r="E27" s="65">
        <f>SUMIF(Inventario!$M$5:$M$505,"#"&amp;$A26,Inventario!E$5:E$505)</f>
        <v/>
      </c>
      <c r="F27" s="65">
        <f>SUMIF(Inventario!$M$5:$M$505,"#"&amp;$A26,Inventario!F$5:F$505)</f>
        <v/>
      </c>
      <c r="G27" s="65">
        <f>SUMIF(Inventario!$M$5:$M$505,"#"&amp;$A26,Inventario!G$5:G$505)</f>
        <v/>
      </c>
      <c r="H27" s="65">
        <f>SUMIF(Inventario!$M$5:$M$505,"#"&amp;$A26,Inventario!H$5:H$505)</f>
        <v/>
      </c>
      <c r="I27" s="65">
        <f>SUMIF(Inventario!$M$5:$M$505,"#"&amp;$A26,Inventario!I$5:I$505)</f>
        <v/>
      </c>
      <c r="J27" s="65">
        <f>SUMIF(Inventario!$M$5:$M$505,"#"&amp;$A26,Inventario!J$5:J$505)</f>
        <v/>
      </c>
      <c r="K27" s="65">
        <f>SUMIF(Inventario!$M$5:$M$505,"#"&amp;$A26,Inventario!K$5:K$505)</f>
        <v/>
      </c>
      <c r="L27" s="65">
        <f>SUMIF(Inventario!$M$5:$M$505,"#"&amp;$A26,Inventario!L$5:L$505)</f>
        <v/>
      </c>
      <c r="M27" s="66" t="n"/>
    </row>
    <row r="28">
      <c r="C28" s="63" t="inlineStr">
        <is>
          <t>Stock proyectado disponible</t>
        </is>
      </c>
      <c r="D28" s="67">
        <f>SUMIF(Inventario!$M$5:$M$505,"#"&amp;$A26,Inventario!$C$5:$C$505)</f>
        <v/>
      </c>
      <c r="E28" s="68">
        <f>D28+E27+E30-E26</f>
        <v/>
      </c>
      <c r="F28" s="68">
        <f>E28+F27+F30-F26</f>
        <v/>
      </c>
      <c r="G28" s="68">
        <f>F28+G27+G30-G26</f>
        <v/>
      </c>
      <c r="H28" s="68">
        <f>G28+H27+H30-H26</f>
        <v/>
      </c>
      <c r="I28" s="68">
        <f>H28+I27+I30-I26</f>
        <v/>
      </c>
      <c r="J28" s="68">
        <f>I28+J27+J30-J26</f>
        <v/>
      </c>
      <c r="K28" s="68">
        <f>J28+K27+K30-K26</f>
        <v/>
      </c>
      <c r="L28" s="68">
        <f>K28+L27+L30-L26</f>
        <v/>
      </c>
      <c r="M28" s="66" t="n"/>
    </row>
    <row r="29">
      <c r="C29" s="63" t="inlineStr">
        <is>
          <t>Necesidad neta</t>
        </is>
      </c>
      <c r="D29" s="64" t="n"/>
      <c r="E29" s="69">
        <f>MAX(0,ROUND(E26+Materiales!$H$7-D28-E27,4))</f>
        <v/>
      </c>
      <c r="F29" s="69">
        <f>MAX(0,ROUND(F26+Materiales!$H$7-E28-F27,4))</f>
        <v/>
      </c>
      <c r="G29" s="69">
        <f>MAX(0,ROUND(G26+Materiales!$H$7-F28-G27,4))</f>
        <v/>
      </c>
      <c r="H29" s="69">
        <f>MAX(0,ROUND(H26+Materiales!$H$7-G28-H27,4))</f>
        <v/>
      </c>
      <c r="I29" s="69">
        <f>MAX(0,ROUND(I26+Materiales!$H$7-H28-I27,4))</f>
        <v/>
      </c>
      <c r="J29" s="69">
        <f>MAX(0,ROUND(J26+Materiales!$H$7-I28-J27,4))</f>
        <v/>
      </c>
      <c r="K29" s="69">
        <f>MAX(0,ROUND(K26+Materiales!$H$7-J28-K27,4))</f>
        <v/>
      </c>
      <c r="L29" s="69">
        <f>MAX(0,ROUND(L26+Materiales!$H$7-K28-L27,4))</f>
        <v/>
      </c>
      <c r="M29" s="66" t="n"/>
    </row>
    <row r="30">
      <c r="C30" s="63" t="inlineStr">
        <is>
          <t>Recepcion de orden planificada</t>
        </is>
      </c>
      <c r="D30" s="64" t="n"/>
      <c r="E30" s="65">
        <f>IF(E29&lt;=0,0,IF(Materiales!$G$7&lt;=0,E29,ROUNDUP(E29/Materiales!$G$7,0)*Materiales!$G$7))</f>
        <v/>
      </c>
      <c r="F30" s="65">
        <f>IF(F29&lt;=0,0,IF(Materiales!$G$7&lt;=0,F29,ROUNDUP(F29/Materiales!$G$7,0)*Materiales!$G$7))</f>
        <v/>
      </c>
      <c r="G30" s="65">
        <f>IF(G29&lt;=0,0,IF(Materiales!$G$7&lt;=0,G29,ROUNDUP(G29/Materiales!$G$7,0)*Materiales!$G$7))</f>
        <v/>
      </c>
      <c r="H30" s="65">
        <f>IF(H29&lt;=0,0,IF(Materiales!$G$7&lt;=0,H29,ROUNDUP(H29/Materiales!$G$7,0)*Materiales!$G$7))</f>
        <v/>
      </c>
      <c r="I30" s="65">
        <f>IF(I29&lt;=0,0,IF(Materiales!$G$7&lt;=0,I29,ROUNDUP(I29/Materiales!$G$7,0)*Materiales!$G$7))</f>
        <v/>
      </c>
      <c r="J30" s="65">
        <f>IF(J29&lt;=0,0,IF(Materiales!$G$7&lt;=0,J29,ROUNDUP(J29/Materiales!$G$7,0)*Materiales!$G$7))</f>
        <v/>
      </c>
      <c r="K30" s="65">
        <f>IF(K29&lt;=0,0,IF(Materiales!$G$7&lt;=0,K29,ROUNDUP(K29/Materiales!$G$7,0)*Materiales!$G$7))</f>
        <v/>
      </c>
      <c r="L30" s="65">
        <f>IF(L29&lt;=0,0,IF(Materiales!$G$7&lt;=0,L29,ROUNDUP(L29/Materiales!$G$7,0)*Materiales!$G$7))</f>
        <v/>
      </c>
      <c r="M30" s="66" t="n"/>
    </row>
    <row r="31">
      <c r="C31" s="70" t="inlineStr">
        <is>
          <t>LANZAMIENTO DE ORDEN — pedir esta semana</t>
        </is>
      </c>
      <c r="D31" s="64" t="n"/>
      <c r="E31" s="71">
        <f>IF(1+Materiales!$F$7&gt;8,0,INDEX($E$30:$L$30,1,1+Materiales!$F$7))</f>
        <v/>
      </c>
      <c r="F31" s="71">
        <f>IF(2+Materiales!$F$7&gt;8,0,INDEX($E$30:$L$30,1,2+Materiales!$F$7))</f>
        <v/>
      </c>
      <c r="G31" s="71">
        <f>IF(3+Materiales!$F$7&gt;8,0,INDEX($E$30:$L$30,1,3+Materiales!$F$7))</f>
        <v/>
      </c>
      <c r="H31" s="71">
        <f>IF(4+Materiales!$F$7&gt;8,0,INDEX($E$30:$L$30,1,4+Materiales!$F$7))</f>
        <v/>
      </c>
      <c r="I31" s="71">
        <f>IF(5+Materiales!$F$7&gt;8,0,INDEX($E$30:$L$30,1,5+Materiales!$F$7))</f>
        <v/>
      </c>
      <c r="J31" s="71">
        <f>IF(6+Materiales!$F$7&gt;8,0,INDEX($E$30:$L$30,1,6+Materiales!$F$7))</f>
        <v/>
      </c>
      <c r="K31" s="71">
        <f>IF(7+Materiales!$F$7&gt;8,0,INDEX($E$30:$L$30,1,7+Materiales!$F$7))</f>
        <v/>
      </c>
      <c r="L31" s="71">
        <f>IF(8+Materiales!$F$7&gt;8,0,INDEX($E$30:$L$30,1,8+Materiales!$F$7))</f>
        <v/>
      </c>
      <c r="M31" s="72">
        <f>IF($A26="","",IF(SUMPRODUCT((COLUMN($E$30:$L$30)-4&lt;=Materiales!$F$7)*$E$30:$L$30)&gt;0,"PEDIR YA (atrasado)","OK"))</f>
        <v/>
      </c>
    </row>
    <row r="32" ht="6" customHeight="1"/>
    <row r="33">
      <c r="A33" s="62">
        <f>IF(Materiales!$A$8="","",Materiales!$A$8)</f>
        <v/>
      </c>
      <c r="B33" s="62">
        <f>IF(Materiales!$B$8="","",Materiales!$B$8)</f>
        <v/>
      </c>
      <c r="C33" s="63" t="inlineStr">
        <is>
          <t>Necesidad bruta</t>
        </is>
      </c>
      <c r="D33" s="64" t="n"/>
      <c r="E33" s="65">
        <f>ROUND(SUMIF(Consumo!$P$4:$P$189,"#"&amp;$A33,Consumo!H$4:H$189),4)</f>
        <v/>
      </c>
      <c r="F33" s="65">
        <f>ROUND(SUMIF(Consumo!$P$4:$P$189,"#"&amp;$A33,Consumo!I$4:I$189),4)</f>
        <v/>
      </c>
      <c r="G33" s="65">
        <f>ROUND(SUMIF(Consumo!$P$4:$P$189,"#"&amp;$A33,Consumo!J$4:J$189),4)</f>
        <v/>
      </c>
      <c r="H33" s="65">
        <f>ROUND(SUMIF(Consumo!$P$4:$P$189,"#"&amp;$A33,Consumo!K$4:K$189),4)</f>
        <v/>
      </c>
      <c r="I33" s="65">
        <f>ROUND(SUMIF(Consumo!$P$4:$P$189,"#"&amp;$A33,Consumo!L$4:L$189),4)</f>
        <v/>
      </c>
      <c r="J33" s="65">
        <f>ROUND(SUMIF(Consumo!$P$4:$P$189,"#"&amp;$A33,Consumo!M$4:M$189),4)</f>
        <v/>
      </c>
      <c r="K33" s="65">
        <f>ROUND(SUMIF(Consumo!$P$4:$P$189,"#"&amp;$A33,Consumo!N$4:N$189),4)</f>
        <v/>
      </c>
      <c r="L33" s="65">
        <f>ROUND(SUMIF(Consumo!$P$4:$P$189,"#"&amp;$A33,Consumo!O$4:O$189),4)</f>
        <v/>
      </c>
      <c r="M33" s="66" t="n"/>
    </row>
    <row r="34">
      <c r="C34" s="63" t="inlineStr">
        <is>
          <t>Recepciones programadas (ya pedido)</t>
        </is>
      </c>
      <c r="D34" s="64" t="n"/>
      <c r="E34" s="65">
        <f>SUMIF(Inventario!$M$5:$M$505,"#"&amp;$A33,Inventario!E$5:E$505)</f>
        <v/>
      </c>
      <c r="F34" s="65">
        <f>SUMIF(Inventario!$M$5:$M$505,"#"&amp;$A33,Inventario!F$5:F$505)</f>
        <v/>
      </c>
      <c r="G34" s="65">
        <f>SUMIF(Inventario!$M$5:$M$505,"#"&amp;$A33,Inventario!G$5:G$505)</f>
        <v/>
      </c>
      <c r="H34" s="65">
        <f>SUMIF(Inventario!$M$5:$M$505,"#"&amp;$A33,Inventario!H$5:H$505)</f>
        <v/>
      </c>
      <c r="I34" s="65">
        <f>SUMIF(Inventario!$M$5:$M$505,"#"&amp;$A33,Inventario!I$5:I$505)</f>
        <v/>
      </c>
      <c r="J34" s="65">
        <f>SUMIF(Inventario!$M$5:$M$505,"#"&amp;$A33,Inventario!J$5:J$505)</f>
        <v/>
      </c>
      <c r="K34" s="65">
        <f>SUMIF(Inventario!$M$5:$M$505,"#"&amp;$A33,Inventario!K$5:K$505)</f>
        <v/>
      </c>
      <c r="L34" s="65">
        <f>SUMIF(Inventario!$M$5:$M$505,"#"&amp;$A33,Inventario!L$5:L$505)</f>
        <v/>
      </c>
      <c r="M34" s="66" t="n"/>
    </row>
    <row r="35">
      <c r="C35" s="63" t="inlineStr">
        <is>
          <t>Stock proyectado disponible</t>
        </is>
      </c>
      <c r="D35" s="67">
        <f>SUMIF(Inventario!$M$5:$M$505,"#"&amp;$A33,Inventario!$C$5:$C$505)</f>
        <v/>
      </c>
      <c r="E35" s="68">
        <f>D35+E34+E37-E33</f>
        <v/>
      </c>
      <c r="F35" s="68">
        <f>E35+F34+F37-F33</f>
        <v/>
      </c>
      <c r="G35" s="68">
        <f>F35+G34+G37-G33</f>
        <v/>
      </c>
      <c r="H35" s="68">
        <f>G35+H34+H37-H33</f>
        <v/>
      </c>
      <c r="I35" s="68">
        <f>H35+I34+I37-I33</f>
        <v/>
      </c>
      <c r="J35" s="68">
        <f>I35+J34+J37-J33</f>
        <v/>
      </c>
      <c r="K35" s="68">
        <f>J35+K34+K37-K33</f>
        <v/>
      </c>
      <c r="L35" s="68">
        <f>K35+L34+L37-L33</f>
        <v/>
      </c>
      <c r="M35" s="66" t="n"/>
    </row>
    <row r="36">
      <c r="C36" s="63" t="inlineStr">
        <is>
          <t>Necesidad neta</t>
        </is>
      </c>
      <c r="D36" s="64" t="n"/>
      <c r="E36" s="69">
        <f>MAX(0,ROUND(E33+Materiales!$H$8-D35-E34,4))</f>
        <v/>
      </c>
      <c r="F36" s="69">
        <f>MAX(0,ROUND(F33+Materiales!$H$8-E35-F34,4))</f>
        <v/>
      </c>
      <c r="G36" s="69">
        <f>MAX(0,ROUND(G33+Materiales!$H$8-F35-G34,4))</f>
        <v/>
      </c>
      <c r="H36" s="69">
        <f>MAX(0,ROUND(H33+Materiales!$H$8-G35-H34,4))</f>
        <v/>
      </c>
      <c r="I36" s="69">
        <f>MAX(0,ROUND(I33+Materiales!$H$8-H35-I34,4))</f>
        <v/>
      </c>
      <c r="J36" s="69">
        <f>MAX(0,ROUND(J33+Materiales!$H$8-I35-J34,4))</f>
        <v/>
      </c>
      <c r="K36" s="69">
        <f>MAX(0,ROUND(K33+Materiales!$H$8-J35-K34,4))</f>
        <v/>
      </c>
      <c r="L36" s="69">
        <f>MAX(0,ROUND(L33+Materiales!$H$8-K35-L34,4))</f>
        <v/>
      </c>
      <c r="M36" s="66" t="n"/>
    </row>
    <row r="37">
      <c r="C37" s="63" t="inlineStr">
        <is>
          <t>Recepcion de orden planificada</t>
        </is>
      </c>
      <c r="D37" s="64" t="n"/>
      <c r="E37" s="65">
        <f>IF(E36&lt;=0,0,IF(Materiales!$G$8&lt;=0,E36,ROUNDUP(E36/Materiales!$G$8,0)*Materiales!$G$8))</f>
        <v/>
      </c>
      <c r="F37" s="65">
        <f>IF(F36&lt;=0,0,IF(Materiales!$G$8&lt;=0,F36,ROUNDUP(F36/Materiales!$G$8,0)*Materiales!$G$8))</f>
        <v/>
      </c>
      <c r="G37" s="65">
        <f>IF(G36&lt;=0,0,IF(Materiales!$G$8&lt;=0,G36,ROUNDUP(G36/Materiales!$G$8,0)*Materiales!$G$8))</f>
        <v/>
      </c>
      <c r="H37" s="65">
        <f>IF(H36&lt;=0,0,IF(Materiales!$G$8&lt;=0,H36,ROUNDUP(H36/Materiales!$G$8,0)*Materiales!$G$8))</f>
        <v/>
      </c>
      <c r="I37" s="65">
        <f>IF(I36&lt;=0,0,IF(Materiales!$G$8&lt;=0,I36,ROUNDUP(I36/Materiales!$G$8,0)*Materiales!$G$8))</f>
        <v/>
      </c>
      <c r="J37" s="65">
        <f>IF(J36&lt;=0,0,IF(Materiales!$G$8&lt;=0,J36,ROUNDUP(J36/Materiales!$G$8,0)*Materiales!$G$8))</f>
        <v/>
      </c>
      <c r="K37" s="65">
        <f>IF(K36&lt;=0,0,IF(Materiales!$G$8&lt;=0,K36,ROUNDUP(K36/Materiales!$G$8,0)*Materiales!$G$8))</f>
        <v/>
      </c>
      <c r="L37" s="65">
        <f>IF(L36&lt;=0,0,IF(Materiales!$G$8&lt;=0,L36,ROUNDUP(L36/Materiales!$G$8,0)*Materiales!$G$8))</f>
        <v/>
      </c>
      <c r="M37" s="66" t="n"/>
    </row>
    <row r="38">
      <c r="C38" s="70" t="inlineStr">
        <is>
          <t>LANZAMIENTO DE ORDEN — pedir esta semana</t>
        </is>
      </c>
      <c r="D38" s="64" t="n"/>
      <c r="E38" s="71">
        <f>IF(1+Materiales!$F$8&gt;8,0,INDEX($E$37:$L$37,1,1+Materiales!$F$8))</f>
        <v/>
      </c>
      <c r="F38" s="71">
        <f>IF(2+Materiales!$F$8&gt;8,0,INDEX($E$37:$L$37,1,2+Materiales!$F$8))</f>
        <v/>
      </c>
      <c r="G38" s="71">
        <f>IF(3+Materiales!$F$8&gt;8,0,INDEX($E$37:$L$37,1,3+Materiales!$F$8))</f>
        <v/>
      </c>
      <c r="H38" s="71">
        <f>IF(4+Materiales!$F$8&gt;8,0,INDEX($E$37:$L$37,1,4+Materiales!$F$8))</f>
        <v/>
      </c>
      <c r="I38" s="71">
        <f>IF(5+Materiales!$F$8&gt;8,0,INDEX($E$37:$L$37,1,5+Materiales!$F$8))</f>
        <v/>
      </c>
      <c r="J38" s="71">
        <f>IF(6+Materiales!$F$8&gt;8,0,INDEX($E$37:$L$37,1,6+Materiales!$F$8))</f>
        <v/>
      </c>
      <c r="K38" s="71">
        <f>IF(7+Materiales!$F$8&gt;8,0,INDEX($E$37:$L$37,1,7+Materiales!$F$8))</f>
        <v/>
      </c>
      <c r="L38" s="71">
        <f>IF(8+Materiales!$F$8&gt;8,0,INDEX($E$37:$L$37,1,8+Materiales!$F$8))</f>
        <v/>
      </c>
      <c r="M38" s="72">
        <f>IF($A33="","",IF(SUMPRODUCT((COLUMN($E$37:$L$37)-4&lt;=Materiales!$F$8)*$E$37:$L$37)&gt;0,"PEDIR YA (atrasado)","OK"))</f>
        <v/>
      </c>
    </row>
    <row r="39" ht="6" customHeight="1"/>
    <row r="40">
      <c r="A40" s="62">
        <f>IF(Materiales!$A$9="","",Materiales!$A$9)</f>
        <v/>
      </c>
      <c r="B40" s="62">
        <f>IF(Materiales!$B$9="","",Materiales!$B$9)</f>
        <v/>
      </c>
      <c r="C40" s="63" t="inlineStr">
        <is>
          <t>Necesidad bruta</t>
        </is>
      </c>
      <c r="D40" s="64" t="n"/>
      <c r="E40" s="65">
        <f>ROUND(SUMIF(Consumo!$P$4:$P$189,"#"&amp;$A40,Consumo!H$4:H$189),4)</f>
        <v/>
      </c>
      <c r="F40" s="65">
        <f>ROUND(SUMIF(Consumo!$P$4:$P$189,"#"&amp;$A40,Consumo!I$4:I$189),4)</f>
        <v/>
      </c>
      <c r="G40" s="65">
        <f>ROUND(SUMIF(Consumo!$P$4:$P$189,"#"&amp;$A40,Consumo!J$4:J$189),4)</f>
        <v/>
      </c>
      <c r="H40" s="65">
        <f>ROUND(SUMIF(Consumo!$P$4:$P$189,"#"&amp;$A40,Consumo!K$4:K$189),4)</f>
        <v/>
      </c>
      <c r="I40" s="65">
        <f>ROUND(SUMIF(Consumo!$P$4:$P$189,"#"&amp;$A40,Consumo!L$4:L$189),4)</f>
        <v/>
      </c>
      <c r="J40" s="65">
        <f>ROUND(SUMIF(Consumo!$P$4:$P$189,"#"&amp;$A40,Consumo!M$4:M$189),4)</f>
        <v/>
      </c>
      <c r="K40" s="65">
        <f>ROUND(SUMIF(Consumo!$P$4:$P$189,"#"&amp;$A40,Consumo!N$4:N$189),4)</f>
        <v/>
      </c>
      <c r="L40" s="65">
        <f>ROUND(SUMIF(Consumo!$P$4:$P$189,"#"&amp;$A40,Consumo!O$4:O$189),4)</f>
        <v/>
      </c>
      <c r="M40" s="66" t="n"/>
    </row>
    <row r="41">
      <c r="C41" s="63" t="inlineStr">
        <is>
          <t>Recepciones programadas (ya pedido)</t>
        </is>
      </c>
      <c r="D41" s="64" t="n"/>
      <c r="E41" s="65">
        <f>SUMIF(Inventario!$M$5:$M$505,"#"&amp;$A40,Inventario!E$5:E$505)</f>
        <v/>
      </c>
      <c r="F41" s="65">
        <f>SUMIF(Inventario!$M$5:$M$505,"#"&amp;$A40,Inventario!F$5:F$505)</f>
        <v/>
      </c>
      <c r="G41" s="65">
        <f>SUMIF(Inventario!$M$5:$M$505,"#"&amp;$A40,Inventario!G$5:G$505)</f>
        <v/>
      </c>
      <c r="H41" s="65">
        <f>SUMIF(Inventario!$M$5:$M$505,"#"&amp;$A40,Inventario!H$5:H$505)</f>
        <v/>
      </c>
      <c r="I41" s="65">
        <f>SUMIF(Inventario!$M$5:$M$505,"#"&amp;$A40,Inventario!I$5:I$505)</f>
        <v/>
      </c>
      <c r="J41" s="65">
        <f>SUMIF(Inventario!$M$5:$M$505,"#"&amp;$A40,Inventario!J$5:J$505)</f>
        <v/>
      </c>
      <c r="K41" s="65">
        <f>SUMIF(Inventario!$M$5:$M$505,"#"&amp;$A40,Inventario!K$5:K$505)</f>
        <v/>
      </c>
      <c r="L41" s="65">
        <f>SUMIF(Inventario!$M$5:$M$505,"#"&amp;$A40,Inventario!L$5:L$505)</f>
        <v/>
      </c>
      <c r="M41" s="66" t="n"/>
    </row>
    <row r="42">
      <c r="C42" s="63" t="inlineStr">
        <is>
          <t>Stock proyectado disponible</t>
        </is>
      </c>
      <c r="D42" s="67">
        <f>SUMIF(Inventario!$M$5:$M$505,"#"&amp;$A40,Inventario!$C$5:$C$505)</f>
        <v/>
      </c>
      <c r="E42" s="68">
        <f>D42+E41+E44-E40</f>
        <v/>
      </c>
      <c r="F42" s="68">
        <f>E42+F41+F44-F40</f>
        <v/>
      </c>
      <c r="G42" s="68">
        <f>F42+G41+G44-G40</f>
        <v/>
      </c>
      <c r="H42" s="68">
        <f>G42+H41+H44-H40</f>
        <v/>
      </c>
      <c r="I42" s="68">
        <f>H42+I41+I44-I40</f>
        <v/>
      </c>
      <c r="J42" s="68">
        <f>I42+J41+J44-J40</f>
        <v/>
      </c>
      <c r="K42" s="68">
        <f>J42+K41+K44-K40</f>
        <v/>
      </c>
      <c r="L42" s="68">
        <f>K42+L41+L44-L40</f>
        <v/>
      </c>
      <c r="M42" s="66" t="n"/>
    </row>
    <row r="43">
      <c r="C43" s="63" t="inlineStr">
        <is>
          <t>Necesidad neta</t>
        </is>
      </c>
      <c r="D43" s="64" t="n"/>
      <c r="E43" s="69">
        <f>MAX(0,ROUND(E40+Materiales!$H$9-D42-E41,4))</f>
        <v/>
      </c>
      <c r="F43" s="69">
        <f>MAX(0,ROUND(F40+Materiales!$H$9-E42-F41,4))</f>
        <v/>
      </c>
      <c r="G43" s="69">
        <f>MAX(0,ROUND(G40+Materiales!$H$9-F42-G41,4))</f>
        <v/>
      </c>
      <c r="H43" s="69">
        <f>MAX(0,ROUND(H40+Materiales!$H$9-G42-H41,4))</f>
        <v/>
      </c>
      <c r="I43" s="69">
        <f>MAX(0,ROUND(I40+Materiales!$H$9-H42-I41,4))</f>
        <v/>
      </c>
      <c r="J43" s="69">
        <f>MAX(0,ROUND(J40+Materiales!$H$9-I42-J41,4))</f>
        <v/>
      </c>
      <c r="K43" s="69">
        <f>MAX(0,ROUND(K40+Materiales!$H$9-J42-K41,4))</f>
        <v/>
      </c>
      <c r="L43" s="69">
        <f>MAX(0,ROUND(L40+Materiales!$H$9-K42-L41,4))</f>
        <v/>
      </c>
      <c r="M43" s="66" t="n"/>
    </row>
    <row r="44">
      <c r="C44" s="63" t="inlineStr">
        <is>
          <t>Recepcion de orden planificada</t>
        </is>
      </c>
      <c r="D44" s="64" t="n"/>
      <c r="E44" s="65">
        <f>IF(E43&lt;=0,0,IF(Materiales!$G$9&lt;=0,E43,ROUNDUP(E43/Materiales!$G$9,0)*Materiales!$G$9))</f>
        <v/>
      </c>
      <c r="F44" s="65">
        <f>IF(F43&lt;=0,0,IF(Materiales!$G$9&lt;=0,F43,ROUNDUP(F43/Materiales!$G$9,0)*Materiales!$G$9))</f>
        <v/>
      </c>
      <c r="G44" s="65">
        <f>IF(G43&lt;=0,0,IF(Materiales!$G$9&lt;=0,G43,ROUNDUP(G43/Materiales!$G$9,0)*Materiales!$G$9))</f>
        <v/>
      </c>
      <c r="H44" s="65">
        <f>IF(H43&lt;=0,0,IF(Materiales!$G$9&lt;=0,H43,ROUNDUP(H43/Materiales!$G$9,0)*Materiales!$G$9))</f>
        <v/>
      </c>
      <c r="I44" s="65">
        <f>IF(I43&lt;=0,0,IF(Materiales!$G$9&lt;=0,I43,ROUNDUP(I43/Materiales!$G$9,0)*Materiales!$G$9))</f>
        <v/>
      </c>
      <c r="J44" s="65">
        <f>IF(J43&lt;=0,0,IF(Materiales!$G$9&lt;=0,J43,ROUNDUP(J43/Materiales!$G$9,0)*Materiales!$G$9))</f>
        <v/>
      </c>
      <c r="K44" s="65">
        <f>IF(K43&lt;=0,0,IF(Materiales!$G$9&lt;=0,K43,ROUNDUP(K43/Materiales!$G$9,0)*Materiales!$G$9))</f>
        <v/>
      </c>
      <c r="L44" s="65">
        <f>IF(L43&lt;=0,0,IF(Materiales!$G$9&lt;=0,L43,ROUNDUP(L43/Materiales!$G$9,0)*Materiales!$G$9))</f>
        <v/>
      </c>
      <c r="M44" s="66" t="n"/>
    </row>
    <row r="45">
      <c r="C45" s="70" t="inlineStr">
        <is>
          <t>LANZAMIENTO DE ORDEN — pedir esta semana</t>
        </is>
      </c>
      <c r="D45" s="64" t="n"/>
      <c r="E45" s="71">
        <f>IF(1+Materiales!$F$9&gt;8,0,INDEX($E$44:$L$44,1,1+Materiales!$F$9))</f>
        <v/>
      </c>
      <c r="F45" s="71">
        <f>IF(2+Materiales!$F$9&gt;8,0,INDEX($E$44:$L$44,1,2+Materiales!$F$9))</f>
        <v/>
      </c>
      <c r="G45" s="71">
        <f>IF(3+Materiales!$F$9&gt;8,0,INDEX($E$44:$L$44,1,3+Materiales!$F$9))</f>
        <v/>
      </c>
      <c r="H45" s="71">
        <f>IF(4+Materiales!$F$9&gt;8,0,INDEX($E$44:$L$44,1,4+Materiales!$F$9))</f>
        <v/>
      </c>
      <c r="I45" s="71">
        <f>IF(5+Materiales!$F$9&gt;8,0,INDEX($E$44:$L$44,1,5+Materiales!$F$9))</f>
        <v/>
      </c>
      <c r="J45" s="71">
        <f>IF(6+Materiales!$F$9&gt;8,0,INDEX($E$44:$L$44,1,6+Materiales!$F$9))</f>
        <v/>
      </c>
      <c r="K45" s="71">
        <f>IF(7+Materiales!$F$9&gt;8,0,INDEX($E$44:$L$44,1,7+Materiales!$F$9))</f>
        <v/>
      </c>
      <c r="L45" s="71">
        <f>IF(8+Materiales!$F$9&gt;8,0,INDEX($E$44:$L$44,1,8+Materiales!$F$9))</f>
        <v/>
      </c>
      <c r="M45" s="72">
        <f>IF($A40="","",IF(SUMPRODUCT((COLUMN($E$44:$L$44)-4&lt;=Materiales!$F$9)*$E$44:$L$44)&gt;0,"PEDIR YA (atrasado)","OK"))</f>
        <v/>
      </c>
    </row>
    <row r="46" ht="6" customHeight="1"/>
    <row r="47">
      <c r="A47" s="62">
        <f>IF(Materiales!$A$10="","",Materiales!$A$10)</f>
        <v/>
      </c>
      <c r="B47" s="62">
        <f>IF(Materiales!$B$10="","",Materiales!$B$10)</f>
        <v/>
      </c>
      <c r="C47" s="63" t="inlineStr">
        <is>
          <t>Necesidad bruta</t>
        </is>
      </c>
      <c r="D47" s="64" t="n"/>
      <c r="E47" s="65">
        <f>ROUND(SUMIF(Consumo!$P$4:$P$189,"#"&amp;$A47,Consumo!H$4:H$189),4)</f>
        <v/>
      </c>
      <c r="F47" s="65">
        <f>ROUND(SUMIF(Consumo!$P$4:$P$189,"#"&amp;$A47,Consumo!I$4:I$189),4)</f>
        <v/>
      </c>
      <c r="G47" s="65">
        <f>ROUND(SUMIF(Consumo!$P$4:$P$189,"#"&amp;$A47,Consumo!J$4:J$189),4)</f>
        <v/>
      </c>
      <c r="H47" s="65">
        <f>ROUND(SUMIF(Consumo!$P$4:$P$189,"#"&amp;$A47,Consumo!K$4:K$189),4)</f>
        <v/>
      </c>
      <c r="I47" s="65">
        <f>ROUND(SUMIF(Consumo!$P$4:$P$189,"#"&amp;$A47,Consumo!L$4:L$189),4)</f>
        <v/>
      </c>
      <c r="J47" s="65">
        <f>ROUND(SUMIF(Consumo!$P$4:$P$189,"#"&amp;$A47,Consumo!M$4:M$189),4)</f>
        <v/>
      </c>
      <c r="K47" s="65">
        <f>ROUND(SUMIF(Consumo!$P$4:$P$189,"#"&amp;$A47,Consumo!N$4:N$189),4)</f>
        <v/>
      </c>
      <c r="L47" s="65">
        <f>ROUND(SUMIF(Consumo!$P$4:$P$189,"#"&amp;$A47,Consumo!O$4:O$189),4)</f>
        <v/>
      </c>
      <c r="M47" s="66" t="n"/>
    </row>
    <row r="48">
      <c r="C48" s="63" t="inlineStr">
        <is>
          <t>Recepciones programadas (ya pedido)</t>
        </is>
      </c>
      <c r="D48" s="64" t="n"/>
      <c r="E48" s="65">
        <f>SUMIF(Inventario!$M$5:$M$505,"#"&amp;$A47,Inventario!E$5:E$505)</f>
        <v/>
      </c>
      <c r="F48" s="65">
        <f>SUMIF(Inventario!$M$5:$M$505,"#"&amp;$A47,Inventario!F$5:F$505)</f>
        <v/>
      </c>
      <c r="G48" s="65">
        <f>SUMIF(Inventario!$M$5:$M$505,"#"&amp;$A47,Inventario!G$5:G$505)</f>
        <v/>
      </c>
      <c r="H48" s="65">
        <f>SUMIF(Inventario!$M$5:$M$505,"#"&amp;$A47,Inventario!H$5:H$505)</f>
        <v/>
      </c>
      <c r="I48" s="65">
        <f>SUMIF(Inventario!$M$5:$M$505,"#"&amp;$A47,Inventario!I$5:I$505)</f>
        <v/>
      </c>
      <c r="J48" s="65">
        <f>SUMIF(Inventario!$M$5:$M$505,"#"&amp;$A47,Inventario!J$5:J$505)</f>
        <v/>
      </c>
      <c r="K48" s="65">
        <f>SUMIF(Inventario!$M$5:$M$505,"#"&amp;$A47,Inventario!K$5:K$505)</f>
        <v/>
      </c>
      <c r="L48" s="65">
        <f>SUMIF(Inventario!$M$5:$M$505,"#"&amp;$A47,Inventario!L$5:L$505)</f>
        <v/>
      </c>
      <c r="M48" s="66" t="n"/>
    </row>
    <row r="49">
      <c r="C49" s="63" t="inlineStr">
        <is>
          <t>Stock proyectado disponible</t>
        </is>
      </c>
      <c r="D49" s="67">
        <f>SUMIF(Inventario!$M$5:$M$505,"#"&amp;$A47,Inventario!$C$5:$C$505)</f>
        <v/>
      </c>
      <c r="E49" s="68">
        <f>D49+E48+E51-E47</f>
        <v/>
      </c>
      <c r="F49" s="68">
        <f>E49+F48+F51-F47</f>
        <v/>
      </c>
      <c r="G49" s="68">
        <f>F49+G48+G51-G47</f>
        <v/>
      </c>
      <c r="H49" s="68">
        <f>G49+H48+H51-H47</f>
        <v/>
      </c>
      <c r="I49" s="68">
        <f>H49+I48+I51-I47</f>
        <v/>
      </c>
      <c r="J49" s="68">
        <f>I49+J48+J51-J47</f>
        <v/>
      </c>
      <c r="K49" s="68">
        <f>J49+K48+K51-K47</f>
        <v/>
      </c>
      <c r="L49" s="68">
        <f>K49+L48+L51-L47</f>
        <v/>
      </c>
      <c r="M49" s="66" t="n"/>
    </row>
    <row r="50">
      <c r="C50" s="63" t="inlineStr">
        <is>
          <t>Necesidad neta</t>
        </is>
      </c>
      <c r="D50" s="64" t="n"/>
      <c r="E50" s="69">
        <f>MAX(0,ROUND(E47+Materiales!$H$10-D49-E48,4))</f>
        <v/>
      </c>
      <c r="F50" s="69">
        <f>MAX(0,ROUND(F47+Materiales!$H$10-E49-F48,4))</f>
        <v/>
      </c>
      <c r="G50" s="69">
        <f>MAX(0,ROUND(G47+Materiales!$H$10-F49-G48,4))</f>
        <v/>
      </c>
      <c r="H50" s="69">
        <f>MAX(0,ROUND(H47+Materiales!$H$10-G49-H48,4))</f>
        <v/>
      </c>
      <c r="I50" s="69">
        <f>MAX(0,ROUND(I47+Materiales!$H$10-H49-I48,4))</f>
        <v/>
      </c>
      <c r="J50" s="69">
        <f>MAX(0,ROUND(J47+Materiales!$H$10-I49-J48,4))</f>
        <v/>
      </c>
      <c r="K50" s="69">
        <f>MAX(0,ROUND(K47+Materiales!$H$10-J49-K48,4))</f>
        <v/>
      </c>
      <c r="L50" s="69">
        <f>MAX(0,ROUND(L47+Materiales!$H$10-K49-L48,4))</f>
        <v/>
      </c>
      <c r="M50" s="66" t="n"/>
    </row>
    <row r="51">
      <c r="C51" s="63" t="inlineStr">
        <is>
          <t>Recepcion de orden planificada</t>
        </is>
      </c>
      <c r="D51" s="64" t="n"/>
      <c r="E51" s="65">
        <f>IF(E50&lt;=0,0,IF(Materiales!$G$10&lt;=0,E50,ROUNDUP(E50/Materiales!$G$10,0)*Materiales!$G$10))</f>
        <v/>
      </c>
      <c r="F51" s="65">
        <f>IF(F50&lt;=0,0,IF(Materiales!$G$10&lt;=0,F50,ROUNDUP(F50/Materiales!$G$10,0)*Materiales!$G$10))</f>
        <v/>
      </c>
      <c r="G51" s="65">
        <f>IF(G50&lt;=0,0,IF(Materiales!$G$10&lt;=0,G50,ROUNDUP(G50/Materiales!$G$10,0)*Materiales!$G$10))</f>
        <v/>
      </c>
      <c r="H51" s="65">
        <f>IF(H50&lt;=0,0,IF(Materiales!$G$10&lt;=0,H50,ROUNDUP(H50/Materiales!$G$10,0)*Materiales!$G$10))</f>
        <v/>
      </c>
      <c r="I51" s="65">
        <f>IF(I50&lt;=0,0,IF(Materiales!$G$10&lt;=0,I50,ROUNDUP(I50/Materiales!$G$10,0)*Materiales!$G$10))</f>
        <v/>
      </c>
      <c r="J51" s="65">
        <f>IF(J50&lt;=0,0,IF(Materiales!$G$10&lt;=0,J50,ROUNDUP(J50/Materiales!$G$10,0)*Materiales!$G$10))</f>
        <v/>
      </c>
      <c r="K51" s="65">
        <f>IF(K50&lt;=0,0,IF(Materiales!$G$10&lt;=0,K50,ROUNDUP(K50/Materiales!$G$10,0)*Materiales!$G$10))</f>
        <v/>
      </c>
      <c r="L51" s="65">
        <f>IF(L50&lt;=0,0,IF(Materiales!$G$10&lt;=0,L50,ROUNDUP(L50/Materiales!$G$10,0)*Materiales!$G$10))</f>
        <v/>
      </c>
      <c r="M51" s="66" t="n"/>
    </row>
    <row r="52">
      <c r="C52" s="70" t="inlineStr">
        <is>
          <t>LANZAMIENTO DE ORDEN — pedir esta semana</t>
        </is>
      </c>
      <c r="D52" s="64" t="n"/>
      <c r="E52" s="71">
        <f>IF(1+Materiales!$F$10&gt;8,0,INDEX($E$51:$L$51,1,1+Materiales!$F$10))</f>
        <v/>
      </c>
      <c r="F52" s="71">
        <f>IF(2+Materiales!$F$10&gt;8,0,INDEX($E$51:$L$51,1,2+Materiales!$F$10))</f>
        <v/>
      </c>
      <c r="G52" s="71">
        <f>IF(3+Materiales!$F$10&gt;8,0,INDEX($E$51:$L$51,1,3+Materiales!$F$10))</f>
        <v/>
      </c>
      <c r="H52" s="71">
        <f>IF(4+Materiales!$F$10&gt;8,0,INDEX($E$51:$L$51,1,4+Materiales!$F$10))</f>
        <v/>
      </c>
      <c r="I52" s="71">
        <f>IF(5+Materiales!$F$10&gt;8,0,INDEX($E$51:$L$51,1,5+Materiales!$F$10))</f>
        <v/>
      </c>
      <c r="J52" s="71">
        <f>IF(6+Materiales!$F$10&gt;8,0,INDEX($E$51:$L$51,1,6+Materiales!$F$10))</f>
        <v/>
      </c>
      <c r="K52" s="71">
        <f>IF(7+Materiales!$F$10&gt;8,0,INDEX($E$51:$L$51,1,7+Materiales!$F$10))</f>
        <v/>
      </c>
      <c r="L52" s="71">
        <f>IF(8+Materiales!$F$10&gt;8,0,INDEX($E$51:$L$51,1,8+Materiales!$F$10))</f>
        <v/>
      </c>
      <c r="M52" s="72">
        <f>IF($A47="","",IF(SUMPRODUCT((COLUMN($E$51:$L$51)-4&lt;=Materiales!$F$10)*$E$51:$L$51)&gt;0,"PEDIR YA (atrasado)","OK"))</f>
        <v/>
      </c>
    </row>
    <row r="53" ht="6" customHeight="1"/>
    <row r="54">
      <c r="A54" s="62">
        <f>IF(Materiales!$A$11="","",Materiales!$A$11)</f>
        <v/>
      </c>
      <c r="B54" s="62">
        <f>IF(Materiales!$B$11="","",Materiales!$B$11)</f>
        <v/>
      </c>
      <c r="C54" s="63" t="inlineStr">
        <is>
          <t>Necesidad bruta</t>
        </is>
      </c>
      <c r="D54" s="64" t="n"/>
      <c r="E54" s="65">
        <f>ROUND(SUMIF(Consumo!$P$4:$P$189,"#"&amp;$A54,Consumo!H$4:H$189),4)</f>
        <v/>
      </c>
      <c r="F54" s="65">
        <f>ROUND(SUMIF(Consumo!$P$4:$P$189,"#"&amp;$A54,Consumo!I$4:I$189),4)</f>
        <v/>
      </c>
      <c r="G54" s="65">
        <f>ROUND(SUMIF(Consumo!$P$4:$P$189,"#"&amp;$A54,Consumo!J$4:J$189),4)</f>
        <v/>
      </c>
      <c r="H54" s="65">
        <f>ROUND(SUMIF(Consumo!$P$4:$P$189,"#"&amp;$A54,Consumo!K$4:K$189),4)</f>
        <v/>
      </c>
      <c r="I54" s="65">
        <f>ROUND(SUMIF(Consumo!$P$4:$P$189,"#"&amp;$A54,Consumo!L$4:L$189),4)</f>
        <v/>
      </c>
      <c r="J54" s="65">
        <f>ROUND(SUMIF(Consumo!$P$4:$P$189,"#"&amp;$A54,Consumo!M$4:M$189),4)</f>
        <v/>
      </c>
      <c r="K54" s="65">
        <f>ROUND(SUMIF(Consumo!$P$4:$P$189,"#"&amp;$A54,Consumo!N$4:N$189),4)</f>
        <v/>
      </c>
      <c r="L54" s="65">
        <f>ROUND(SUMIF(Consumo!$P$4:$P$189,"#"&amp;$A54,Consumo!O$4:O$189),4)</f>
        <v/>
      </c>
      <c r="M54" s="66" t="n"/>
    </row>
    <row r="55">
      <c r="C55" s="63" t="inlineStr">
        <is>
          <t>Recepciones programadas (ya pedido)</t>
        </is>
      </c>
      <c r="D55" s="64" t="n"/>
      <c r="E55" s="65">
        <f>SUMIF(Inventario!$M$5:$M$505,"#"&amp;$A54,Inventario!E$5:E$505)</f>
        <v/>
      </c>
      <c r="F55" s="65">
        <f>SUMIF(Inventario!$M$5:$M$505,"#"&amp;$A54,Inventario!F$5:F$505)</f>
        <v/>
      </c>
      <c r="G55" s="65">
        <f>SUMIF(Inventario!$M$5:$M$505,"#"&amp;$A54,Inventario!G$5:G$505)</f>
        <v/>
      </c>
      <c r="H55" s="65">
        <f>SUMIF(Inventario!$M$5:$M$505,"#"&amp;$A54,Inventario!H$5:H$505)</f>
        <v/>
      </c>
      <c r="I55" s="65">
        <f>SUMIF(Inventario!$M$5:$M$505,"#"&amp;$A54,Inventario!I$5:I$505)</f>
        <v/>
      </c>
      <c r="J55" s="65">
        <f>SUMIF(Inventario!$M$5:$M$505,"#"&amp;$A54,Inventario!J$5:J$505)</f>
        <v/>
      </c>
      <c r="K55" s="65">
        <f>SUMIF(Inventario!$M$5:$M$505,"#"&amp;$A54,Inventario!K$5:K$505)</f>
        <v/>
      </c>
      <c r="L55" s="65">
        <f>SUMIF(Inventario!$M$5:$M$505,"#"&amp;$A54,Inventario!L$5:L$505)</f>
        <v/>
      </c>
      <c r="M55" s="66" t="n"/>
    </row>
    <row r="56">
      <c r="C56" s="63" t="inlineStr">
        <is>
          <t>Stock proyectado disponible</t>
        </is>
      </c>
      <c r="D56" s="67">
        <f>SUMIF(Inventario!$M$5:$M$505,"#"&amp;$A54,Inventario!$C$5:$C$505)</f>
        <v/>
      </c>
      <c r="E56" s="68">
        <f>D56+E55+E58-E54</f>
        <v/>
      </c>
      <c r="F56" s="68">
        <f>E56+F55+F58-F54</f>
        <v/>
      </c>
      <c r="G56" s="68">
        <f>F56+G55+G58-G54</f>
        <v/>
      </c>
      <c r="H56" s="68">
        <f>G56+H55+H58-H54</f>
        <v/>
      </c>
      <c r="I56" s="68">
        <f>H56+I55+I58-I54</f>
        <v/>
      </c>
      <c r="J56" s="68">
        <f>I56+J55+J58-J54</f>
        <v/>
      </c>
      <c r="K56" s="68">
        <f>J56+K55+K58-K54</f>
        <v/>
      </c>
      <c r="L56" s="68">
        <f>K56+L55+L58-L54</f>
        <v/>
      </c>
      <c r="M56" s="66" t="n"/>
    </row>
    <row r="57">
      <c r="C57" s="63" t="inlineStr">
        <is>
          <t>Necesidad neta</t>
        </is>
      </c>
      <c r="D57" s="64" t="n"/>
      <c r="E57" s="69">
        <f>MAX(0,ROUND(E54+Materiales!$H$11-D56-E55,4))</f>
        <v/>
      </c>
      <c r="F57" s="69">
        <f>MAX(0,ROUND(F54+Materiales!$H$11-E56-F55,4))</f>
        <v/>
      </c>
      <c r="G57" s="69">
        <f>MAX(0,ROUND(G54+Materiales!$H$11-F56-G55,4))</f>
        <v/>
      </c>
      <c r="H57" s="69">
        <f>MAX(0,ROUND(H54+Materiales!$H$11-G56-H55,4))</f>
        <v/>
      </c>
      <c r="I57" s="69">
        <f>MAX(0,ROUND(I54+Materiales!$H$11-H56-I55,4))</f>
        <v/>
      </c>
      <c r="J57" s="69">
        <f>MAX(0,ROUND(J54+Materiales!$H$11-I56-J55,4))</f>
        <v/>
      </c>
      <c r="K57" s="69">
        <f>MAX(0,ROUND(K54+Materiales!$H$11-J56-K55,4))</f>
        <v/>
      </c>
      <c r="L57" s="69">
        <f>MAX(0,ROUND(L54+Materiales!$H$11-K56-L55,4))</f>
        <v/>
      </c>
      <c r="M57" s="66" t="n"/>
    </row>
    <row r="58">
      <c r="C58" s="63" t="inlineStr">
        <is>
          <t>Recepcion de orden planificada</t>
        </is>
      </c>
      <c r="D58" s="64" t="n"/>
      <c r="E58" s="65">
        <f>IF(E57&lt;=0,0,IF(Materiales!$G$11&lt;=0,E57,ROUNDUP(E57/Materiales!$G$11,0)*Materiales!$G$11))</f>
        <v/>
      </c>
      <c r="F58" s="65">
        <f>IF(F57&lt;=0,0,IF(Materiales!$G$11&lt;=0,F57,ROUNDUP(F57/Materiales!$G$11,0)*Materiales!$G$11))</f>
        <v/>
      </c>
      <c r="G58" s="65">
        <f>IF(G57&lt;=0,0,IF(Materiales!$G$11&lt;=0,G57,ROUNDUP(G57/Materiales!$G$11,0)*Materiales!$G$11))</f>
        <v/>
      </c>
      <c r="H58" s="65">
        <f>IF(H57&lt;=0,0,IF(Materiales!$G$11&lt;=0,H57,ROUNDUP(H57/Materiales!$G$11,0)*Materiales!$G$11))</f>
        <v/>
      </c>
      <c r="I58" s="65">
        <f>IF(I57&lt;=0,0,IF(Materiales!$G$11&lt;=0,I57,ROUNDUP(I57/Materiales!$G$11,0)*Materiales!$G$11))</f>
        <v/>
      </c>
      <c r="J58" s="65">
        <f>IF(J57&lt;=0,0,IF(Materiales!$G$11&lt;=0,J57,ROUNDUP(J57/Materiales!$G$11,0)*Materiales!$G$11))</f>
        <v/>
      </c>
      <c r="K58" s="65">
        <f>IF(K57&lt;=0,0,IF(Materiales!$G$11&lt;=0,K57,ROUNDUP(K57/Materiales!$G$11,0)*Materiales!$G$11))</f>
        <v/>
      </c>
      <c r="L58" s="65">
        <f>IF(L57&lt;=0,0,IF(Materiales!$G$11&lt;=0,L57,ROUNDUP(L57/Materiales!$G$11,0)*Materiales!$G$11))</f>
        <v/>
      </c>
      <c r="M58" s="66" t="n"/>
    </row>
    <row r="59">
      <c r="C59" s="70" t="inlineStr">
        <is>
          <t>LANZAMIENTO DE ORDEN — pedir esta semana</t>
        </is>
      </c>
      <c r="D59" s="64" t="n"/>
      <c r="E59" s="71">
        <f>IF(1+Materiales!$F$11&gt;8,0,INDEX($E$58:$L$58,1,1+Materiales!$F$11))</f>
        <v/>
      </c>
      <c r="F59" s="71">
        <f>IF(2+Materiales!$F$11&gt;8,0,INDEX($E$58:$L$58,1,2+Materiales!$F$11))</f>
        <v/>
      </c>
      <c r="G59" s="71">
        <f>IF(3+Materiales!$F$11&gt;8,0,INDEX($E$58:$L$58,1,3+Materiales!$F$11))</f>
        <v/>
      </c>
      <c r="H59" s="71">
        <f>IF(4+Materiales!$F$11&gt;8,0,INDEX($E$58:$L$58,1,4+Materiales!$F$11))</f>
        <v/>
      </c>
      <c r="I59" s="71">
        <f>IF(5+Materiales!$F$11&gt;8,0,INDEX($E$58:$L$58,1,5+Materiales!$F$11))</f>
        <v/>
      </c>
      <c r="J59" s="71">
        <f>IF(6+Materiales!$F$11&gt;8,0,INDEX($E$58:$L$58,1,6+Materiales!$F$11))</f>
        <v/>
      </c>
      <c r="K59" s="71">
        <f>IF(7+Materiales!$F$11&gt;8,0,INDEX($E$58:$L$58,1,7+Materiales!$F$11))</f>
        <v/>
      </c>
      <c r="L59" s="71">
        <f>IF(8+Materiales!$F$11&gt;8,0,INDEX($E$58:$L$58,1,8+Materiales!$F$11))</f>
        <v/>
      </c>
      <c r="M59" s="72">
        <f>IF($A54="","",IF(SUMPRODUCT((COLUMN($E$58:$L$58)-4&lt;=Materiales!$F$11)*$E$58:$L$58)&gt;0,"PEDIR YA (atrasado)","OK"))</f>
        <v/>
      </c>
    </row>
    <row r="60" ht="6" customHeight="1"/>
    <row r="61">
      <c r="A61" s="62">
        <f>IF(Materiales!$A$12="","",Materiales!$A$12)</f>
        <v/>
      </c>
      <c r="B61" s="62">
        <f>IF(Materiales!$B$12="","",Materiales!$B$12)</f>
        <v/>
      </c>
      <c r="C61" s="63" t="inlineStr">
        <is>
          <t>Necesidad bruta</t>
        </is>
      </c>
      <c r="D61" s="64" t="n"/>
      <c r="E61" s="65">
        <f>ROUND(SUMIF(Consumo!$P$4:$P$189,"#"&amp;$A61,Consumo!H$4:H$189),4)</f>
        <v/>
      </c>
      <c r="F61" s="65">
        <f>ROUND(SUMIF(Consumo!$P$4:$P$189,"#"&amp;$A61,Consumo!I$4:I$189),4)</f>
        <v/>
      </c>
      <c r="G61" s="65">
        <f>ROUND(SUMIF(Consumo!$P$4:$P$189,"#"&amp;$A61,Consumo!J$4:J$189),4)</f>
        <v/>
      </c>
      <c r="H61" s="65">
        <f>ROUND(SUMIF(Consumo!$P$4:$P$189,"#"&amp;$A61,Consumo!K$4:K$189),4)</f>
        <v/>
      </c>
      <c r="I61" s="65">
        <f>ROUND(SUMIF(Consumo!$P$4:$P$189,"#"&amp;$A61,Consumo!L$4:L$189),4)</f>
        <v/>
      </c>
      <c r="J61" s="65">
        <f>ROUND(SUMIF(Consumo!$P$4:$P$189,"#"&amp;$A61,Consumo!M$4:M$189),4)</f>
        <v/>
      </c>
      <c r="K61" s="65">
        <f>ROUND(SUMIF(Consumo!$P$4:$P$189,"#"&amp;$A61,Consumo!N$4:N$189),4)</f>
        <v/>
      </c>
      <c r="L61" s="65">
        <f>ROUND(SUMIF(Consumo!$P$4:$P$189,"#"&amp;$A61,Consumo!O$4:O$189),4)</f>
        <v/>
      </c>
      <c r="M61" s="66" t="n"/>
    </row>
    <row r="62">
      <c r="C62" s="63" t="inlineStr">
        <is>
          <t>Recepciones programadas (ya pedido)</t>
        </is>
      </c>
      <c r="D62" s="64" t="n"/>
      <c r="E62" s="65">
        <f>SUMIF(Inventario!$M$5:$M$505,"#"&amp;$A61,Inventario!E$5:E$505)</f>
        <v/>
      </c>
      <c r="F62" s="65">
        <f>SUMIF(Inventario!$M$5:$M$505,"#"&amp;$A61,Inventario!F$5:F$505)</f>
        <v/>
      </c>
      <c r="G62" s="65">
        <f>SUMIF(Inventario!$M$5:$M$505,"#"&amp;$A61,Inventario!G$5:G$505)</f>
        <v/>
      </c>
      <c r="H62" s="65">
        <f>SUMIF(Inventario!$M$5:$M$505,"#"&amp;$A61,Inventario!H$5:H$505)</f>
        <v/>
      </c>
      <c r="I62" s="65">
        <f>SUMIF(Inventario!$M$5:$M$505,"#"&amp;$A61,Inventario!I$5:I$505)</f>
        <v/>
      </c>
      <c r="J62" s="65">
        <f>SUMIF(Inventario!$M$5:$M$505,"#"&amp;$A61,Inventario!J$5:J$505)</f>
        <v/>
      </c>
      <c r="K62" s="65">
        <f>SUMIF(Inventario!$M$5:$M$505,"#"&amp;$A61,Inventario!K$5:K$505)</f>
        <v/>
      </c>
      <c r="L62" s="65">
        <f>SUMIF(Inventario!$M$5:$M$505,"#"&amp;$A61,Inventario!L$5:L$505)</f>
        <v/>
      </c>
      <c r="M62" s="66" t="n"/>
    </row>
    <row r="63">
      <c r="C63" s="63" t="inlineStr">
        <is>
          <t>Stock proyectado disponible</t>
        </is>
      </c>
      <c r="D63" s="67">
        <f>SUMIF(Inventario!$M$5:$M$505,"#"&amp;$A61,Inventario!$C$5:$C$505)</f>
        <v/>
      </c>
      <c r="E63" s="68">
        <f>D63+E62+E65-E61</f>
        <v/>
      </c>
      <c r="F63" s="68">
        <f>E63+F62+F65-F61</f>
        <v/>
      </c>
      <c r="G63" s="68">
        <f>F63+G62+G65-G61</f>
        <v/>
      </c>
      <c r="H63" s="68">
        <f>G63+H62+H65-H61</f>
        <v/>
      </c>
      <c r="I63" s="68">
        <f>H63+I62+I65-I61</f>
        <v/>
      </c>
      <c r="J63" s="68">
        <f>I63+J62+J65-J61</f>
        <v/>
      </c>
      <c r="K63" s="68">
        <f>J63+K62+K65-K61</f>
        <v/>
      </c>
      <c r="L63" s="68">
        <f>K63+L62+L65-L61</f>
        <v/>
      </c>
      <c r="M63" s="66" t="n"/>
    </row>
    <row r="64">
      <c r="C64" s="63" t="inlineStr">
        <is>
          <t>Necesidad neta</t>
        </is>
      </c>
      <c r="D64" s="64" t="n"/>
      <c r="E64" s="69">
        <f>MAX(0,ROUND(E61+Materiales!$H$12-D63-E62,4))</f>
        <v/>
      </c>
      <c r="F64" s="69">
        <f>MAX(0,ROUND(F61+Materiales!$H$12-E63-F62,4))</f>
        <v/>
      </c>
      <c r="G64" s="69">
        <f>MAX(0,ROUND(G61+Materiales!$H$12-F63-G62,4))</f>
        <v/>
      </c>
      <c r="H64" s="69">
        <f>MAX(0,ROUND(H61+Materiales!$H$12-G63-H62,4))</f>
        <v/>
      </c>
      <c r="I64" s="69">
        <f>MAX(0,ROUND(I61+Materiales!$H$12-H63-I62,4))</f>
        <v/>
      </c>
      <c r="J64" s="69">
        <f>MAX(0,ROUND(J61+Materiales!$H$12-I63-J62,4))</f>
        <v/>
      </c>
      <c r="K64" s="69">
        <f>MAX(0,ROUND(K61+Materiales!$H$12-J63-K62,4))</f>
        <v/>
      </c>
      <c r="L64" s="69">
        <f>MAX(0,ROUND(L61+Materiales!$H$12-K63-L62,4))</f>
        <v/>
      </c>
      <c r="M64" s="66" t="n"/>
    </row>
    <row r="65">
      <c r="C65" s="63" t="inlineStr">
        <is>
          <t>Recepcion de orden planificada</t>
        </is>
      </c>
      <c r="D65" s="64" t="n"/>
      <c r="E65" s="65">
        <f>IF(E64&lt;=0,0,IF(Materiales!$G$12&lt;=0,E64,ROUNDUP(E64/Materiales!$G$12,0)*Materiales!$G$12))</f>
        <v/>
      </c>
      <c r="F65" s="65">
        <f>IF(F64&lt;=0,0,IF(Materiales!$G$12&lt;=0,F64,ROUNDUP(F64/Materiales!$G$12,0)*Materiales!$G$12))</f>
        <v/>
      </c>
      <c r="G65" s="65">
        <f>IF(G64&lt;=0,0,IF(Materiales!$G$12&lt;=0,G64,ROUNDUP(G64/Materiales!$G$12,0)*Materiales!$G$12))</f>
        <v/>
      </c>
      <c r="H65" s="65">
        <f>IF(H64&lt;=0,0,IF(Materiales!$G$12&lt;=0,H64,ROUNDUP(H64/Materiales!$G$12,0)*Materiales!$G$12))</f>
        <v/>
      </c>
      <c r="I65" s="65">
        <f>IF(I64&lt;=0,0,IF(Materiales!$G$12&lt;=0,I64,ROUNDUP(I64/Materiales!$G$12,0)*Materiales!$G$12))</f>
        <v/>
      </c>
      <c r="J65" s="65">
        <f>IF(J64&lt;=0,0,IF(Materiales!$G$12&lt;=0,J64,ROUNDUP(J64/Materiales!$G$12,0)*Materiales!$G$12))</f>
        <v/>
      </c>
      <c r="K65" s="65">
        <f>IF(K64&lt;=0,0,IF(Materiales!$G$12&lt;=0,K64,ROUNDUP(K64/Materiales!$G$12,0)*Materiales!$G$12))</f>
        <v/>
      </c>
      <c r="L65" s="65">
        <f>IF(L64&lt;=0,0,IF(Materiales!$G$12&lt;=0,L64,ROUNDUP(L64/Materiales!$G$12,0)*Materiales!$G$12))</f>
        <v/>
      </c>
      <c r="M65" s="66" t="n"/>
    </row>
    <row r="66">
      <c r="C66" s="70" t="inlineStr">
        <is>
          <t>LANZAMIENTO DE ORDEN — pedir esta semana</t>
        </is>
      </c>
      <c r="D66" s="64" t="n"/>
      <c r="E66" s="71">
        <f>IF(1+Materiales!$F$12&gt;8,0,INDEX($E$65:$L$65,1,1+Materiales!$F$12))</f>
        <v/>
      </c>
      <c r="F66" s="71">
        <f>IF(2+Materiales!$F$12&gt;8,0,INDEX($E$65:$L$65,1,2+Materiales!$F$12))</f>
        <v/>
      </c>
      <c r="G66" s="71">
        <f>IF(3+Materiales!$F$12&gt;8,0,INDEX($E$65:$L$65,1,3+Materiales!$F$12))</f>
        <v/>
      </c>
      <c r="H66" s="71">
        <f>IF(4+Materiales!$F$12&gt;8,0,INDEX($E$65:$L$65,1,4+Materiales!$F$12))</f>
        <v/>
      </c>
      <c r="I66" s="71">
        <f>IF(5+Materiales!$F$12&gt;8,0,INDEX($E$65:$L$65,1,5+Materiales!$F$12))</f>
        <v/>
      </c>
      <c r="J66" s="71">
        <f>IF(6+Materiales!$F$12&gt;8,0,INDEX($E$65:$L$65,1,6+Materiales!$F$12))</f>
        <v/>
      </c>
      <c r="K66" s="71">
        <f>IF(7+Materiales!$F$12&gt;8,0,INDEX($E$65:$L$65,1,7+Materiales!$F$12))</f>
        <v/>
      </c>
      <c r="L66" s="71">
        <f>IF(8+Materiales!$F$12&gt;8,0,INDEX($E$65:$L$65,1,8+Materiales!$F$12))</f>
        <v/>
      </c>
      <c r="M66" s="72">
        <f>IF($A61="","",IF(SUMPRODUCT((COLUMN($E$65:$L$65)-4&lt;=Materiales!$F$12)*$E$65:$L$65)&gt;0,"PEDIR YA (atrasado)","OK"))</f>
        <v/>
      </c>
    </row>
    <row r="67" ht="6" customHeight="1"/>
    <row r="68">
      <c r="A68" s="62">
        <f>IF(Materiales!$A$13="","",Materiales!$A$13)</f>
        <v/>
      </c>
      <c r="B68" s="62">
        <f>IF(Materiales!$B$13="","",Materiales!$B$13)</f>
        <v/>
      </c>
      <c r="C68" s="63" t="inlineStr">
        <is>
          <t>Necesidad bruta</t>
        </is>
      </c>
      <c r="D68" s="64" t="n"/>
      <c r="E68" s="65">
        <f>ROUND(SUMIF(Consumo!$P$4:$P$189,"#"&amp;$A68,Consumo!H$4:H$189),4)</f>
        <v/>
      </c>
      <c r="F68" s="65">
        <f>ROUND(SUMIF(Consumo!$P$4:$P$189,"#"&amp;$A68,Consumo!I$4:I$189),4)</f>
        <v/>
      </c>
      <c r="G68" s="65">
        <f>ROUND(SUMIF(Consumo!$P$4:$P$189,"#"&amp;$A68,Consumo!J$4:J$189),4)</f>
        <v/>
      </c>
      <c r="H68" s="65">
        <f>ROUND(SUMIF(Consumo!$P$4:$P$189,"#"&amp;$A68,Consumo!K$4:K$189),4)</f>
        <v/>
      </c>
      <c r="I68" s="65">
        <f>ROUND(SUMIF(Consumo!$P$4:$P$189,"#"&amp;$A68,Consumo!L$4:L$189),4)</f>
        <v/>
      </c>
      <c r="J68" s="65">
        <f>ROUND(SUMIF(Consumo!$P$4:$P$189,"#"&amp;$A68,Consumo!M$4:M$189),4)</f>
        <v/>
      </c>
      <c r="K68" s="65">
        <f>ROUND(SUMIF(Consumo!$P$4:$P$189,"#"&amp;$A68,Consumo!N$4:N$189),4)</f>
        <v/>
      </c>
      <c r="L68" s="65">
        <f>ROUND(SUMIF(Consumo!$P$4:$P$189,"#"&amp;$A68,Consumo!O$4:O$189),4)</f>
        <v/>
      </c>
      <c r="M68" s="66" t="n"/>
    </row>
    <row r="69">
      <c r="C69" s="63" t="inlineStr">
        <is>
          <t>Recepciones programadas (ya pedido)</t>
        </is>
      </c>
      <c r="D69" s="64" t="n"/>
      <c r="E69" s="65">
        <f>SUMIF(Inventario!$M$5:$M$505,"#"&amp;$A68,Inventario!E$5:E$505)</f>
        <v/>
      </c>
      <c r="F69" s="65">
        <f>SUMIF(Inventario!$M$5:$M$505,"#"&amp;$A68,Inventario!F$5:F$505)</f>
        <v/>
      </c>
      <c r="G69" s="65">
        <f>SUMIF(Inventario!$M$5:$M$505,"#"&amp;$A68,Inventario!G$5:G$505)</f>
        <v/>
      </c>
      <c r="H69" s="65">
        <f>SUMIF(Inventario!$M$5:$M$505,"#"&amp;$A68,Inventario!H$5:H$505)</f>
        <v/>
      </c>
      <c r="I69" s="65">
        <f>SUMIF(Inventario!$M$5:$M$505,"#"&amp;$A68,Inventario!I$5:I$505)</f>
        <v/>
      </c>
      <c r="J69" s="65">
        <f>SUMIF(Inventario!$M$5:$M$505,"#"&amp;$A68,Inventario!J$5:J$505)</f>
        <v/>
      </c>
      <c r="K69" s="65">
        <f>SUMIF(Inventario!$M$5:$M$505,"#"&amp;$A68,Inventario!K$5:K$505)</f>
        <v/>
      </c>
      <c r="L69" s="65">
        <f>SUMIF(Inventario!$M$5:$M$505,"#"&amp;$A68,Inventario!L$5:L$505)</f>
        <v/>
      </c>
      <c r="M69" s="66" t="n"/>
    </row>
    <row r="70">
      <c r="C70" s="63" t="inlineStr">
        <is>
          <t>Stock proyectado disponible</t>
        </is>
      </c>
      <c r="D70" s="67">
        <f>SUMIF(Inventario!$M$5:$M$505,"#"&amp;$A68,Inventario!$C$5:$C$505)</f>
        <v/>
      </c>
      <c r="E70" s="68">
        <f>D70+E69+E72-E68</f>
        <v/>
      </c>
      <c r="F70" s="68">
        <f>E70+F69+F72-F68</f>
        <v/>
      </c>
      <c r="G70" s="68">
        <f>F70+G69+G72-G68</f>
        <v/>
      </c>
      <c r="H70" s="68">
        <f>G70+H69+H72-H68</f>
        <v/>
      </c>
      <c r="I70" s="68">
        <f>H70+I69+I72-I68</f>
        <v/>
      </c>
      <c r="J70" s="68">
        <f>I70+J69+J72-J68</f>
        <v/>
      </c>
      <c r="K70" s="68">
        <f>J70+K69+K72-K68</f>
        <v/>
      </c>
      <c r="L70" s="68">
        <f>K70+L69+L72-L68</f>
        <v/>
      </c>
      <c r="M70" s="66" t="n"/>
    </row>
    <row r="71">
      <c r="C71" s="63" t="inlineStr">
        <is>
          <t>Necesidad neta</t>
        </is>
      </c>
      <c r="D71" s="64" t="n"/>
      <c r="E71" s="69">
        <f>MAX(0,ROUND(E68+Materiales!$H$13-D70-E69,4))</f>
        <v/>
      </c>
      <c r="F71" s="69">
        <f>MAX(0,ROUND(F68+Materiales!$H$13-E70-F69,4))</f>
        <v/>
      </c>
      <c r="G71" s="69">
        <f>MAX(0,ROUND(G68+Materiales!$H$13-F70-G69,4))</f>
        <v/>
      </c>
      <c r="H71" s="69">
        <f>MAX(0,ROUND(H68+Materiales!$H$13-G70-H69,4))</f>
        <v/>
      </c>
      <c r="I71" s="69">
        <f>MAX(0,ROUND(I68+Materiales!$H$13-H70-I69,4))</f>
        <v/>
      </c>
      <c r="J71" s="69">
        <f>MAX(0,ROUND(J68+Materiales!$H$13-I70-J69,4))</f>
        <v/>
      </c>
      <c r="K71" s="69">
        <f>MAX(0,ROUND(K68+Materiales!$H$13-J70-K69,4))</f>
        <v/>
      </c>
      <c r="L71" s="69">
        <f>MAX(0,ROUND(L68+Materiales!$H$13-K70-L69,4))</f>
        <v/>
      </c>
      <c r="M71" s="66" t="n"/>
    </row>
    <row r="72">
      <c r="C72" s="63" t="inlineStr">
        <is>
          <t>Recepcion de orden planificada</t>
        </is>
      </c>
      <c r="D72" s="64" t="n"/>
      <c r="E72" s="65">
        <f>IF(E71&lt;=0,0,IF(Materiales!$G$13&lt;=0,E71,ROUNDUP(E71/Materiales!$G$13,0)*Materiales!$G$13))</f>
        <v/>
      </c>
      <c r="F72" s="65">
        <f>IF(F71&lt;=0,0,IF(Materiales!$G$13&lt;=0,F71,ROUNDUP(F71/Materiales!$G$13,0)*Materiales!$G$13))</f>
        <v/>
      </c>
      <c r="G72" s="65">
        <f>IF(G71&lt;=0,0,IF(Materiales!$G$13&lt;=0,G71,ROUNDUP(G71/Materiales!$G$13,0)*Materiales!$G$13))</f>
        <v/>
      </c>
      <c r="H72" s="65">
        <f>IF(H71&lt;=0,0,IF(Materiales!$G$13&lt;=0,H71,ROUNDUP(H71/Materiales!$G$13,0)*Materiales!$G$13))</f>
        <v/>
      </c>
      <c r="I72" s="65">
        <f>IF(I71&lt;=0,0,IF(Materiales!$G$13&lt;=0,I71,ROUNDUP(I71/Materiales!$G$13,0)*Materiales!$G$13))</f>
        <v/>
      </c>
      <c r="J72" s="65">
        <f>IF(J71&lt;=0,0,IF(Materiales!$G$13&lt;=0,J71,ROUNDUP(J71/Materiales!$G$13,0)*Materiales!$G$13))</f>
        <v/>
      </c>
      <c r="K72" s="65">
        <f>IF(K71&lt;=0,0,IF(Materiales!$G$13&lt;=0,K71,ROUNDUP(K71/Materiales!$G$13,0)*Materiales!$G$13))</f>
        <v/>
      </c>
      <c r="L72" s="65">
        <f>IF(L71&lt;=0,0,IF(Materiales!$G$13&lt;=0,L71,ROUNDUP(L71/Materiales!$G$13,0)*Materiales!$G$13))</f>
        <v/>
      </c>
      <c r="M72" s="66" t="n"/>
    </row>
    <row r="73">
      <c r="C73" s="70" t="inlineStr">
        <is>
          <t>LANZAMIENTO DE ORDEN — pedir esta semana</t>
        </is>
      </c>
      <c r="D73" s="64" t="n"/>
      <c r="E73" s="71">
        <f>IF(1+Materiales!$F$13&gt;8,0,INDEX($E$72:$L$72,1,1+Materiales!$F$13))</f>
        <v/>
      </c>
      <c r="F73" s="71">
        <f>IF(2+Materiales!$F$13&gt;8,0,INDEX($E$72:$L$72,1,2+Materiales!$F$13))</f>
        <v/>
      </c>
      <c r="G73" s="71">
        <f>IF(3+Materiales!$F$13&gt;8,0,INDEX($E$72:$L$72,1,3+Materiales!$F$13))</f>
        <v/>
      </c>
      <c r="H73" s="71">
        <f>IF(4+Materiales!$F$13&gt;8,0,INDEX($E$72:$L$72,1,4+Materiales!$F$13))</f>
        <v/>
      </c>
      <c r="I73" s="71">
        <f>IF(5+Materiales!$F$13&gt;8,0,INDEX($E$72:$L$72,1,5+Materiales!$F$13))</f>
        <v/>
      </c>
      <c r="J73" s="71">
        <f>IF(6+Materiales!$F$13&gt;8,0,INDEX($E$72:$L$72,1,6+Materiales!$F$13))</f>
        <v/>
      </c>
      <c r="K73" s="71">
        <f>IF(7+Materiales!$F$13&gt;8,0,INDEX($E$72:$L$72,1,7+Materiales!$F$13))</f>
        <v/>
      </c>
      <c r="L73" s="71">
        <f>IF(8+Materiales!$F$13&gt;8,0,INDEX($E$72:$L$72,1,8+Materiales!$F$13))</f>
        <v/>
      </c>
      <c r="M73" s="72">
        <f>IF($A68="","",IF(SUMPRODUCT((COLUMN($E$72:$L$72)-4&lt;=Materiales!$F$13)*$E$72:$L$72)&gt;0,"PEDIR YA (atrasado)","OK"))</f>
        <v/>
      </c>
    </row>
    <row r="74" ht="6" customHeight="1"/>
    <row r="75">
      <c r="A75" s="62">
        <f>IF(Materiales!$A$14="","",Materiales!$A$14)</f>
        <v/>
      </c>
      <c r="B75" s="62">
        <f>IF(Materiales!$B$14="","",Materiales!$B$14)</f>
        <v/>
      </c>
      <c r="C75" s="63" t="inlineStr">
        <is>
          <t>Necesidad bruta</t>
        </is>
      </c>
      <c r="D75" s="64" t="n"/>
      <c r="E75" s="65">
        <f>ROUND(SUMIF(Consumo!$P$4:$P$189,"#"&amp;$A75,Consumo!H$4:H$189),4)</f>
        <v/>
      </c>
      <c r="F75" s="65">
        <f>ROUND(SUMIF(Consumo!$P$4:$P$189,"#"&amp;$A75,Consumo!I$4:I$189),4)</f>
        <v/>
      </c>
      <c r="G75" s="65">
        <f>ROUND(SUMIF(Consumo!$P$4:$P$189,"#"&amp;$A75,Consumo!J$4:J$189),4)</f>
        <v/>
      </c>
      <c r="H75" s="65">
        <f>ROUND(SUMIF(Consumo!$P$4:$P$189,"#"&amp;$A75,Consumo!K$4:K$189),4)</f>
        <v/>
      </c>
      <c r="I75" s="65">
        <f>ROUND(SUMIF(Consumo!$P$4:$P$189,"#"&amp;$A75,Consumo!L$4:L$189),4)</f>
        <v/>
      </c>
      <c r="J75" s="65">
        <f>ROUND(SUMIF(Consumo!$P$4:$P$189,"#"&amp;$A75,Consumo!M$4:M$189),4)</f>
        <v/>
      </c>
      <c r="K75" s="65">
        <f>ROUND(SUMIF(Consumo!$P$4:$P$189,"#"&amp;$A75,Consumo!N$4:N$189),4)</f>
        <v/>
      </c>
      <c r="L75" s="65">
        <f>ROUND(SUMIF(Consumo!$P$4:$P$189,"#"&amp;$A75,Consumo!O$4:O$189),4)</f>
        <v/>
      </c>
      <c r="M75" s="66" t="n"/>
    </row>
    <row r="76">
      <c r="C76" s="63" t="inlineStr">
        <is>
          <t>Recepciones programadas (ya pedido)</t>
        </is>
      </c>
      <c r="D76" s="64" t="n"/>
      <c r="E76" s="65">
        <f>SUMIF(Inventario!$M$5:$M$505,"#"&amp;$A75,Inventario!E$5:E$505)</f>
        <v/>
      </c>
      <c r="F76" s="65">
        <f>SUMIF(Inventario!$M$5:$M$505,"#"&amp;$A75,Inventario!F$5:F$505)</f>
        <v/>
      </c>
      <c r="G76" s="65">
        <f>SUMIF(Inventario!$M$5:$M$505,"#"&amp;$A75,Inventario!G$5:G$505)</f>
        <v/>
      </c>
      <c r="H76" s="65">
        <f>SUMIF(Inventario!$M$5:$M$505,"#"&amp;$A75,Inventario!H$5:H$505)</f>
        <v/>
      </c>
      <c r="I76" s="65">
        <f>SUMIF(Inventario!$M$5:$M$505,"#"&amp;$A75,Inventario!I$5:I$505)</f>
        <v/>
      </c>
      <c r="J76" s="65">
        <f>SUMIF(Inventario!$M$5:$M$505,"#"&amp;$A75,Inventario!J$5:J$505)</f>
        <v/>
      </c>
      <c r="K76" s="65">
        <f>SUMIF(Inventario!$M$5:$M$505,"#"&amp;$A75,Inventario!K$5:K$505)</f>
        <v/>
      </c>
      <c r="L76" s="65">
        <f>SUMIF(Inventario!$M$5:$M$505,"#"&amp;$A75,Inventario!L$5:L$505)</f>
        <v/>
      </c>
      <c r="M76" s="66" t="n"/>
    </row>
    <row r="77">
      <c r="C77" s="63" t="inlineStr">
        <is>
          <t>Stock proyectado disponible</t>
        </is>
      </c>
      <c r="D77" s="67">
        <f>SUMIF(Inventario!$M$5:$M$505,"#"&amp;$A75,Inventario!$C$5:$C$505)</f>
        <v/>
      </c>
      <c r="E77" s="68">
        <f>D77+E76+E79-E75</f>
        <v/>
      </c>
      <c r="F77" s="68">
        <f>E77+F76+F79-F75</f>
        <v/>
      </c>
      <c r="G77" s="68">
        <f>F77+G76+G79-G75</f>
        <v/>
      </c>
      <c r="H77" s="68">
        <f>G77+H76+H79-H75</f>
        <v/>
      </c>
      <c r="I77" s="68">
        <f>H77+I76+I79-I75</f>
        <v/>
      </c>
      <c r="J77" s="68">
        <f>I77+J76+J79-J75</f>
        <v/>
      </c>
      <c r="K77" s="68">
        <f>J77+K76+K79-K75</f>
        <v/>
      </c>
      <c r="L77" s="68">
        <f>K77+L76+L79-L75</f>
        <v/>
      </c>
      <c r="M77" s="66" t="n"/>
    </row>
    <row r="78">
      <c r="C78" s="63" t="inlineStr">
        <is>
          <t>Necesidad neta</t>
        </is>
      </c>
      <c r="D78" s="64" t="n"/>
      <c r="E78" s="69">
        <f>MAX(0,ROUND(E75+Materiales!$H$14-D77-E76,4))</f>
        <v/>
      </c>
      <c r="F78" s="69">
        <f>MAX(0,ROUND(F75+Materiales!$H$14-E77-F76,4))</f>
        <v/>
      </c>
      <c r="G78" s="69">
        <f>MAX(0,ROUND(G75+Materiales!$H$14-F77-G76,4))</f>
        <v/>
      </c>
      <c r="H78" s="69">
        <f>MAX(0,ROUND(H75+Materiales!$H$14-G77-H76,4))</f>
        <v/>
      </c>
      <c r="I78" s="69">
        <f>MAX(0,ROUND(I75+Materiales!$H$14-H77-I76,4))</f>
        <v/>
      </c>
      <c r="J78" s="69">
        <f>MAX(0,ROUND(J75+Materiales!$H$14-I77-J76,4))</f>
        <v/>
      </c>
      <c r="K78" s="69">
        <f>MAX(0,ROUND(K75+Materiales!$H$14-J77-K76,4))</f>
        <v/>
      </c>
      <c r="L78" s="69">
        <f>MAX(0,ROUND(L75+Materiales!$H$14-K77-L76,4))</f>
        <v/>
      </c>
      <c r="M78" s="66" t="n"/>
    </row>
    <row r="79">
      <c r="C79" s="63" t="inlineStr">
        <is>
          <t>Recepcion de orden planificada</t>
        </is>
      </c>
      <c r="D79" s="64" t="n"/>
      <c r="E79" s="65">
        <f>IF(E78&lt;=0,0,IF(Materiales!$G$14&lt;=0,E78,ROUNDUP(E78/Materiales!$G$14,0)*Materiales!$G$14))</f>
        <v/>
      </c>
      <c r="F79" s="65">
        <f>IF(F78&lt;=0,0,IF(Materiales!$G$14&lt;=0,F78,ROUNDUP(F78/Materiales!$G$14,0)*Materiales!$G$14))</f>
        <v/>
      </c>
      <c r="G79" s="65">
        <f>IF(G78&lt;=0,0,IF(Materiales!$G$14&lt;=0,G78,ROUNDUP(G78/Materiales!$G$14,0)*Materiales!$G$14))</f>
        <v/>
      </c>
      <c r="H79" s="65">
        <f>IF(H78&lt;=0,0,IF(Materiales!$G$14&lt;=0,H78,ROUNDUP(H78/Materiales!$G$14,0)*Materiales!$G$14))</f>
        <v/>
      </c>
      <c r="I79" s="65">
        <f>IF(I78&lt;=0,0,IF(Materiales!$G$14&lt;=0,I78,ROUNDUP(I78/Materiales!$G$14,0)*Materiales!$G$14))</f>
        <v/>
      </c>
      <c r="J79" s="65">
        <f>IF(J78&lt;=0,0,IF(Materiales!$G$14&lt;=0,J78,ROUNDUP(J78/Materiales!$G$14,0)*Materiales!$G$14))</f>
        <v/>
      </c>
      <c r="K79" s="65">
        <f>IF(K78&lt;=0,0,IF(Materiales!$G$14&lt;=0,K78,ROUNDUP(K78/Materiales!$G$14,0)*Materiales!$G$14))</f>
        <v/>
      </c>
      <c r="L79" s="65">
        <f>IF(L78&lt;=0,0,IF(Materiales!$G$14&lt;=0,L78,ROUNDUP(L78/Materiales!$G$14,0)*Materiales!$G$14))</f>
        <v/>
      </c>
      <c r="M79" s="66" t="n"/>
    </row>
    <row r="80">
      <c r="C80" s="70" t="inlineStr">
        <is>
          <t>LANZAMIENTO DE ORDEN — pedir esta semana</t>
        </is>
      </c>
      <c r="D80" s="64" t="n"/>
      <c r="E80" s="71">
        <f>IF(1+Materiales!$F$14&gt;8,0,INDEX($E$79:$L$79,1,1+Materiales!$F$14))</f>
        <v/>
      </c>
      <c r="F80" s="71">
        <f>IF(2+Materiales!$F$14&gt;8,0,INDEX($E$79:$L$79,1,2+Materiales!$F$14))</f>
        <v/>
      </c>
      <c r="G80" s="71">
        <f>IF(3+Materiales!$F$14&gt;8,0,INDEX($E$79:$L$79,1,3+Materiales!$F$14))</f>
        <v/>
      </c>
      <c r="H80" s="71">
        <f>IF(4+Materiales!$F$14&gt;8,0,INDEX($E$79:$L$79,1,4+Materiales!$F$14))</f>
        <v/>
      </c>
      <c r="I80" s="71">
        <f>IF(5+Materiales!$F$14&gt;8,0,INDEX($E$79:$L$79,1,5+Materiales!$F$14))</f>
        <v/>
      </c>
      <c r="J80" s="71">
        <f>IF(6+Materiales!$F$14&gt;8,0,INDEX($E$79:$L$79,1,6+Materiales!$F$14))</f>
        <v/>
      </c>
      <c r="K80" s="71">
        <f>IF(7+Materiales!$F$14&gt;8,0,INDEX($E$79:$L$79,1,7+Materiales!$F$14))</f>
        <v/>
      </c>
      <c r="L80" s="71">
        <f>IF(8+Materiales!$F$14&gt;8,0,INDEX($E$79:$L$79,1,8+Materiales!$F$14))</f>
        <v/>
      </c>
      <c r="M80" s="72">
        <f>IF($A75="","",IF(SUMPRODUCT((COLUMN($E$79:$L$79)-4&lt;=Materiales!$F$14)*$E$79:$L$79)&gt;0,"PEDIR YA (atrasado)","OK"))</f>
        <v/>
      </c>
    </row>
    <row r="81" ht="6" customHeight="1"/>
    <row r="82">
      <c r="A82" s="62">
        <f>IF(Materiales!$A$15="","",Materiales!$A$15)</f>
        <v/>
      </c>
      <c r="B82" s="62">
        <f>IF(Materiales!$B$15="","",Materiales!$B$15)</f>
        <v/>
      </c>
      <c r="C82" s="63" t="inlineStr">
        <is>
          <t>Necesidad bruta</t>
        </is>
      </c>
      <c r="D82" s="64" t="n"/>
      <c r="E82" s="65">
        <f>ROUND(SUMIF(Consumo!$P$4:$P$189,"#"&amp;$A82,Consumo!H$4:H$189),4)</f>
        <v/>
      </c>
      <c r="F82" s="65">
        <f>ROUND(SUMIF(Consumo!$P$4:$P$189,"#"&amp;$A82,Consumo!I$4:I$189),4)</f>
        <v/>
      </c>
      <c r="G82" s="65">
        <f>ROUND(SUMIF(Consumo!$P$4:$P$189,"#"&amp;$A82,Consumo!J$4:J$189),4)</f>
        <v/>
      </c>
      <c r="H82" s="65">
        <f>ROUND(SUMIF(Consumo!$P$4:$P$189,"#"&amp;$A82,Consumo!K$4:K$189),4)</f>
        <v/>
      </c>
      <c r="I82" s="65">
        <f>ROUND(SUMIF(Consumo!$P$4:$P$189,"#"&amp;$A82,Consumo!L$4:L$189),4)</f>
        <v/>
      </c>
      <c r="J82" s="65">
        <f>ROUND(SUMIF(Consumo!$P$4:$P$189,"#"&amp;$A82,Consumo!M$4:M$189),4)</f>
        <v/>
      </c>
      <c r="K82" s="65">
        <f>ROUND(SUMIF(Consumo!$P$4:$P$189,"#"&amp;$A82,Consumo!N$4:N$189),4)</f>
        <v/>
      </c>
      <c r="L82" s="65">
        <f>ROUND(SUMIF(Consumo!$P$4:$P$189,"#"&amp;$A82,Consumo!O$4:O$189),4)</f>
        <v/>
      </c>
      <c r="M82" s="66" t="n"/>
    </row>
    <row r="83">
      <c r="C83" s="63" t="inlineStr">
        <is>
          <t>Recepciones programadas (ya pedido)</t>
        </is>
      </c>
      <c r="D83" s="64" t="n"/>
      <c r="E83" s="65">
        <f>SUMIF(Inventario!$M$5:$M$505,"#"&amp;$A82,Inventario!E$5:E$505)</f>
        <v/>
      </c>
      <c r="F83" s="65">
        <f>SUMIF(Inventario!$M$5:$M$505,"#"&amp;$A82,Inventario!F$5:F$505)</f>
        <v/>
      </c>
      <c r="G83" s="65">
        <f>SUMIF(Inventario!$M$5:$M$505,"#"&amp;$A82,Inventario!G$5:G$505)</f>
        <v/>
      </c>
      <c r="H83" s="65">
        <f>SUMIF(Inventario!$M$5:$M$505,"#"&amp;$A82,Inventario!H$5:H$505)</f>
        <v/>
      </c>
      <c r="I83" s="65">
        <f>SUMIF(Inventario!$M$5:$M$505,"#"&amp;$A82,Inventario!I$5:I$505)</f>
        <v/>
      </c>
      <c r="J83" s="65">
        <f>SUMIF(Inventario!$M$5:$M$505,"#"&amp;$A82,Inventario!J$5:J$505)</f>
        <v/>
      </c>
      <c r="K83" s="65">
        <f>SUMIF(Inventario!$M$5:$M$505,"#"&amp;$A82,Inventario!K$5:K$505)</f>
        <v/>
      </c>
      <c r="L83" s="65">
        <f>SUMIF(Inventario!$M$5:$M$505,"#"&amp;$A82,Inventario!L$5:L$505)</f>
        <v/>
      </c>
      <c r="M83" s="66" t="n"/>
    </row>
    <row r="84">
      <c r="C84" s="63" t="inlineStr">
        <is>
          <t>Stock proyectado disponible</t>
        </is>
      </c>
      <c r="D84" s="67">
        <f>SUMIF(Inventario!$M$5:$M$505,"#"&amp;$A82,Inventario!$C$5:$C$505)</f>
        <v/>
      </c>
      <c r="E84" s="68">
        <f>D84+E83+E86-E82</f>
        <v/>
      </c>
      <c r="F84" s="68">
        <f>E84+F83+F86-F82</f>
        <v/>
      </c>
      <c r="G84" s="68">
        <f>F84+G83+G86-G82</f>
        <v/>
      </c>
      <c r="H84" s="68">
        <f>G84+H83+H86-H82</f>
        <v/>
      </c>
      <c r="I84" s="68">
        <f>H84+I83+I86-I82</f>
        <v/>
      </c>
      <c r="J84" s="68">
        <f>I84+J83+J86-J82</f>
        <v/>
      </c>
      <c r="K84" s="68">
        <f>J84+K83+K86-K82</f>
        <v/>
      </c>
      <c r="L84" s="68">
        <f>K84+L83+L86-L82</f>
        <v/>
      </c>
      <c r="M84" s="66" t="n"/>
    </row>
    <row r="85">
      <c r="C85" s="63" t="inlineStr">
        <is>
          <t>Necesidad neta</t>
        </is>
      </c>
      <c r="D85" s="64" t="n"/>
      <c r="E85" s="69">
        <f>MAX(0,ROUND(E82+Materiales!$H$15-D84-E83,4))</f>
        <v/>
      </c>
      <c r="F85" s="69">
        <f>MAX(0,ROUND(F82+Materiales!$H$15-E84-F83,4))</f>
        <v/>
      </c>
      <c r="G85" s="69">
        <f>MAX(0,ROUND(G82+Materiales!$H$15-F84-G83,4))</f>
        <v/>
      </c>
      <c r="H85" s="69">
        <f>MAX(0,ROUND(H82+Materiales!$H$15-G84-H83,4))</f>
        <v/>
      </c>
      <c r="I85" s="69">
        <f>MAX(0,ROUND(I82+Materiales!$H$15-H84-I83,4))</f>
        <v/>
      </c>
      <c r="J85" s="69">
        <f>MAX(0,ROUND(J82+Materiales!$H$15-I84-J83,4))</f>
        <v/>
      </c>
      <c r="K85" s="69">
        <f>MAX(0,ROUND(K82+Materiales!$H$15-J84-K83,4))</f>
        <v/>
      </c>
      <c r="L85" s="69">
        <f>MAX(0,ROUND(L82+Materiales!$H$15-K84-L83,4))</f>
        <v/>
      </c>
      <c r="M85" s="66" t="n"/>
    </row>
    <row r="86">
      <c r="C86" s="63" t="inlineStr">
        <is>
          <t>Recepcion de orden planificada</t>
        </is>
      </c>
      <c r="D86" s="64" t="n"/>
      <c r="E86" s="65">
        <f>IF(E85&lt;=0,0,IF(Materiales!$G$15&lt;=0,E85,ROUNDUP(E85/Materiales!$G$15,0)*Materiales!$G$15))</f>
        <v/>
      </c>
      <c r="F86" s="65">
        <f>IF(F85&lt;=0,0,IF(Materiales!$G$15&lt;=0,F85,ROUNDUP(F85/Materiales!$G$15,0)*Materiales!$G$15))</f>
        <v/>
      </c>
      <c r="G86" s="65">
        <f>IF(G85&lt;=0,0,IF(Materiales!$G$15&lt;=0,G85,ROUNDUP(G85/Materiales!$G$15,0)*Materiales!$G$15))</f>
        <v/>
      </c>
      <c r="H86" s="65">
        <f>IF(H85&lt;=0,0,IF(Materiales!$G$15&lt;=0,H85,ROUNDUP(H85/Materiales!$G$15,0)*Materiales!$G$15))</f>
        <v/>
      </c>
      <c r="I86" s="65">
        <f>IF(I85&lt;=0,0,IF(Materiales!$G$15&lt;=0,I85,ROUNDUP(I85/Materiales!$G$15,0)*Materiales!$G$15))</f>
        <v/>
      </c>
      <c r="J86" s="65">
        <f>IF(J85&lt;=0,0,IF(Materiales!$G$15&lt;=0,J85,ROUNDUP(J85/Materiales!$G$15,0)*Materiales!$G$15))</f>
        <v/>
      </c>
      <c r="K86" s="65">
        <f>IF(K85&lt;=0,0,IF(Materiales!$G$15&lt;=0,K85,ROUNDUP(K85/Materiales!$G$15,0)*Materiales!$G$15))</f>
        <v/>
      </c>
      <c r="L86" s="65">
        <f>IF(L85&lt;=0,0,IF(Materiales!$G$15&lt;=0,L85,ROUNDUP(L85/Materiales!$G$15,0)*Materiales!$G$15))</f>
        <v/>
      </c>
      <c r="M86" s="66" t="n"/>
    </row>
    <row r="87">
      <c r="C87" s="70" t="inlineStr">
        <is>
          <t>LANZAMIENTO DE ORDEN — pedir esta semana</t>
        </is>
      </c>
      <c r="D87" s="64" t="n"/>
      <c r="E87" s="71">
        <f>IF(1+Materiales!$F$15&gt;8,0,INDEX($E$86:$L$86,1,1+Materiales!$F$15))</f>
        <v/>
      </c>
      <c r="F87" s="71">
        <f>IF(2+Materiales!$F$15&gt;8,0,INDEX($E$86:$L$86,1,2+Materiales!$F$15))</f>
        <v/>
      </c>
      <c r="G87" s="71">
        <f>IF(3+Materiales!$F$15&gt;8,0,INDEX($E$86:$L$86,1,3+Materiales!$F$15))</f>
        <v/>
      </c>
      <c r="H87" s="71">
        <f>IF(4+Materiales!$F$15&gt;8,0,INDEX($E$86:$L$86,1,4+Materiales!$F$15))</f>
        <v/>
      </c>
      <c r="I87" s="71">
        <f>IF(5+Materiales!$F$15&gt;8,0,INDEX($E$86:$L$86,1,5+Materiales!$F$15))</f>
        <v/>
      </c>
      <c r="J87" s="71">
        <f>IF(6+Materiales!$F$15&gt;8,0,INDEX($E$86:$L$86,1,6+Materiales!$F$15))</f>
        <v/>
      </c>
      <c r="K87" s="71">
        <f>IF(7+Materiales!$F$15&gt;8,0,INDEX($E$86:$L$86,1,7+Materiales!$F$15))</f>
        <v/>
      </c>
      <c r="L87" s="71">
        <f>IF(8+Materiales!$F$15&gt;8,0,INDEX($E$86:$L$86,1,8+Materiales!$F$15))</f>
        <v/>
      </c>
      <c r="M87" s="72">
        <f>IF($A82="","",IF(SUMPRODUCT((COLUMN($E$86:$L$86)-4&lt;=Materiales!$F$15)*$E$86:$L$86)&gt;0,"PEDIR YA (atrasado)","OK"))</f>
        <v/>
      </c>
    </row>
    <row r="88" ht="6" customHeight="1"/>
    <row r="89">
      <c r="A89" s="62">
        <f>IF(Materiales!$A$16="","",Materiales!$A$16)</f>
        <v/>
      </c>
      <c r="B89" s="62">
        <f>IF(Materiales!$B$16="","",Materiales!$B$16)</f>
        <v/>
      </c>
      <c r="C89" s="63" t="inlineStr">
        <is>
          <t>Necesidad bruta</t>
        </is>
      </c>
      <c r="D89" s="64" t="n"/>
      <c r="E89" s="65">
        <f>ROUND(SUMIF(Consumo!$P$4:$P$189,"#"&amp;$A89,Consumo!H$4:H$189),4)</f>
        <v/>
      </c>
      <c r="F89" s="65">
        <f>ROUND(SUMIF(Consumo!$P$4:$P$189,"#"&amp;$A89,Consumo!I$4:I$189),4)</f>
        <v/>
      </c>
      <c r="G89" s="65">
        <f>ROUND(SUMIF(Consumo!$P$4:$P$189,"#"&amp;$A89,Consumo!J$4:J$189),4)</f>
        <v/>
      </c>
      <c r="H89" s="65">
        <f>ROUND(SUMIF(Consumo!$P$4:$P$189,"#"&amp;$A89,Consumo!K$4:K$189),4)</f>
        <v/>
      </c>
      <c r="I89" s="65">
        <f>ROUND(SUMIF(Consumo!$P$4:$P$189,"#"&amp;$A89,Consumo!L$4:L$189),4)</f>
        <v/>
      </c>
      <c r="J89" s="65">
        <f>ROUND(SUMIF(Consumo!$P$4:$P$189,"#"&amp;$A89,Consumo!M$4:M$189),4)</f>
        <v/>
      </c>
      <c r="K89" s="65">
        <f>ROUND(SUMIF(Consumo!$P$4:$P$189,"#"&amp;$A89,Consumo!N$4:N$189),4)</f>
        <v/>
      </c>
      <c r="L89" s="65">
        <f>ROUND(SUMIF(Consumo!$P$4:$P$189,"#"&amp;$A89,Consumo!O$4:O$189),4)</f>
        <v/>
      </c>
      <c r="M89" s="66" t="n"/>
    </row>
    <row r="90">
      <c r="C90" s="63" t="inlineStr">
        <is>
          <t>Recepciones programadas (ya pedido)</t>
        </is>
      </c>
      <c r="D90" s="64" t="n"/>
      <c r="E90" s="65">
        <f>SUMIF(Inventario!$M$5:$M$505,"#"&amp;$A89,Inventario!E$5:E$505)</f>
        <v/>
      </c>
      <c r="F90" s="65">
        <f>SUMIF(Inventario!$M$5:$M$505,"#"&amp;$A89,Inventario!F$5:F$505)</f>
        <v/>
      </c>
      <c r="G90" s="65">
        <f>SUMIF(Inventario!$M$5:$M$505,"#"&amp;$A89,Inventario!G$5:G$505)</f>
        <v/>
      </c>
      <c r="H90" s="65">
        <f>SUMIF(Inventario!$M$5:$M$505,"#"&amp;$A89,Inventario!H$5:H$505)</f>
        <v/>
      </c>
      <c r="I90" s="65">
        <f>SUMIF(Inventario!$M$5:$M$505,"#"&amp;$A89,Inventario!I$5:I$505)</f>
        <v/>
      </c>
      <c r="J90" s="65">
        <f>SUMIF(Inventario!$M$5:$M$505,"#"&amp;$A89,Inventario!J$5:J$505)</f>
        <v/>
      </c>
      <c r="K90" s="65">
        <f>SUMIF(Inventario!$M$5:$M$505,"#"&amp;$A89,Inventario!K$5:K$505)</f>
        <v/>
      </c>
      <c r="L90" s="65">
        <f>SUMIF(Inventario!$M$5:$M$505,"#"&amp;$A89,Inventario!L$5:L$505)</f>
        <v/>
      </c>
      <c r="M90" s="66" t="n"/>
    </row>
    <row r="91">
      <c r="C91" s="63" t="inlineStr">
        <is>
          <t>Stock proyectado disponible</t>
        </is>
      </c>
      <c r="D91" s="67">
        <f>SUMIF(Inventario!$M$5:$M$505,"#"&amp;$A89,Inventario!$C$5:$C$505)</f>
        <v/>
      </c>
      <c r="E91" s="68">
        <f>D91+E90+E93-E89</f>
        <v/>
      </c>
      <c r="F91" s="68">
        <f>E91+F90+F93-F89</f>
        <v/>
      </c>
      <c r="G91" s="68">
        <f>F91+G90+G93-G89</f>
        <v/>
      </c>
      <c r="H91" s="68">
        <f>G91+H90+H93-H89</f>
        <v/>
      </c>
      <c r="I91" s="68">
        <f>H91+I90+I93-I89</f>
        <v/>
      </c>
      <c r="J91" s="68">
        <f>I91+J90+J93-J89</f>
        <v/>
      </c>
      <c r="K91" s="68">
        <f>J91+K90+K93-K89</f>
        <v/>
      </c>
      <c r="L91" s="68">
        <f>K91+L90+L93-L89</f>
        <v/>
      </c>
      <c r="M91" s="66" t="n"/>
    </row>
    <row r="92">
      <c r="C92" s="63" t="inlineStr">
        <is>
          <t>Necesidad neta</t>
        </is>
      </c>
      <c r="D92" s="64" t="n"/>
      <c r="E92" s="69">
        <f>MAX(0,ROUND(E89+Materiales!$H$16-D91-E90,4))</f>
        <v/>
      </c>
      <c r="F92" s="69">
        <f>MAX(0,ROUND(F89+Materiales!$H$16-E91-F90,4))</f>
        <v/>
      </c>
      <c r="G92" s="69">
        <f>MAX(0,ROUND(G89+Materiales!$H$16-F91-G90,4))</f>
        <v/>
      </c>
      <c r="H92" s="69">
        <f>MAX(0,ROUND(H89+Materiales!$H$16-G91-H90,4))</f>
        <v/>
      </c>
      <c r="I92" s="69">
        <f>MAX(0,ROUND(I89+Materiales!$H$16-H91-I90,4))</f>
        <v/>
      </c>
      <c r="J92" s="69">
        <f>MAX(0,ROUND(J89+Materiales!$H$16-I91-J90,4))</f>
        <v/>
      </c>
      <c r="K92" s="69">
        <f>MAX(0,ROUND(K89+Materiales!$H$16-J91-K90,4))</f>
        <v/>
      </c>
      <c r="L92" s="69">
        <f>MAX(0,ROUND(L89+Materiales!$H$16-K91-L90,4))</f>
        <v/>
      </c>
      <c r="M92" s="66" t="n"/>
    </row>
    <row r="93">
      <c r="C93" s="63" t="inlineStr">
        <is>
          <t>Recepcion de orden planificada</t>
        </is>
      </c>
      <c r="D93" s="64" t="n"/>
      <c r="E93" s="65">
        <f>IF(E92&lt;=0,0,IF(Materiales!$G$16&lt;=0,E92,ROUNDUP(E92/Materiales!$G$16,0)*Materiales!$G$16))</f>
        <v/>
      </c>
      <c r="F93" s="65">
        <f>IF(F92&lt;=0,0,IF(Materiales!$G$16&lt;=0,F92,ROUNDUP(F92/Materiales!$G$16,0)*Materiales!$G$16))</f>
        <v/>
      </c>
      <c r="G93" s="65">
        <f>IF(G92&lt;=0,0,IF(Materiales!$G$16&lt;=0,G92,ROUNDUP(G92/Materiales!$G$16,0)*Materiales!$G$16))</f>
        <v/>
      </c>
      <c r="H93" s="65">
        <f>IF(H92&lt;=0,0,IF(Materiales!$G$16&lt;=0,H92,ROUNDUP(H92/Materiales!$G$16,0)*Materiales!$G$16))</f>
        <v/>
      </c>
      <c r="I93" s="65">
        <f>IF(I92&lt;=0,0,IF(Materiales!$G$16&lt;=0,I92,ROUNDUP(I92/Materiales!$G$16,0)*Materiales!$G$16))</f>
        <v/>
      </c>
      <c r="J93" s="65">
        <f>IF(J92&lt;=0,0,IF(Materiales!$G$16&lt;=0,J92,ROUNDUP(J92/Materiales!$G$16,0)*Materiales!$G$16))</f>
        <v/>
      </c>
      <c r="K93" s="65">
        <f>IF(K92&lt;=0,0,IF(Materiales!$G$16&lt;=0,K92,ROUNDUP(K92/Materiales!$G$16,0)*Materiales!$G$16))</f>
        <v/>
      </c>
      <c r="L93" s="65">
        <f>IF(L92&lt;=0,0,IF(Materiales!$G$16&lt;=0,L92,ROUNDUP(L92/Materiales!$G$16,0)*Materiales!$G$16))</f>
        <v/>
      </c>
      <c r="M93" s="66" t="n"/>
    </row>
    <row r="94">
      <c r="C94" s="70" t="inlineStr">
        <is>
          <t>LANZAMIENTO DE ORDEN — pedir esta semana</t>
        </is>
      </c>
      <c r="D94" s="64" t="n"/>
      <c r="E94" s="71">
        <f>IF(1+Materiales!$F$16&gt;8,0,INDEX($E$93:$L$93,1,1+Materiales!$F$16))</f>
        <v/>
      </c>
      <c r="F94" s="71">
        <f>IF(2+Materiales!$F$16&gt;8,0,INDEX($E$93:$L$93,1,2+Materiales!$F$16))</f>
        <v/>
      </c>
      <c r="G94" s="71">
        <f>IF(3+Materiales!$F$16&gt;8,0,INDEX($E$93:$L$93,1,3+Materiales!$F$16))</f>
        <v/>
      </c>
      <c r="H94" s="71">
        <f>IF(4+Materiales!$F$16&gt;8,0,INDEX($E$93:$L$93,1,4+Materiales!$F$16))</f>
        <v/>
      </c>
      <c r="I94" s="71">
        <f>IF(5+Materiales!$F$16&gt;8,0,INDEX($E$93:$L$93,1,5+Materiales!$F$16))</f>
        <v/>
      </c>
      <c r="J94" s="71">
        <f>IF(6+Materiales!$F$16&gt;8,0,INDEX($E$93:$L$93,1,6+Materiales!$F$16))</f>
        <v/>
      </c>
      <c r="K94" s="71">
        <f>IF(7+Materiales!$F$16&gt;8,0,INDEX($E$93:$L$93,1,7+Materiales!$F$16))</f>
        <v/>
      </c>
      <c r="L94" s="71">
        <f>IF(8+Materiales!$F$16&gt;8,0,INDEX($E$93:$L$93,1,8+Materiales!$F$16))</f>
        <v/>
      </c>
      <c r="M94" s="72">
        <f>IF($A89="","",IF(SUMPRODUCT((COLUMN($E$93:$L$93)-4&lt;=Materiales!$F$16)*$E$93:$L$93)&gt;0,"PEDIR YA (atrasado)","OK"))</f>
        <v/>
      </c>
    </row>
    <row r="95" ht="6" customHeight="1"/>
    <row r="96">
      <c r="A96" s="62">
        <f>IF(Materiales!$A$17="","",Materiales!$A$17)</f>
        <v/>
      </c>
      <c r="B96" s="62">
        <f>IF(Materiales!$B$17="","",Materiales!$B$17)</f>
        <v/>
      </c>
      <c r="C96" s="63" t="inlineStr">
        <is>
          <t>Necesidad bruta</t>
        </is>
      </c>
      <c r="D96" s="64" t="n"/>
      <c r="E96" s="65">
        <f>ROUND(SUMIF(Consumo!$P$4:$P$189,"#"&amp;$A96,Consumo!H$4:H$189),4)</f>
        <v/>
      </c>
      <c r="F96" s="65">
        <f>ROUND(SUMIF(Consumo!$P$4:$P$189,"#"&amp;$A96,Consumo!I$4:I$189),4)</f>
        <v/>
      </c>
      <c r="G96" s="65">
        <f>ROUND(SUMIF(Consumo!$P$4:$P$189,"#"&amp;$A96,Consumo!J$4:J$189),4)</f>
        <v/>
      </c>
      <c r="H96" s="65">
        <f>ROUND(SUMIF(Consumo!$P$4:$P$189,"#"&amp;$A96,Consumo!K$4:K$189),4)</f>
        <v/>
      </c>
      <c r="I96" s="65">
        <f>ROUND(SUMIF(Consumo!$P$4:$P$189,"#"&amp;$A96,Consumo!L$4:L$189),4)</f>
        <v/>
      </c>
      <c r="J96" s="65">
        <f>ROUND(SUMIF(Consumo!$P$4:$P$189,"#"&amp;$A96,Consumo!M$4:M$189),4)</f>
        <v/>
      </c>
      <c r="K96" s="65">
        <f>ROUND(SUMIF(Consumo!$P$4:$P$189,"#"&amp;$A96,Consumo!N$4:N$189),4)</f>
        <v/>
      </c>
      <c r="L96" s="65">
        <f>ROUND(SUMIF(Consumo!$P$4:$P$189,"#"&amp;$A96,Consumo!O$4:O$189),4)</f>
        <v/>
      </c>
      <c r="M96" s="66" t="n"/>
    </row>
    <row r="97">
      <c r="C97" s="63" t="inlineStr">
        <is>
          <t>Recepciones programadas (ya pedido)</t>
        </is>
      </c>
      <c r="D97" s="64" t="n"/>
      <c r="E97" s="65">
        <f>SUMIF(Inventario!$M$5:$M$505,"#"&amp;$A96,Inventario!E$5:E$505)</f>
        <v/>
      </c>
      <c r="F97" s="65">
        <f>SUMIF(Inventario!$M$5:$M$505,"#"&amp;$A96,Inventario!F$5:F$505)</f>
        <v/>
      </c>
      <c r="G97" s="65">
        <f>SUMIF(Inventario!$M$5:$M$505,"#"&amp;$A96,Inventario!G$5:G$505)</f>
        <v/>
      </c>
      <c r="H97" s="65">
        <f>SUMIF(Inventario!$M$5:$M$505,"#"&amp;$A96,Inventario!H$5:H$505)</f>
        <v/>
      </c>
      <c r="I97" s="65">
        <f>SUMIF(Inventario!$M$5:$M$505,"#"&amp;$A96,Inventario!I$5:I$505)</f>
        <v/>
      </c>
      <c r="J97" s="65">
        <f>SUMIF(Inventario!$M$5:$M$505,"#"&amp;$A96,Inventario!J$5:J$505)</f>
        <v/>
      </c>
      <c r="K97" s="65">
        <f>SUMIF(Inventario!$M$5:$M$505,"#"&amp;$A96,Inventario!K$5:K$505)</f>
        <v/>
      </c>
      <c r="L97" s="65">
        <f>SUMIF(Inventario!$M$5:$M$505,"#"&amp;$A96,Inventario!L$5:L$505)</f>
        <v/>
      </c>
      <c r="M97" s="66" t="n"/>
    </row>
    <row r="98">
      <c r="C98" s="63" t="inlineStr">
        <is>
          <t>Stock proyectado disponible</t>
        </is>
      </c>
      <c r="D98" s="67">
        <f>SUMIF(Inventario!$M$5:$M$505,"#"&amp;$A96,Inventario!$C$5:$C$505)</f>
        <v/>
      </c>
      <c r="E98" s="68">
        <f>D98+E97+E100-E96</f>
        <v/>
      </c>
      <c r="F98" s="68">
        <f>E98+F97+F100-F96</f>
        <v/>
      </c>
      <c r="G98" s="68">
        <f>F98+G97+G100-G96</f>
        <v/>
      </c>
      <c r="H98" s="68">
        <f>G98+H97+H100-H96</f>
        <v/>
      </c>
      <c r="I98" s="68">
        <f>H98+I97+I100-I96</f>
        <v/>
      </c>
      <c r="J98" s="68">
        <f>I98+J97+J100-J96</f>
        <v/>
      </c>
      <c r="K98" s="68">
        <f>J98+K97+K100-K96</f>
        <v/>
      </c>
      <c r="L98" s="68">
        <f>K98+L97+L100-L96</f>
        <v/>
      </c>
      <c r="M98" s="66" t="n"/>
    </row>
    <row r="99">
      <c r="C99" s="63" t="inlineStr">
        <is>
          <t>Necesidad neta</t>
        </is>
      </c>
      <c r="D99" s="64" t="n"/>
      <c r="E99" s="69">
        <f>MAX(0,ROUND(E96+Materiales!$H$17-D98-E97,4))</f>
        <v/>
      </c>
      <c r="F99" s="69">
        <f>MAX(0,ROUND(F96+Materiales!$H$17-E98-F97,4))</f>
        <v/>
      </c>
      <c r="G99" s="69">
        <f>MAX(0,ROUND(G96+Materiales!$H$17-F98-G97,4))</f>
        <v/>
      </c>
      <c r="H99" s="69">
        <f>MAX(0,ROUND(H96+Materiales!$H$17-G98-H97,4))</f>
        <v/>
      </c>
      <c r="I99" s="69">
        <f>MAX(0,ROUND(I96+Materiales!$H$17-H98-I97,4))</f>
        <v/>
      </c>
      <c r="J99" s="69">
        <f>MAX(0,ROUND(J96+Materiales!$H$17-I98-J97,4))</f>
        <v/>
      </c>
      <c r="K99" s="69">
        <f>MAX(0,ROUND(K96+Materiales!$H$17-J98-K97,4))</f>
        <v/>
      </c>
      <c r="L99" s="69">
        <f>MAX(0,ROUND(L96+Materiales!$H$17-K98-L97,4))</f>
        <v/>
      </c>
      <c r="M99" s="66" t="n"/>
    </row>
    <row r="100">
      <c r="C100" s="63" t="inlineStr">
        <is>
          <t>Recepcion de orden planificada</t>
        </is>
      </c>
      <c r="D100" s="64" t="n"/>
      <c r="E100" s="65">
        <f>IF(E99&lt;=0,0,IF(Materiales!$G$17&lt;=0,E99,ROUNDUP(E99/Materiales!$G$17,0)*Materiales!$G$17))</f>
        <v/>
      </c>
      <c r="F100" s="65">
        <f>IF(F99&lt;=0,0,IF(Materiales!$G$17&lt;=0,F99,ROUNDUP(F99/Materiales!$G$17,0)*Materiales!$G$17))</f>
        <v/>
      </c>
      <c r="G100" s="65">
        <f>IF(G99&lt;=0,0,IF(Materiales!$G$17&lt;=0,G99,ROUNDUP(G99/Materiales!$G$17,0)*Materiales!$G$17))</f>
        <v/>
      </c>
      <c r="H100" s="65">
        <f>IF(H99&lt;=0,0,IF(Materiales!$G$17&lt;=0,H99,ROUNDUP(H99/Materiales!$G$17,0)*Materiales!$G$17))</f>
        <v/>
      </c>
      <c r="I100" s="65">
        <f>IF(I99&lt;=0,0,IF(Materiales!$G$17&lt;=0,I99,ROUNDUP(I99/Materiales!$G$17,0)*Materiales!$G$17))</f>
        <v/>
      </c>
      <c r="J100" s="65">
        <f>IF(J99&lt;=0,0,IF(Materiales!$G$17&lt;=0,J99,ROUNDUP(J99/Materiales!$G$17,0)*Materiales!$G$17))</f>
        <v/>
      </c>
      <c r="K100" s="65">
        <f>IF(K99&lt;=0,0,IF(Materiales!$G$17&lt;=0,K99,ROUNDUP(K99/Materiales!$G$17,0)*Materiales!$G$17))</f>
        <v/>
      </c>
      <c r="L100" s="65">
        <f>IF(L99&lt;=0,0,IF(Materiales!$G$17&lt;=0,L99,ROUNDUP(L99/Materiales!$G$17,0)*Materiales!$G$17))</f>
        <v/>
      </c>
      <c r="M100" s="66" t="n"/>
    </row>
    <row r="101">
      <c r="C101" s="70" t="inlineStr">
        <is>
          <t>LANZAMIENTO DE ORDEN — pedir esta semana</t>
        </is>
      </c>
      <c r="D101" s="64" t="n"/>
      <c r="E101" s="71">
        <f>IF(1+Materiales!$F$17&gt;8,0,INDEX($E$100:$L$100,1,1+Materiales!$F$17))</f>
        <v/>
      </c>
      <c r="F101" s="71">
        <f>IF(2+Materiales!$F$17&gt;8,0,INDEX($E$100:$L$100,1,2+Materiales!$F$17))</f>
        <v/>
      </c>
      <c r="G101" s="71">
        <f>IF(3+Materiales!$F$17&gt;8,0,INDEX($E$100:$L$100,1,3+Materiales!$F$17))</f>
        <v/>
      </c>
      <c r="H101" s="71">
        <f>IF(4+Materiales!$F$17&gt;8,0,INDEX($E$100:$L$100,1,4+Materiales!$F$17))</f>
        <v/>
      </c>
      <c r="I101" s="71">
        <f>IF(5+Materiales!$F$17&gt;8,0,INDEX($E$100:$L$100,1,5+Materiales!$F$17))</f>
        <v/>
      </c>
      <c r="J101" s="71">
        <f>IF(6+Materiales!$F$17&gt;8,0,INDEX($E$100:$L$100,1,6+Materiales!$F$17))</f>
        <v/>
      </c>
      <c r="K101" s="71">
        <f>IF(7+Materiales!$F$17&gt;8,0,INDEX($E$100:$L$100,1,7+Materiales!$F$17))</f>
        <v/>
      </c>
      <c r="L101" s="71">
        <f>IF(8+Materiales!$F$17&gt;8,0,INDEX($E$100:$L$100,1,8+Materiales!$F$17))</f>
        <v/>
      </c>
      <c r="M101" s="72">
        <f>IF($A96="","",IF(SUMPRODUCT((COLUMN($E$100:$L$100)-4&lt;=Materiales!$F$17)*$E$100:$L$100)&gt;0,"PEDIR YA (atrasado)","OK"))</f>
        <v/>
      </c>
    </row>
    <row r="102" ht="6" customHeight="1"/>
    <row r="103">
      <c r="A103" s="62">
        <f>IF(Materiales!$A$18="","",Materiales!$A$18)</f>
        <v/>
      </c>
      <c r="B103" s="62">
        <f>IF(Materiales!$B$18="","",Materiales!$B$18)</f>
        <v/>
      </c>
      <c r="C103" s="63" t="inlineStr">
        <is>
          <t>Necesidad bruta</t>
        </is>
      </c>
      <c r="D103" s="64" t="n"/>
      <c r="E103" s="65">
        <f>ROUND(SUMIF(Consumo!$P$4:$P$189,"#"&amp;$A103,Consumo!H$4:H$189),4)</f>
        <v/>
      </c>
      <c r="F103" s="65">
        <f>ROUND(SUMIF(Consumo!$P$4:$P$189,"#"&amp;$A103,Consumo!I$4:I$189),4)</f>
        <v/>
      </c>
      <c r="G103" s="65">
        <f>ROUND(SUMIF(Consumo!$P$4:$P$189,"#"&amp;$A103,Consumo!J$4:J$189),4)</f>
        <v/>
      </c>
      <c r="H103" s="65">
        <f>ROUND(SUMIF(Consumo!$P$4:$P$189,"#"&amp;$A103,Consumo!K$4:K$189),4)</f>
        <v/>
      </c>
      <c r="I103" s="65">
        <f>ROUND(SUMIF(Consumo!$P$4:$P$189,"#"&amp;$A103,Consumo!L$4:L$189),4)</f>
        <v/>
      </c>
      <c r="J103" s="65">
        <f>ROUND(SUMIF(Consumo!$P$4:$P$189,"#"&amp;$A103,Consumo!M$4:M$189),4)</f>
        <v/>
      </c>
      <c r="K103" s="65">
        <f>ROUND(SUMIF(Consumo!$P$4:$P$189,"#"&amp;$A103,Consumo!N$4:N$189),4)</f>
        <v/>
      </c>
      <c r="L103" s="65">
        <f>ROUND(SUMIF(Consumo!$P$4:$P$189,"#"&amp;$A103,Consumo!O$4:O$189),4)</f>
        <v/>
      </c>
      <c r="M103" s="66" t="n"/>
    </row>
    <row r="104">
      <c r="C104" s="63" t="inlineStr">
        <is>
          <t>Recepciones programadas (ya pedido)</t>
        </is>
      </c>
      <c r="D104" s="64" t="n"/>
      <c r="E104" s="65">
        <f>SUMIF(Inventario!$M$5:$M$505,"#"&amp;$A103,Inventario!E$5:E$505)</f>
        <v/>
      </c>
      <c r="F104" s="65">
        <f>SUMIF(Inventario!$M$5:$M$505,"#"&amp;$A103,Inventario!F$5:F$505)</f>
        <v/>
      </c>
      <c r="G104" s="65">
        <f>SUMIF(Inventario!$M$5:$M$505,"#"&amp;$A103,Inventario!G$5:G$505)</f>
        <v/>
      </c>
      <c r="H104" s="65">
        <f>SUMIF(Inventario!$M$5:$M$505,"#"&amp;$A103,Inventario!H$5:H$505)</f>
        <v/>
      </c>
      <c r="I104" s="65">
        <f>SUMIF(Inventario!$M$5:$M$505,"#"&amp;$A103,Inventario!I$5:I$505)</f>
        <v/>
      </c>
      <c r="J104" s="65">
        <f>SUMIF(Inventario!$M$5:$M$505,"#"&amp;$A103,Inventario!J$5:J$505)</f>
        <v/>
      </c>
      <c r="K104" s="65">
        <f>SUMIF(Inventario!$M$5:$M$505,"#"&amp;$A103,Inventario!K$5:K$505)</f>
        <v/>
      </c>
      <c r="L104" s="65">
        <f>SUMIF(Inventario!$M$5:$M$505,"#"&amp;$A103,Inventario!L$5:L$505)</f>
        <v/>
      </c>
      <c r="M104" s="66" t="n"/>
    </row>
    <row r="105">
      <c r="C105" s="63" t="inlineStr">
        <is>
          <t>Stock proyectado disponible</t>
        </is>
      </c>
      <c r="D105" s="67">
        <f>SUMIF(Inventario!$M$5:$M$505,"#"&amp;$A103,Inventario!$C$5:$C$505)</f>
        <v/>
      </c>
      <c r="E105" s="68">
        <f>D105+E104+E107-E103</f>
        <v/>
      </c>
      <c r="F105" s="68">
        <f>E105+F104+F107-F103</f>
        <v/>
      </c>
      <c r="G105" s="68">
        <f>F105+G104+G107-G103</f>
        <v/>
      </c>
      <c r="H105" s="68">
        <f>G105+H104+H107-H103</f>
        <v/>
      </c>
      <c r="I105" s="68">
        <f>H105+I104+I107-I103</f>
        <v/>
      </c>
      <c r="J105" s="68">
        <f>I105+J104+J107-J103</f>
        <v/>
      </c>
      <c r="K105" s="68">
        <f>J105+K104+K107-K103</f>
        <v/>
      </c>
      <c r="L105" s="68">
        <f>K105+L104+L107-L103</f>
        <v/>
      </c>
      <c r="M105" s="66" t="n"/>
    </row>
    <row r="106">
      <c r="C106" s="63" t="inlineStr">
        <is>
          <t>Necesidad neta</t>
        </is>
      </c>
      <c r="D106" s="64" t="n"/>
      <c r="E106" s="69">
        <f>MAX(0,ROUND(E103+Materiales!$H$18-D105-E104,4))</f>
        <v/>
      </c>
      <c r="F106" s="69">
        <f>MAX(0,ROUND(F103+Materiales!$H$18-E105-F104,4))</f>
        <v/>
      </c>
      <c r="G106" s="69">
        <f>MAX(0,ROUND(G103+Materiales!$H$18-F105-G104,4))</f>
        <v/>
      </c>
      <c r="H106" s="69">
        <f>MAX(0,ROUND(H103+Materiales!$H$18-G105-H104,4))</f>
        <v/>
      </c>
      <c r="I106" s="69">
        <f>MAX(0,ROUND(I103+Materiales!$H$18-H105-I104,4))</f>
        <v/>
      </c>
      <c r="J106" s="69">
        <f>MAX(0,ROUND(J103+Materiales!$H$18-I105-J104,4))</f>
        <v/>
      </c>
      <c r="K106" s="69">
        <f>MAX(0,ROUND(K103+Materiales!$H$18-J105-K104,4))</f>
        <v/>
      </c>
      <c r="L106" s="69">
        <f>MAX(0,ROUND(L103+Materiales!$H$18-K105-L104,4))</f>
        <v/>
      </c>
      <c r="M106" s="66" t="n"/>
    </row>
    <row r="107">
      <c r="C107" s="63" t="inlineStr">
        <is>
          <t>Recepcion de orden planificada</t>
        </is>
      </c>
      <c r="D107" s="64" t="n"/>
      <c r="E107" s="65">
        <f>IF(E106&lt;=0,0,IF(Materiales!$G$18&lt;=0,E106,ROUNDUP(E106/Materiales!$G$18,0)*Materiales!$G$18))</f>
        <v/>
      </c>
      <c r="F107" s="65">
        <f>IF(F106&lt;=0,0,IF(Materiales!$G$18&lt;=0,F106,ROUNDUP(F106/Materiales!$G$18,0)*Materiales!$G$18))</f>
        <v/>
      </c>
      <c r="G107" s="65">
        <f>IF(G106&lt;=0,0,IF(Materiales!$G$18&lt;=0,G106,ROUNDUP(G106/Materiales!$G$18,0)*Materiales!$G$18))</f>
        <v/>
      </c>
      <c r="H107" s="65">
        <f>IF(H106&lt;=0,0,IF(Materiales!$G$18&lt;=0,H106,ROUNDUP(H106/Materiales!$G$18,0)*Materiales!$G$18))</f>
        <v/>
      </c>
      <c r="I107" s="65">
        <f>IF(I106&lt;=0,0,IF(Materiales!$G$18&lt;=0,I106,ROUNDUP(I106/Materiales!$G$18,0)*Materiales!$G$18))</f>
        <v/>
      </c>
      <c r="J107" s="65">
        <f>IF(J106&lt;=0,0,IF(Materiales!$G$18&lt;=0,J106,ROUNDUP(J106/Materiales!$G$18,0)*Materiales!$G$18))</f>
        <v/>
      </c>
      <c r="K107" s="65">
        <f>IF(K106&lt;=0,0,IF(Materiales!$G$18&lt;=0,K106,ROUNDUP(K106/Materiales!$G$18,0)*Materiales!$G$18))</f>
        <v/>
      </c>
      <c r="L107" s="65">
        <f>IF(L106&lt;=0,0,IF(Materiales!$G$18&lt;=0,L106,ROUNDUP(L106/Materiales!$G$18,0)*Materiales!$G$18))</f>
        <v/>
      </c>
      <c r="M107" s="66" t="n"/>
    </row>
    <row r="108">
      <c r="C108" s="70" t="inlineStr">
        <is>
          <t>LANZAMIENTO DE ORDEN — pedir esta semana</t>
        </is>
      </c>
      <c r="D108" s="64" t="n"/>
      <c r="E108" s="71">
        <f>IF(1+Materiales!$F$18&gt;8,0,INDEX($E$107:$L$107,1,1+Materiales!$F$18))</f>
        <v/>
      </c>
      <c r="F108" s="71">
        <f>IF(2+Materiales!$F$18&gt;8,0,INDEX($E$107:$L$107,1,2+Materiales!$F$18))</f>
        <v/>
      </c>
      <c r="G108" s="71">
        <f>IF(3+Materiales!$F$18&gt;8,0,INDEX($E$107:$L$107,1,3+Materiales!$F$18))</f>
        <v/>
      </c>
      <c r="H108" s="71">
        <f>IF(4+Materiales!$F$18&gt;8,0,INDEX($E$107:$L$107,1,4+Materiales!$F$18))</f>
        <v/>
      </c>
      <c r="I108" s="71">
        <f>IF(5+Materiales!$F$18&gt;8,0,INDEX($E$107:$L$107,1,5+Materiales!$F$18))</f>
        <v/>
      </c>
      <c r="J108" s="71">
        <f>IF(6+Materiales!$F$18&gt;8,0,INDEX($E$107:$L$107,1,6+Materiales!$F$18))</f>
        <v/>
      </c>
      <c r="K108" s="71">
        <f>IF(7+Materiales!$F$18&gt;8,0,INDEX($E$107:$L$107,1,7+Materiales!$F$18))</f>
        <v/>
      </c>
      <c r="L108" s="71">
        <f>IF(8+Materiales!$F$18&gt;8,0,INDEX($E$107:$L$107,1,8+Materiales!$F$18))</f>
        <v/>
      </c>
      <c r="M108" s="72">
        <f>IF($A103="","",IF(SUMPRODUCT((COLUMN($E$107:$L$107)-4&lt;=Materiales!$F$18)*$E$107:$L$107)&gt;0,"PEDIR YA (atrasado)","OK"))</f>
        <v/>
      </c>
    </row>
    <row r="109" ht="6" customHeight="1"/>
    <row r="110">
      <c r="A110" s="62">
        <f>IF(Materiales!$A$19="","",Materiales!$A$19)</f>
        <v/>
      </c>
      <c r="B110" s="62">
        <f>IF(Materiales!$B$19="","",Materiales!$B$19)</f>
        <v/>
      </c>
      <c r="C110" s="63" t="inlineStr">
        <is>
          <t>Necesidad bruta</t>
        </is>
      </c>
      <c r="D110" s="64" t="n"/>
      <c r="E110" s="65">
        <f>ROUND(SUMIF(Consumo!$P$4:$P$189,"#"&amp;$A110,Consumo!H$4:H$189),4)</f>
        <v/>
      </c>
      <c r="F110" s="65">
        <f>ROUND(SUMIF(Consumo!$P$4:$P$189,"#"&amp;$A110,Consumo!I$4:I$189),4)</f>
        <v/>
      </c>
      <c r="G110" s="65">
        <f>ROUND(SUMIF(Consumo!$P$4:$P$189,"#"&amp;$A110,Consumo!J$4:J$189),4)</f>
        <v/>
      </c>
      <c r="H110" s="65">
        <f>ROUND(SUMIF(Consumo!$P$4:$P$189,"#"&amp;$A110,Consumo!K$4:K$189),4)</f>
        <v/>
      </c>
      <c r="I110" s="65">
        <f>ROUND(SUMIF(Consumo!$P$4:$P$189,"#"&amp;$A110,Consumo!L$4:L$189),4)</f>
        <v/>
      </c>
      <c r="J110" s="65">
        <f>ROUND(SUMIF(Consumo!$P$4:$P$189,"#"&amp;$A110,Consumo!M$4:M$189),4)</f>
        <v/>
      </c>
      <c r="K110" s="65">
        <f>ROUND(SUMIF(Consumo!$P$4:$P$189,"#"&amp;$A110,Consumo!N$4:N$189),4)</f>
        <v/>
      </c>
      <c r="L110" s="65">
        <f>ROUND(SUMIF(Consumo!$P$4:$P$189,"#"&amp;$A110,Consumo!O$4:O$189),4)</f>
        <v/>
      </c>
      <c r="M110" s="66" t="n"/>
    </row>
    <row r="111">
      <c r="C111" s="63" t="inlineStr">
        <is>
          <t>Recepciones programadas (ya pedido)</t>
        </is>
      </c>
      <c r="D111" s="64" t="n"/>
      <c r="E111" s="65">
        <f>SUMIF(Inventario!$M$5:$M$505,"#"&amp;$A110,Inventario!E$5:E$505)</f>
        <v/>
      </c>
      <c r="F111" s="65">
        <f>SUMIF(Inventario!$M$5:$M$505,"#"&amp;$A110,Inventario!F$5:F$505)</f>
        <v/>
      </c>
      <c r="G111" s="65">
        <f>SUMIF(Inventario!$M$5:$M$505,"#"&amp;$A110,Inventario!G$5:G$505)</f>
        <v/>
      </c>
      <c r="H111" s="65">
        <f>SUMIF(Inventario!$M$5:$M$505,"#"&amp;$A110,Inventario!H$5:H$505)</f>
        <v/>
      </c>
      <c r="I111" s="65">
        <f>SUMIF(Inventario!$M$5:$M$505,"#"&amp;$A110,Inventario!I$5:I$505)</f>
        <v/>
      </c>
      <c r="J111" s="65">
        <f>SUMIF(Inventario!$M$5:$M$505,"#"&amp;$A110,Inventario!J$5:J$505)</f>
        <v/>
      </c>
      <c r="K111" s="65">
        <f>SUMIF(Inventario!$M$5:$M$505,"#"&amp;$A110,Inventario!K$5:K$505)</f>
        <v/>
      </c>
      <c r="L111" s="65">
        <f>SUMIF(Inventario!$M$5:$M$505,"#"&amp;$A110,Inventario!L$5:L$505)</f>
        <v/>
      </c>
      <c r="M111" s="66" t="n"/>
    </row>
    <row r="112">
      <c r="C112" s="63" t="inlineStr">
        <is>
          <t>Stock proyectado disponible</t>
        </is>
      </c>
      <c r="D112" s="67">
        <f>SUMIF(Inventario!$M$5:$M$505,"#"&amp;$A110,Inventario!$C$5:$C$505)</f>
        <v/>
      </c>
      <c r="E112" s="68">
        <f>D112+E111+E114-E110</f>
        <v/>
      </c>
      <c r="F112" s="68">
        <f>E112+F111+F114-F110</f>
        <v/>
      </c>
      <c r="G112" s="68">
        <f>F112+G111+G114-G110</f>
        <v/>
      </c>
      <c r="H112" s="68">
        <f>G112+H111+H114-H110</f>
        <v/>
      </c>
      <c r="I112" s="68">
        <f>H112+I111+I114-I110</f>
        <v/>
      </c>
      <c r="J112" s="68">
        <f>I112+J111+J114-J110</f>
        <v/>
      </c>
      <c r="K112" s="68">
        <f>J112+K111+K114-K110</f>
        <v/>
      </c>
      <c r="L112" s="68">
        <f>K112+L111+L114-L110</f>
        <v/>
      </c>
      <c r="M112" s="66" t="n"/>
    </row>
    <row r="113">
      <c r="C113" s="63" t="inlineStr">
        <is>
          <t>Necesidad neta</t>
        </is>
      </c>
      <c r="D113" s="64" t="n"/>
      <c r="E113" s="69">
        <f>MAX(0,ROUND(E110+Materiales!$H$19-D112-E111,4))</f>
        <v/>
      </c>
      <c r="F113" s="69">
        <f>MAX(0,ROUND(F110+Materiales!$H$19-E112-F111,4))</f>
        <v/>
      </c>
      <c r="G113" s="69">
        <f>MAX(0,ROUND(G110+Materiales!$H$19-F112-G111,4))</f>
        <v/>
      </c>
      <c r="H113" s="69">
        <f>MAX(0,ROUND(H110+Materiales!$H$19-G112-H111,4))</f>
        <v/>
      </c>
      <c r="I113" s="69">
        <f>MAX(0,ROUND(I110+Materiales!$H$19-H112-I111,4))</f>
        <v/>
      </c>
      <c r="J113" s="69">
        <f>MAX(0,ROUND(J110+Materiales!$H$19-I112-J111,4))</f>
        <v/>
      </c>
      <c r="K113" s="69">
        <f>MAX(0,ROUND(K110+Materiales!$H$19-J112-K111,4))</f>
        <v/>
      </c>
      <c r="L113" s="69">
        <f>MAX(0,ROUND(L110+Materiales!$H$19-K112-L111,4))</f>
        <v/>
      </c>
      <c r="M113" s="66" t="n"/>
    </row>
    <row r="114">
      <c r="C114" s="63" t="inlineStr">
        <is>
          <t>Recepcion de orden planificada</t>
        </is>
      </c>
      <c r="D114" s="64" t="n"/>
      <c r="E114" s="65">
        <f>IF(E113&lt;=0,0,IF(Materiales!$G$19&lt;=0,E113,ROUNDUP(E113/Materiales!$G$19,0)*Materiales!$G$19))</f>
        <v/>
      </c>
      <c r="F114" s="65">
        <f>IF(F113&lt;=0,0,IF(Materiales!$G$19&lt;=0,F113,ROUNDUP(F113/Materiales!$G$19,0)*Materiales!$G$19))</f>
        <v/>
      </c>
      <c r="G114" s="65">
        <f>IF(G113&lt;=0,0,IF(Materiales!$G$19&lt;=0,G113,ROUNDUP(G113/Materiales!$G$19,0)*Materiales!$G$19))</f>
        <v/>
      </c>
      <c r="H114" s="65">
        <f>IF(H113&lt;=0,0,IF(Materiales!$G$19&lt;=0,H113,ROUNDUP(H113/Materiales!$G$19,0)*Materiales!$G$19))</f>
        <v/>
      </c>
      <c r="I114" s="65">
        <f>IF(I113&lt;=0,0,IF(Materiales!$G$19&lt;=0,I113,ROUNDUP(I113/Materiales!$G$19,0)*Materiales!$G$19))</f>
        <v/>
      </c>
      <c r="J114" s="65">
        <f>IF(J113&lt;=0,0,IF(Materiales!$G$19&lt;=0,J113,ROUNDUP(J113/Materiales!$G$19,0)*Materiales!$G$19))</f>
        <v/>
      </c>
      <c r="K114" s="65">
        <f>IF(K113&lt;=0,0,IF(Materiales!$G$19&lt;=0,K113,ROUNDUP(K113/Materiales!$G$19,0)*Materiales!$G$19))</f>
        <v/>
      </c>
      <c r="L114" s="65">
        <f>IF(L113&lt;=0,0,IF(Materiales!$G$19&lt;=0,L113,ROUNDUP(L113/Materiales!$G$19,0)*Materiales!$G$19))</f>
        <v/>
      </c>
      <c r="M114" s="66" t="n"/>
    </row>
    <row r="115">
      <c r="C115" s="70" t="inlineStr">
        <is>
          <t>LANZAMIENTO DE ORDEN — pedir esta semana</t>
        </is>
      </c>
      <c r="D115" s="64" t="n"/>
      <c r="E115" s="71">
        <f>IF(1+Materiales!$F$19&gt;8,0,INDEX($E$114:$L$114,1,1+Materiales!$F$19))</f>
        <v/>
      </c>
      <c r="F115" s="71">
        <f>IF(2+Materiales!$F$19&gt;8,0,INDEX($E$114:$L$114,1,2+Materiales!$F$19))</f>
        <v/>
      </c>
      <c r="G115" s="71">
        <f>IF(3+Materiales!$F$19&gt;8,0,INDEX($E$114:$L$114,1,3+Materiales!$F$19))</f>
        <v/>
      </c>
      <c r="H115" s="71">
        <f>IF(4+Materiales!$F$19&gt;8,0,INDEX($E$114:$L$114,1,4+Materiales!$F$19))</f>
        <v/>
      </c>
      <c r="I115" s="71">
        <f>IF(5+Materiales!$F$19&gt;8,0,INDEX($E$114:$L$114,1,5+Materiales!$F$19))</f>
        <v/>
      </c>
      <c r="J115" s="71">
        <f>IF(6+Materiales!$F$19&gt;8,0,INDEX($E$114:$L$114,1,6+Materiales!$F$19))</f>
        <v/>
      </c>
      <c r="K115" s="71">
        <f>IF(7+Materiales!$F$19&gt;8,0,INDEX($E$114:$L$114,1,7+Materiales!$F$19))</f>
        <v/>
      </c>
      <c r="L115" s="71">
        <f>IF(8+Materiales!$F$19&gt;8,0,INDEX($E$114:$L$114,1,8+Materiales!$F$19))</f>
        <v/>
      </c>
      <c r="M115" s="72">
        <f>IF($A110="","",IF(SUMPRODUCT((COLUMN($E$114:$L$114)-4&lt;=Materiales!$F$19)*$E$114:$L$114)&gt;0,"PEDIR YA (atrasado)","OK"))</f>
        <v/>
      </c>
    </row>
    <row r="116" ht="6" customHeight="1"/>
    <row r="117">
      <c r="A117" s="62">
        <f>IF(Materiales!$A$20="","",Materiales!$A$20)</f>
        <v/>
      </c>
      <c r="B117" s="62">
        <f>IF(Materiales!$B$20="","",Materiales!$B$20)</f>
        <v/>
      </c>
      <c r="C117" s="63" t="inlineStr">
        <is>
          <t>Necesidad bruta</t>
        </is>
      </c>
      <c r="D117" s="64" t="n"/>
      <c r="E117" s="65">
        <f>ROUND(SUMIF(Consumo!$P$4:$P$189,"#"&amp;$A117,Consumo!H$4:H$189),4)</f>
        <v/>
      </c>
      <c r="F117" s="65">
        <f>ROUND(SUMIF(Consumo!$P$4:$P$189,"#"&amp;$A117,Consumo!I$4:I$189),4)</f>
        <v/>
      </c>
      <c r="G117" s="65">
        <f>ROUND(SUMIF(Consumo!$P$4:$P$189,"#"&amp;$A117,Consumo!J$4:J$189),4)</f>
        <v/>
      </c>
      <c r="H117" s="65">
        <f>ROUND(SUMIF(Consumo!$P$4:$P$189,"#"&amp;$A117,Consumo!K$4:K$189),4)</f>
        <v/>
      </c>
      <c r="I117" s="65">
        <f>ROUND(SUMIF(Consumo!$P$4:$P$189,"#"&amp;$A117,Consumo!L$4:L$189),4)</f>
        <v/>
      </c>
      <c r="J117" s="65">
        <f>ROUND(SUMIF(Consumo!$P$4:$P$189,"#"&amp;$A117,Consumo!M$4:M$189),4)</f>
        <v/>
      </c>
      <c r="K117" s="65">
        <f>ROUND(SUMIF(Consumo!$P$4:$P$189,"#"&amp;$A117,Consumo!N$4:N$189),4)</f>
        <v/>
      </c>
      <c r="L117" s="65">
        <f>ROUND(SUMIF(Consumo!$P$4:$P$189,"#"&amp;$A117,Consumo!O$4:O$189),4)</f>
        <v/>
      </c>
      <c r="M117" s="66" t="n"/>
    </row>
    <row r="118">
      <c r="C118" s="63" t="inlineStr">
        <is>
          <t>Recepciones programadas (ya pedido)</t>
        </is>
      </c>
      <c r="D118" s="64" t="n"/>
      <c r="E118" s="65">
        <f>SUMIF(Inventario!$M$5:$M$505,"#"&amp;$A117,Inventario!E$5:E$505)</f>
        <v/>
      </c>
      <c r="F118" s="65">
        <f>SUMIF(Inventario!$M$5:$M$505,"#"&amp;$A117,Inventario!F$5:F$505)</f>
        <v/>
      </c>
      <c r="G118" s="65">
        <f>SUMIF(Inventario!$M$5:$M$505,"#"&amp;$A117,Inventario!G$5:G$505)</f>
        <v/>
      </c>
      <c r="H118" s="65">
        <f>SUMIF(Inventario!$M$5:$M$505,"#"&amp;$A117,Inventario!H$5:H$505)</f>
        <v/>
      </c>
      <c r="I118" s="65">
        <f>SUMIF(Inventario!$M$5:$M$505,"#"&amp;$A117,Inventario!I$5:I$505)</f>
        <v/>
      </c>
      <c r="J118" s="65">
        <f>SUMIF(Inventario!$M$5:$M$505,"#"&amp;$A117,Inventario!J$5:J$505)</f>
        <v/>
      </c>
      <c r="K118" s="65">
        <f>SUMIF(Inventario!$M$5:$M$505,"#"&amp;$A117,Inventario!K$5:K$505)</f>
        <v/>
      </c>
      <c r="L118" s="65">
        <f>SUMIF(Inventario!$M$5:$M$505,"#"&amp;$A117,Inventario!L$5:L$505)</f>
        <v/>
      </c>
      <c r="M118" s="66" t="n"/>
    </row>
    <row r="119">
      <c r="C119" s="63" t="inlineStr">
        <is>
          <t>Stock proyectado disponible</t>
        </is>
      </c>
      <c r="D119" s="67">
        <f>SUMIF(Inventario!$M$5:$M$505,"#"&amp;$A117,Inventario!$C$5:$C$505)</f>
        <v/>
      </c>
      <c r="E119" s="68">
        <f>D119+E118+E121-E117</f>
        <v/>
      </c>
      <c r="F119" s="68">
        <f>E119+F118+F121-F117</f>
        <v/>
      </c>
      <c r="G119" s="68">
        <f>F119+G118+G121-G117</f>
        <v/>
      </c>
      <c r="H119" s="68">
        <f>G119+H118+H121-H117</f>
        <v/>
      </c>
      <c r="I119" s="68">
        <f>H119+I118+I121-I117</f>
        <v/>
      </c>
      <c r="J119" s="68">
        <f>I119+J118+J121-J117</f>
        <v/>
      </c>
      <c r="K119" s="68">
        <f>J119+K118+K121-K117</f>
        <v/>
      </c>
      <c r="L119" s="68">
        <f>K119+L118+L121-L117</f>
        <v/>
      </c>
      <c r="M119" s="66" t="n"/>
    </row>
    <row r="120">
      <c r="C120" s="63" t="inlineStr">
        <is>
          <t>Necesidad neta</t>
        </is>
      </c>
      <c r="D120" s="64" t="n"/>
      <c r="E120" s="69">
        <f>MAX(0,ROUND(E117+Materiales!$H$20-D119-E118,4))</f>
        <v/>
      </c>
      <c r="F120" s="69">
        <f>MAX(0,ROUND(F117+Materiales!$H$20-E119-F118,4))</f>
        <v/>
      </c>
      <c r="G120" s="69">
        <f>MAX(0,ROUND(G117+Materiales!$H$20-F119-G118,4))</f>
        <v/>
      </c>
      <c r="H120" s="69">
        <f>MAX(0,ROUND(H117+Materiales!$H$20-G119-H118,4))</f>
        <v/>
      </c>
      <c r="I120" s="69">
        <f>MAX(0,ROUND(I117+Materiales!$H$20-H119-I118,4))</f>
        <v/>
      </c>
      <c r="J120" s="69">
        <f>MAX(0,ROUND(J117+Materiales!$H$20-I119-J118,4))</f>
        <v/>
      </c>
      <c r="K120" s="69">
        <f>MAX(0,ROUND(K117+Materiales!$H$20-J119-K118,4))</f>
        <v/>
      </c>
      <c r="L120" s="69">
        <f>MAX(0,ROUND(L117+Materiales!$H$20-K119-L118,4))</f>
        <v/>
      </c>
      <c r="M120" s="66" t="n"/>
    </row>
    <row r="121">
      <c r="C121" s="63" t="inlineStr">
        <is>
          <t>Recepcion de orden planificada</t>
        </is>
      </c>
      <c r="D121" s="64" t="n"/>
      <c r="E121" s="65">
        <f>IF(E120&lt;=0,0,IF(Materiales!$G$20&lt;=0,E120,ROUNDUP(E120/Materiales!$G$20,0)*Materiales!$G$20))</f>
        <v/>
      </c>
      <c r="F121" s="65">
        <f>IF(F120&lt;=0,0,IF(Materiales!$G$20&lt;=0,F120,ROUNDUP(F120/Materiales!$G$20,0)*Materiales!$G$20))</f>
        <v/>
      </c>
      <c r="G121" s="65">
        <f>IF(G120&lt;=0,0,IF(Materiales!$G$20&lt;=0,G120,ROUNDUP(G120/Materiales!$G$20,0)*Materiales!$G$20))</f>
        <v/>
      </c>
      <c r="H121" s="65">
        <f>IF(H120&lt;=0,0,IF(Materiales!$G$20&lt;=0,H120,ROUNDUP(H120/Materiales!$G$20,0)*Materiales!$G$20))</f>
        <v/>
      </c>
      <c r="I121" s="65">
        <f>IF(I120&lt;=0,0,IF(Materiales!$G$20&lt;=0,I120,ROUNDUP(I120/Materiales!$G$20,0)*Materiales!$G$20))</f>
        <v/>
      </c>
      <c r="J121" s="65">
        <f>IF(J120&lt;=0,0,IF(Materiales!$G$20&lt;=0,J120,ROUNDUP(J120/Materiales!$G$20,0)*Materiales!$G$20))</f>
        <v/>
      </c>
      <c r="K121" s="65">
        <f>IF(K120&lt;=0,0,IF(Materiales!$G$20&lt;=0,K120,ROUNDUP(K120/Materiales!$G$20,0)*Materiales!$G$20))</f>
        <v/>
      </c>
      <c r="L121" s="65">
        <f>IF(L120&lt;=0,0,IF(Materiales!$G$20&lt;=0,L120,ROUNDUP(L120/Materiales!$G$20,0)*Materiales!$G$20))</f>
        <v/>
      </c>
      <c r="M121" s="66" t="n"/>
    </row>
    <row r="122">
      <c r="C122" s="70" t="inlineStr">
        <is>
          <t>LANZAMIENTO DE ORDEN — pedir esta semana</t>
        </is>
      </c>
      <c r="D122" s="64" t="n"/>
      <c r="E122" s="71">
        <f>IF(1+Materiales!$F$20&gt;8,0,INDEX($E$121:$L$121,1,1+Materiales!$F$20))</f>
        <v/>
      </c>
      <c r="F122" s="71">
        <f>IF(2+Materiales!$F$20&gt;8,0,INDEX($E$121:$L$121,1,2+Materiales!$F$20))</f>
        <v/>
      </c>
      <c r="G122" s="71">
        <f>IF(3+Materiales!$F$20&gt;8,0,INDEX($E$121:$L$121,1,3+Materiales!$F$20))</f>
        <v/>
      </c>
      <c r="H122" s="71">
        <f>IF(4+Materiales!$F$20&gt;8,0,INDEX($E$121:$L$121,1,4+Materiales!$F$20))</f>
        <v/>
      </c>
      <c r="I122" s="71">
        <f>IF(5+Materiales!$F$20&gt;8,0,INDEX($E$121:$L$121,1,5+Materiales!$F$20))</f>
        <v/>
      </c>
      <c r="J122" s="71">
        <f>IF(6+Materiales!$F$20&gt;8,0,INDEX($E$121:$L$121,1,6+Materiales!$F$20))</f>
        <v/>
      </c>
      <c r="K122" s="71">
        <f>IF(7+Materiales!$F$20&gt;8,0,INDEX($E$121:$L$121,1,7+Materiales!$F$20))</f>
        <v/>
      </c>
      <c r="L122" s="71">
        <f>IF(8+Materiales!$F$20&gt;8,0,INDEX($E$121:$L$121,1,8+Materiales!$F$20))</f>
        <v/>
      </c>
      <c r="M122" s="72">
        <f>IF($A117="","",IF(SUMPRODUCT((COLUMN($E$121:$L$121)-4&lt;=Materiales!$F$20)*$E$121:$L$121)&gt;0,"PEDIR YA (atrasado)","OK"))</f>
        <v/>
      </c>
    </row>
    <row r="123" ht="6" customHeight="1"/>
    <row r="124">
      <c r="A124" s="62">
        <f>IF(Materiales!$A$21="","",Materiales!$A$21)</f>
        <v/>
      </c>
      <c r="B124" s="62">
        <f>IF(Materiales!$B$21="","",Materiales!$B$21)</f>
        <v/>
      </c>
      <c r="C124" s="63" t="inlineStr">
        <is>
          <t>Necesidad bruta</t>
        </is>
      </c>
      <c r="D124" s="64" t="n"/>
      <c r="E124" s="65">
        <f>ROUND(SUMIF(Consumo!$P$4:$P$189,"#"&amp;$A124,Consumo!H$4:H$189),4)</f>
        <v/>
      </c>
      <c r="F124" s="65">
        <f>ROUND(SUMIF(Consumo!$P$4:$P$189,"#"&amp;$A124,Consumo!I$4:I$189),4)</f>
        <v/>
      </c>
      <c r="G124" s="65">
        <f>ROUND(SUMIF(Consumo!$P$4:$P$189,"#"&amp;$A124,Consumo!J$4:J$189),4)</f>
        <v/>
      </c>
      <c r="H124" s="65">
        <f>ROUND(SUMIF(Consumo!$P$4:$P$189,"#"&amp;$A124,Consumo!K$4:K$189),4)</f>
        <v/>
      </c>
      <c r="I124" s="65">
        <f>ROUND(SUMIF(Consumo!$P$4:$P$189,"#"&amp;$A124,Consumo!L$4:L$189),4)</f>
        <v/>
      </c>
      <c r="J124" s="65">
        <f>ROUND(SUMIF(Consumo!$P$4:$P$189,"#"&amp;$A124,Consumo!M$4:M$189),4)</f>
        <v/>
      </c>
      <c r="K124" s="65">
        <f>ROUND(SUMIF(Consumo!$P$4:$P$189,"#"&amp;$A124,Consumo!N$4:N$189),4)</f>
        <v/>
      </c>
      <c r="L124" s="65">
        <f>ROUND(SUMIF(Consumo!$P$4:$P$189,"#"&amp;$A124,Consumo!O$4:O$189),4)</f>
        <v/>
      </c>
      <c r="M124" s="66" t="n"/>
    </row>
    <row r="125">
      <c r="C125" s="63" t="inlineStr">
        <is>
          <t>Recepciones programadas (ya pedido)</t>
        </is>
      </c>
      <c r="D125" s="64" t="n"/>
      <c r="E125" s="65">
        <f>SUMIF(Inventario!$M$5:$M$505,"#"&amp;$A124,Inventario!E$5:E$505)</f>
        <v/>
      </c>
      <c r="F125" s="65">
        <f>SUMIF(Inventario!$M$5:$M$505,"#"&amp;$A124,Inventario!F$5:F$505)</f>
        <v/>
      </c>
      <c r="G125" s="65">
        <f>SUMIF(Inventario!$M$5:$M$505,"#"&amp;$A124,Inventario!G$5:G$505)</f>
        <v/>
      </c>
      <c r="H125" s="65">
        <f>SUMIF(Inventario!$M$5:$M$505,"#"&amp;$A124,Inventario!H$5:H$505)</f>
        <v/>
      </c>
      <c r="I125" s="65">
        <f>SUMIF(Inventario!$M$5:$M$505,"#"&amp;$A124,Inventario!I$5:I$505)</f>
        <v/>
      </c>
      <c r="J125" s="65">
        <f>SUMIF(Inventario!$M$5:$M$505,"#"&amp;$A124,Inventario!J$5:J$505)</f>
        <v/>
      </c>
      <c r="K125" s="65">
        <f>SUMIF(Inventario!$M$5:$M$505,"#"&amp;$A124,Inventario!K$5:K$505)</f>
        <v/>
      </c>
      <c r="L125" s="65">
        <f>SUMIF(Inventario!$M$5:$M$505,"#"&amp;$A124,Inventario!L$5:L$505)</f>
        <v/>
      </c>
      <c r="M125" s="66" t="n"/>
    </row>
    <row r="126">
      <c r="C126" s="63" t="inlineStr">
        <is>
          <t>Stock proyectado disponible</t>
        </is>
      </c>
      <c r="D126" s="67">
        <f>SUMIF(Inventario!$M$5:$M$505,"#"&amp;$A124,Inventario!$C$5:$C$505)</f>
        <v/>
      </c>
      <c r="E126" s="68">
        <f>D126+E125+E128-E124</f>
        <v/>
      </c>
      <c r="F126" s="68">
        <f>E126+F125+F128-F124</f>
        <v/>
      </c>
      <c r="G126" s="68">
        <f>F126+G125+G128-G124</f>
        <v/>
      </c>
      <c r="H126" s="68">
        <f>G126+H125+H128-H124</f>
        <v/>
      </c>
      <c r="I126" s="68">
        <f>H126+I125+I128-I124</f>
        <v/>
      </c>
      <c r="J126" s="68">
        <f>I126+J125+J128-J124</f>
        <v/>
      </c>
      <c r="K126" s="68">
        <f>J126+K125+K128-K124</f>
        <v/>
      </c>
      <c r="L126" s="68">
        <f>K126+L125+L128-L124</f>
        <v/>
      </c>
      <c r="M126" s="66" t="n"/>
    </row>
    <row r="127">
      <c r="C127" s="63" t="inlineStr">
        <is>
          <t>Necesidad neta</t>
        </is>
      </c>
      <c r="D127" s="64" t="n"/>
      <c r="E127" s="69">
        <f>MAX(0,ROUND(E124+Materiales!$H$21-D126-E125,4))</f>
        <v/>
      </c>
      <c r="F127" s="69">
        <f>MAX(0,ROUND(F124+Materiales!$H$21-E126-F125,4))</f>
        <v/>
      </c>
      <c r="G127" s="69">
        <f>MAX(0,ROUND(G124+Materiales!$H$21-F126-G125,4))</f>
        <v/>
      </c>
      <c r="H127" s="69">
        <f>MAX(0,ROUND(H124+Materiales!$H$21-G126-H125,4))</f>
        <v/>
      </c>
      <c r="I127" s="69">
        <f>MAX(0,ROUND(I124+Materiales!$H$21-H126-I125,4))</f>
        <v/>
      </c>
      <c r="J127" s="69">
        <f>MAX(0,ROUND(J124+Materiales!$H$21-I126-J125,4))</f>
        <v/>
      </c>
      <c r="K127" s="69">
        <f>MAX(0,ROUND(K124+Materiales!$H$21-J126-K125,4))</f>
        <v/>
      </c>
      <c r="L127" s="69">
        <f>MAX(0,ROUND(L124+Materiales!$H$21-K126-L125,4))</f>
        <v/>
      </c>
      <c r="M127" s="66" t="n"/>
    </row>
    <row r="128">
      <c r="C128" s="63" t="inlineStr">
        <is>
          <t>Recepcion de orden planificada</t>
        </is>
      </c>
      <c r="D128" s="64" t="n"/>
      <c r="E128" s="65">
        <f>IF(E127&lt;=0,0,IF(Materiales!$G$21&lt;=0,E127,ROUNDUP(E127/Materiales!$G$21,0)*Materiales!$G$21))</f>
        <v/>
      </c>
      <c r="F128" s="65">
        <f>IF(F127&lt;=0,0,IF(Materiales!$G$21&lt;=0,F127,ROUNDUP(F127/Materiales!$G$21,0)*Materiales!$G$21))</f>
        <v/>
      </c>
      <c r="G128" s="65">
        <f>IF(G127&lt;=0,0,IF(Materiales!$G$21&lt;=0,G127,ROUNDUP(G127/Materiales!$G$21,0)*Materiales!$G$21))</f>
        <v/>
      </c>
      <c r="H128" s="65">
        <f>IF(H127&lt;=0,0,IF(Materiales!$G$21&lt;=0,H127,ROUNDUP(H127/Materiales!$G$21,0)*Materiales!$G$21))</f>
        <v/>
      </c>
      <c r="I128" s="65">
        <f>IF(I127&lt;=0,0,IF(Materiales!$G$21&lt;=0,I127,ROUNDUP(I127/Materiales!$G$21,0)*Materiales!$G$21))</f>
        <v/>
      </c>
      <c r="J128" s="65">
        <f>IF(J127&lt;=0,0,IF(Materiales!$G$21&lt;=0,J127,ROUNDUP(J127/Materiales!$G$21,0)*Materiales!$G$21))</f>
        <v/>
      </c>
      <c r="K128" s="65">
        <f>IF(K127&lt;=0,0,IF(Materiales!$G$21&lt;=0,K127,ROUNDUP(K127/Materiales!$G$21,0)*Materiales!$G$21))</f>
        <v/>
      </c>
      <c r="L128" s="65">
        <f>IF(L127&lt;=0,0,IF(Materiales!$G$21&lt;=0,L127,ROUNDUP(L127/Materiales!$G$21,0)*Materiales!$G$21))</f>
        <v/>
      </c>
      <c r="M128" s="66" t="n"/>
    </row>
    <row r="129">
      <c r="C129" s="70" t="inlineStr">
        <is>
          <t>LANZAMIENTO DE ORDEN — pedir esta semana</t>
        </is>
      </c>
      <c r="D129" s="64" t="n"/>
      <c r="E129" s="71">
        <f>IF(1+Materiales!$F$21&gt;8,0,INDEX($E$128:$L$128,1,1+Materiales!$F$21))</f>
        <v/>
      </c>
      <c r="F129" s="71">
        <f>IF(2+Materiales!$F$21&gt;8,0,INDEX($E$128:$L$128,1,2+Materiales!$F$21))</f>
        <v/>
      </c>
      <c r="G129" s="71">
        <f>IF(3+Materiales!$F$21&gt;8,0,INDEX($E$128:$L$128,1,3+Materiales!$F$21))</f>
        <v/>
      </c>
      <c r="H129" s="71">
        <f>IF(4+Materiales!$F$21&gt;8,0,INDEX($E$128:$L$128,1,4+Materiales!$F$21))</f>
        <v/>
      </c>
      <c r="I129" s="71">
        <f>IF(5+Materiales!$F$21&gt;8,0,INDEX($E$128:$L$128,1,5+Materiales!$F$21))</f>
        <v/>
      </c>
      <c r="J129" s="71">
        <f>IF(6+Materiales!$F$21&gt;8,0,INDEX($E$128:$L$128,1,6+Materiales!$F$21))</f>
        <v/>
      </c>
      <c r="K129" s="71">
        <f>IF(7+Materiales!$F$21&gt;8,0,INDEX($E$128:$L$128,1,7+Materiales!$F$21))</f>
        <v/>
      </c>
      <c r="L129" s="71">
        <f>IF(8+Materiales!$F$21&gt;8,0,INDEX($E$128:$L$128,1,8+Materiales!$F$21))</f>
        <v/>
      </c>
      <c r="M129" s="72">
        <f>IF($A124="","",IF(SUMPRODUCT((COLUMN($E$128:$L$128)-4&lt;=Materiales!$F$21)*$E$128:$L$128)&gt;0,"PEDIR YA (atrasado)","OK"))</f>
        <v/>
      </c>
    </row>
    <row r="130" ht="6" customHeight="1"/>
    <row r="131">
      <c r="A131" s="62">
        <f>IF(Materiales!$A$22="","",Materiales!$A$22)</f>
        <v/>
      </c>
      <c r="B131" s="62">
        <f>IF(Materiales!$B$22="","",Materiales!$B$22)</f>
        <v/>
      </c>
      <c r="C131" s="63" t="inlineStr">
        <is>
          <t>Necesidad bruta</t>
        </is>
      </c>
      <c r="D131" s="64" t="n"/>
      <c r="E131" s="65">
        <f>ROUND(SUMIF(Consumo!$P$4:$P$189,"#"&amp;$A131,Consumo!H$4:H$189),4)</f>
        <v/>
      </c>
      <c r="F131" s="65">
        <f>ROUND(SUMIF(Consumo!$P$4:$P$189,"#"&amp;$A131,Consumo!I$4:I$189),4)</f>
        <v/>
      </c>
      <c r="G131" s="65">
        <f>ROUND(SUMIF(Consumo!$P$4:$P$189,"#"&amp;$A131,Consumo!J$4:J$189),4)</f>
        <v/>
      </c>
      <c r="H131" s="65">
        <f>ROUND(SUMIF(Consumo!$P$4:$P$189,"#"&amp;$A131,Consumo!K$4:K$189),4)</f>
        <v/>
      </c>
      <c r="I131" s="65">
        <f>ROUND(SUMIF(Consumo!$P$4:$P$189,"#"&amp;$A131,Consumo!L$4:L$189),4)</f>
        <v/>
      </c>
      <c r="J131" s="65">
        <f>ROUND(SUMIF(Consumo!$P$4:$P$189,"#"&amp;$A131,Consumo!M$4:M$189),4)</f>
        <v/>
      </c>
      <c r="K131" s="65">
        <f>ROUND(SUMIF(Consumo!$P$4:$P$189,"#"&amp;$A131,Consumo!N$4:N$189),4)</f>
        <v/>
      </c>
      <c r="L131" s="65">
        <f>ROUND(SUMIF(Consumo!$P$4:$P$189,"#"&amp;$A131,Consumo!O$4:O$189),4)</f>
        <v/>
      </c>
      <c r="M131" s="66" t="n"/>
    </row>
    <row r="132">
      <c r="C132" s="63" t="inlineStr">
        <is>
          <t>Recepciones programadas (ya pedido)</t>
        </is>
      </c>
      <c r="D132" s="64" t="n"/>
      <c r="E132" s="65">
        <f>SUMIF(Inventario!$M$5:$M$505,"#"&amp;$A131,Inventario!E$5:E$505)</f>
        <v/>
      </c>
      <c r="F132" s="65">
        <f>SUMIF(Inventario!$M$5:$M$505,"#"&amp;$A131,Inventario!F$5:F$505)</f>
        <v/>
      </c>
      <c r="G132" s="65">
        <f>SUMIF(Inventario!$M$5:$M$505,"#"&amp;$A131,Inventario!G$5:G$505)</f>
        <v/>
      </c>
      <c r="H132" s="65">
        <f>SUMIF(Inventario!$M$5:$M$505,"#"&amp;$A131,Inventario!H$5:H$505)</f>
        <v/>
      </c>
      <c r="I132" s="65">
        <f>SUMIF(Inventario!$M$5:$M$505,"#"&amp;$A131,Inventario!I$5:I$505)</f>
        <v/>
      </c>
      <c r="J132" s="65">
        <f>SUMIF(Inventario!$M$5:$M$505,"#"&amp;$A131,Inventario!J$5:J$505)</f>
        <v/>
      </c>
      <c r="K132" s="65">
        <f>SUMIF(Inventario!$M$5:$M$505,"#"&amp;$A131,Inventario!K$5:K$505)</f>
        <v/>
      </c>
      <c r="L132" s="65">
        <f>SUMIF(Inventario!$M$5:$M$505,"#"&amp;$A131,Inventario!L$5:L$505)</f>
        <v/>
      </c>
      <c r="M132" s="66" t="n"/>
    </row>
    <row r="133">
      <c r="C133" s="63" t="inlineStr">
        <is>
          <t>Stock proyectado disponible</t>
        </is>
      </c>
      <c r="D133" s="67">
        <f>SUMIF(Inventario!$M$5:$M$505,"#"&amp;$A131,Inventario!$C$5:$C$505)</f>
        <v/>
      </c>
      <c r="E133" s="68">
        <f>D133+E132+E135-E131</f>
        <v/>
      </c>
      <c r="F133" s="68">
        <f>E133+F132+F135-F131</f>
        <v/>
      </c>
      <c r="G133" s="68">
        <f>F133+G132+G135-G131</f>
        <v/>
      </c>
      <c r="H133" s="68">
        <f>G133+H132+H135-H131</f>
        <v/>
      </c>
      <c r="I133" s="68">
        <f>H133+I132+I135-I131</f>
        <v/>
      </c>
      <c r="J133" s="68">
        <f>I133+J132+J135-J131</f>
        <v/>
      </c>
      <c r="K133" s="68">
        <f>J133+K132+K135-K131</f>
        <v/>
      </c>
      <c r="L133" s="68">
        <f>K133+L132+L135-L131</f>
        <v/>
      </c>
      <c r="M133" s="66" t="n"/>
    </row>
    <row r="134">
      <c r="C134" s="63" t="inlineStr">
        <is>
          <t>Necesidad neta</t>
        </is>
      </c>
      <c r="D134" s="64" t="n"/>
      <c r="E134" s="69">
        <f>MAX(0,ROUND(E131+Materiales!$H$22-D133-E132,4))</f>
        <v/>
      </c>
      <c r="F134" s="69">
        <f>MAX(0,ROUND(F131+Materiales!$H$22-E133-F132,4))</f>
        <v/>
      </c>
      <c r="G134" s="69">
        <f>MAX(0,ROUND(G131+Materiales!$H$22-F133-G132,4))</f>
        <v/>
      </c>
      <c r="H134" s="69">
        <f>MAX(0,ROUND(H131+Materiales!$H$22-G133-H132,4))</f>
        <v/>
      </c>
      <c r="I134" s="69">
        <f>MAX(0,ROUND(I131+Materiales!$H$22-H133-I132,4))</f>
        <v/>
      </c>
      <c r="J134" s="69">
        <f>MAX(0,ROUND(J131+Materiales!$H$22-I133-J132,4))</f>
        <v/>
      </c>
      <c r="K134" s="69">
        <f>MAX(0,ROUND(K131+Materiales!$H$22-J133-K132,4))</f>
        <v/>
      </c>
      <c r="L134" s="69">
        <f>MAX(0,ROUND(L131+Materiales!$H$22-K133-L132,4))</f>
        <v/>
      </c>
      <c r="M134" s="66" t="n"/>
    </row>
    <row r="135">
      <c r="C135" s="63" t="inlineStr">
        <is>
          <t>Recepcion de orden planificada</t>
        </is>
      </c>
      <c r="D135" s="64" t="n"/>
      <c r="E135" s="65">
        <f>IF(E134&lt;=0,0,IF(Materiales!$G$22&lt;=0,E134,ROUNDUP(E134/Materiales!$G$22,0)*Materiales!$G$22))</f>
        <v/>
      </c>
      <c r="F135" s="65">
        <f>IF(F134&lt;=0,0,IF(Materiales!$G$22&lt;=0,F134,ROUNDUP(F134/Materiales!$G$22,0)*Materiales!$G$22))</f>
        <v/>
      </c>
      <c r="G135" s="65">
        <f>IF(G134&lt;=0,0,IF(Materiales!$G$22&lt;=0,G134,ROUNDUP(G134/Materiales!$G$22,0)*Materiales!$G$22))</f>
        <v/>
      </c>
      <c r="H135" s="65">
        <f>IF(H134&lt;=0,0,IF(Materiales!$G$22&lt;=0,H134,ROUNDUP(H134/Materiales!$G$22,0)*Materiales!$G$22))</f>
        <v/>
      </c>
      <c r="I135" s="65">
        <f>IF(I134&lt;=0,0,IF(Materiales!$G$22&lt;=0,I134,ROUNDUP(I134/Materiales!$G$22,0)*Materiales!$G$22))</f>
        <v/>
      </c>
      <c r="J135" s="65">
        <f>IF(J134&lt;=0,0,IF(Materiales!$G$22&lt;=0,J134,ROUNDUP(J134/Materiales!$G$22,0)*Materiales!$G$22))</f>
        <v/>
      </c>
      <c r="K135" s="65">
        <f>IF(K134&lt;=0,0,IF(Materiales!$G$22&lt;=0,K134,ROUNDUP(K134/Materiales!$G$22,0)*Materiales!$G$22))</f>
        <v/>
      </c>
      <c r="L135" s="65">
        <f>IF(L134&lt;=0,0,IF(Materiales!$G$22&lt;=0,L134,ROUNDUP(L134/Materiales!$G$22,0)*Materiales!$G$22))</f>
        <v/>
      </c>
      <c r="M135" s="66" t="n"/>
    </row>
    <row r="136">
      <c r="C136" s="70" t="inlineStr">
        <is>
          <t>LANZAMIENTO DE ORDEN — pedir esta semana</t>
        </is>
      </c>
      <c r="D136" s="64" t="n"/>
      <c r="E136" s="71">
        <f>IF(1+Materiales!$F$22&gt;8,0,INDEX($E$135:$L$135,1,1+Materiales!$F$22))</f>
        <v/>
      </c>
      <c r="F136" s="71">
        <f>IF(2+Materiales!$F$22&gt;8,0,INDEX($E$135:$L$135,1,2+Materiales!$F$22))</f>
        <v/>
      </c>
      <c r="G136" s="71">
        <f>IF(3+Materiales!$F$22&gt;8,0,INDEX($E$135:$L$135,1,3+Materiales!$F$22))</f>
        <v/>
      </c>
      <c r="H136" s="71">
        <f>IF(4+Materiales!$F$22&gt;8,0,INDEX($E$135:$L$135,1,4+Materiales!$F$22))</f>
        <v/>
      </c>
      <c r="I136" s="71">
        <f>IF(5+Materiales!$F$22&gt;8,0,INDEX($E$135:$L$135,1,5+Materiales!$F$22))</f>
        <v/>
      </c>
      <c r="J136" s="71">
        <f>IF(6+Materiales!$F$22&gt;8,0,INDEX($E$135:$L$135,1,6+Materiales!$F$22))</f>
        <v/>
      </c>
      <c r="K136" s="71">
        <f>IF(7+Materiales!$F$22&gt;8,0,INDEX($E$135:$L$135,1,7+Materiales!$F$22))</f>
        <v/>
      </c>
      <c r="L136" s="71">
        <f>IF(8+Materiales!$F$22&gt;8,0,INDEX($E$135:$L$135,1,8+Materiales!$F$22))</f>
        <v/>
      </c>
      <c r="M136" s="72">
        <f>IF($A131="","",IF(SUMPRODUCT((COLUMN($E$135:$L$135)-4&lt;=Materiales!$F$22)*$E$135:$L$135)&gt;0,"PEDIR YA (atrasado)","OK"))</f>
        <v/>
      </c>
    </row>
    <row r="137" ht="6" customHeight="1"/>
    <row r="138">
      <c r="A138" s="62">
        <f>IF(Materiales!$A$23="","",Materiales!$A$23)</f>
        <v/>
      </c>
      <c r="B138" s="62">
        <f>IF(Materiales!$B$23="","",Materiales!$B$23)</f>
        <v/>
      </c>
      <c r="C138" s="63" t="inlineStr">
        <is>
          <t>Necesidad bruta</t>
        </is>
      </c>
      <c r="D138" s="64" t="n"/>
      <c r="E138" s="65">
        <f>ROUND(SUMIF(Consumo!$P$4:$P$189,"#"&amp;$A138,Consumo!H$4:H$189),4)</f>
        <v/>
      </c>
      <c r="F138" s="65">
        <f>ROUND(SUMIF(Consumo!$P$4:$P$189,"#"&amp;$A138,Consumo!I$4:I$189),4)</f>
        <v/>
      </c>
      <c r="G138" s="65">
        <f>ROUND(SUMIF(Consumo!$P$4:$P$189,"#"&amp;$A138,Consumo!J$4:J$189),4)</f>
        <v/>
      </c>
      <c r="H138" s="65">
        <f>ROUND(SUMIF(Consumo!$P$4:$P$189,"#"&amp;$A138,Consumo!K$4:K$189),4)</f>
        <v/>
      </c>
      <c r="I138" s="65">
        <f>ROUND(SUMIF(Consumo!$P$4:$P$189,"#"&amp;$A138,Consumo!L$4:L$189),4)</f>
        <v/>
      </c>
      <c r="J138" s="65">
        <f>ROUND(SUMIF(Consumo!$P$4:$P$189,"#"&amp;$A138,Consumo!M$4:M$189),4)</f>
        <v/>
      </c>
      <c r="K138" s="65">
        <f>ROUND(SUMIF(Consumo!$P$4:$P$189,"#"&amp;$A138,Consumo!N$4:N$189),4)</f>
        <v/>
      </c>
      <c r="L138" s="65">
        <f>ROUND(SUMIF(Consumo!$P$4:$P$189,"#"&amp;$A138,Consumo!O$4:O$189),4)</f>
        <v/>
      </c>
      <c r="M138" s="66" t="n"/>
    </row>
    <row r="139">
      <c r="C139" s="63" t="inlineStr">
        <is>
          <t>Recepciones programadas (ya pedido)</t>
        </is>
      </c>
      <c r="D139" s="64" t="n"/>
      <c r="E139" s="65">
        <f>SUMIF(Inventario!$M$5:$M$505,"#"&amp;$A138,Inventario!E$5:E$505)</f>
        <v/>
      </c>
      <c r="F139" s="65">
        <f>SUMIF(Inventario!$M$5:$M$505,"#"&amp;$A138,Inventario!F$5:F$505)</f>
        <v/>
      </c>
      <c r="G139" s="65">
        <f>SUMIF(Inventario!$M$5:$M$505,"#"&amp;$A138,Inventario!G$5:G$505)</f>
        <v/>
      </c>
      <c r="H139" s="65">
        <f>SUMIF(Inventario!$M$5:$M$505,"#"&amp;$A138,Inventario!H$5:H$505)</f>
        <v/>
      </c>
      <c r="I139" s="65">
        <f>SUMIF(Inventario!$M$5:$M$505,"#"&amp;$A138,Inventario!I$5:I$505)</f>
        <v/>
      </c>
      <c r="J139" s="65">
        <f>SUMIF(Inventario!$M$5:$M$505,"#"&amp;$A138,Inventario!J$5:J$505)</f>
        <v/>
      </c>
      <c r="K139" s="65">
        <f>SUMIF(Inventario!$M$5:$M$505,"#"&amp;$A138,Inventario!K$5:K$505)</f>
        <v/>
      </c>
      <c r="L139" s="65">
        <f>SUMIF(Inventario!$M$5:$M$505,"#"&amp;$A138,Inventario!L$5:L$505)</f>
        <v/>
      </c>
      <c r="M139" s="66" t="n"/>
    </row>
    <row r="140">
      <c r="C140" s="63" t="inlineStr">
        <is>
          <t>Stock proyectado disponible</t>
        </is>
      </c>
      <c r="D140" s="67">
        <f>SUMIF(Inventario!$M$5:$M$505,"#"&amp;$A138,Inventario!$C$5:$C$505)</f>
        <v/>
      </c>
      <c r="E140" s="68">
        <f>D140+E139+E142-E138</f>
        <v/>
      </c>
      <c r="F140" s="68">
        <f>E140+F139+F142-F138</f>
        <v/>
      </c>
      <c r="G140" s="68">
        <f>F140+G139+G142-G138</f>
        <v/>
      </c>
      <c r="H140" s="68">
        <f>G140+H139+H142-H138</f>
        <v/>
      </c>
      <c r="I140" s="68">
        <f>H140+I139+I142-I138</f>
        <v/>
      </c>
      <c r="J140" s="68">
        <f>I140+J139+J142-J138</f>
        <v/>
      </c>
      <c r="K140" s="68">
        <f>J140+K139+K142-K138</f>
        <v/>
      </c>
      <c r="L140" s="68">
        <f>K140+L139+L142-L138</f>
        <v/>
      </c>
      <c r="M140" s="66" t="n"/>
    </row>
    <row r="141">
      <c r="C141" s="63" t="inlineStr">
        <is>
          <t>Necesidad neta</t>
        </is>
      </c>
      <c r="D141" s="64" t="n"/>
      <c r="E141" s="69">
        <f>MAX(0,ROUND(E138+Materiales!$H$23-D140-E139,4))</f>
        <v/>
      </c>
      <c r="F141" s="69">
        <f>MAX(0,ROUND(F138+Materiales!$H$23-E140-F139,4))</f>
        <v/>
      </c>
      <c r="G141" s="69">
        <f>MAX(0,ROUND(G138+Materiales!$H$23-F140-G139,4))</f>
        <v/>
      </c>
      <c r="H141" s="69">
        <f>MAX(0,ROUND(H138+Materiales!$H$23-G140-H139,4))</f>
        <v/>
      </c>
      <c r="I141" s="69">
        <f>MAX(0,ROUND(I138+Materiales!$H$23-H140-I139,4))</f>
        <v/>
      </c>
      <c r="J141" s="69">
        <f>MAX(0,ROUND(J138+Materiales!$H$23-I140-J139,4))</f>
        <v/>
      </c>
      <c r="K141" s="69">
        <f>MAX(0,ROUND(K138+Materiales!$H$23-J140-K139,4))</f>
        <v/>
      </c>
      <c r="L141" s="69">
        <f>MAX(0,ROUND(L138+Materiales!$H$23-K140-L139,4))</f>
        <v/>
      </c>
      <c r="M141" s="66" t="n"/>
    </row>
    <row r="142">
      <c r="C142" s="63" t="inlineStr">
        <is>
          <t>Recepcion de orden planificada</t>
        </is>
      </c>
      <c r="D142" s="64" t="n"/>
      <c r="E142" s="65">
        <f>IF(E141&lt;=0,0,IF(Materiales!$G$23&lt;=0,E141,ROUNDUP(E141/Materiales!$G$23,0)*Materiales!$G$23))</f>
        <v/>
      </c>
      <c r="F142" s="65">
        <f>IF(F141&lt;=0,0,IF(Materiales!$G$23&lt;=0,F141,ROUNDUP(F141/Materiales!$G$23,0)*Materiales!$G$23))</f>
        <v/>
      </c>
      <c r="G142" s="65">
        <f>IF(G141&lt;=0,0,IF(Materiales!$G$23&lt;=0,G141,ROUNDUP(G141/Materiales!$G$23,0)*Materiales!$G$23))</f>
        <v/>
      </c>
      <c r="H142" s="65">
        <f>IF(H141&lt;=0,0,IF(Materiales!$G$23&lt;=0,H141,ROUNDUP(H141/Materiales!$G$23,0)*Materiales!$G$23))</f>
        <v/>
      </c>
      <c r="I142" s="65">
        <f>IF(I141&lt;=0,0,IF(Materiales!$G$23&lt;=0,I141,ROUNDUP(I141/Materiales!$G$23,0)*Materiales!$G$23))</f>
        <v/>
      </c>
      <c r="J142" s="65">
        <f>IF(J141&lt;=0,0,IF(Materiales!$G$23&lt;=0,J141,ROUNDUP(J141/Materiales!$G$23,0)*Materiales!$G$23))</f>
        <v/>
      </c>
      <c r="K142" s="65">
        <f>IF(K141&lt;=0,0,IF(Materiales!$G$23&lt;=0,K141,ROUNDUP(K141/Materiales!$G$23,0)*Materiales!$G$23))</f>
        <v/>
      </c>
      <c r="L142" s="65">
        <f>IF(L141&lt;=0,0,IF(Materiales!$G$23&lt;=0,L141,ROUNDUP(L141/Materiales!$G$23,0)*Materiales!$G$23))</f>
        <v/>
      </c>
      <c r="M142" s="66" t="n"/>
    </row>
    <row r="143">
      <c r="C143" s="70" t="inlineStr">
        <is>
          <t>LANZAMIENTO DE ORDEN — pedir esta semana</t>
        </is>
      </c>
      <c r="D143" s="64" t="n"/>
      <c r="E143" s="71">
        <f>IF(1+Materiales!$F$23&gt;8,0,INDEX($E$142:$L$142,1,1+Materiales!$F$23))</f>
        <v/>
      </c>
      <c r="F143" s="71">
        <f>IF(2+Materiales!$F$23&gt;8,0,INDEX($E$142:$L$142,1,2+Materiales!$F$23))</f>
        <v/>
      </c>
      <c r="G143" s="71">
        <f>IF(3+Materiales!$F$23&gt;8,0,INDEX($E$142:$L$142,1,3+Materiales!$F$23))</f>
        <v/>
      </c>
      <c r="H143" s="71">
        <f>IF(4+Materiales!$F$23&gt;8,0,INDEX($E$142:$L$142,1,4+Materiales!$F$23))</f>
        <v/>
      </c>
      <c r="I143" s="71">
        <f>IF(5+Materiales!$F$23&gt;8,0,INDEX($E$142:$L$142,1,5+Materiales!$F$23))</f>
        <v/>
      </c>
      <c r="J143" s="71">
        <f>IF(6+Materiales!$F$23&gt;8,0,INDEX($E$142:$L$142,1,6+Materiales!$F$23))</f>
        <v/>
      </c>
      <c r="K143" s="71">
        <f>IF(7+Materiales!$F$23&gt;8,0,INDEX($E$142:$L$142,1,7+Materiales!$F$23))</f>
        <v/>
      </c>
      <c r="L143" s="71">
        <f>IF(8+Materiales!$F$23&gt;8,0,INDEX($E$142:$L$142,1,8+Materiales!$F$23))</f>
        <v/>
      </c>
      <c r="M143" s="72">
        <f>IF($A138="","",IF(SUMPRODUCT((COLUMN($E$142:$L$142)-4&lt;=Materiales!$F$23)*$E$142:$L$142)&gt;0,"PEDIR YA (atrasado)","OK"))</f>
        <v/>
      </c>
    </row>
    <row r="144" ht="6" customHeight="1"/>
    <row r="145">
      <c r="A145" s="62">
        <f>IF(Materiales!$A$24="","",Materiales!$A$24)</f>
        <v/>
      </c>
      <c r="B145" s="62">
        <f>IF(Materiales!$B$24="","",Materiales!$B$24)</f>
        <v/>
      </c>
      <c r="C145" s="63" t="inlineStr">
        <is>
          <t>Necesidad bruta</t>
        </is>
      </c>
      <c r="D145" s="64" t="n"/>
      <c r="E145" s="65">
        <f>ROUND(SUMIF(Consumo!$P$4:$P$189,"#"&amp;$A145,Consumo!H$4:H$189),4)</f>
        <v/>
      </c>
      <c r="F145" s="65">
        <f>ROUND(SUMIF(Consumo!$P$4:$P$189,"#"&amp;$A145,Consumo!I$4:I$189),4)</f>
        <v/>
      </c>
      <c r="G145" s="65">
        <f>ROUND(SUMIF(Consumo!$P$4:$P$189,"#"&amp;$A145,Consumo!J$4:J$189),4)</f>
        <v/>
      </c>
      <c r="H145" s="65">
        <f>ROUND(SUMIF(Consumo!$P$4:$P$189,"#"&amp;$A145,Consumo!K$4:K$189),4)</f>
        <v/>
      </c>
      <c r="I145" s="65">
        <f>ROUND(SUMIF(Consumo!$P$4:$P$189,"#"&amp;$A145,Consumo!L$4:L$189),4)</f>
        <v/>
      </c>
      <c r="J145" s="65">
        <f>ROUND(SUMIF(Consumo!$P$4:$P$189,"#"&amp;$A145,Consumo!M$4:M$189),4)</f>
        <v/>
      </c>
      <c r="K145" s="65">
        <f>ROUND(SUMIF(Consumo!$P$4:$P$189,"#"&amp;$A145,Consumo!N$4:N$189),4)</f>
        <v/>
      </c>
      <c r="L145" s="65">
        <f>ROUND(SUMIF(Consumo!$P$4:$P$189,"#"&amp;$A145,Consumo!O$4:O$189),4)</f>
        <v/>
      </c>
      <c r="M145" s="66" t="n"/>
    </row>
    <row r="146">
      <c r="C146" s="63" t="inlineStr">
        <is>
          <t>Recepciones programadas (ya pedido)</t>
        </is>
      </c>
      <c r="D146" s="64" t="n"/>
      <c r="E146" s="65">
        <f>SUMIF(Inventario!$M$5:$M$505,"#"&amp;$A145,Inventario!E$5:E$505)</f>
        <v/>
      </c>
      <c r="F146" s="65">
        <f>SUMIF(Inventario!$M$5:$M$505,"#"&amp;$A145,Inventario!F$5:F$505)</f>
        <v/>
      </c>
      <c r="G146" s="65">
        <f>SUMIF(Inventario!$M$5:$M$505,"#"&amp;$A145,Inventario!G$5:G$505)</f>
        <v/>
      </c>
      <c r="H146" s="65">
        <f>SUMIF(Inventario!$M$5:$M$505,"#"&amp;$A145,Inventario!H$5:H$505)</f>
        <v/>
      </c>
      <c r="I146" s="65">
        <f>SUMIF(Inventario!$M$5:$M$505,"#"&amp;$A145,Inventario!I$5:I$505)</f>
        <v/>
      </c>
      <c r="J146" s="65">
        <f>SUMIF(Inventario!$M$5:$M$505,"#"&amp;$A145,Inventario!J$5:J$505)</f>
        <v/>
      </c>
      <c r="K146" s="65">
        <f>SUMIF(Inventario!$M$5:$M$505,"#"&amp;$A145,Inventario!K$5:K$505)</f>
        <v/>
      </c>
      <c r="L146" s="65">
        <f>SUMIF(Inventario!$M$5:$M$505,"#"&amp;$A145,Inventario!L$5:L$505)</f>
        <v/>
      </c>
      <c r="M146" s="66" t="n"/>
    </row>
    <row r="147">
      <c r="C147" s="63" t="inlineStr">
        <is>
          <t>Stock proyectado disponible</t>
        </is>
      </c>
      <c r="D147" s="67">
        <f>SUMIF(Inventario!$M$5:$M$505,"#"&amp;$A145,Inventario!$C$5:$C$505)</f>
        <v/>
      </c>
      <c r="E147" s="68">
        <f>D147+E146+E149-E145</f>
        <v/>
      </c>
      <c r="F147" s="68">
        <f>E147+F146+F149-F145</f>
        <v/>
      </c>
      <c r="G147" s="68">
        <f>F147+G146+G149-G145</f>
        <v/>
      </c>
      <c r="H147" s="68">
        <f>G147+H146+H149-H145</f>
        <v/>
      </c>
      <c r="I147" s="68">
        <f>H147+I146+I149-I145</f>
        <v/>
      </c>
      <c r="J147" s="68">
        <f>I147+J146+J149-J145</f>
        <v/>
      </c>
      <c r="K147" s="68">
        <f>J147+K146+K149-K145</f>
        <v/>
      </c>
      <c r="L147" s="68">
        <f>K147+L146+L149-L145</f>
        <v/>
      </c>
      <c r="M147" s="66" t="n"/>
    </row>
    <row r="148">
      <c r="C148" s="63" t="inlineStr">
        <is>
          <t>Necesidad neta</t>
        </is>
      </c>
      <c r="D148" s="64" t="n"/>
      <c r="E148" s="69">
        <f>MAX(0,ROUND(E145+Materiales!$H$24-D147-E146,4))</f>
        <v/>
      </c>
      <c r="F148" s="69">
        <f>MAX(0,ROUND(F145+Materiales!$H$24-E147-F146,4))</f>
        <v/>
      </c>
      <c r="G148" s="69">
        <f>MAX(0,ROUND(G145+Materiales!$H$24-F147-G146,4))</f>
        <v/>
      </c>
      <c r="H148" s="69">
        <f>MAX(0,ROUND(H145+Materiales!$H$24-G147-H146,4))</f>
        <v/>
      </c>
      <c r="I148" s="69">
        <f>MAX(0,ROUND(I145+Materiales!$H$24-H147-I146,4))</f>
        <v/>
      </c>
      <c r="J148" s="69">
        <f>MAX(0,ROUND(J145+Materiales!$H$24-I147-J146,4))</f>
        <v/>
      </c>
      <c r="K148" s="69">
        <f>MAX(0,ROUND(K145+Materiales!$H$24-J147-K146,4))</f>
        <v/>
      </c>
      <c r="L148" s="69">
        <f>MAX(0,ROUND(L145+Materiales!$H$24-K147-L146,4))</f>
        <v/>
      </c>
      <c r="M148" s="66" t="n"/>
    </row>
    <row r="149">
      <c r="C149" s="63" t="inlineStr">
        <is>
          <t>Recepcion de orden planificada</t>
        </is>
      </c>
      <c r="D149" s="64" t="n"/>
      <c r="E149" s="65">
        <f>IF(E148&lt;=0,0,IF(Materiales!$G$24&lt;=0,E148,ROUNDUP(E148/Materiales!$G$24,0)*Materiales!$G$24))</f>
        <v/>
      </c>
      <c r="F149" s="65">
        <f>IF(F148&lt;=0,0,IF(Materiales!$G$24&lt;=0,F148,ROUNDUP(F148/Materiales!$G$24,0)*Materiales!$G$24))</f>
        <v/>
      </c>
      <c r="G149" s="65">
        <f>IF(G148&lt;=0,0,IF(Materiales!$G$24&lt;=0,G148,ROUNDUP(G148/Materiales!$G$24,0)*Materiales!$G$24))</f>
        <v/>
      </c>
      <c r="H149" s="65">
        <f>IF(H148&lt;=0,0,IF(Materiales!$G$24&lt;=0,H148,ROUNDUP(H148/Materiales!$G$24,0)*Materiales!$G$24))</f>
        <v/>
      </c>
      <c r="I149" s="65">
        <f>IF(I148&lt;=0,0,IF(Materiales!$G$24&lt;=0,I148,ROUNDUP(I148/Materiales!$G$24,0)*Materiales!$G$24))</f>
        <v/>
      </c>
      <c r="J149" s="65">
        <f>IF(J148&lt;=0,0,IF(Materiales!$G$24&lt;=0,J148,ROUNDUP(J148/Materiales!$G$24,0)*Materiales!$G$24))</f>
        <v/>
      </c>
      <c r="K149" s="65">
        <f>IF(K148&lt;=0,0,IF(Materiales!$G$24&lt;=0,K148,ROUNDUP(K148/Materiales!$G$24,0)*Materiales!$G$24))</f>
        <v/>
      </c>
      <c r="L149" s="65">
        <f>IF(L148&lt;=0,0,IF(Materiales!$G$24&lt;=0,L148,ROUNDUP(L148/Materiales!$G$24,0)*Materiales!$G$24))</f>
        <v/>
      </c>
      <c r="M149" s="66" t="n"/>
    </row>
    <row r="150">
      <c r="C150" s="70" t="inlineStr">
        <is>
          <t>LANZAMIENTO DE ORDEN — pedir esta semana</t>
        </is>
      </c>
      <c r="D150" s="64" t="n"/>
      <c r="E150" s="71">
        <f>IF(1+Materiales!$F$24&gt;8,0,INDEX($E$149:$L$149,1,1+Materiales!$F$24))</f>
        <v/>
      </c>
      <c r="F150" s="71">
        <f>IF(2+Materiales!$F$24&gt;8,0,INDEX($E$149:$L$149,1,2+Materiales!$F$24))</f>
        <v/>
      </c>
      <c r="G150" s="71">
        <f>IF(3+Materiales!$F$24&gt;8,0,INDEX($E$149:$L$149,1,3+Materiales!$F$24))</f>
        <v/>
      </c>
      <c r="H150" s="71">
        <f>IF(4+Materiales!$F$24&gt;8,0,INDEX($E$149:$L$149,1,4+Materiales!$F$24))</f>
        <v/>
      </c>
      <c r="I150" s="71">
        <f>IF(5+Materiales!$F$24&gt;8,0,INDEX($E$149:$L$149,1,5+Materiales!$F$24))</f>
        <v/>
      </c>
      <c r="J150" s="71">
        <f>IF(6+Materiales!$F$24&gt;8,0,INDEX($E$149:$L$149,1,6+Materiales!$F$24))</f>
        <v/>
      </c>
      <c r="K150" s="71">
        <f>IF(7+Materiales!$F$24&gt;8,0,INDEX($E$149:$L$149,1,7+Materiales!$F$24))</f>
        <v/>
      </c>
      <c r="L150" s="71">
        <f>IF(8+Materiales!$F$24&gt;8,0,INDEX($E$149:$L$149,1,8+Materiales!$F$24))</f>
        <v/>
      </c>
      <c r="M150" s="72">
        <f>IF($A145="","",IF(SUMPRODUCT((COLUMN($E$149:$L$149)-4&lt;=Materiales!$F$24)*$E$149:$L$149)&gt;0,"PEDIR YA (atrasado)","OK"))</f>
        <v/>
      </c>
    </row>
    <row r="151" ht="6" customHeight="1"/>
    <row r="152">
      <c r="A152" s="62">
        <f>IF(Materiales!$A$25="","",Materiales!$A$25)</f>
        <v/>
      </c>
      <c r="B152" s="62">
        <f>IF(Materiales!$B$25="","",Materiales!$B$25)</f>
        <v/>
      </c>
      <c r="C152" s="63" t="inlineStr">
        <is>
          <t>Necesidad bruta</t>
        </is>
      </c>
      <c r="D152" s="64" t="n"/>
      <c r="E152" s="65">
        <f>ROUND(SUMIF(Consumo!$P$4:$P$189,"#"&amp;$A152,Consumo!H$4:H$189),4)</f>
        <v/>
      </c>
      <c r="F152" s="65">
        <f>ROUND(SUMIF(Consumo!$P$4:$P$189,"#"&amp;$A152,Consumo!I$4:I$189),4)</f>
        <v/>
      </c>
      <c r="G152" s="65">
        <f>ROUND(SUMIF(Consumo!$P$4:$P$189,"#"&amp;$A152,Consumo!J$4:J$189),4)</f>
        <v/>
      </c>
      <c r="H152" s="65">
        <f>ROUND(SUMIF(Consumo!$P$4:$P$189,"#"&amp;$A152,Consumo!K$4:K$189),4)</f>
        <v/>
      </c>
      <c r="I152" s="65">
        <f>ROUND(SUMIF(Consumo!$P$4:$P$189,"#"&amp;$A152,Consumo!L$4:L$189),4)</f>
        <v/>
      </c>
      <c r="J152" s="65">
        <f>ROUND(SUMIF(Consumo!$P$4:$P$189,"#"&amp;$A152,Consumo!M$4:M$189),4)</f>
        <v/>
      </c>
      <c r="K152" s="65">
        <f>ROUND(SUMIF(Consumo!$P$4:$P$189,"#"&amp;$A152,Consumo!N$4:N$189),4)</f>
        <v/>
      </c>
      <c r="L152" s="65">
        <f>ROUND(SUMIF(Consumo!$P$4:$P$189,"#"&amp;$A152,Consumo!O$4:O$189),4)</f>
        <v/>
      </c>
      <c r="M152" s="66" t="n"/>
    </row>
    <row r="153">
      <c r="C153" s="63" t="inlineStr">
        <is>
          <t>Recepciones programadas (ya pedido)</t>
        </is>
      </c>
      <c r="D153" s="64" t="n"/>
      <c r="E153" s="65">
        <f>SUMIF(Inventario!$M$5:$M$505,"#"&amp;$A152,Inventario!E$5:E$505)</f>
        <v/>
      </c>
      <c r="F153" s="65">
        <f>SUMIF(Inventario!$M$5:$M$505,"#"&amp;$A152,Inventario!F$5:F$505)</f>
        <v/>
      </c>
      <c r="G153" s="65">
        <f>SUMIF(Inventario!$M$5:$M$505,"#"&amp;$A152,Inventario!G$5:G$505)</f>
        <v/>
      </c>
      <c r="H153" s="65">
        <f>SUMIF(Inventario!$M$5:$M$505,"#"&amp;$A152,Inventario!H$5:H$505)</f>
        <v/>
      </c>
      <c r="I153" s="65">
        <f>SUMIF(Inventario!$M$5:$M$505,"#"&amp;$A152,Inventario!I$5:I$505)</f>
        <v/>
      </c>
      <c r="J153" s="65">
        <f>SUMIF(Inventario!$M$5:$M$505,"#"&amp;$A152,Inventario!J$5:J$505)</f>
        <v/>
      </c>
      <c r="K153" s="65">
        <f>SUMIF(Inventario!$M$5:$M$505,"#"&amp;$A152,Inventario!K$5:K$505)</f>
        <v/>
      </c>
      <c r="L153" s="65">
        <f>SUMIF(Inventario!$M$5:$M$505,"#"&amp;$A152,Inventario!L$5:L$505)</f>
        <v/>
      </c>
      <c r="M153" s="66" t="n"/>
    </row>
    <row r="154">
      <c r="C154" s="63" t="inlineStr">
        <is>
          <t>Stock proyectado disponible</t>
        </is>
      </c>
      <c r="D154" s="67">
        <f>SUMIF(Inventario!$M$5:$M$505,"#"&amp;$A152,Inventario!$C$5:$C$505)</f>
        <v/>
      </c>
      <c r="E154" s="68">
        <f>D154+E153+E156-E152</f>
        <v/>
      </c>
      <c r="F154" s="68">
        <f>E154+F153+F156-F152</f>
        <v/>
      </c>
      <c r="G154" s="68">
        <f>F154+G153+G156-G152</f>
        <v/>
      </c>
      <c r="H154" s="68">
        <f>G154+H153+H156-H152</f>
        <v/>
      </c>
      <c r="I154" s="68">
        <f>H154+I153+I156-I152</f>
        <v/>
      </c>
      <c r="J154" s="68">
        <f>I154+J153+J156-J152</f>
        <v/>
      </c>
      <c r="K154" s="68">
        <f>J154+K153+K156-K152</f>
        <v/>
      </c>
      <c r="L154" s="68">
        <f>K154+L153+L156-L152</f>
        <v/>
      </c>
      <c r="M154" s="66" t="n"/>
    </row>
    <row r="155">
      <c r="C155" s="63" t="inlineStr">
        <is>
          <t>Necesidad neta</t>
        </is>
      </c>
      <c r="D155" s="64" t="n"/>
      <c r="E155" s="69">
        <f>MAX(0,ROUND(E152+Materiales!$H$25-D154-E153,4))</f>
        <v/>
      </c>
      <c r="F155" s="69">
        <f>MAX(0,ROUND(F152+Materiales!$H$25-E154-F153,4))</f>
        <v/>
      </c>
      <c r="G155" s="69">
        <f>MAX(0,ROUND(G152+Materiales!$H$25-F154-G153,4))</f>
        <v/>
      </c>
      <c r="H155" s="69">
        <f>MAX(0,ROUND(H152+Materiales!$H$25-G154-H153,4))</f>
        <v/>
      </c>
      <c r="I155" s="69">
        <f>MAX(0,ROUND(I152+Materiales!$H$25-H154-I153,4))</f>
        <v/>
      </c>
      <c r="J155" s="69">
        <f>MAX(0,ROUND(J152+Materiales!$H$25-I154-J153,4))</f>
        <v/>
      </c>
      <c r="K155" s="69">
        <f>MAX(0,ROUND(K152+Materiales!$H$25-J154-K153,4))</f>
        <v/>
      </c>
      <c r="L155" s="69">
        <f>MAX(0,ROUND(L152+Materiales!$H$25-K154-L153,4))</f>
        <v/>
      </c>
      <c r="M155" s="66" t="n"/>
    </row>
    <row r="156">
      <c r="C156" s="63" t="inlineStr">
        <is>
          <t>Recepcion de orden planificada</t>
        </is>
      </c>
      <c r="D156" s="64" t="n"/>
      <c r="E156" s="65">
        <f>IF(E155&lt;=0,0,IF(Materiales!$G$25&lt;=0,E155,ROUNDUP(E155/Materiales!$G$25,0)*Materiales!$G$25))</f>
        <v/>
      </c>
      <c r="F156" s="65">
        <f>IF(F155&lt;=0,0,IF(Materiales!$G$25&lt;=0,F155,ROUNDUP(F155/Materiales!$G$25,0)*Materiales!$G$25))</f>
        <v/>
      </c>
      <c r="G156" s="65">
        <f>IF(G155&lt;=0,0,IF(Materiales!$G$25&lt;=0,G155,ROUNDUP(G155/Materiales!$G$25,0)*Materiales!$G$25))</f>
        <v/>
      </c>
      <c r="H156" s="65">
        <f>IF(H155&lt;=0,0,IF(Materiales!$G$25&lt;=0,H155,ROUNDUP(H155/Materiales!$G$25,0)*Materiales!$G$25))</f>
        <v/>
      </c>
      <c r="I156" s="65">
        <f>IF(I155&lt;=0,0,IF(Materiales!$G$25&lt;=0,I155,ROUNDUP(I155/Materiales!$G$25,0)*Materiales!$G$25))</f>
        <v/>
      </c>
      <c r="J156" s="65">
        <f>IF(J155&lt;=0,0,IF(Materiales!$G$25&lt;=0,J155,ROUNDUP(J155/Materiales!$G$25,0)*Materiales!$G$25))</f>
        <v/>
      </c>
      <c r="K156" s="65">
        <f>IF(K155&lt;=0,0,IF(Materiales!$G$25&lt;=0,K155,ROUNDUP(K155/Materiales!$G$25,0)*Materiales!$G$25))</f>
        <v/>
      </c>
      <c r="L156" s="65">
        <f>IF(L155&lt;=0,0,IF(Materiales!$G$25&lt;=0,L155,ROUNDUP(L155/Materiales!$G$25,0)*Materiales!$G$25))</f>
        <v/>
      </c>
      <c r="M156" s="66" t="n"/>
    </row>
    <row r="157">
      <c r="C157" s="70" t="inlineStr">
        <is>
          <t>LANZAMIENTO DE ORDEN — pedir esta semana</t>
        </is>
      </c>
      <c r="D157" s="64" t="n"/>
      <c r="E157" s="71">
        <f>IF(1+Materiales!$F$25&gt;8,0,INDEX($E$156:$L$156,1,1+Materiales!$F$25))</f>
        <v/>
      </c>
      <c r="F157" s="71">
        <f>IF(2+Materiales!$F$25&gt;8,0,INDEX($E$156:$L$156,1,2+Materiales!$F$25))</f>
        <v/>
      </c>
      <c r="G157" s="71">
        <f>IF(3+Materiales!$F$25&gt;8,0,INDEX($E$156:$L$156,1,3+Materiales!$F$25))</f>
        <v/>
      </c>
      <c r="H157" s="71">
        <f>IF(4+Materiales!$F$25&gt;8,0,INDEX($E$156:$L$156,1,4+Materiales!$F$25))</f>
        <v/>
      </c>
      <c r="I157" s="71">
        <f>IF(5+Materiales!$F$25&gt;8,0,INDEX($E$156:$L$156,1,5+Materiales!$F$25))</f>
        <v/>
      </c>
      <c r="J157" s="71">
        <f>IF(6+Materiales!$F$25&gt;8,0,INDEX($E$156:$L$156,1,6+Materiales!$F$25))</f>
        <v/>
      </c>
      <c r="K157" s="71">
        <f>IF(7+Materiales!$F$25&gt;8,0,INDEX($E$156:$L$156,1,7+Materiales!$F$25))</f>
        <v/>
      </c>
      <c r="L157" s="71">
        <f>IF(8+Materiales!$F$25&gt;8,0,INDEX($E$156:$L$156,1,8+Materiales!$F$25))</f>
        <v/>
      </c>
      <c r="M157" s="72">
        <f>IF($A152="","",IF(SUMPRODUCT((COLUMN($E$156:$L$156)-4&lt;=Materiales!$F$25)*$E$156:$L$156)&gt;0,"PEDIR YA (atrasado)","OK"))</f>
        <v/>
      </c>
    </row>
    <row r="158" ht="6" customHeight="1"/>
    <row r="159">
      <c r="A159" s="62">
        <f>IF(Materiales!$A$26="","",Materiales!$A$26)</f>
        <v/>
      </c>
      <c r="B159" s="62">
        <f>IF(Materiales!$B$26="","",Materiales!$B$26)</f>
        <v/>
      </c>
      <c r="C159" s="63" t="inlineStr">
        <is>
          <t>Necesidad bruta</t>
        </is>
      </c>
      <c r="D159" s="64" t="n"/>
      <c r="E159" s="65">
        <f>ROUND(SUMIF(Consumo!$P$4:$P$189,"#"&amp;$A159,Consumo!H$4:H$189),4)</f>
        <v/>
      </c>
      <c r="F159" s="65">
        <f>ROUND(SUMIF(Consumo!$P$4:$P$189,"#"&amp;$A159,Consumo!I$4:I$189),4)</f>
        <v/>
      </c>
      <c r="G159" s="65">
        <f>ROUND(SUMIF(Consumo!$P$4:$P$189,"#"&amp;$A159,Consumo!J$4:J$189),4)</f>
        <v/>
      </c>
      <c r="H159" s="65">
        <f>ROUND(SUMIF(Consumo!$P$4:$P$189,"#"&amp;$A159,Consumo!K$4:K$189),4)</f>
        <v/>
      </c>
      <c r="I159" s="65">
        <f>ROUND(SUMIF(Consumo!$P$4:$P$189,"#"&amp;$A159,Consumo!L$4:L$189),4)</f>
        <v/>
      </c>
      <c r="J159" s="65">
        <f>ROUND(SUMIF(Consumo!$P$4:$P$189,"#"&amp;$A159,Consumo!M$4:M$189),4)</f>
        <v/>
      </c>
      <c r="K159" s="65">
        <f>ROUND(SUMIF(Consumo!$P$4:$P$189,"#"&amp;$A159,Consumo!N$4:N$189),4)</f>
        <v/>
      </c>
      <c r="L159" s="65">
        <f>ROUND(SUMIF(Consumo!$P$4:$P$189,"#"&amp;$A159,Consumo!O$4:O$189),4)</f>
        <v/>
      </c>
      <c r="M159" s="66" t="n"/>
    </row>
    <row r="160">
      <c r="C160" s="63" t="inlineStr">
        <is>
          <t>Recepciones programadas (ya pedido)</t>
        </is>
      </c>
      <c r="D160" s="64" t="n"/>
      <c r="E160" s="65">
        <f>SUMIF(Inventario!$M$5:$M$505,"#"&amp;$A159,Inventario!E$5:E$505)</f>
        <v/>
      </c>
      <c r="F160" s="65">
        <f>SUMIF(Inventario!$M$5:$M$505,"#"&amp;$A159,Inventario!F$5:F$505)</f>
        <v/>
      </c>
      <c r="G160" s="65">
        <f>SUMIF(Inventario!$M$5:$M$505,"#"&amp;$A159,Inventario!G$5:G$505)</f>
        <v/>
      </c>
      <c r="H160" s="65">
        <f>SUMIF(Inventario!$M$5:$M$505,"#"&amp;$A159,Inventario!H$5:H$505)</f>
        <v/>
      </c>
      <c r="I160" s="65">
        <f>SUMIF(Inventario!$M$5:$M$505,"#"&amp;$A159,Inventario!I$5:I$505)</f>
        <v/>
      </c>
      <c r="J160" s="65">
        <f>SUMIF(Inventario!$M$5:$M$505,"#"&amp;$A159,Inventario!J$5:J$505)</f>
        <v/>
      </c>
      <c r="K160" s="65">
        <f>SUMIF(Inventario!$M$5:$M$505,"#"&amp;$A159,Inventario!K$5:K$505)</f>
        <v/>
      </c>
      <c r="L160" s="65">
        <f>SUMIF(Inventario!$M$5:$M$505,"#"&amp;$A159,Inventario!L$5:L$505)</f>
        <v/>
      </c>
      <c r="M160" s="66" t="n"/>
    </row>
    <row r="161">
      <c r="C161" s="63" t="inlineStr">
        <is>
          <t>Stock proyectado disponible</t>
        </is>
      </c>
      <c r="D161" s="67">
        <f>SUMIF(Inventario!$M$5:$M$505,"#"&amp;$A159,Inventario!$C$5:$C$505)</f>
        <v/>
      </c>
      <c r="E161" s="68">
        <f>D161+E160+E163-E159</f>
        <v/>
      </c>
      <c r="F161" s="68">
        <f>E161+F160+F163-F159</f>
        <v/>
      </c>
      <c r="G161" s="68">
        <f>F161+G160+G163-G159</f>
        <v/>
      </c>
      <c r="H161" s="68">
        <f>G161+H160+H163-H159</f>
        <v/>
      </c>
      <c r="I161" s="68">
        <f>H161+I160+I163-I159</f>
        <v/>
      </c>
      <c r="J161" s="68">
        <f>I161+J160+J163-J159</f>
        <v/>
      </c>
      <c r="K161" s="68">
        <f>J161+K160+K163-K159</f>
        <v/>
      </c>
      <c r="L161" s="68">
        <f>K161+L160+L163-L159</f>
        <v/>
      </c>
      <c r="M161" s="66" t="n"/>
    </row>
    <row r="162">
      <c r="C162" s="63" t="inlineStr">
        <is>
          <t>Necesidad neta</t>
        </is>
      </c>
      <c r="D162" s="64" t="n"/>
      <c r="E162" s="69">
        <f>MAX(0,ROUND(E159+Materiales!$H$26-D161-E160,4))</f>
        <v/>
      </c>
      <c r="F162" s="69">
        <f>MAX(0,ROUND(F159+Materiales!$H$26-E161-F160,4))</f>
        <v/>
      </c>
      <c r="G162" s="69">
        <f>MAX(0,ROUND(G159+Materiales!$H$26-F161-G160,4))</f>
        <v/>
      </c>
      <c r="H162" s="69">
        <f>MAX(0,ROUND(H159+Materiales!$H$26-G161-H160,4))</f>
        <v/>
      </c>
      <c r="I162" s="69">
        <f>MAX(0,ROUND(I159+Materiales!$H$26-H161-I160,4))</f>
        <v/>
      </c>
      <c r="J162" s="69">
        <f>MAX(0,ROUND(J159+Materiales!$H$26-I161-J160,4))</f>
        <v/>
      </c>
      <c r="K162" s="69">
        <f>MAX(0,ROUND(K159+Materiales!$H$26-J161-K160,4))</f>
        <v/>
      </c>
      <c r="L162" s="69">
        <f>MAX(0,ROUND(L159+Materiales!$H$26-K161-L160,4))</f>
        <v/>
      </c>
      <c r="M162" s="66" t="n"/>
    </row>
    <row r="163">
      <c r="C163" s="63" t="inlineStr">
        <is>
          <t>Recepcion de orden planificada</t>
        </is>
      </c>
      <c r="D163" s="64" t="n"/>
      <c r="E163" s="65">
        <f>IF(E162&lt;=0,0,IF(Materiales!$G$26&lt;=0,E162,ROUNDUP(E162/Materiales!$G$26,0)*Materiales!$G$26))</f>
        <v/>
      </c>
      <c r="F163" s="65">
        <f>IF(F162&lt;=0,0,IF(Materiales!$G$26&lt;=0,F162,ROUNDUP(F162/Materiales!$G$26,0)*Materiales!$G$26))</f>
        <v/>
      </c>
      <c r="G163" s="65">
        <f>IF(G162&lt;=0,0,IF(Materiales!$G$26&lt;=0,G162,ROUNDUP(G162/Materiales!$G$26,0)*Materiales!$G$26))</f>
        <v/>
      </c>
      <c r="H163" s="65">
        <f>IF(H162&lt;=0,0,IF(Materiales!$G$26&lt;=0,H162,ROUNDUP(H162/Materiales!$G$26,0)*Materiales!$G$26))</f>
        <v/>
      </c>
      <c r="I163" s="65">
        <f>IF(I162&lt;=0,0,IF(Materiales!$G$26&lt;=0,I162,ROUNDUP(I162/Materiales!$G$26,0)*Materiales!$G$26))</f>
        <v/>
      </c>
      <c r="J163" s="65">
        <f>IF(J162&lt;=0,0,IF(Materiales!$G$26&lt;=0,J162,ROUNDUP(J162/Materiales!$G$26,0)*Materiales!$G$26))</f>
        <v/>
      </c>
      <c r="K163" s="65">
        <f>IF(K162&lt;=0,0,IF(Materiales!$G$26&lt;=0,K162,ROUNDUP(K162/Materiales!$G$26,0)*Materiales!$G$26))</f>
        <v/>
      </c>
      <c r="L163" s="65">
        <f>IF(L162&lt;=0,0,IF(Materiales!$G$26&lt;=0,L162,ROUNDUP(L162/Materiales!$G$26,0)*Materiales!$G$26))</f>
        <v/>
      </c>
      <c r="M163" s="66" t="n"/>
    </row>
    <row r="164">
      <c r="C164" s="70" t="inlineStr">
        <is>
          <t>LANZAMIENTO DE ORDEN — pedir esta semana</t>
        </is>
      </c>
      <c r="D164" s="64" t="n"/>
      <c r="E164" s="71">
        <f>IF(1+Materiales!$F$26&gt;8,0,INDEX($E$163:$L$163,1,1+Materiales!$F$26))</f>
        <v/>
      </c>
      <c r="F164" s="71">
        <f>IF(2+Materiales!$F$26&gt;8,0,INDEX($E$163:$L$163,1,2+Materiales!$F$26))</f>
        <v/>
      </c>
      <c r="G164" s="71">
        <f>IF(3+Materiales!$F$26&gt;8,0,INDEX($E$163:$L$163,1,3+Materiales!$F$26))</f>
        <v/>
      </c>
      <c r="H164" s="71">
        <f>IF(4+Materiales!$F$26&gt;8,0,INDEX($E$163:$L$163,1,4+Materiales!$F$26))</f>
        <v/>
      </c>
      <c r="I164" s="71">
        <f>IF(5+Materiales!$F$26&gt;8,0,INDEX($E$163:$L$163,1,5+Materiales!$F$26))</f>
        <v/>
      </c>
      <c r="J164" s="71">
        <f>IF(6+Materiales!$F$26&gt;8,0,INDEX($E$163:$L$163,1,6+Materiales!$F$26))</f>
        <v/>
      </c>
      <c r="K164" s="71">
        <f>IF(7+Materiales!$F$26&gt;8,0,INDEX($E$163:$L$163,1,7+Materiales!$F$26))</f>
        <v/>
      </c>
      <c r="L164" s="71">
        <f>IF(8+Materiales!$F$26&gt;8,0,INDEX($E$163:$L$163,1,8+Materiales!$F$26))</f>
        <v/>
      </c>
      <c r="M164" s="72">
        <f>IF($A159="","",IF(SUMPRODUCT((COLUMN($E$163:$L$163)-4&lt;=Materiales!$F$26)*$E$163:$L$163)&gt;0,"PEDIR YA (atrasado)","OK"))</f>
        <v/>
      </c>
    </row>
    <row r="165" ht="6" customHeight="1"/>
    <row r="166">
      <c r="A166" s="62">
        <f>IF(Materiales!$A$27="","",Materiales!$A$27)</f>
        <v/>
      </c>
      <c r="B166" s="62">
        <f>IF(Materiales!$B$27="","",Materiales!$B$27)</f>
        <v/>
      </c>
      <c r="C166" s="63" t="inlineStr">
        <is>
          <t>Necesidad bruta</t>
        </is>
      </c>
      <c r="D166" s="64" t="n"/>
      <c r="E166" s="65">
        <f>ROUND(SUMIF(Consumo!$P$4:$P$189,"#"&amp;$A166,Consumo!H$4:H$189),4)</f>
        <v/>
      </c>
      <c r="F166" s="65">
        <f>ROUND(SUMIF(Consumo!$P$4:$P$189,"#"&amp;$A166,Consumo!I$4:I$189),4)</f>
        <v/>
      </c>
      <c r="G166" s="65">
        <f>ROUND(SUMIF(Consumo!$P$4:$P$189,"#"&amp;$A166,Consumo!J$4:J$189),4)</f>
        <v/>
      </c>
      <c r="H166" s="65">
        <f>ROUND(SUMIF(Consumo!$P$4:$P$189,"#"&amp;$A166,Consumo!K$4:K$189),4)</f>
        <v/>
      </c>
      <c r="I166" s="65">
        <f>ROUND(SUMIF(Consumo!$P$4:$P$189,"#"&amp;$A166,Consumo!L$4:L$189),4)</f>
        <v/>
      </c>
      <c r="J166" s="65">
        <f>ROUND(SUMIF(Consumo!$P$4:$P$189,"#"&amp;$A166,Consumo!M$4:M$189),4)</f>
        <v/>
      </c>
      <c r="K166" s="65">
        <f>ROUND(SUMIF(Consumo!$P$4:$P$189,"#"&amp;$A166,Consumo!N$4:N$189),4)</f>
        <v/>
      </c>
      <c r="L166" s="65">
        <f>ROUND(SUMIF(Consumo!$P$4:$P$189,"#"&amp;$A166,Consumo!O$4:O$189),4)</f>
        <v/>
      </c>
      <c r="M166" s="66" t="n"/>
    </row>
    <row r="167">
      <c r="C167" s="63" t="inlineStr">
        <is>
          <t>Recepciones programadas (ya pedido)</t>
        </is>
      </c>
      <c r="D167" s="64" t="n"/>
      <c r="E167" s="65">
        <f>SUMIF(Inventario!$M$5:$M$505,"#"&amp;$A166,Inventario!E$5:E$505)</f>
        <v/>
      </c>
      <c r="F167" s="65">
        <f>SUMIF(Inventario!$M$5:$M$505,"#"&amp;$A166,Inventario!F$5:F$505)</f>
        <v/>
      </c>
      <c r="G167" s="65">
        <f>SUMIF(Inventario!$M$5:$M$505,"#"&amp;$A166,Inventario!G$5:G$505)</f>
        <v/>
      </c>
      <c r="H167" s="65">
        <f>SUMIF(Inventario!$M$5:$M$505,"#"&amp;$A166,Inventario!H$5:H$505)</f>
        <v/>
      </c>
      <c r="I167" s="65">
        <f>SUMIF(Inventario!$M$5:$M$505,"#"&amp;$A166,Inventario!I$5:I$505)</f>
        <v/>
      </c>
      <c r="J167" s="65">
        <f>SUMIF(Inventario!$M$5:$M$505,"#"&amp;$A166,Inventario!J$5:J$505)</f>
        <v/>
      </c>
      <c r="K167" s="65">
        <f>SUMIF(Inventario!$M$5:$M$505,"#"&amp;$A166,Inventario!K$5:K$505)</f>
        <v/>
      </c>
      <c r="L167" s="65">
        <f>SUMIF(Inventario!$M$5:$M$505,"#"&amp;$A166,Inventario!L$5:L$505)</f>
        <v/>
      </c>
      <c r="M167" s="66" t="n"/>
    </row>
    <row r="168">
      <c r="C168" s="63" t="inlineStr">
        <is>
          <t>Stock proyectado disponible</t>
        </is>
      </c>
      <c r="D168" s="67">
        <f>SUMIF(Inventario!$M$5:$M$505,"#"&amp;$A166,Inventario!$C$5:$C$505)</f>
        <v/>
      </c>
      <c r="E168" s="68">
        <f>D168+E167+E170-E166</f>
        <v/>
      </c>
      <c r="F168" s="68">
        <f>E168+F167+F170-F166</f>
        <v/>
      </c>
      <c r="G168" s="68">
        <f>F168+G167+G170-G166</f>
        <v/>
      </c>
      <c r="H168" s="68">
        <f>G168+H167+H170-H166</f>
        <v/>
      </c>
      <c r="I168" s="68">
        <f>H168+I167+I170-I166</f>
        <v/>
      </c>
      <c r="J168" s="68">
        <f>I168+J167+J170-J166</f>
        <v/>
      </c>
      <c r="K168" s="68">
        <f>J168+K167+K170-K166</f>
        <v/>
      </c>
      <c r="L168" s="68">
        <f>K168+L167+L170-L166</f>
        <v/>
      </c>
      <c r="M168" s="66" t="n"/>
    </row>
    <row r="169">
      <c r="C169" s="63" t="inlineStr">
        <is>
          <t>Necesidad neta</t>
        </is>
      </c>
      <c r="D169" s="64" t="n"/>
      <c r="E169" s="69">
        <f>MAX(0,ROUND(E166+Materiales!$H$27-D168-E167,4))</f>
        <v/>
      </c>
      <c r="F169" s="69">
        <f>MAX(0,ROUND(F166+Materiales!$H$27-E168-F167,4))</f>
        <v/>
      </c>
      <c r="G169" s="69">
        <f>MAX(0,ROUND(G166+Materiales!$H$27-F168-G167,4))</f>
        <v/>
      </c>
      <c r="H169" s="69">
        <f>MAX(0,ROUND(H166+Materiales!$H$27-G168-H167,4))</f>
        <v/>
      </c>
      <c r="I169" s="69">
        <f>MAX(0,ROUND(I166+Materiales!$H$27-H168-I167,4))</f>
        <v/>
      </c>
      <c r="J169" s="69">
        <f>MAX(0,ROUND(J166+Materiales!$H$27-I168-J167,4))</f>
        <v/>
      </c>
      <c r="K169" s="69">
        <f>MAX(0,ROUND(K166+Materiales!$H$27-J168-K167,4))</f>
        <v/>
      </c>
      <c r="L169" s="69">
        <f>MAX(0,ROUND(L166+Materiales!$H$27-K168-L167,4))</f>
        <v/>
      </c>
      <c r="M169" s="66" t="n"/>
    </row>
    <row r="170">
      <c r="C170" s="63" t="inlineStr">
        <is>
          <t>Recepcion de orden planificada</t>
        </is>
      </c>
      <c r="D170" s="64" t="n"/>
      <c r="E170" s="65">
        <f>IF(E169&lt;=0,0,IF(Materiales!$G$27&lt;=0,E169,ROUNDUP(E169/Materiales!$G$27,0)*Materiales!$G$27))</f>
        <v/>
      </c>
      <c r="F170" s="65">
        <f>IF(F169&lt;=0,0,IF(Materiales!$G$27&lt;=0,F169,ROUNDUP(F169/Materiales!$G$27,0)*Materiales!$G$27))</f>
        <v/>
      </c>
      <c r="G170" s="65">
        <f>IF(G169&lt;=0,0,IF(Materiales!$G$27&lt;=0,G169,ROUNDUP(G169/Materiales!$G$27,0)*Materiales!$G$27))</f>
        <v/>
      </c>
      <c r="H170" s="65">
        <f>IF(H169&lt;=0,0,IF(Materiales!$G$27&lt;=0,H169,ROUNDUP(H169/Materiales!$G$27,0)*Materiales!$G$27))</f>
        <v/>
      </c>
      <c r="I170" s="65">
        <f>IF(I169&lt;=0,0,IF(Materiales!$G$27&lt;=0,I169,ROUNDUP(I169/Materiales!$G$27,0)*Materiales!$G$27))</f>
        <v/>
      </c>
      <c r="J170" s="65">
        <f>IF(J169&lt;=0,0,IF(Materiales!$G$27&lt;=0,J169,ROUNDUP(J169/Materiales!$G$27,0)*Materiales!$G$27))</f>
        <v/>
      </c>
      <c r="K170" s="65">
        <f>IF(K169&lt;=0,0,IF(Materiales!$G$27&lt;=0,K169,ROUNDUP(K169/Materiales!$G$27,0)*Materiales!$G$27))</f>
        <v/>
      </c>
      <c r="L170" s="65">
        <f>IF(L169&lt;=0,0,IF(Materiales!$G$27&lt;=0,L169,ROUNDUP(L169/Materiales!$G$27,0)*Materiales!$G$27))</f>
        <v/>
      </c>
      <c r="M170" s="66" t="n"/>
    </row>
    <row r="171">
      <c r="C171" s="70" t="inlineStr">
        <is>
          <t>LANZAMIENTO DE ORDEN — pedir esta semana</t>
        </is>
      </c>
      <c r="D171" s="64" t="n"/>
      <c r="E171" s="71">
        <f>IF(1+Materiales!$F$27&gt;8,0,INDEX($E$170:$L$170,1,1+Materiales!$F$27))</f>
        <v/>
      </c>
      <c r="F171" s="71">
        <f>IF(2+Materiales!$F$27&gt;8,0,INDEX($E$170:$L$170,1,2+Materiales!$F$27))</f>
        <v/>
      </c>
      <c r="G171" s="71">
        <f>IF(3+Materiales!$F$27&gt;8,0,INDEX($E$170:$L$170,1,3+Materiales!$F$27))</f>
        <v/>
      </c>
      <c r="H171" s="71">
        <f>IF(4+Materiales!$F$27&gt;8,0,INDEX($E$170:$L$170,1,4+Materiales!$F$27))</f>
        <v/>
      </c>
      <c r="I171" s="71">
        <f>IF(5+Materiales!$F$27&gt;8,0,INDEX($E$170:$L$170,1,5+Materiales!$F$27))</f>
        <v/>
      </c>
      <c r="J171" s="71">
        <f>IF(6+Materiales!$F$27&gt;8,0,INDEX($E$170:$L$170,1,6+Materiales!$F$27))</f>
        <v/>
      </c>
      <c r="K171" s="71">
        <f>IF(7+Materiales!$F$27&gt;8,0,INDEX($E$170:$L$170,1,7+Materiales!$F$27))</f>
        <v/>
      </c>
      <c r="L171" s="71">
        <f>IF(8+Materiales!$F$27&gt;8,0,INDEX($E$170:$L$170,1,8+Materiales!$F$27))</f>
        <v/>
      </c>
      <c r="M171" s="72">
        <f>IF($A166="","",IF(SUMPRODUCT((COLUMN($E$170:$L$170)-4&lt;=Materiales!$F$27)*$E$170:$L$170)&gt;0,"PEDIR YA (atrasado)","OK"))</f>
        <v/>
      </c>
    </row>
    <row r="172" ht="6" customHeight="1"/>
    <row r="173">
      <c r="A173" s="62">
        <f>IF(Materiales!$A$28="","",Materiales!$A$28)</f>
        <v/>
      </c>
      <c r="B173" s="62">
        <f>IF(Materiales!$B$28="","",Materiales!$B$28)</f>
        <v/>
      </c>
      <c r="C173" s="63" t="inlineStr">
        <is>
          <t>Necesidad bruta</t>
        </is>
      </c>
      <c r="D173" s="64" t="n"/>
      <c r="E173" s="65">
        <f>ROUND(SUMIF(Consumo!$P$4:$P$189,"#"&amp;$A173,Consumo!H$4:H$189),4)</f>
        <v/>
      </c>
      <c r="F173" s="65">
        <f>ROUND(SUMIF(Consumo!$P$4:$P$189,"#"&amp;$A173,Consumo!I$4:I$189),4)</f>
        <v/>
      </c>
      <c r="G173" s="65">
        <f>ROUND(SUMIF(Consumo!$P$4:$P$189,"#"&amp;$A173,Consumo!J$4:J$189),4)</f>
        <v/>
      </c>
      <c r="H173" s="65">
        <f>ROUND(SUMIF(Consumo!$P$4:$P$189,"#"&amp;$A173,Consumo!K$4:K$189),4)</f>
        <v/>
      </c>
      <c r="I173" s="65">
        <f>ROUND(SUMIF(Consumo!$P$4:$P$189,"#"&amp;$A173,Consumo!L$4:L$189),4)</f>
        <v/>
      </c>
      <c r="J173" s="65">
        <f>ROUND(SUMIF(Consumo!$P$4:$P$189,"#"&amp;$A173,Consumo!M$4:M$189),4)</f>
        <v/>
      </c>
      <c r="K173" s="65">
        <f>ROUND(SUMIF(Consumo!$P$4:$P$189,"#"&amp;$A173,Consumo!N$4:N$189),4)</f>
        <v/>
      </c>
      <c r="L173" s="65">
        <f>ROUND(SUMIF(Consumo!$P$4:$P$189,"#"&amp;$A173,Consumo!O$4:O$189),4)</f>
        <v/>
      </c>
      <c r="M173" s="66" t="n"/>
    </row>
    <row r="174">
      <c r="C174" s="63" t="inlineStr">
        <is>
          <t>Recepciones programadas (ya pedido)</t>
        </is>
      </c>
      <c r="D174" s="64" t="n"/>
      <c r="E174" s="65">
        <f>SUMIF(Inventario!$M$5:$M$505,"#"&amp;$A173,Inventario!E$5:E$505)</f>
        <v/>
      </c>
      <c r="F174" s="65">
        <f>SUMIF(Inventario!$M$5:$M$505,"#"&amp;$A173,Inventario!F$5:F$505)</f>
        <v/>
      </c>
      <c r="G174" s="65">
        <f>SUMIF(Inventario!$M$5:$M$505,"#"&amp;$A173,Inventario!G$5:G$505)</f>
        <v/>
      </c>
      <c r="H174" s="65">
        <f>SUMIF(Inventario!$M$5:$M$505,"#"&amp;$A173,Inventario!H$5:H$505)</f>
        <v/>
      </c>
      <c r="I174" s="65">
        <f>SUMIF(Inventario!$M$5:$M$505,"#"&amp;$A173,Inventario!I$5:I$505)</f>
        <v/>
      </c>
      <c r="J174" s="65">
        <f>SUMIF(Inventario!$M$5:$M$505,"#"&amp;$A173,Inventario!J$5:J$505)</f>
        <v/>
      </c>
      <c r="K174" s="65">
        <f>SUMIF(Inventario!$M$5:$M$505,"#"&amp;$A173,Inventario!K$5:K$505)</f>
        <v/>
      </c>
      <c r="L174" s="65">
        <f>SUMIF(Inventario!$M$5:$M$505,"#"&amp;$A173,Inventario!L$5:L$505)</f>
        <v/>
      </c>
      <c r="M174" s="66" t="n"/>
    </row>
    <row r="175">
      <c r="C175" s="63" t="inlineStr">
        <is>
          <t>Stock proyectado disponible</t>
        </is>
      </c>
      <c r="D175" s="67">
        <f>SUMIF(Inventario!$M$5:$M$505,"#"&amp;$A173,Inventario!$C$5:$C$505)</f>
        <v/>
      </c>
      <c r="E175" s="68">
        <f>D175+E174+E177-E173</f>
        <v/>
      </c>
      <c r="F175" s="68">
        <f>E175+F174+F177-F173</f>
        <v/>
      </c>
      <c r="G175" s="68">
        <f>F175+G174+G177-G173</f>
        <v/>
      </c>
      <c r="H175" s="68">
        <f>G175+H174+H177-H173</f>
        <v/>
      </c>
      <c r="I175" s="68">
        <f>H175+I174+I177-I173</f>
        <v/>
      </c>
      <c r="J175" s="68">
        <f>I175+J174+J177-J173</f>
        <v/>
      </c>
      <c r="K175" s="68">
        <f>J175+K174+K177-K173</f>
        <v/>
      </c>
      <c r="L175" s="68">
        <f>K175+L174+L177-L173</f>
        <v/>
      </c>
      <c r="M175" s="66" t="n"/>
    </row>
    <row r="176">
      <c r="C176" s="63" t="inlineStr">
        <is>
          <t>Necesidad neta</t>
        </is>
      </c>
      <c r="D176" s="64" t="n"/>
      <c r="E176" s="69">
        <f>MAX(0,ROUND(E173+Materiales!$H$28-D175-E174,4))</f>
        <v/>
      </c>
      <c r="F176" s="69">
        <f>MAX(0,ROUND(F173+Materiales!$H$28-E175-F174,4))</f>
        <v/>
      </c>
      <c r="G176" s="69">
        <f>MAX(0,ROUND(G173+Materiales!$H$28-F175-G174,4))</f>
        <v/>
      </c>
      <c r="H176" s="69">
        <f>MAX(0,ROUND(H173+Materiales!$H$28-G175-H174,4))</f>
        <v/>
      </c>
      <c r="I176" s="69">
        <f>MAX(0,ROUND(I173+Materiales!$H$28-H175-I174,4))</f>
        <v/>
      </c>
      <c r="J176" s="69">
        <f>MAX(0,ROUND(J173+Materiales!$H$28-I175-J174,4))</f>
        <v/>
      </c>
      <c r="K176" s="69">
        <f>MAX(0,ROUND(K173+Materiales!$H$28-J175-K174,4))</f>
        <v/>
      </c>
      <c r="L176" s="69">
        <f>MAX(0,ROUND(L173+Materiales!$H$28-K175-L174,4))</f>
        <v/>
      </c>
      <c r="M176" s="66" t="n"/>
    </row>
    <row r="177">
      <c r="C177" s="63" t="inlineStr">
        <is>
          <t>Recepcion de orden planificada</t>
        </is>
      </c>
      <c r="D177" s="64" t="n"/>
      <c r="E177" s="65">
        <f>IF(E176&lt;=0,0,IF(Materiales!$G$28&lt;=0,E176,ROUNDUP(E176/Materiales!$G$28,0)*Materiales!$G$28))</f>
        <v/>
      </c>
      <c r="F177" s="65">
        <f>IF(F176&lt;=0,0,IF(Materiales!$G$28&lt;=0,F176,ROUNDUP(F176/Materiales!$G$28,0)*Materiales!$G$28))</f>
        <v/>
      </c>
      <c r="G177" s="65">
        <f>IF(G176&lt;=0,0,IF(Materiales!$G$28&lt;=0,G176,ROUNDUP(G176/Materiales!$G$28,0)*Materiales!$G$28))</f>
        <v/>
      </c>
      <c r="H177" s="65">
        <f>IF(H176&lt;=0,0,IF(Materiales!$G$28&lt;=0,H176,ROUNDUP(H176/Materiales!$G$28,0)*Materiales!$G$28))</f>
        <v/>
      </c>
      <c r="I177" s="65">
        <f>IF(I176&lt;=0,0,IF(Materiales!$G$28&lt;=0,I176,ROUNDUP(I176/Materiales!$G$28,0)*Materiales!$G$28))</f>
        <v/>
      </c>
      <c r="J177" s="65">
        <f>IF(J176&lt;=0,0,IF(Materiales!$G$28&lt;=0,J176,ROUNDUP(J176/Materiales!$G$28,0)*Materiales!$G$28))</f>
        <v/>
      </c>
      <c r="K177" s="65">
        <f>IF(K176&lt;=0,0,IF(Materiales!$G$28&lt;=0,K176,ROUNDUP(K176/Materiales!$G$28,0)*Materiales!$G$28))</f>
        <v/>
      </c>
      <c r="L177" s="65">
        <f>IF(L176&lt;=0,0,IF(Materiales!$G$28&lt;=0,L176,ROUNDUP(L176/Materiales!$G$28,0)*Materiales!$G$28))</f>
        <v/>
      </c>
      <c r="M177" s="66" t="n"/>
    </row>
    <row r="178">
      <c r="C178" s="70" t="inlineStr">
        <is>
          <t>LANZAMIENTO DE ORDEN — pedir esta semana</t>
        </is>
      </c>
      <c r="D178" s="64" t="n"/>
      <c r="E178" s="71">
        <f>IF(1+Materiales!$F$28&gt;8,0,INDEX($E$177:$L$177,1,1+Materiales!$F$28))</f>
        <v/>
      </c>
      <c r="F178" s="71">
        <f>IF(2+Materiales!$F$28&gt;8,0,INDEX($E$177:$L$177,1,2+Materiales!$F$28))</f>
        <v/>
      </c>
      <c r="G178" s="71">
        <f>IF(3+Materiales!$F$28&gt;8,0,INDEX($E$177:$L$177,1,3+Materiales!$F$28))</f>
        <v/>
      </c>
      <c r="H178" s="71">
        <f>IF(4+Materiales!$F$28&gt;8,0,INDEX($E$177:$L$177,1,4+Materiales!$F$28))</f>
        <v/>
      </c>
      <c r="I178" s="71">
        <f>IF(5+Materiales!$F$28&gt;8,0,INDEX($E$177:$L$177,1,5+Materiales!$F$28))</f>
        <v/>
      </c>
      <c r="J178" s="71">
        <f>IF(6+Materiales!$F$28&gt;8,0,INDEX($E$177:$L$177,1,6+Materiales!$F$28))</f>
        <v/>
      </c>
      <c r="K178" s="71">
        <f>IF(7+Materiales!$F$28&gt;8,0,INDEX($E$177:$L$177,1,7+Materiales!$F$28))</f>
        <v/>
      </c>
      <c r="L178" s="71">
        <f>IF(8+Materiales!$F$28&gt;8,0,INDEX($E$177:$L$177,1,8+Materiales!$F$28))</f>
        <v/>
      </c>
      <c r="M178" s="72">
        <f>IF($A173="","",IF(SUMPRODUCT((COLUMN($E$177:$L$177)-4&lt;=Materiales!$F$28)*$E$177:$L$177)&gt;0,"PEDIR YA (atrasado)","OK"))</f>
        <v/>
      </c>
    </row>
    <row r="179" ht="6" customHeight="1"/>
    <row r="180">
      <c r="A180" s="62">
        <f>IF(Materiales!$A$29="","",Materiales!$A$29)</f>
        <v/>
      </c>
      <c r="B180" s="62">
        <f>IF(Materiales!$B$29="","",Materiales!$B$29)</f>
        <v/>
      </c>
      <c r="C180" s="63" t="inlineStr">
        <is>
          <t>Necesidad bruta</t>
        </is>
      </c>
      <c r="D180" s="64" t="n"/>
      <c r="E180" s="65">
        <f>ROUND(SUMIF(Consumo!$P$4:$P$189,"#"&amp;$A180,Consumo!H$4:H$189),4)</f>
        <v/>
      </c>
      <c r="F180" s="65">
        <f>ROUND(SUMIF(Consumo!$P$4:$P$189,"#"&amp;$A180,Consumo!I$4:I$189),4)</f>
        <v/>
      </c>
      <c r="G180" s="65">
        <f>ROUND(SUMIF(Consumo!$P$4:$P$189,"#"&amp;$A180,Consumo!J$4:J$189),4)</f>
        <v/>
      </c>
      <c r="H180" s="65">
        <f>ROUND(SUMIF(Consumo!$P$4:$P$189,"#"&amp;$A180,Consumo!K$4:K$189),4)</f>
        <v/>
      </c>
      <c r="I180" s="65">
        <f>ROUND(SUMIF(Consumo!$P$4:$P$189,"#"&amp;$A180,Consumo!L$4:L$189),4)</f>
        <v/>
      </c>
      <c r="J180" s="65">
        <f>ROUND(SUMIF(Consumo!$P$4:$P$189,"#"&amp;$A180,Consumo!M$4:M$189),4)</f>
        <v/>
      </c>
      <c r="K180" s="65">
        <f>ROUND(SUMIF(Consumo!$P$4:$P$189,"#"&amp;$A180,Consumo!N$4:N$189),4)</f>
        <v/>
      </c>
      <c r="L180" s="65">
        <f>ROUND(SUMIF(Consumo!$P$4:$P$189,"#"&amp;$A180,Consumo!O$4:O$189),4)</f>
        <v/>
      </c>
      <c r="M180" s="66" t="n"/>
    </row>
    <row r="181">
      <c r="C181" s="63" t="inlineStr">
        <is>
          <t>Recepciones programadas (ya pedido)</t>
        </is>
      </c>
      <c r="D181" s="64" t="n"/>
      <c r="E181" s="65">
        <f>SUMIF(Inventario!$M$5:$M$505,"#"&amp;$A180,Inventario!E$5:E$505)</f>
        <v/>
      </c>
      <c r="F181" s="65">
        <f>SUMIF(Inventario!$M$5:$M$505,"#"&amp;$A180,Inventario!F$5:F$505)</f>
        <v/>
      </c>
      <c r="G181" s="65">
        <f>SUMIF(Inventario!$M$5:$M$505,"#"&amp;$A180,Inventario!G$5:G$505)</f>
        <v/>
      </c>
      <c r="H181" s="65">
        <f>SUMIF(Inventario!$M$5:$M$505,"#"&amp;$A180,Inventario!H$5:H$505)</f>
        <v/>
      </c>
      <c r="I181" s="65">
        <f>SUMIF(Inventario!$M$5:$M$505,"#"&amp;$A180,Inventario!I$5:I$505)</f>
        <v/>
      </c>
      <c r="J181" s="65">
        <f>SUMIF(Inventario!$M$5:$M$505,"#"&amp;$A180,Inventario!J$5:J$505)</f>
        <v/>
      </c>
      <c r="K181" s="65">
        <f>SUMIF(Inventario!$M$5:$M$505,"#"&amp;$A180,Inventario!K$5:K$505)</f>
        <v/>
      </c>
      <c r="L181" s="65">
        <f>SUMIF(Inventario!$M$5:$M$505,"#"&amp;$A180,Inventario!L$5:L$505)</f>
        <v/>
      </c>
      <c r="M181" s="66" t="n"/>
    </row>
    <row r="182">
      <c r="C182" s="63" t="inlineStr">
        <is>
          <t>Stock proyectado disponible</t>
        </is>
      </c>
      <c r="D182" s="67">
        <f>SUMIF(Inventario!$M$5:$M$505,"#"&amp;$A180,Inventario!$C$5:$C$505)</f>
        <v/>
      </c>
      <c r="E182" s="68">
        <f>D182+E181+E184-E180</f>
        <v/>
      </c>
      <c r="F182" s="68">
        <f>E182+F181+F184-F180</f>
        <v/>
      </c>
      <c r="G182" s="68">
        <f>F182+G181+G184-G180</f>
        <v/>
      </c>
      <c r="H182" s="68">
        <f>G182+H181+H184-H180</f>
        <v/>
      </c>
      <c r="I182" s="68">
        <f>H182+I181+I184-I180</f>
        <v/>
      </c>
      <c r="J182" s="68">
        <f>I182+J181+J184-J180</f>
        <v/>
      </c>
      <c r="K182" s="68">
        <f>J182+K181+K184-K180</f>
        <v/>
      </c>
      <c r="L182" s="68">
        <f>K182+L181+L184-L180</f>
        <v/>
      </c>
      <c r="M182" s="66" t="n"/>
    </row>
    <row r="183">
      <c r="C183" s="63" t="inlineStr">
        <is>
          <t>Necesidad neta</t>
        </is>
      </c>
      <c r="D183" s="64" t="n"/>
      <c r="E183" s="69">
        <f>MAX(0,ROUND(E180+Materiales!$H$29-D182-E181,4))</f>
        <v/>
      </c>
      <c r="F183" s="69">
        <f>MAX(0,ROUND(F180+Materiales!$H$29-E182-F181,4))</f>
        <v/>
      </c>
      <c r="G183" s="69">
        <f>MAX(0,ROUND(G180+Materiales!$H$29-F182-G181,4))</f>
        <v/>
      </c>
      <c r="H183" s="69">
        <f>MAX(0,ROUND(H180+Materiales!$H$29-G182-H181,4))</f>
        <v/>
      </c>
      <c r="I183" s="69">
        <f>MAX(0,ROUND(I180+Materiales!$H$29-H182-I181,4))</f>
        <v/>
      </c>
      <c r="J183" s="69">
        <f>MAX(0,ROUND(J180+Materiales!$H$29-I182-J181,4))</f>
        <v/>
      </c>
      <c r="K183" s="69">
        <f>MAX(0,ROUND(K180+Materiales!$H$29-J182-K181,4))</f>
        <v/>
      </c>
      <c r="L183" s="69">
        <f>MAX(0,ROUND(L180+Materiales!$H$29-K182-L181,4))</f>
        <v/>
      </c>
      <c r="M183" s="66" t="n"/>
    </row>
    <row r="184">
      <c r="C184" s="63" t="inlineStr">
        <is>
          <t>Recepcion de orden planificada</t>
        </is>
      </c>
      <c r="D184" s="64" t="n"/>
      <c r="E184" s="65">
        <f>IF(E183&lt;=0,0,IF(Materiales!$G$29&lt;=0,E183,ROUNDUP(E183/Materiales!$G$29,0)*Materiales!$G$29))</f>
        <v/>
      </c>
      <c r="F184" s="65">
        <f>IF(F183&lt;=0,0,IF(Materiales!$G$29&lt;=0,F183,ROUNDUP(F183/Materiales!$G$29,0)*Materiales!$G$29))</f>
        <v/>
      </c>
      <c r="G184" s="65">
        <f>IF(G183&lt;=0,0,IF(Materiales!$G$29&lt;=0,G183,ROUNDUP(G183/Materiales!$G$29,0)*Materiales!$G$29))</f>
        <v/>
      </c>
      <c r="H184" s="65">
        <f>IF(H183&lt;=0,0,IF(Materiales!$G$29&lt;=0,H183,ROUNDUP(H183/Materiales!$G$29,0)*Materiales!$G$29))</f>
        <v/>
      </c>
      <c r="I184" s="65">
        <f>IF(I183&lt;=0,0,IF(Materiales!$G$29&lt;=0,I183,ROUNDUP(I183/Materiales!$G$29,0)*Materiales!$G$29))</f>
        <v/>
      </c>
      <c r="J184" s="65">
        <f>IF(J183&lt;=0,0,IF(Materiales!$G$29&lt;=0,J183,ROUNDUP(J183/Materiales!$G$29,0)*Materiales!$G$29))</f>
        <v/>
      </c>
      <c r="K184" s="65">
        <f>IF(K183&lt;=0,0,IF(Materiales!$G$29&lt;=0,K183,ROUNDUP(K183/Materiales!$G$29,0)*Materiales!$G$29))</f>
        <v/>
      </c>
      <c r="L184" s="65">
        <f>IF(L183&lt;=0,0,IF(Materiales!$G$29&lt;=0,L183,ROUNDUP(L183/Materiales!$G$29,0)*Materiales!$G$29))</f>
        <v/>
      </c>
      <c r="M184" s="66" t="n"/>
    </row>
    <row r="185">
      <c r="C185" s="70" t="inlineStr">
        <is>
          <t>LANZAMIENTO DE ORDEN — pedir esta semana</t>
        </is>
      </c>
      <c r="D185" s="64" t="n"/>
      <c r="E185" s="71">
        <f>IF(1+Materiales!$F$29&gt;8,0,INDEX($E$184:$L$184,1,1+Materiales!$F$29))</f>
        <v/>
      </c>
      <c r="F185" s="71">
        <f>IF(2+Materiales!$F$29&gt;8,0,INDEX($E$184:$L$184,1,2+Materiales!$F$29))</f>
        <v/>
      </c>
      <c r="G185" s="71">
        <f>IF(3+Materiales!$F$29&gt;8,0,INDEX($E$184:$L$184,1,3+Materiales!$F$29))</f>
        <v/>
      </c>
      <c r="H185" s="71">
        <f>IF(4+Materiales!$F$29&gt;8,0,INDEX($E$184:$L$184,1,4+Materiales!$F$29))</f>
        <v/>
      </c>
      <c r="I185" s="71">
        <f>IF(5+Materiales!$F$29&gt;8,0,INDEX($E$184:$L$184,1,5+Materiales!$F$29))</f>
        <v/>
      </c>
      <c r="J185" s="71">
        <f>IF(6+Materiales!$F$29&gt;8,0,INDEX($E$184:$L$184,1,6+Materiales!$F$29))</f>
        <v/>
      </c>
      <c r="K185" s="71">
        <f>IF(7+Materiales!$F$29&gt;8,0,INDEX($E$184:$L$184,1,7+Materiales!$F$29))</f>
        <v/>
      </c>
      <c r="L185" s="71">
        <f>IF(8+Materiales!$F$29&gt;8,0,INDEX($E$184:$L$184,1,8+Materiales!$F$29))</f>
        <v/>
      </c>
      <c r="M185" s="72">
        <f>IF($A180="","",IF(SUMPRODUCT((COLUMN($E$184:$L$184)-4&lt;=Materiales!$F$29)*$E$184:$L$184)&gt;0,"PEDIR YA (atrasado)","OK"))</f>
        <v/>
      </c>
    </row>
    <row r="186" ht="6" customHeight="1"/>
    <row r="187">
      <c r="A187" s="62">
        <f>IF(Materiales!$A$30="","",Materiales!$A$30)</f>
        <v/>
      </c>
      <c r="B187" s="62">
        <f>IF(Materiales!$B$30="","",Materiales!$B$30)</f>
        <v/>
      </c>
      <c r="C187" s="63" t="inlineStr">
        <is>
          <t>Necesidad bruta</t>
        </is>
      </c>
      <c r="D187" s="64" t="n"/>
      <c r="E187" s="65">
        <f>ROUND(SUMIF(Consumo!$P$4:$P$189,"#"&amp;$A187,Consumo!H$4:H$189),4)</f>
        <v/>
      </c>
      <c r="F187" s="65">
        <f>ROUND(SUMIF(Consumo!$P$4:$P$189,"#"&amp;$A187,Consumo!I$4:I$189),4)</f>
        <v/>
      </c>
      <c r="G187" s="65">
        <f>ROUND(SUMIF(Consumo!$P$4:$P$189,"#"&amp;$A187,Consumo!J$4:J$189),4)</f>
        <v/>
      </c>
      <c r="H187" s="65">
        <f>ROUND(SUMIF(Consumo!$P$4:$P$189,"#"&amp;$A187,Consumo!K$4:K$189),4)</f>
        <v/>
      </c>
      <c r="I187" s="65">
        <f>ROUND(SUMIF(Consumo!$P$4:$P$189,"#"&amp;$A187,Consumo!L$4:L$189),4)</f>
        <v/>
      </c>
      <c r="J187" s="65">
        <f>ROUND(SUMIF(Consumo!$P$4:$P$189,"#"&amp;$A187,Consumo!M$4:M$189),4)</f>
        <v/>
      </c>
      <c r="K187" s="65">
        <f>ROUND(SUMIF(Consumo!$P$4:$P$189,"#"&amp;$A187,Consumo!N$4:N$189),4)</f>
        <v/>
      </c>
      <c r="L187" s="65">
        <f>ROUND(SUMIF(Consumo!$P$4:$P$189,"#"&amp;$A187,Consumo!O$4:O$189),4)</f>
        <v/>
      </c>
      <c r="M187" s="66" t="n"/>
    </row>
    <row r="188">
      <c r="C188" s="63" t="inlineStr">
        <is>
          <t>Recepciones programadas (ya pedido)</t>
        </is>
      </c>
      <c r="D188" s="64" t="n"/>
      <c r="E188" s="65">
        <f>SUMIF(Inventario!$M$5:$M$505,"#"&amp;$A187,Inventario!E$5:E$505)</f>
        <v/>
      </c>
      <c r="F188" s="65">
        <f>SUMIF(Inventario!$M$5:$M$505,"#"&amp;$A187,Inventario!F$5:F$505)</f>
        <v/>
      </c>
      <c r="G188" s="65">
        <f>SUMIF(Inventario!$M$5:$M$505,"#"&amp;$A187,Inventario!G$5:G$505)</f>
        <v/>
      </c>
      <c r="H188" s="65">
        <f>SUMIF(Inventario!$M$5:$M$505,"#"&amp;$A187,Inventario!H$5:H$505)</f>
        <v/>
      </c>
      <c r="I188" s="65">
        <f>SUMIF(Inventario!$M$5:$M$505,"#"&amp;$A187,Inventario!I$5:I$505)</f>
        <v/>
      </c>
      <c r="J188" s="65">
        <f>SUMIF(Inventario!$M$5:$M$505,"#"&amp;$A187,Inventario!J$5:J$505)</f>
        <v/>
      </c>
      <c r="K188" s="65">
        <f>SUMIF(Inventario!$M$5:$M$505,"#"&amp;$A187,Inventario!K$5:K$505)</f>
        <v/>
      </c>
      <c r="L188" s="65">
        <f>SUMIF(Inventario!$M$5:$M$505,"#"&amp;$A187,Inventario!L$5:L$505)</f>
        <v/>
      </c>
      <c r="M188" s="66" t="n"/>
    </row>
    <row r="189">
      <c r="C189" s="63" t="inlineStr">
        <is>
          <t>Stock proyectado disponible</t>
        </is>
      </c>
      <c r="D189" s="67">
        <f>SUMIF(Inventario!$M$5:$M$505,"#"&amp;$A187,Inventario!$C$5:$C$505)</f>
        <v/>
      </c>
      <c r="E189" s="68">
        <f>D189+E188+E191-E187</f>
        <v/>
      </c>
      <c r="F189" s="68">
        <f>E189+F188+F191-F187</f>
        <v/>
      </c>
      <c r="G189" s="68">
        <f>F189+G188+G191-G187</f>
        <v/>
      </c>
      <c r="H189" s="68">
        <f>G189+H188+H191-H187</f>
        <v/>
      </c>
      <c r="I189" s="68">
        <f>H189+I188+I191-I187</f>
        <v/>
      </c>
      <c r="J189" s="68">
        <f>I189+J188+J191-J187</f>
        <v/>
      </c>
      <c r="K189" s="68">
        <f>J189+K188+K191-K187</f>
        <v/>
      </c>
      <c r="L189" s="68">
        <f>K189+L188+L191-L187</f>
        <v/>
      </c>
      <c r="M189" s="66" t="n"/>
    </row>
    <row r="190">
      <c r="C190" s="63" t="inlineStr">
        <is>
          <t>Necesidad neta</t>
        </is>
      </c>
      <c r="D190" s="64" t="n"/>
      <c r="E190" s="69">
        <f>MAX(0,ROUND(E187+Materiales!$H$30-D189-E188,4))</f>
        <v/>
      </c>
      <c r="F190" s="69">
        <f>MAX(0,ROUND(F187+Materiales!$H$30-E189-F188,4))</f>
        <v/>
      </c>
      <c r="G190" s="69">
        <f>MAX(0,ROUND(G187+Materiales!$H$30-F189-G188,4))</f>
        <v/>
      </c>
      <c r="H190" s="69">
        <f>MAX(0,ROUND(H187+Materiales!$H$30-G189-H188,4))</f>
        <v/>
      </c>
      <c r="I190" s="69">
        <f>MAX(0,ROUND(I187+Materiales!$H$30-H189-I188,4))</f>
        <v/>
      </c>
      <c r="J190" s="69">
        <f>MAX(0,ROUND(J187+Materiales!$H$30-I189-J188,4))</f>
        <v/>
      </c>
      <c r="K190" s="69">
        <f>MAX(0,ROUND(K187+Materiales!$H$30-J189-K188,4))</f>
        <v/>
      </c>
      <c r="L190" s="69">
        <f>MAX(0,ROUND(L187+Materiales!$H$30-K189-L188,4))</f>
        <v/>
      </c>
      <c r="M190" s="66" t="n"/>
    </row>
    <row r="191">
      <c r="C191" s="63" t="inlineStr">
        <is>
          <t>Recepcion de orden planificada</t>
        </is>
      </c>
      <c r="D191" s="64" t="n"/>
      <c r="E191" s="65">
        <f>IF(E190&lt;=0,0,IF(Materiales!$G$30&lt;=0,E190,ROUNDUP(E190/Materiales!$G$30,0)*Materiales!$G$30))</f>
        <v/>
      </c>
      <c r="F191" s="65">
        <f>IF(F190&lt;=0,0,IF(Materiales!$G$30&lt;=0,F190,ROUNDUP(F190/Materiales!$G$30,0)*Materiales!$G$30))</f>
        <v/>
      </c>
      <c r="G191" s="65">
        <f>IF(G190&lt;=0,0,IF(Materiales!$G$30&lt;=0,G190,ROUNDUP(G190/Materiales!$G$30,0)*Materiales!$G$30))</f>
        <v/>
      </c>
      <c r="H191" s="65">
        <f>IF(H190&lt;=0,0,IF(Materiales!$G$30&lt;=0,H190,ROUNDUP(H190/Materiales!$G$30,0)*Materiales!$G$30))</f>
        <v/>
      </c>
      <c r="I191" s="65">
        <f>IF(I190&lt;=0,0,IF(Materiales!$G$30&lt;=0,I190,ROUNDUP(I190/Materiales!$G$30,0)*Materiales!$G$30))</f>
        <v/>
      </c>
      <c r="J191" s="65">
        <f>IF(J190&lt;=0,0,IF(Materiales!$G$30&lt;=0,J190,ROUNDUP(J190/Materiales!$G$30,0)*Materiales!$G$30))</f>
        <v/>
      </c>
      <c r="K191" s="65">
        <f>IF(K190&lt;=0,0,IF(Materiales!$G$30&lt;=0,K190,ROUNDUP(K190/Materiales!$G$30,0)*Materiales!$G$30))</f>
        <v/>
      </c>
      <c r="L191" s="65">
        <f>IF(L190&lt;=0,0,IF(Materiales!$G$30&lt;=0,L190,ROUNDUP(L190/Materiales!$G$30,0)*Materiales!$G$30))</f>
        <v/>
      </c>
      <c r="M191" s="66" t="n"/>
    </row>
    <row r="192">
      <c r="C192" s="70" t="inlineStr">
        <is>
          <t>LANZAMIENTO DE ORDEN — pedir esta semana</t>
        </is>
      </c>
      <c r="D192" s="64" t="n"/>
      <c r="E192" s="71">
        <f>IF(1+Materiales!$F$30&gt;8,0,INDEX($E$191:$L$191,1,1+Materiales!$F$30))</f>
        <v/>
      </c>
      <c r="F192" s="71">
        <f>IF(2+Materiales!$F$30&gt;8,0,INDEX($E$191:$L$191,1,2+Materiales!$F$30))</f>
        <v/>
      </c>
      <c r="G192" s="71">
        <f>IF(3+Materiales!$F$30&gt;8,0,INDEX($E$191:$L$191,1,3+Materiales!$F$30))</f>
        <v/>
      </c>
      <c r="H192" s="71">
        <f>IF(4+Materiales!$F$30&gt;8,0,INDEX($E$191:$L$191,1,4+Materiales!$F$30))</f>
        <v/>
      </c>
      <c r="I192" s="71">
        <f>IF(5+Materiales!$F$30&gt;8,0,INDEX($E$191:$L$191,1,5+Materiales!$F$30))</f>
        <v/>
      </c>
      <c r="J192" s="71">
        <f>IF(6+Materiales!$F$30&gt;8,0,INDEX($E$191:$L$191,1,6+Materiales!$F$30))</f>
        <v/>
      </c>
      <c r="K192" s="71">
        <f>IF(7+Materiales!$F$30&gt;8,0,INDEX($E$191:$L$191,1,7+Materiales!$F$30))</f>
        <v/>
      </c>
      <c r="L192" s="71">
        <f>IF(8+Materiales!$F$30&gt;8,0,INDEX($E$191:$L$191,1,8+Materiales!$F$30))</f>
        <v/>
      </c>
      <c r="M192" s="72">
        <f>IF($A187="","",IF(SUMPRODUCT((COLUMN($E$191:$L$191)-4&lt;=Materiales!$F$30)*$E$191:$L$191)&gt;0,"PEDIR YA (atrasado)","OK"))</f>
        <v/>
      </c>
    </row>
    <row r="193" ht="6" customHeight="1"/>
    <row r="194">
      <c r="A194" s="62">
        <f>IF(Materiales!$A$31="","",Materiales!$A$31)</f>
        <v/>
      </c>
      <c r="B194" s="62">
        <f>IF(Materiales!$B$31="","",Materiales!$B$31)</f>
        <v/>
      </c>
      <c r="C194" s="63" t="inlineStr">
        <is>
          <t>Necesidad bruta</t>
        </is>
      </c>
      <c r="D194" s="64" t="n"/>
      <c r="E194" s="65">
        <f>ROUND(SUMIF(Consumo!$P$4:$P$189,"#"&amp;$A194,Consumo!H$4:H$189),4)</f>
        <v/>
      </c>
      <c r="F194" s="65">
        <f>ROUND(SUMIF(Consumo!$P$4:$P$189,"#"&amp;$A194,Consumo!I$4:I$189),4)</f>
        <v/>
      </c>
      <c r="G194" s="65">
        <f>ROUND(SUMIF(Consumo!$P$4:$P$189,"#"&amp;$A194,Consumo!J$4:J$189),4)</f>
        <v/>
      </c>
      <c r="H194" s="65">
        <f>ROUND(SUMIF(Consumo!$P$4:$P$189,"#"&amp;$A194,Consumo!K$4:K$189),4)</f>
        <v/>
      </c>
      <c r="I194" s="65">
        <f>ROUND(SUMIF(Consumo!$P$4:$P$189,"#"&amp;$A194,Consumo!L$4:L$189),4)</f>
        <v/>
      </c>
      <c r="J194" s="65">
        <f>ROUND(SUMIF(Consumo!$P$4:$P$189,"#"&amp;$A194,Consumo!M$4:M$189),4)</f>
        <v/>
      </c>
      <c r="K194" s="65">
        <f>ROUND(SUMIF(Consumo!$P$4:$P$189,"#"&amp;$A194,Consumo!N$4:N$189),4)</f>
        <v/>
      </c>
      <c r="L194" s="65">
        <f>ROUND(SUMIF(Consumo!$P$4:$P$189,"#"&amp;$A194,Consumo!O$4:O$189),4)</f>
        <v/>
      </c>
      <c r="M194" s="66" t="n"/>
    </row>
    <row r="195">
      <c r="C195" s="63" t="inlineStr">
        <is>
          <t>Recepciones programadas (ya pedido)</t>
        </is>
      </c>
      <c r="D195" s="64" t="n"/>
      <c r="E195" s="65">
        <f>SUMIF(Inventario!$M$5:$M$505,"#"&amp;$A194,Inventario!E$5:E$505)</f>
        <v/>
      </c>
      <c r="F195" s="65">
        <f>SUMIF(Inventario!$M$5:$M$505,"#"&amp;$A194,Inventario!F$5:F$505)</f>
        <v/>
      </c>
      <c r="G195" s="65">
        <f>SUMIF(Inventario!$M$5:$M$505,"#"&amp;$A194,Inventario!G$5:G$505)</f>
        <v/>
      </c>
      <c r="H195" s="65">
        <f>SUMIF(Inventario!$M$5:$M$505,"#"&amp;$A194,Inventario!H$5:H$505)</f>
        <v/>
      </c>
      <c r="I195" s="65">
        <f>SUMIF(Inventario!$M$5:$M$505,"#"&amp;$A194,Inventario!I$5:I$505)</f>
        <v/>
      </c>
      <c r="J195" s="65">
        <f>SUMIF(Inventario!$M$5:$M$505,"#"&amp;$A194,Inventario!J$5:J$505)</f>
        <v/>
      </c>
      <c r="K195" s="65">
        <f>SUMIF(Inventario!$M$5:$M$505,"#"&amp;$A194,Inventario!K$5:K$505)</f>
        <v/>
      </c>
      <c r="L195" s="65">
        <f>SUMIF(Inventario!$M$5:$M$505,"#"&amp;$A194,Inventario!L$5:L$505)</f>
        <v/>
      </c>
      <c r="M195" s="66" t="n"/>
    </row>
    <row r="196">
      <c r="C196" s="63" t="inlineStr">
        <is>
          <t>Stock proyectado disponible</t>
        </is>
      </c>
      <c r="D196" s="67">
        <f>SUMIF(Inventario!$M$5:$M$505,"#"&amp;$A194,Inventario!$C$5:$C$505)</f>
        <v/>
      </c>
      <c r="E196" s="68">
        <f>D196+E195+E198-E194</f>
        <v/>
      </c>
      <c r="F196" s="68">
        <f>E196+F195+F198-F194</f>
        <v/>
      </c>
      <c r="G196" s="68">
        <f>F196+G195+G198-G194</f>
        <v/>
      </c>
      <c r="H196" s="68">
        <f>G196+H195+H198-H194</f>
        <v/>
      </c>
      <c r="I196" s="68">
        <f>H196+I195+I198-I194</f>
        <v/>
      </c>
      <c r="J196" s="68">
        <f>I196+J195+J198-J194</f>
        <v/>
      </c>
      <c r="K196" s="68">
        <f>J196+K195+K198-K194</f>
        <v/>
      </c>
      <c r="L196" s="68">
        <f>K196+L195+L198-L194</f>
        <v/>
      </c>
      <c r="M196" s="66" t="n"/>
    </row>
    <row r="197">
      <c r="C197" s="63" t="inlineStr">
        <is>
          <t>Necesidad neta</t>
        </is>
      </c>
      <c r="D197" s="64" t="n"/>
      <c r="E197" s="69">
        <f>MAX(0,ROUND(E194+Materiales!$H$31-D196-E195,4))</f>
        <v/>
      </c>
      <c r="F197" s="69">
        <f>MAX(0,ROUND(F194+Materiales!$H$31-E196-F195,4))</f>
        <v/>
      </c>
      <c r="G197" s="69">
        <f>MAX(0,ROUND(G194+Materiales!$H$31-F196-G195,4))</f>
        <v/>
      </c>
      <c r="H197" s="69">
        <f>MAX(0,ROUND(H194+Materiales!$H$31-G196-H195,4))</f>
        <v/>
      </c>
      <c r="I197" s="69">
        <f>MAX(0,ROUND(I194+Materiales!$H$31-H196-I195,4))</f>
        <v/>
      </c>
      <c r="J197" s="69">
        <f>MAX(0,ROUND(J194+Materiales!$H$31-I196-J195,4))</f>
        <v/>
      </c>
      <c r="K197" s="69">
        <f>MAX(0,ROUND(K194+Materiales!$H$31-J196-K195,4))</f>
        <v/>
      </c>
      <c r="L197" s="69">
        <f>MAX(0,ROUND(L194+Materiales!$H$31-K196-L195,4))</f>
        <v/>
      </c>
      <c r="M197" s="66" t="n"/>
    </row>
    <row r="198">
      <c r="C198" s="63" t="inlineStr">
        <is>
          <t>Recepcion de orden planificada</t>
        </is>
      </c>
      <c r="D198" s="64" t="n"/>
      <c r="E198" s="65">
        <f>IF(E197&lt;=0,0,IF(Materiales!$G$31&lt;=0,E197,ROUNDUP(E197/Materiales!$G$31,0)*Materiales!$G$31))</f>
        <v/>
      </c>
      <c r="F198" s="65">
        <f>IF(F197&lt;=0,0,IF(Materiales!$G$31&lt;=0,F197,ROUNDUP(F197/Materiales!$G$31,0)*Materiales!$G$31))</f>
        <v/>
      </c>
      <c r="G198" s="65">
        <f>IF(G197&lt;=0,0,IF(Materiales!$G$31&lt;=0,G197,ROUNDUP(G197/Materiales!$G$31,0)*Materiales!$G$31))</f>
        <v/>
      </c>
      <c r="H198" s="65">
        <f>IF(H197&lt;=0,0,IF(Materiales!$G$31&lt;=0,H197,ROUNDUP(H197/Materiales!$G$31,0)*Materiales!$G$31))</f>
        <v/>
      </c>
      <c r="I198" s="65">
        <f>IF(I197&lt;=0,0,IF(Materiales!$G$31&lt;=0,I197,ROUNDUP(I197/Materiales!$G$31,0)*Materiales!$G$31))</f>
        <v/>
      </c>
      <c r="J198" s="65">
        <f>IF(J197&lt;=0,0,IF(Materiales!$G$31&lt;=0,J197,ROUNDUP(J197/Materiales!$G$31,0)*Materiales!$G$31))</f>
        <v/>
      </c>
      <c r="K198" s="65">
        <f>IF(K197&lt;=0,0,IF(Materiales!$G$31&lt;=0,K197,ROUNDUP(K197/Materiales!$G$31,0)*Materiales!$G$31))</f>
        <v/>
      </c>
      <c r="L198" s="65">
        <f>IF(L197&lt;=0,0,IF(Materiales!$G$31&lt;=0,L197,ROUNDUP(L197/Materiales!$G$31,0)*Materiales!$G$31))</f>
        <v/>
      </c>
      <c r="M198" s="66" t="n"/>
    </row>
    <row r="199">
      <c r="C199" s="70" t="inlineStr">
        <is>
          <t>LANZAMIENTO DE ORDEN — pedir esta semana</t>
        </is>
      </c>
      <c r="D199" s="64" t="n"/>
      <c r="E199" s="71">
        <f>IF(1+Materiales!$F$31&gt;8,0,INDEX($E$198:$L$198,1,1+Materiales!$F$31))</f>
        <v/>
      </c>
      <c r="F199" s="71">
        <f>IF(2+Materiales!$F$31&gt;8,0,INDEX($E$198:$L$198,1,2+Materiales!$F$31))</f>
        <v/>
      </c>
      <c r="G199" s="71">
        <f>IF(3+Materiales!$F$31&gt;8,0,INDEX($E$198:$L$198,1,3+Materiales!$F$31))</f>
        <v/>
      </c>
      <c r="H199" s="71">
        <f>IF(4+Materiales!$F$31&gt;8,0,INDEX($E$198:$L$198,1,4+Materiales!$F$31))</f>
        <v/>
      </c>
      <c r="I199" s="71">
        <f>IF(5+Materiales!$F$31&gt;8,0,INDEX($E$198:$L$198,1,5+Materiales!$F$31))</f>
        <v/>
      </c>
      <c r="J199" s="71">
        <f>IF(6+Materiales!$F$31&gt;8,0,INDEX($E$198:$L$198,1,6+Materiales!$F$31))</f>
        <v/>
      </c>
      <c r="K199" s="71">
        <f>IF(7+Materiales!$F$31&gt;8,0,INDEX($E$198:$L$198,1,7+Materiales!$F$31))</f>
        <v/>
      </c>
      <c r="L199" s="71">
        <f>IF(8+Materiales!$F$31&gt;8,0,INDEX($E$198:$L$198,1,8+Materiales!$F$31))</f>
        <v/>
      </c>
      <c r="M199" s="72">
        <f>IF($A194="","",IF(SUMPRODUCT((COLUMN($E$198:$L$198)-4&lt;=Materiales!$F$31)*$E$198:$L$198)&gt;0,"PEDIR YA (atrasado)","OK"))</f>
        <v/>
      </c>
    </row>
    <row r="200" ht="6" customHeight="1"/>
    <row r="201">
      <c r="A201" s="62">
        <f>IF(Materiales!$A$32="","",Materiales!$A$32)</f>
        <v/>
      </c>
      <c r="B201" s="62">
        <f>IF(Materiales!$B$32="","",Materiales!$B$32)</f>
        <v/>
      </c>
      <c r="C201" s="63" t="inlineStr">
        <is>
          <t>Necesidad bruta</t>
        </is>
      </c>
      <c r="D201" s="64" t="n"/>
      <c r="E201" s="65">
        <f>ROUND(SUMIF(Consumo!$P$4:$P$189,"#"&amp;$A201,Consumo!H$4:H$189),4)</f>
        <v/>
      </c>
      <c r="F201" s="65">
        <f>ROUND(SUMIF(Consumo!$P$4:$P$189,"#"&amp;$A201,Consumo!I$4:I$189),4)</f>
        <v/>
      </c>
      <c r="G201" s="65">
        <f>ROUND(SUMIF(Consumo!$P$4:$P$189,"#"&amp;$A201,Consumo!J$4:J$189),4)</f>
        <v/>
      </c>
      <c r="H201" s="65">
        <f>ROUND(SUMIF(Consumo!$P$4:$P$189,"#"&amp;$A201,Consumo!K$4:K$189),4)</f>
        <v/>
      </c>
      <c r="I201" s="65">
        <f>ROUND(SUMIF(Consumo!$P$4:$P$189,"#"&amp;$A201,Consumo!L$4:L$189),4)</f>
        <v/>
      </c>
      <c r="J201" s="65">
        <f>ROUND(SUMIF(Consumo!$P$4:$P$189,"#"&amp;$A201,Consumo!M$4:M$189),4)</f>
        <v/>
      </c>
      <c r="K201" s="65">
        <f>ROUND(SUMIF(Consumo!$P$4:$P$189,"#"&amp;$A201,Consumo!N$4:N$189),4)</f>
        <v/>
      </c>
      <c r="L201" s="65">
        <f>ROUND(SUMIF(Consumo!$P$4:$P$189,"#"&amp;$A201,Consumo!O$4:O$189),4)</f>
        <v/>
      </c>
      <c r="M201" s="66" t="n"/>
    </row>
    <row r="202">
      <c r="C202" s="63" t="inlineStr">
        <is>
          <t>Recepciones programadas (ya pedido)</t>
        </is>
      </c>
      <c r="D202" s="64" t="n"/>
      <c r="E202" s="65">
        <f>SUMIF(Inventario!$M$5:$M$505,"#"&amp;$A201,Inventario!E$5:E$505)</f>
        <v/>
      </c>
      <c r="F202" s="65">
        <f>SUMIF(Inventario!$M$5:$M$505,"#"&amp;$A201,Inventario!F$5:F$505)</f>
        <v/>
      </c>
      <c r="G202" s="65">
        <f>SUMIF(Inventario!$M$5:$M$505,"#"&amp;$A201,Inventario!G$5:G$505)</f>
        <v/>
      </c>
      <c r="H202" s="65">
        <f>SUMIF(Inventario!$M$5:$M$505,"#"&amp;$A201,Inventario!H$5:H$505)</f>
        <v/>
      </c>
      <c r="I202" s="65">
        <f>SUMIF(Inventario!$M$5:$M$505,"#"&amp;$A201,Inventario!I$5:I$505)</f>
        <v/>
      </c>
      <c r="J202" s="65">
        <f>SUMIF(Inventario!$M$5:$M$505,"#"&amp;$A201,Inventario!J$5:J$505)</f>
        <v/>
      </c>
      <c r="K202" s="65">
        <f>SUMIF(Inventario!$M$5:$M$505,"#"&amp;$A201,Inventario!K$5:K$505)</f>
        <v/>
      </c>
      <c r="L202" s="65">
        <f>SUMIF(Inventario!$M$5:$M$505,"#"&amp;$A201,Inventario!L$5:L$505)</f>
        <v/>
      </c>
      <c r="M202" s="66" t="n"/>
    </row>
    <row r="203">
      <c r="C203" s="63" t="inlineStr">
        <is>
          <t>Stock proyectado disponible</t>
        </is>
      </c>
      <c r="D203" s="67">
        <f>SUMIF(Inventario!$M$5:$M$505,"#"&amp;$A201,Inventario!$C$5:$C$505)</f>
        <v/>
      </c>
      <c r="E203" s="68">
        <f>D203+E202+E205-E201</f>
        <v/>
      </c>
      <c r="F203" s="68">
        <f>E203+F202+F205-F201</f>
        <v/>
      </c>
      <c r="G203" s="68">
        <f>F203+G202+G205-G201</f>
        <v/>
      </c>
      <c r="H203" s="68">
        <f>G203+H202+H205-H201</f>
        <v/>
      </c>
      <c r="I203" s="68">
        <f>H203+I202+I205-I201</f>
        <v/>
      </c>
      <c r="J203" s="68">
        <f>I203+J202+J205-J201</f>
        <v/>
      </c>
      <c r="K203" s="68">
        <f>J203+K202+K205-K201</f>
        <v/>
      </c>
      <c r="L203" s="68">
        <f>K203+L202+L205-L201</f>
        <v/>
      </c>
      <c r="M203" s="66" t="n"/>
    </row>
    <row r="204">
      <c r="C204" s="63" t="inlineStr">
        <is>
          <t>Necesidad neta</t>
        </is>
      </c>
      <c r="D204" s="64" t="n"/>
      <c r="E204" s="69">
        <f>MAX(0,ROUND(E201+Materiales!$H$32-D203-E202,4))</f>
        <v/>
      </c>
      <c r="F204" s="69">
        <f>MAX(0,ROUND(F201+Materiales!$H$32-E203-F202,4))</f>
        <v/>
      </c>
      <c r="G204" s="69">
        <f>MAX(0,ROUND(G201+Materiales!$H$32-F203-G202,4))</f>
        <v/>
      </c>
      <c r="H204" s="69">
        <f>MAX(0,ROUND(H201+Materiales!$H$32-G203-H202,4))</f>
        <v/>
      </c>
      <c r="I204" s="69">
        <f>MAX(0,ROUND(I201+Materiales!$H$32-H203-I202,4))</f>
        <v/>
      </c>
      <c r="J204" s="69">
        <f>MAX(0,ROUND(J201+Materiales!$H$32-I203-J202,4))</f>
        <v/>
      </c>
      <c r="K204" s="69">
        <f>MAX(0,ROUND(K201+Materiales!$H$32-J203-K202,4))</f>
        <v/>
      </c>
      <c r="L204" s="69">
        <f>MAX(0,ROUND(L201+Materiales!$H$32-K203-L202,4))</f>
        <v/>
      </c>
      <c r="M204" s="66" t="n"/>
    </row>
    <row r="205">
      <c r="C205" s="63" t="inlineStr">
        <is>
          <t>Recepcion de orden planificada</t>
        </is>
      </c>
      <c r="D205" s="64" t="n"/>
      <c r="E205" s="65">
        <f>IF(E204&lt;=0,0,IF(Materiales!$G$32&lt;=0,E204,ROUNDUP(E204/Materiales!$G$32,0)*Materiales!$G$32))</f>
        <v/>
      </c>
      <c r="F205" s="65">
        <f>IF(F204&lt;=0,0,IF(Materiales!$G$32&lt;=0,F204,ROUNDUP(F204/Materiales!$G$32,0)*Materiales!$G$32))</f>
        <v/>
      </c>
      <c r="G205" s="65">
        <f>IF(G204&lt;=0,0,IF(Materiales!$G$32&lt;=0,G204,ROUNDUP(G204/Materiales!$G$32,0)*Materiales!$G$32))</f>
        <v/>
      </c>
      <c r="H205" s="65">
        <f>IF(H204&lt;=0,0,IF(Materiales!$G$32&lt;=0,H204,ROUNDUP(H204/Materiales!$G$32,0)*Materiales!$G$32))</f>
        <v/>
      </c>
      <c r="I205" s="65">
        <f>IF(I204&lt;=0,0,IF(Materiales!$G$32&lt;=0,I204,ROUNDUP(I204/Materiales!$G$32,0)*Materiales!$G$32))</f>
        <v/>
      </c>
      <c r="J205" s="65">
        <f>IF(J204&lt;=0,0,IF(Materiales!$G$32&lt;=0,J204,ROUNDUP(J204/Materiales!$G$32,0)*Materiales!$G$32))</f>
        <v/>
      </c>
      <c r="K205" s="65">
        <f>IF(K204&lt;=0,0,IF(Materiales!$G$32&lt;=0,K204,ROUNDUP(K204/Materiales!$G$32,0)*Materiales!$G$32))</f>
        <v/>
      </c>
      <c r="L205" s="65">
        <f>IF(L204&lt;=0,0,IF(Materiales!$G$32&lt;=0,L204,ROUNDUP(L204/Materiales!$G$32,0)*Materiales!$G$32))</f>
        <v/>
      </c>
      <c r="M205" s="66" t="n"/>
    </row>
    <row r="206">
      <c r="C206" s="70" t="inlineStr">
        <is>
          <t>LANZAMIENTO DE ORDEN — pedir esta semana</t>
        </is>
      </c>
      <c r="D206" s="64" t="n"/>
      <c r="E206" s="71">
        <f>IF(1+Materiales!$F$32&gt;8,0,INDEX($E$205:$L$205,1,1+Materiales!$F$32))</f>
        <v/>
      </c>
      <c r="F206" s="71">
        <f>IF(2+Materiales!$F$32&gt;8,0,INDEX($E$205:$L$205,1,2+Materiales!$F$32))</f>
        <v/>
      </c>
      <c r="G206" s="71">
        <f>IF(3+Materiales!$F$32&gt;8,0,INDEX($E$205:$L$205,1,3+Materiales!$F$32))</f>
        <v/>
      </c>
      <c r="H206" s="71">
        <f>IF(4+Materiales!$F$32&gt;8,0,INDEX($E$205:$L$205,1,4+Materiales!$F$32))</f>
        <v/>
      </c>
      <c r="I206" s="71">
        <f>IF(5+Materiales!$F$32&gt;8,0,INDEX($E$205:$L$205,1,5+Materiales!$F$32))</f>
        <v/>
      </c>
      <c r="J206" s="71">
        <f>IF(6+Materiales!$F$32&gt;8,0,INDEX($E$205:$L$205,1,6+Materiales!$F$32))</f>
        <v/>
      </c>
      <c r="K206" s="71">
        <f>IF(7+Materiales!$F$32&gt;8,0,INDEX($E$205:$L$205,1,7+Materiales!$F$32))</f>
        <v/>
      </c>
      <c r="L206" s="71">
        <f>IF(8+Materiales!$F$32&gt;8,0,INDEX($E$205:$L$205,1,8+Materiales!$F$32))</f>
        <v/>
      </c>
      <c r="M206" s="72">
        <f>IF($A201="","",IF(SUMPRODUCT((COLUMN($E$205:$L$205)-4&lt;=Materiales!$F$32)*$E$205:$L$205)&gt;0,"PEDIR YA (atrasado)","OK"))</f>
        <v/>
      </c>
    </row>
    <row r="207" ht="6" customHeight="1"/>
    <row r="208">
      <c r="A208" s="62">
        <f>IF(Materiales!$A$33="","",Materiales!$A$33)</f>
        <v/>
      </c>
      <c r="B208" s="62">
        <f>IF(Materiales!$B$33="","",Materiales!$B$33)</f>
        <v/>
      </c>
      <c r="C208" s="63" t="inlineStr">
        <is>
          <t>Necesidad bruta</t>
        </is>
      </c>
      <c r="D208" s="64" t="n"/>
      <c r="E208" s="65">
        <f>ROUND(SUMIF(Consumo!$P$4:$P$189,"#"&amp;$A208,Consumo!H$4:H$189),4)</f>
        <v/>
      </c>
      <c r="F208" s="65">
        <f>ROUND(SUMIF(Consumo!$P$4:$P$189,"#"&amp;$A208,Consumo!I$4:I$189),4)</f>
        <v/>
      </c>
      <c r="G208" s="65">
        <f>ROUND(SUMIF(Consumo!$P$4:$P$189,"#"&amp;$A208,Consumo!J$4:J$189),4)</f>
        <v/>
      </c>
      <c r="H208" s="65">
        <f>ROUND(SUMIF(Consumo!$P$4:$P$189,"#"&amp;$A208,Consumo!K$4:K$189),4)</f>
        <v/>
      </c>
      <c r="I208" s="65">
        <f>ROUND(SUMIF(Consumo!$P$4:$P$189,"#"&amp;$A208,Consumo!L$4:L$189),4)</f>
        <v/>
      </c>
      <c r="J208" s="65">
        <f>ROUND(SUMIF(Consumo!$P$4:$P$189,"#"&amp;$A208,Consumo!M$4:M$189),4)</f>
        <v/>
      </c>
      <c r="K208" s="65">
        <f>ROUND(SUMIF(Consumo!$P$4:$P$189,"#"&amp;$A208,Consumo!N$4:N$189),4)</f>
        <v/>
      </c>
      <c r="L208" s="65">
        <f>ROUND(SUMIF(Consumo!$P$4:$P$189,"#"&amp;$A208,Consumo!O$4:O$189),4)</f>
        <v/>
      </c>
      <c r="M208" s="66" t="n"/>
    </row>
    <row r="209">
      <c r="C209" s="63" t="inlineStr">
        <is>
          <t>Recepciones programadas (ya pedido)</t>
        </is>
      </c>
      <c r="D209" s="64" t="n"/>
      <c r="E209" s="65">
        <f>SUMIF(Inventario!$M$5:$M$505,"#"&amp;$A208,Inventario!E$5:E$505)</f>
        <v/>
      </c>
      <c r="F209" s="65">
        <f>SUMIF(Inventario!$M$5:$M$505,"#"&amp;$A208,Inventario!F$5:F$505)</f>
        <v/>
      </c>
      <c r="G209" s="65">
        <f>SUMIF(Inventario!$M$5:$M$505,"#"&amp;$A208,Inventario!G$5:G$505)</f>
        <v/>
      </c>
      <c r="H209" s="65">
        <f>SUMIF(Inventario!$M$5:$M$505,"#"&amp;$A208,Inventario!H$5:H$505)</f>
        <v/>
      </c>
      <c r="I209" s="65">
        <f>SUMIF(Inventario!$M$5:$M$505,"#"&amp;$A208,Inventario!I$5:I$505)</f>
        <v/>
      </c>
      <c r="J209" s="65">
        <f>SUMIF(Inventario!$M$5:$M$505,"#"&amp;$A208,Inventario!J$5:J$505)</f>
        <v/>
      </c>
      <c r="K209" s="65">
        <f>SUMIF(Inventario!$M$5:$M$505,"#"&amp;$A208,Inventario!K$5:K$505)</f>
        <v/>
      </c>
      <c r="L209" s="65">
        <f>SUMIF(Inventario!$M$5:$M$505,"#"&amp;$A208,Inventario!L$5:L$505)</f>
        <v/>
      </c>
      <c r="M209" s="66" t="n"/>
    </row>
    <row r="210">
      <c r="C210" s="63" t="inlineStr">
        <is>
          <t>Stock proyectado disponible</t>
        </is>
      </c>
      <c r="D210" s="67">
        <f>SUMIF(Inventario!$M$5:$M$505,"#"&amp;$A208,Inventario!$C$5:$C$505)</f>
        <v/>
      </c>
      <c r="E210" s="68">
        <f>D210+E209+E212-E208</f>
        <v/>
      </c>
      <c r="F210" s="68">
        <f>E210+F209+F212-F208</f>
        <v/>
      </c>
      <c r="G210" s="68">
        <f>F210+G209+G212-G208</f>
        <v/>
      </c>
      <c r="H210" s="68">
        <f>G210+H209+H212-H208</f>
        <v/>
      </c>
      <c r="I210" s="68">
        <f>H210+I209+I212-I208</f>
        <v/>
      </c>
      <c r="J210" s="68">
        <f>I210+J209+J212-J208</f>
        <v/>
      </c>
      <c r="K210" s="68">
        <f>J210+K209+K212-K208</f>
        <v/>
      </c>
      <c r="L210" s="68">
        <f>K210+L209+L212-L208</f>
        <v/>
      </c>
      <c r="M210" s="66" t="n"/>
    </row>
    <row r="211">
      <c r="C211" s="63" t="inlineStr">
        <is>
          <t>Necesidad neta</t>
        </is>
      </c>
      <c r="D211" s="64" t="n"/>
      <c r="E211" s="69">
        <f>MAX(0,ROUND(E208+Materiales!$H$33-D210-E209,4))</f>
        <v/>
      </c>
      <c r="F211" s="69">
        <f>MAX(0,ROUND(F208+Materiales!$H$33-E210-F209,4))</f>
        <v/>
      </c>
      <c r="G211" s="69">
        <f>MAX(0,ROUND(G208+Materiales!$H$33-F210-G209,4))</f>
        <v/>
      </c>
      <c r="H211" s="69">
        <f>MAX(0,ROUND(H208+Materiales!$H$33-G210-H209,4))</f>
        <v/>
      </c>
      <c r="I211" s="69">
        <f>MAX(0,ROUND(I208+Materiales!$H$33-H210-I209,4))</f>
        <v/>
      </c>
      <c r="J211" s="69">
        <f>MAX(0,ROUND(J208+Materiales!$H$33-I210-J209,4))</f>
        <v/>
      </c>
      <c r="K211" s="69">
        <f>MAX(0,ROUND(K208+Materiales!$H$33-J210-K209,4))</f>
        <v/>
      </c>
      <c r="L211" s="69">
        <f>MAX(0,ROUND(L208+Materiales!$H$33-K210-L209,4))</f>
        <v/>
      </c>
      <c r="M211" s="66" t="n"/>
    </row>
    <row r="212">
      <c r="C212" s="63" t="inlineStr">
        <is>
          <t>Recepcion de orden planificada</t>
        </is>
      </c>
      <c r="D212" s="64" t="n"/>
      <c r="E212" s="65">
        <f>IF(E211&lt;=0,0,IF(Materiales!$G$33&lt;=0,E211,ROUNDUP(E211/Materiales!$G$33,0)*Materiales!$G$33))</f>
        <v/>
      </c>
      <c r="F212" s="65">
        <f>IF(F211&lt;=0,0,IF(Materiales!$G$33&lt;=0,F211,ROUNDUP(F211/Materiales!$G$33,0)*Materiales!$G$33))</f>
        <v/>
      </c>
      <c r="G212" s="65">
        <f>IF(G211&lt;=0,0,IF(Materiales!$G$33&lt;=0,G211,ROUNDUP(G211/Materiales!$G$33,0)*Materiales!$G$33))</f>
        <v/>
      </c>
      <c r="H212" s="65">
        <f>IF(H211&lt;=0,0,IF(Materiales!$G$33&lt;=0,H211,ROUNDUP(H211/Materiales!$G$33,0)*Materiales!$G$33))</f>
        <v/>
      </c>
      <c r="I212" s="65">
        <f>IF(I211&lt;=0,0,IF(Materiales!$G$33&lt;=0,I211,ROUNDUP(I211/Materiales!$G$33,0)*Materiales!$G$33))</f>
        <v/>
      </c>
      <c r="J212" s="65">
        <f>IF(J211&lt;=0,0,IF(Materiales!$G$33&lt;=0,J211,ROUNDUP(J211/Materiales!$G$33,0)*Materiales!$G$33))</f>
        <v/>
      </c>
      <c r="K212" s="65">
        <f>IF(K211&lt;=0,0,IF(Materiales!$G$33&lt;=0,K211,ROUNDUP(K211/Materiales!$G$33,0)*Materiales!$G$33))</f>
        <v/>
      </c>
      <c r="L212" s="65">
        <f>IF(L211&lt;=0,0,IF(Materiales!$G$33&lt;=0,L211,ROUNDUP(L211/Materiales!$G$33,0)*Materiales!$G$33))</f>
        <v/>
      </c>
      <c r="M212" s="66" t="n"/>
    </row>
    <row r="213">
      <c r="C213" s="70" t="inlineStr">
        <is>
          <t>LANZAMIENTO DE ORDEN — pedir esta semana</t>
        </is>
      </c>
      <c r="D213" s="64" t="n"/>
      <c r="E213" s="71">
        <f>IF(1+Materiales!$F$33&gt;8,0,INDEX($E$212:$L$212,1,1+Materiales!$F$33))</f>
        <v/>
      </c>
      <c r="F213" s="71">
        <f>IF(2+Materiales!$F$33&gt;8,0,INDEX($E$212:$L$212,1,2+Materiales!$F$33))</f>
        <v/>
      </c>
      <c r="G213" s="71">
        <f>IF(3+Materiales!$F$33&gt;8,0,INDEX($E$212:$L$212,1,3+Materiales!$F$33))</f>
        <v/>
      </c>
      <c r="H213" s="71">
        <f>IF(4+Materiales!$F$33&gt;8,0,INDEX($E$212:$L$212,1,4+Materiales!$F$33))</f>
        <v/>
      </c>
      <c r="I213" s="71">
        <f>IF(5+Materiales!$F$33&gt;8,0,INDEX($E$212:$L$212,1,5+Materiales!$F$33))</f>
        <v/>
      </c>
      <c r="J213" s="71">
        <f>IF(6+Materiales!$F$33&gt;8,0,INDEX($E$212:$L$212,1,6+Materiales!$F$33))</f>
        <v/>
      </c>
      <c r="K213" s="71">
        <f>IF(7+Materiales!$F$33&gt;8,0,INDEX($E$212:$L$212,1,7+Materiales!$F$33))</f>
        <v/>
      </c>
      <c r="L213" s="71">
        <f>IF(8+Materiales!$F$33&gt;8,0,INDEX($E$212:$L$212,1,8+Materiales!$F$33))</f>
        <v/>
      </c>
      <c r="M213" s="72">
        <f>IF($A208="","",IF(SUMPRODUCT((COLUMN($E$212:$L$212)-4&lt;=Materiales!$F$33)*$E$212:$L$212)&gt;0,"PEDIR YA (atrasado)","OK"))</f>
        <v/>
      </c>
    </row>
    <row r="214" ht="6" customHeight="1"/>
    <row r="215">
      <c r="A215" s="62">
        <f>IF(Materiales!$A$34="","",Materiales!$A$34)</f>
        <v/>
      </c>
      <c r="B215" s="62">
        <f>IF(Materiales!$B$34="","",Materiales!$B$34)</f>
        <v/>
      </c>
      <c r="C215" s="63" t="inlineStr">
        <is>
          <t>Necesidad bruta</t>
        </is>
      </c>
      <c r="D215" s="64" t="n"/>
      <c r="E215" s="65">
        <f>ROUND(SUMIF(Consumo!$P$4:$P$189,"#"&amp;$A215,Consumo!H$4:H$189),4)</f>
        <v/>
      </c>
      <c r="F215" s="65">
        <f>ROUND(SUMIF(Consumo!$P$4:$P$189,"#"&amp;$A215,Consumo!I$4:I$189),4)</f>
        <v/>
      </c>
      <c r="G215" s="65">
        <f>ROUND(SUMIF(Consumo!$P$4:$P$189,"#"&amp;$A215,Consumo!J$4:J$189),4)</f>
        <v/>
      </c>
      <c r="H215" s="65">
        <f>ROUND(SUMIF(Consumo!$P$4:$P$189,"#"&amp;$A215,Consumo!K$4:K$189),4)</f>
        <v/>
      </c>
      <c r="I215" s="65">
        <f>ROUND(SUMIF(Consumo!$P$4:$P$189,"#"&amp;$A215,Consumo!L$4:L$189),4)</f>
        <v/>
      </c>
      <c r="J215" s="65">
        <f>ROUND(SUMIF(Consumo!$P$4:$P$189,"#"&amp;$A215,Consumo!M$4:M$189),4)</f>
        <v/>
      </c>
      <c r="K215" s="65">
        <f>ROUND(SUMIF(Consumo!$P$4:$P$189,"#"&amp;$A215,Consumo!N$4:N$189),4)</f>
        <v/>
      </c>
      <c r="L215" s="65">
        <f>ROUND(SUMIF(Consumo!$P$4:$P$189,"#"&amp;$A215,Consumo!O$4:O$189),4)</f>
        <v/>
      </c>
      <c r="M215" s="66" t="n"/>
    </row>
    <row r="216">
      <c r="C216" s="63" t="inlineStr">
        <is>
          <t>Recepciones programadas (ya pedido)</t>
        </is>
      </c>
      <c r="D216" s="64" t="n"/>
      <c r="E216" s="65">
        <f>SUMIF(Inventario!$M$5:$M$505,"#"&amp;$A215,Inventario!E$5:E$505)</f>
        <v/>
      </c>
      <c r="F216" s="65">
        <f>SUMIF(Inventario!$M$5:$M$505,"#"&amp;$A215,Inventario!F$5:F$505)</f>
        <v/>
      </c>
      <c r="G216" s="65">
        <f>SUMIF(Inventario!$M$5:$M$505,"#"&amp;$A215,Inventario!G$5:G$505)</f>
        <v/>
      </c>
      <c r="H216" s="65">
        <f>SUMIF(Inventario!$M$5:$M$505,"#"&amp;$A215,Inventario!H$5:H$505)</f>
        <v/>
      </c>
      <c r="I216" s="65">
        <f>SUMIF(Inventario!$M$5:$M$505,"#"&amp;$A215,Inventario!I$5:I$505)</f>
        <v/>
      </c>
      <c r="J216" s="65">
        <f>SUMIF(Inventario!$M$5:$M$505,"#"&amp;$A215,Inventario!J$5:J$505)</f>
        <v/>
      </c>
      <c r="K216" s="65">
        <f>SUMIF(Inventario!$M$5:$M$505,"#"&amp;$A215,Inventario!K$5:K$505)</f>
        <v/>
      </c>
      <c r="L216" s="65">
        <f>SUMIF(Inventario!$M$5:$M$505,"#"&amp;$A215,Inventario!L$5:L$505)</f>
        <v/>
      </c>
      <c r="M216" s="66" t="n"/>
    </row>
    <row r="217">
      <c r="C217" s="63" t="inlineStr">
        <is>
          <t>Stock proyectado disponible</t>
        </is>
      </c>
      <c r="D217" s="67">
        <f>SUMIF(Inventario!$M$5:$M$505,"#"&amp;$A215,Inventario!$C$5:$C$505)</f>
        <v/>
      </c>
      <c r="E217" s="68">
        <f>D217+E216+E219-E215</f>
        <v/>
      </c>
      <c r="F217" s="68">
        <f>E217+F216+F219-F215</f>
        <v/>
      </c>
      <c r="G217" s="68">
        <f>F217+G216+G219-G215</f>
        <v/>
      </c>
      <c r="H217" s="68">
        <f>G217+H216+H219-H215</f>
        <v/>
      </c>
      <c r="I217" s="68">
        <f>H217+I216+I219-I215</f>
        <v/>
      </c>
      <c r="J217" s="68">
        <f>I217+J216+J219-J215</f>
        <v/>
      </c>
      <c r="K217" s="68">
        <f>J217+K216+K219-K215</f>
        <v/>
      </c>
      <c r="L217" s="68">
        <f>K217+L216+L219-L215</f>
        <v/>
      </c>
      <c r="M217" s="66" t="n"/>
    </row>
    <row r="218">
      <c r="C218" s="63" t="inlineStr">
        <is>
          <t>Necesidad neta</t>
        </is>
      </c>
      <c r="D218" s="64" t="n"/>
      <c r="E218" s="69">
        <f>MAX(0,ROUND(E215+Materiales!$H$34-D217-E216,4))</f>
        <v/>
      </c>
      <c r="F218" s="69">
        <f>MAX(0,ROUND(F215+Materiales!$H$34-E217-F216,4))</f>
        <v/>
      </c>
      <c r="G218" s="69">
        <f>MAX(0,ROUND(G215+Materiales!$H$34-F217-G216,4))</f>
        <v/>
      </c>
      <c r="H218" s="69">
        <f>MAX(0,ROUND(H215+Materiales!$H$34-G217-H216,4))</f>
        <v/>
      </c>
      <c r="I218" s="69">
        <f>MAX(0,ROUND(I215+Materiales!$H$34-H217-I216,4))</f>
        <v/>
      </c>
      <c r="J218" s="69">
        <f>MAX(0,ROUND(J215+Materiales!$H$34-I217-J216,4))</f>
        <v/>
      </c>
      <c r="K218" s="69">
        <f>MAX(0,ROUND(K215+Materiales!$H$34-J217-K216,4))</f>
        <v/>
      </c>
      <c r="L218" s="69">
        <f>MAX(0,ROUND(L215+Materiales!$H$34-K217-L216,4))</f>
        <v/>
      </c>
      <c r="M218" s="66" t="n"/>
    </row>
    <row r="219">
      <c r="C219" s="63" t="inlineStr">
        <is>
          <t>Recepcion de orden planificada</t>
        </is>
      </c>
      <c r="D219" s="64" t="n"/>
      <c r="E219" s="65">
        <f>IF(E218&lt;=0,0,IF(Materiales!$G$34&lt;=0,E218,ROUNDUP(E218/Materiales!$G$34,0)*Materiales!$G$34))</f>
        <v/>
      </c>
      <c r="F219" s="65">
        <f>IF(F218&lt;=0,0,IF(Materiales!$G$34&lt;=0,F218,ROUNDUP(F218/Materiales!$G$34,0)*Materiales!$G$34))</f>
        <v/>
      </c>
      <c r="G219" s="65">
        <f>IF(G218&lt;=0,0,IF(Materiales!$G$34&lt;=0,G218,ROUNDUP(G218/Materiales!$G$34,0)*Materiales!$G$34))</f>
        <v/>
      </c>
      <c r="H219" s="65">
        <f>IF(H218&lt;=0,0,IF(Materiales!$G$34&lt;=0,H218,ROUNDUP(H218/Materiales!$G$34,0)*Materiales!$G$34))</f>
        <v/>
      </c>
      <c r="I219" s="65">
        <f>IF(I218&lt;=0,0,IF(Materiales!$G$34&lt;=0,I218,ROUNDUP(I218/Materiales!$G$34,0)*Materiales!$G$34))</f>
        <v/>
      </c>
      <c r="J219" s="65">
        <f>IF(J218&lt;=0,0,IF(Materiales!$G$34&lt;=0,J218,ROUNDUP(J218/Materiales!$G$34,0)*Materiales!$G$34))</f>
        <v/>
      </c>
      <c r="K219" s="65">
        <f>IF(K218&lt;=0,0,IF(Materiales!$G$34&lt;=0,K218,ROUNDUP(K218/Materiales!$G$34,0)*Materiales!$G$34))</f>
        <v/>
      </c>
      <c r="L219" s="65">
        <f>IF(L218&lt;=0,0,IF(Materiales!$G$34&lt;=0,L218,ROUNDUP(L218/Materiales!$G$34,0)*Materiales!$G$34))</f>
        <v/>
      </c>
      <c r="M219" s="66" t="n"/>
    </row>
    <row r="220">
      <c r="C220" s="70" t="inlineStr">
        <is>
          <t>LANZAMIENTO DE ORDEN — pedir esta semana</t>
        </is>
      </c>
      <c r="D220" s="64" t="n"/>
      <c r="E220" s="71">
        <f>IF(1+Materiales!$F$34&gt;8,0,INDEX($E$219:$L$219,1,1+Materiales!$F$34))</f>
        <v/>
      </c>
      <c r="F220" s="71">
        <f>IF(2+Materiales!$F$34&gt;8,0,INDEX($E$219:$L$219,1,2+Materiales!$F$34))</f>
        <v/>
      </c>
      <c r="G220" s="71">
        <f>IF(3+Materiales!$F$34&gt;8,0,INDEX($E$219:$L$219,1,3+Materiales!$F$34))</f>
        <v/>
      </c>
      <c r="H220" s="71">
        <f>IF(4+Materiales!$F$34&gt;8,0,INDEX($E$219:$L$219,1,4+Materiales!$F$34))</f>
        <v/>
      </c>
      <c r="I220" s="71">
        <f>IF(5+Materiales!$F$34&gt;8,0,INDEX($E$219:$L$219,1,5+Materiales!$F$34))</f>
        <v/>
      </c>
      <c r="J220" s="71">
        <f>IF(6+Materiales!$F$34&gt;8,0,INDEX($E$219:$L$219,1,6+Materiales!$F$34))</f>
        <v/>
      </c>
      <c r="K220" s="71">
        <f>IF(7+Materiales!$F$34&gt;8,0,INDEX($E$219:$L$219,1,7+Materiales!$F$34))</f>
        <v/>
      </c>
      <c r="L220" s="71">
        <f>IF(8+Materiales!$F$34&gt;8,0,INDEX($E$219:$L$219,1,8+Materiales!$F$34))</f>
        <v/>
      </c>
      <c r="M220" s="72">
        <f>IF($A215="","",IF(SUMPRODUCT((COLUMN($E$219:$L$219)-4&lt;=Materiales!$F$34)*$E$219:$L$219)&gt;0,"PEDIR YA (atrasado)","OK"))</f>
        <v/>
      </c>
    </row>
    <row r="221" ht="6" customHeight="1"/>
    <row r="222">
      <c r="A222" s="62">
        <f>IF(Materiales!$A$35="","",Materiales!$A$35)</f>
        <v/>
      </c>
      <c r="B222" s="62">
        <f>IF(Materiales!$B$35="","",Materiales!$B$35)</f>
        <v/>
      </c>
      <c r="C222" s="63" t="inlineStr">
        <is>
          <t>Necesidad bruta</t>
        </is>
      </c>
      <c r="D222" s="64" t="n"/>
      <c r="E222" s="65">
        <f>ROUND(SUMIF(Consumo!$P$4:$P$189,"#"&amp;$A222,Consumo!H$4:H$189),4)</f>
        <v/>
      </c>
      <c r="F222" s="65">
        <f>ROUND(SUMIF(Consumo!$P$4:$P$189,"#"&amp;$A222,Consumo!I$4:I$189),4)</f>
        <v/>
      </c>
      <c r="G222" s="65">
        <f>ROUND(SUMIF(Consumo!$P$4:$P$189,"#"&amp;$A222,Consumo!J$4:J$189),4)</f>
        <v/>
      </c>
      <c r="H222" s="65">
        <f>ROUND(SUMIF(Consumo!$P$4:$P$189,"#"&amp;$A222,Consumo!K$4:K$189),4)</f>
        <v/>
      </c>
      <c r="I222" s="65">
        <f>ROUND(SUMIF(Consumo!$P$4:$P$189,"#"&amp;$A222,Consumo!L$4:L$189),4)</f>
        <v/>
      </c>
      <c r="J222" s="65">
        <f>ROUND(SUMIF(Consumo!$P$4:$P$189,"#"&amp;$A222,Consumo!M$4:M$189),4)</f>
        <v/>
      </c>
      <c r="K222" s="65">
        <f>ROUND(SUMIF(Consumo!$P$4:$P$189,"#"&amp;$A222,Consumo!N$4:N$189),4)</f>
        <v/>
      </c>
      <c r="L222" s="65">
        <f>ROUND(SUMIF(Consumo!$P$4:$P$189,"#"&amp;$A222,Consumo!O$4:O$189),4)</f>
        <v/>
      </c>
      <c r="M222" s="66" t="n"/>
    </row>
    <row r="223">
      <c r="C223" s="63" t="inlineStr">
        <is>
          <t>Recepciones programadas (ya pedido)</t>
        </is>
      </c>
      <c r="D223" s="64" t="n"/>
      <c r="E223" s="65">
        <f>SUMIF(Inventario!$M$5:$M$505,"#"&amp;$A222,Inventario!E$5:E$505)</f>
        <v/>
      </c>
      <c r="F223" s="65">
        <f>SUMIF(Inventario!$M$5:$M$505,"#"&amp;$A222,Inventario!F$5:F$505)</f>
        <v/>
      </c>
      <c r="G223" s="65">
        <f>SUMIF(Inventario!$M$5:$M$505,"#"&amp;$A222,Inventario!G$5:G$505)</f>
        <v/>
      </c>
      <c r="H223" s="65">
        <f>SUMIF(Inventario!$M$5:$M$505,"#"&amp;$A222,Inventario!H$5:H$505)</f>
        <v/>
      </c>
      <c r="I223" s="65">
        <f>SUMIF(Inventario!$M$5:$M$505,"#"&amp;$A222,Inventario!I$5:I$505)</f>
        <v/>
      </c>
      <c r="J223" s="65">
        <f>SUMIF(Inventario!$M$5:$M$505,"#"&amp;$A222,Inventario!J$5:J$505)</f>
        <v/>
      </c>
      <c r="K223" s="65">
        <f>SUMIF(Inventario!$M$5:$M$505,"#"&amp;$A222,Inventario!K$5:K$505)</f>
        <v/>
      </c>
      <c r="L223" s="65">
        <f>SUMIF(Inventario!$M$5:$M$505,"#"&amp;$A222,Inventario!L$5:L$505)</f>
        <v/>
      </c>
      <c r="M223" s="66" t="n"/>
    </row>
    <row r="224">
      <c r="C224" s="63" t="inlineStr">
        <is>
          <t>Stock proyectado disponible</t>
        </is>
      </c>
      <c r="D224" s="67">
        <f>SUMIF(Inventario!$M$5:$M$505,"#"&amp;$A222,Inventario!$C$5:$C$505)</f>
        <v/>
      </c>
      <c r="E224" s="68">
        <f>D224+E223+E226-E222</f>
        <v/>
      </c>
      <c r="F224" s="68">
        <f>E224+F223+F226-F222</f>
        <v/>
      </c>
      <c r="G224" s="68">
        <f>F224+G223+G226-G222</f>
        <v/>
      </c>
      <c r="H224" s="68">
        <f>G224+H223+H226-H222</f>
        <v/>
      </c>
      <c r="I224" s="68">
        <f>H224+I223+I226-I222</f>
        <v/>
      </c>
      <c r="J224" s="68">
        <f>I224+J223+J226-J222</f>
        <v/>
      </c>
      <c r="K224" s="68">
        <f>J224+K223+K226-K222</f>
        <v/>
      </c>
      <c r="L224" s="68">
        <f>K224+L223+L226-L222</f>
        <v/>
      </c>
      <c r="M224" s="66" t="n"/>
    </row>
    <row r="225">
      <c r="C225" s="63" t="inlineStr">
        <is>
          <t>Necesidad neta</t>
        </is>
      </c>
      <c r="D225" s="64" t="n"/>
      <c r="E225" s="69">
        <f>MAX(0,ROUND(E222+Materiales!$H$35-D224-E223,4))</f>
        <v/>
      </c>
      <c r="F225" s="69">
        <f>MAX(0,ROUND(F222+Materiales!$H$35-E224-F223,4))</f>
        <v/>
      </c>
      <c r="G225" s="69">
        <f>MAX(0,ROUND(G222+Materiales!$H$35-F224-G223,4))</f>
        <v/>
      </c>
      <c r="H225" s="69">
        <f>MAX(0,ROUND(H222+Materiales!$H$35-G224-H223,4))</f>
        <v/>
      </c>
      <c r="I225" s="69">
        <f>MAX(0,ROUND(I222+Materiales!$H$35-H224-I223,4))</f>
        <v/>
      </c>
      <c r="J225" s="69">
        <f>MAX(0,ROUND(J222+Materiales!$H$35-I224-J223,4))</f>
        <v/>
      </c>
      <c r="K225" s="69">
        <f>MAX(0,ROUND(K222+Materiales!$H$35-J224-K223,4))</f>
        <v/>
      </c>
      <c r="L225" s="69">
        <f>MAX(0,ROUND(L222+Materiales!$H$35-K224-L223,4))</f>
        <v/>
      </c>
      <c r="M225" s="66" t="n"/>
    </row>
    <row r="226">
      <c r="C226" s="63" t="inlineStr">
        <is>
          <t>Recepcion de orden planificada</t>
        </is>
      </c>
      <c r="D226" s="64" t="n"/>
      <c r="E226" s="65">
        <f>IF(E225&lt;=0,0,IF(Materiales!$G$35&lt;=0,E225,ROUNDUP(E225/Materiales!$G$35,0)*Materiales!$G$35))</f>
        <v/>
      </c>
      <c r="F226" s="65">
        <f>IF(F225&lt;=0,0,IF(Materiales!$G$35&lt;=0,F225,ROUNDUP(F225/Materiales!$G$35,0)*Materiales!$G$35))</f>
        <v/>
      </c>
      <c r="G226" s="65">
        <f>IF(G225&lt;=0,0,IF(Materiales!$G$35&lt;=0,G225,ROUNDUP(G225/Materiales!$G$35,0)*Materiales!$G$35))</f>
        <v/>
      </c>
      <c r="H226" s="65">
        <f>IF(H225&lt;=0,0,IF(Materiales!$G$35&lt;=0,H225,ROUNDUP(H225/Materiales!$G$35,0)*Materiales!$G$35))</f>
        <v/>
      </c>
      <c r="I226" s="65">
        <f>IF(I225&lt;=0,0,IF(Materiales!$G$35&lt;=0,I225,ROUNDUP(I225/Materiales!$G$35,0)*Materiales!$G$35))</f>
        <v/>
      </c>
      <c r="J226" s="65">
        <f>IF(J225&lt;=0,0,IF(Materiales!$G$35&lt;=0,J225,ROUNDUP(J225/Materiales!$G$35,0)*Materiales!$G$35))</f>
        <v/>
      </c>
      <c r="K226" s="65">
        <f>IF(K225&lt;=0,0,IF(Materiales!$G$35&lt;=0,K225,ROUNDUP(K225/Materiales!$G$35,0)*Materiales!$G$35))</f>
        <v/>
      </c>
      <c r="L226" s="65">
        <f>IF(L225&lt;=0,0,IF(Materiales!$G$35&lt;=0,L225,ROUNDUP(L225/Materiales!$G$35,0)*Materiales!$G$35))</f>
        <v/>
      </c>
      <c r="M226" s="66" t="n"/>
    </row>
    <row r="227">
      <c r="C227" s="70" t="inlineStr">
        <is>
          <t>LANZAMIENTO DE ORDEN — pedir esta semana</t>
        </is>
      </c>
      <c r="D227" s="64" t="n"/>
      <c r="E227" s="71">
        <f>IF(1+Materiales!$F$35&gt;8,0,INDEX($E$226:$L$226,1,1+Materiales!$F$35))</f>
        <v/>
      </c>
      <c r="F227" s="71">
        <f>IF(2+Materiales!$F$35&gt;8,0,INDEX($E$226:$L$226,1,2+Materiales!$F$35))</f>
        <v/>
      </c>
      <c r="G227" s="71">
        <f>IF(3+Materiales!$F$35&gt;8,0,INDEX($E$226:$L$226,1,3+Materiales!$F$35))</f>
        <v/>
      </c>
      <c r="H227" s="71">
        <f>IF(4+Materiales!$F$35&gt;8,0,INDEX($E$226:$L$226,1,4+Materiales!$F$35))</f>
        <v/>
      </c>
      <c r="I227" s="71">
        <f>IF(5+Materiales!$F$35&gt;8,0,INDEX($E$226:$L$226,1,5+Materiales!$F$35))</f>
        <v/>
      </c>
      <c r="J227" s="71">
        <f>IF(6+Materiales!$F$35&gt;8,0,INDEX($E$226:$L$226,1,6+Materiales!$F$35))</f>
        <v/>
      </c>
      <c r="K227" s="71">
        <f>IF(7+Materiales!$F$35&gt;8,0,INDEX($E$226:$L$226,1,7+Materiales!$F$35))</f>
        <v/>
      </c>
      <c r="L227" s="71">
        <f>IF(8+Materiales!$F$35&gt;8,0,INDEX($E$226:$L$226,1,8+Materiales!$F$35))</f>
        <v/>
      </c>
      <c r="M227" s="72">
        <f>IF($A222="","",IF(SUMPRODUCT((COLUMN($E$226:$L$226)-4&lt;=Materiales!$F$35)*$E$226:$L$226)&gt;0,"PEDIR YA (atrasado)","OK"))</f>
        <v/>
      </c>
    </row>
    <row r="228" ht="6" customHeight="1"/>
    <row r="229">
      <c r="A229" s="62">
        <f>IF(Materiales!$A$36="","",Materiales!$A$36)</f>
        <v/>
      </c>
      <c r="B229" s="62">
        <f>IF(Materiales!$B$36="","",Materiales!$B$36)</f>
        <v/>
      </c>
      <c r="C229" s="63" t="inlineStr">
        <is>
          <t>Necesidad bruta</t>
        </is>
      </c>
      <c r="D229" s="64" t="n"/>
      <c r="E229" s="65">
        <f>ROUND(SUMIF(Consumo!$P$4:$P$189,"#"&amp;$A229,Consumo!H$4:H$189),4)</f>
        <v/>
      </c>
      <c r="F229" s="65">
        <f>ROUND(SUMIF(Consumo!$P$4:$P$189,"#"&amp;$A229,Consumo!I$4:I$189),4)</f>
        <v/>
      </c>
      <c r="G229" s="65">
        <f>ROUND(SUMIF(Consumo!$P$4:$P$189,"#"&amp;$A229,Consumo!J$4:J$189),4)</f>
        <v/>
      </c>
      <c r="H229" s="65">
        <f>ROUND(SUMIF(Consumo!$P$4:$P$189,"#"&amp;$A229,Consumo!K$4:K$189),4)</f>
        <v/>
      </c>
      <c r="I229" s="65">
        <f>ROUND(SUMIF(Consumo!$P$4:$P$189,"#"&amp;$A229,Consumo!L$4:L$189),4)</f>
        <v/>
      </c>
      <c r="J229" s="65">
        <f>ROUND(SUMIF(Consumo!$P$4:$P$189,"#"&amp;$A229,Consumo!M$4:M$189),4)</f>
        <v/>
      </c>
      <c r="K229" s="65">
        <f>ROUND(SUMIF(Consumo!$P$4:$P$189,"#"&amp;$A229,Consumo!N$4:N$189),4)</f>
        <v/>
      </c>
      <c r="L229" s="65">
        <f>ROUND(SUMIF(Consumo!$P$4:$P$189,"#"&amp;$A229,Consumo!O$4:O$189),4)</f>
        <v/>
      </c>
      <c r="M229" s="66" t="n"/>
    </row>
    <row r="230">
      <c r="C230" s="63" t="inlineStr">
        <is>
          <t>Recepciones programadas (ya pedido)</t>
        </is>
      </c>
      <c r="D230" s="64" t="n"/>
      <c r="E230" s="65">
        <f>SUMIF(Inventario!$M$5:$M$505,"#"&amp;$A229,Inventario!E$5:E$505)</f>
        <v/>
      </c>
      <c r="F230" s="65">
        <f>SUMIF(Inventario!$M$5:$M$505,"#"&amp;$A229,Inventario!F$5:F$505)</f>
        <v/>
      </c>
      <c r="G230" s="65">
        <f>SUMIF(Inventario!$M$5:$M$505,"#"&amp;$A229,Inventario!G$5:G$505)</f>
        <v/>
      </c>
      <c r="H230" s="65">
        <f>SUMIF(Inventario!$M$5:$M$505,"#"&amp;$A229,Inventario!H$5:H$505)</f>
        <v/>
      </c>
      <c r="I230" s="65">
        <f>SUMIF(Inventario!$M$5:$M$505,"#"&amp;$A229,Inventario!I$5:I$505)</f>
        <v/>
      </c>
      <c r="J230" s="65">
        <f>SUMIF(Inventario!$M$5:$M$505,"#"&amp;$A229,Inventario!J$5:J$505)</f>
        <v/>
      </c>
      <c r="K230" s="65">
        <f>SUMIF(Inventario!$M$5:$M$505,"#"&amp;$A229,Inventario!K$5:K$505)</f>
        <v/>
      </c>
      <c r="L230" s="65">
        <f>SUMIF(Inventario!$M$5:$M$505,"#"&amp;$A229,Inventario!L$5:L$505)</f>
        <v/>
      </c>
      <c r="M230" s="66" t="n"/>
    </row>
    <row r="231">
      <c r="C231" s="63" t="inlineStr">
        <is>
          <t>Stock proyectado disponible</t>
        </is>
      </c>
      <c r="D231" s="67">
        <f>SUMIF(Inventario!$M$5:$M$505,"#"&amp;$A229,Inventario!$C$5:$C$505)</f>
        <v/>
      </c>
      <c r="E231" s="68">
        <f>D231+E230+E233-E229</f>
        <v/>
      </c>
      <c r="F231" s="68">
        <f>E231+F230+F233-F229</f>
        <v/>
      </c>
      <c r="G231" s="68">
        <f>F231+G230+G233-G229</f>
        <v/>
      </c>
      <c r="H231" s="68">
        <f>G231+H230+H233-H229</f>
        <v/>
      </c>
      <c r="I231" s="68">
        <f>H231+I230+I233-I229</f>
        <v/>
      </c>
      <c r="J231" s="68">
        <f>I231+J230+J233-J229</f>
        <v/>
      </c>
      <c r="K231" s="68">
        <f>J231+K230+K233-K229</f>
        <v/>
      </c>
      <c r="L231" s="68">
        <f>K231+L230+L233-L229</f>
        <v/>
      </c>
      <c r="M231" s="66" t="n"/>
    </row>
    <row r="232">
      <c r="C232" s="63" t="inlineStr">
        <is>
          <t>Necesidad neta</t>
        </is>
      </c>
      <c r="D232" s="64" t="n"/>
      <c r="E232" s="69">
        <f>MAX(0,ROUND(E229+Materiales!$H$36-D231-E230,4))</f>
        <v/>
      </c>
      <c r="F232" s="69">
        <f>MAX(0,ROUND(F229+Materiales!$H$36-E231-F230,4))</f>
        <v/>
      </c>
      <c r="G232" s="69">
        <f>MAX(0,ROUND(G229+Materiales!$H$36-F231-G230,4))</f>
        <v/>
      </c>
      <c r="H232" s="69">
        <f>MAX(0,ROUND(H229+Materiales!$H$36-G231-H230,4))</f>
        <v/>
      </c>
      <c r="I232" s="69">
        <f>MAX(0,ROUND(I229+Materiales!$H$36-H231-I230,4))</f>
        <v/>
      </c>
      <c r="J232" s="69">
        <f>MAX(0,ROUND(J229+Materiales!$H$36-I231-J230,4))</f>
        <v/>
      </c>
      <c r="K232" s="69">
        <f>MAX(0,ROUND(K229+Materiales!$H$36-J231-K230,4))</f>
        <v/>
      </c>
      <c r="L232" s="69">
        <f>MAX(0,ROUND(L229+Materiales!$H$36-K231-L230,4))</f>
        <v/>
      </c>
      <c r="M232" s="66" t="n"/>
    </row>
    <row r="233">
      <c r="C233" s="63" t="inlineStr">
        <is>
          <t>Recepcion de orden planificada</t>
        </is>
      </c>
      <c r="D233" s="64" t="n"/>
      <c r="E233" s="65">
        <f>IF(E232&lt;=0,0,IF(Materiales!$G$36&lt;=0,E232,ROUNDUP(E232/Materiales!$G$36,0)*Materiales!$G$36))</f>
        <v/>
      </c>
      <c r="F233" s="65">
        <f>IF(F232&lt;=0,0,IF(Materiales!$G$36&lt;=0,F232,ROUNDUP(F232/Materiales!$G$36,0)*Materiales!$G$36))</f>
        <v/>
      </c>
      <c r="G233" s="65">
        <f>IF(G232&lt;=0,0,IF(Materiales!$G$36&lt;=0,G232,ROUNDUP(G232/Materiales!$G$36,0)*Materiales!$G$36))</f>
        <v/>
      </c>
      <c r="H233" s="65">
        <f>IF(H232&lt;=0,0,IF(Materiales!$G$36&lt;=0,H232,ROUNDUP(H232/Materiales!$G$36,0)*Materiales!$G$36))</f>
        <v/>
      </c>
      <c r="I233" s="65">
        <f>IF(I232&lt;=0,0,IF(Materiales!$G$36&lt;=0,I232,ROUNDUP(I232/Materiales!$G$36,0)*Materiales!$G$36))</f>
        <v/>
      </c>
      <c r="J233" s="65">
        <f>IF(J232&lt;=0,0,IF(Materiales!$G$36&lt;=0,J232,ROUNDUP(J232/Materiales!$G$36,0)*Materiales!$G$36))</f>
        <v/>
      </c>
      <c r="K233" s="65">
        <f>IF(K232&lt;=0,0,IF(Materiales!$G$36&lt;=0,K232,ROUNDUP(K232/Materiales!$G$36,0)*Materiales!$G$36))</f>
        <v/>
      </c>
      <c r="L233" s="65">
        <f>IF(L232&lt;=0,0,IF(Materiales!$G$36&lt;=0,L232,ROUNDUP(L232/Materiales!$G$36,0)*Materiales!$G$36))</f>
        <v/>
      </c>
      <c r="M233" s="66" t="n"/>
    </row>
    <row r="234">
      <c r="C234" s="70" t="inlineStr">
        <is>
          <t>LANZAMIENTO DE ORDEN — pedir esta semana</t>
        </is>
      </c>
      <c r="D234" s="64" t="n"/>
      <c r="E234" s="71">
        <f>IF(1+Materiales!$F$36&gt;8,0,INDEX($E$233:$L$233,1,1+Materiales!$F$36))</f>
        <v/>
      </c>
      <c r="F234" s="71">
        <f>IF(2+Materiales!$F$36&gt;8,0,INDEX($E$233:$L$233,1,2+Materiales!$F$36))</f>
        <v/>
      </c>
      <c r="G234" s="71">
        <f>IF(3+Materiales!$F$36&gt;8,0,INDEX($E$233:$L$233,1,3+Materiales!$F$36))</f>
        <v/>
      </c>
      <c r="H234" s="71">
        <f>IF(4+Materiales!$F$36&gt;8,0,INDEX($E$233:$L$233,1,4+Materiales!$F$36))</f>
        <v/>
      </c>
      <c r="I234" s="71">
        <f>IF(5+Materiales!$F$36&gt;8,0,INDEX($E$233:$L$233,1,5+Materiales!$F$36))</f>
        <v/>
      </c>
      <c r="J234" s="71">
        <f>IF(6+Materiales!$F$36&gt;8,0,INDEX($E$233:$L$233,1,6+Materiales!$F$36))</f>
        <v/>
      </c>
      <c r="K234" s="71">
        <f>IF(7+Materiales!$F$36&gt;8,0,INDEX($E$233:$L$233,1,7+Materiales!$F$36))</f>
        <v/>
      </c>
      <c r="L234" s="71">
        <f>IF(8+Materiales!$F$36&gt;8,0,INDEX($E$233:$L$233,1,8+Materiales!$F$36))</f>
        <v/>
      </c>
      <c r="M234" s="72">
        <f>IF($A229="","",IF(SUMPRODUCT((COLUMN($E$233:$L$233)-4&lt;=Materiales!$F$36)*$E$233:$L$233)&gt;0,"PEDIR YA (atrasado)","OK"))</f>
        <v/>
      </c>
    </row>
    <row r="235" ht="6" customHeight="1"/>
    <row r="236">
      <c r="A236" s="62">
        <f>IF(Materiales!$A$37="","",Materiales!$A$37)</f>
        <v/>
      </c>
      <c r="B236" s="62">
        <f>IF(Materiales!$B$37="","",Materiales!$B$37)</f>
        <v/>
      </c>
      <c r="C236" s="63" t="inlineStr">
        <is>
          <t>Necesidad bruta</t>
        </is>
      </c>
      <c r="D236" s="64" t="n"/>
      <c r="E236" s="65">
        <f>ROUND(SUMIF(Consumo!$P$4:$P$189,"#"&amp;$A236,Consumo!H$4:H$189),4)</f>
        <v/>
      </c>
      <c r="F236" s="65">
        <f>ROUND(SUMIF(Consumo!$P$4:$P$189,"#"&amp;$A236,Consumo!I$4:I$189),4)</f>
        <v/>
      </c>
      <c r="G236" s="65">
        <f>ROUND(SUMIF(Consumo!$P$4:$P$189,"#"&amp;$A236,Consumo!J$4:J$189),4)</f>
        <v/>
      </c>
      <c r="H236" s="65">
        <f>ROUND(SUMIF(Consumo!$P$4:$P$189,"#"&amp;$A236,Consumo!K$4:K$189),4)</f>
        <v/>
      </c>
      <c r="I236" s="65">
        <f>ROUND(SUMIF(Consumo!$P$4:$P$189,"#"&amp;$A236,Consumo!L$4:L$189),4)</f>
        <v/>
      </c>
      <c r="J236" s="65">
        <f>ROUND(SUMIF(Consumo!$P$4:$P$189,"#"&amp;$A236,Consumo!M$4:M$189),4)</f>
        <v/>
      </c>
      <c r="K236" s="65">
        <f>ROUND(SUMIF(Consumo!$P$4:$P$189,"#"&amp;$A236,Consumo!N$4:N$189),4)</f>
        <v/>
      </c>
      <c r="L236" s="65">
        <f>ROUND(SUMIF(Consumo!$P$4:$P$189,"#"&amp;$A236,Consumo!O$4:O$189),4)</f>
        <v/>
      </c>
      <c r="M236" s="66" t="n"/>
    </row>
    <row r="237">
      <c r="C237" s="63" t="inlineStr">
        <is>
          <t>Recepciones programadas (ya pedido)</t>
        </is>
      </c>
      <c r="D237" s="64" t="n"/>
      <c r="E237" s="65">
        <f>SUMIF(Inventario!$M$5:$M$505,"#"&amp;$A236,Inventario!E$5:E$505)</f>
        <v/>
      </c>
      <c r="F237" s="65">
        <f>SUMIF(Inventario!$M$5:$M$505,"#"&amp;$A236,Inventario!F$5:F$505)</f>
        <v/>
      </c>
      <c r="G237" s="65">
        <f>SUMIF(Inventario!$M$5:$M$505,"#"&amp;$A236,Inventario!G$5:G$505)</f>
        <v/>
      </c>
      <c r="H237" s="65">
        <f>SUMIF(Inventario!$M$5:$M$505,"#"&amp;$A236,Inventario!H$5:H$505)</f>
        <v/>
      </c>
      <c r="I237" s="65">
        <f>SUMIF(Inventario!$M$5:$M$505,"#"&amp;$A236,Inventario!I$5:I$505)</f>
        <v/>
      </c>
      <c r="J237" s="65">
        <f>SUMIF(Inventario!$M$5:$M$505,"#"&amp;$A236,Inventario!J$5:J$505)</f>
        <v/>
      </c>
      <c r="K237" s="65">
        <f>SUMIF(Inventario!$M$5:$M$505,"#"&amp;$A236,Inventario!K$5:K$505)</f>
        <v/>
      </c>
      <c r="L237" s="65">
        <f>SUMIF(Inventario!$M$5:$M$505,"#"&amp;$A236,Inventario!L$5:L$505)</f>
        <v/>
      </c>
      <c r="M237" s="66" t="n"/>
    </row>
    <row r="238">
      <c r="C238" s="63" t="inlineStr">
        <is>
          <t>Stock proyectado disponible</t>
        </is>
      </c>
      <c r="D238" s="67">
        <f>SUMIF(Inventario!$M$5:$M$505,"#"&amp;$A236,Inventario!$C$5:$C$505)</f>
        <v/>
      </c>
      <c r="E238" s="68">
        <f>D238+E237+E240-E236</f>
        <v/>
      </c>
      <c r="F238" s="68">
        <f>E238+F237+F240-F236</f>
        <v/>
      </c>
      <c r="G238" s="68">
        <f>F238+G237+G240-G236</f>
        <v/>
      </c>
      <c r="H238" s="68">
        <f>G238+H237+H240-H236</f>
        <v/>
      </c>
      <c r="I238" s="68">
        <f>H238+I237+I240-I236</f>
        <v/>
      </c>
      <c r="J238" s="68">
        <f>I238+J237+J240-J236</f>
        <v/>
      </c>
      <c r="K238" s="68">
        <f>J238+K237+K240-K236</f>
        <v/>
      </c>
      <c r="L238" s="68">
        <f>K238+L237+L240-L236</f>
        <v/>
      </c>
      <c r="M238" s="66" t="n"/>
    </row>
    <row r="239">
      <c r="C239" s="63" t="inlineStr">
        <is>
          <t>Necesidad neta</t>
        </is>
      </c>
      <c r="D239" s="64" t="n"/>
      <c r="E239" s="69">
        <f>MAX(0,ROUND(E236+Materiales!$H$37-D238-E237,4))</f>
        <v/>
      </c>
      <c r="F239" s="69">
        <f>MAX(0,ROUND(F236+Materiales!$H$37-E238-F237,4))</f>
        <v/>
      </c>
      <c r="G239" s="69">
        <f>MAX(0,ROUND(G236+Materiales!$H$37-F238-G237,4))</f>
        <v/>
      </c>
      <c r="H239" s="69">
        <f>MAX(0,ROUND(H236+Materiales!$H$37-G238-H237,4))</f>
        <v/>
      </c>
      <c r="I239" s="69">
        <f>MAX(0,ROUND(I236+Materiales!$H$37-H238-I237,4))</f>
        <v/>
      </c>
      <c r="J239" s="69">
        <f>MAX(0,ROUND(J236+Materiales!$H$37-I238-J237,4))</f>
        <v/>
      </c>
      <c r="K239" s="69">
        <f>MAX(0,ROUND(K236+Materiales!$H$37-J238-K237,4))</f>
        <v/>
      </c>
      <c r="L239" s="69">
        <f>MAX(0,ROUND(L236+Materiales!$H$37-K238-L237,4))</f>
        <v/>
      </c>
      <c r="M239" s="66" t="n"/>
    </row>
    <row r="240">
      <c r="C240" s="63" t="inlineStr">
        <is>
          <t>Recepcion de orden planificada</t>
        </is>
      </c>
      <c r="D240" s="64" t="n"/>
      <c r="E240" s="65">
        <f>IF(E239&lt;=0,0,IF(Materiales!$G$37&lt;=0,E239,ROUNDUP(E239/Materiales!$G$37,0)*Materiales!$G$37))</f>
        <v/>
      </c>
      <c r="F240" s="65">
        <f>IF(F239&lt;=0,0,IF(Materiales!$G$37&lt;=0,F239,ROUNDUP(F239/Materiales!$G$37,0)*Materiales!$G$37))</f>
        <v/>
      </c>
      <c r="G240" s="65">
        <f>IF(G239&lt;=0,0,IF(Materiales!$G$37&lt;=0,G239,ROUNDUP(G239/Materiales!$G$37,0)*Materiales!$G$37))</f>
        <v/>
      </c>
      <c r="H240" s="65">
        <f>IF(H239&lt;=0,0,IF(Materiales!$G$37&lt;=0,H239,ROUNDUP(H239/Materiales!$G$37,0)*Materiales!$G$37))</f>
        <v/>
      </c>
      <c r="I240" s="65">
        <f>IF(I239&lt;=0,0,IF(Materiales!$G$37&lt;=0,I239,ROUNDUP(I239/Materiales!$G$37,0)*Materiales!$G$37))</f>
        <v/>
      </c>
      <c r="J240" s="65">
        <f>IF(J239&lt;=0,0,IF(Materiales!$G$37&lt;=0,J239,ROUNDUP(J239/Materiales!$G$37,0)*Materiales!$G$37))</f>
        <v/>
      </c>
      <c r="K240" s="65">
        <f>IF(K239&lt;=0,0,IF(Materiales!$G$37&lt;=0,K239,ROUNDUP(K239/Materiales!$G$37,0)*Materiales!$G$37))</f>
        <v/>
      </c>
      <c r="L240" s="65">
        <f>IF(L239&lt;=0,0,IF(Materiales!$G$37&lt;=0,L239,ROUNDUP(L239/Materiales!$G$37,0)*Materiales!$G$37))</f>
        <v/>
      </c>
      <c r="M240" s="66" t="n"/>
    </row>
    <row r="241">
      <c r="C241" s="70" t="inlineStr">
        <is>
          <t>LANZAMIENTO DE ORDEN — pedir esta semana</t>
        </is>
      </c>
      <c r="D241" s="64" t="n"/>
      <c r="E241" s="71">
        <f>IF(1+Materiales!$F$37&gt;8,0,INDEX($E$240:$L$240,1,1+Materiales!$F$37))</f>
        <v/>
      </c>
      <c r="F241" s="71">
        <f>IF(2+Materiales!$F$37&gt;8,0,INDEX($E$240:$L$240,1,2+Materiales!$F$37))</f>
        <v/>
      </c>
      <c r="G241" s="71">
        <f>IF(3+Materiales!$F$37&gt;8,0,INDEX($E$240:$L$240,1,3+Materiales!$F$37))</f>
        <v/>
      </c>
      <c r="H241" s="71">
        <f>IF(4+Materiales!$F$37&gt;8,0,INDEX($E$240:$L$240,1,4+Materiales!$F$37))</f>
        <v/>
      </c>
      <c r="I241" s="71">
        <f>IF(5+Materiales!$F$37&gt;8,0,INDEX($E$240:$L$240,1,5+Materiales!$F$37))</f>
        <v/>
      </c>
      <c r="J241" s="71">
        <f>IF(6+Materiales!$F$37&gt;8,0,INDEX($E$240:$L$240,1,6+Materiales!$F$37))</f>
        <v/>
      </c>
      <c r="K241" s="71">
        <f>IF(7+Materiales!$F$37&gt;8,0,INDEX($E$240:$L$240,1,7+Materiales!$F$37))</f>
        <v/>
      </c>
      <c r="L241" s="71">
        <f>IF(8+Materiales!$F$37&gt;8,0,INDEX($E$240:$L$240,1,8+Materiales!$F$37))</f>
        <v/>
      </c>
      <c r="M241" s="72">
        <f>IF($A236="","",IF(SUMPRODUCT((COLUMN($E$240:$L$240)-4&lt;=Materiales!$F$37)*$E$240:$L$240)&gt;0,"PEDIR YA (atrasado)","OK"))</f>
        <v/>
      </c>
    </row>
    <row r="242" ht="6" customHeight="1"/>
    <row r="243">
      <c r="A243" s="62">
        <f>IF(Materiales!$A$38="","",Materiales!$A$38)</f>
        <v/>
      </c>
      <c r="B243" s="62">
        <f>IF(Materiales!$B$38="","",Materiales!$B$38)</f>
        <v/>
      </c>
      <c r="C243" s="63" t="inlineStr">
        <is>
          <t>Necesidad bruta</t>
        </is>
      </c>
      <c r="D243" s="64" t="n"/>
      <c r="E243" s="65">
        <f>ROUND(SUMIF(Consumo!$P$4:$P$189,"#"&amp;$A243,Consumo!H$4:H$189),4)</f>
        <v/>
      </c>
      <c r="F243" s="65">
        <f>ROUND(SUMIF(Consumo!$P$4:$P$189,"#"&amp;$A243,Consumo!I$4:I$189),4)</f>
        <v/>
      </c>
      <c r="G243" s="65">
        <f>ROUND(SUMIF(Consumo!$P$4:$P$189,"#"&amp;$A243,Consumo!J$4:J$189),4)</f>
        <v/>
      </c>
      <c r="H243" s="65">
        <f>ROUND(SUMIF(Consumo!$P$4:$P$189,"#"&amp;$A243,Consumo!K$4:K$189),4)</f>
        <v/>
      </c>
      <c r="I243" s="65">
        <f>ROUND(SUMIF(Consumo!$P$4:$P$189,"#"&amp;$A243,Consumo!L$4:L$189),4)</f>
        <v/>
      </c>
      <c r="J243" s="65">
        <f>ROUND(SUMIF(Consumo!$P$4:$P$189,"#"&amp;$A243,Consumo!M$4:M$189),4)</f>
        <v/>
      </c>
      <c r="K243" s="65">
        <f>ROUND(SUMIF(Consumo!$P$4:$P$189,"#"&amp;$A243,Consumo!N$4:N$189),4)</f>
        <v/>
      </c>
      <c r="L243" s="65">
        <f>ROUND(SUMIF(Consumo!$P$4:$P$189,"#"&amp;$A243,Consumo!O$4:O$189),4)</f>
        <v/>
      </c>
      <c r="M243" s="66" t="n"/>
    </row>
    <row r="244">
      <c r="C244" s="63" t="inlineStr">
        <is>
          <t>Recepciones programadas (ya pedido)</t>
        </is>
      </c>
      <c r="D244" s="64" t="n"/>
      <c r="E244" s="65">
        <f>SUMIF(Inventario!$M$5:$M$505,"#"&amp;$A243,Inventario!E$5:E$505)</f>
        <v/>
      </c>
      <c r="F244" s="65">
        <f>SUMIF(Inventario!$M$5:$M$505,"#"&amp;$A243,Inventario!F$5:F$505)</f>
        <v/>
      </c>
      <c r="G244" s="65">
        <f>SUMIF(Inventario!$M$5:$M$505,"#"&amp;$A243,Inventario!G$5:G$505)</f>
        <v/>
      </c>
      <c r="H244" s="65">
        <f>SUMIF(Inventario!$M$5:$M$505,"#"&amp;$A243,Inventario!H$5:H$505)</f>
        <v/>
      </c>
      <c r="I244" s="65">
        <f>SUMIF(Inventario!$M$5:$M$505,"#"&amp;$A243,Inventario!I$5:I$505)</f>
        <v/>
      </c>
      <c r="J244" s="65">
        <f>SUMIF(Inventario!$M$5:$M$505,"#"&amp;$A243,Inventario!J$5:J$505)</f>
        <v/>
      </c>
      <c r="K244" s="65">
        <f>SUMIF(Inventario!$M$5:$M$505,"#"&amp;$A243,Inventario!K$5:K$505)</f>
        <v/>
      </c>
      <c r="L244" s="65">
        <f>SUMIF(Inventario!$M$5:$M$505,"#"&amp;$A243,Inventario!L$5:L$505)</f>
        <v/>
      </c>
      <c r="M244" s="66" t="n"/>
    </row>
    <row r="245">
      <c r="C245" s="63" t="inlineStr">
        <is>
          <t>Stock proyectado disponible</t>
        </is>
      </c>
      <c r="D245" s="67">
        <f>SUMIF(Inventario!$M$5:$M$505,"#"&amp;$A243,Inventario!$C$5:$C$505)</f>
        <v/>
      </c>
      <c r="E245" s="68">
        <f>D245+E244+E247-E243</f>
        <v/>
      </c>
      <c r="F245" s="68">
        <f>E245+F244+F247-F243</f>
        <v/>
      </c>
      <c r="G245" s="68">
        <f>F245+G244+G247-G243</f>
        <v/>
      </c>
      <c r="H245" s="68">
        <f>G245+H244+H247-H243</f>
        <v/>
      </c>
      <c r="I245" s="68">
        <f>H245+I244+I247-I243</f>
        <v/>
      </c>
      <c r="J245" s="68">
        <f>I245+J244+J247-J243</f>
        <v/>
      </c>
      <c r="K245" s="68">
        <f>J245+K244+K247-K243</f>
        <v/>
      </c>
      <c r="L245" s="68">
        <f>K245+L244+L247-L243</f>
        <v/>
      </c>
      <c r="M245" s="66" t="n"/>
    </row>
    <row r="246">
      <c r="C246" s="63" t="inlineStr">
        <is>
          <t>Necesidad neta</t>
        </is>
      </c>
      <c r="D246" s="64" t="n"/>
      <c r="E246" s="69">
        <f>MAX(0,ROUND(E243+Materiales!$H$38-D245-E244,4))</f>
        <v/>
      </c>
      <c r="F246" s="69">
        <f>MAX(0,ROUND(F243+Materiales!$H$38-E245-F244,4))</f>
        <v/>
      </c>
      <c r="G246" s="69">
        <f>MAX(0,ROUND(G243+Materiales!$H$38-F245-G244,4))</f>
        <v/>
      </c>
      <c r="H246" s="69">
        <f>MAX(0,ROUND(H243+Materiales!$H$38-G245-H244,4))</f>
        <v/>
      </c>
      <c r="I246" s="69">
        <f>MAX(0,ROUND(I243+Materiales!$H$38-H245-I244,4))</f>
        <v/>
      </c>
      <c r="J246" s="69">
        <f>MAX(0,ROUND(J243+Materiales!$H$38-I245-J244,4))</f>
        <v/>
      </c>
      <c r="K246" s="69">
        <f>MAX(0,ROUND(K243+Materiales!$H$38-J245-K244,4))</f>
        <v/>
      </c>
      <c r="L246" s="69">
        <f>MAX(0,ROUND(L243+Materiales!$H$38-K245-L244,4))</f>
        <v/>
      </c>
      <c r="M246" s="66" t="n"/>
    </row>
    <row r="247">
      <c r="C247" s="63" t="inlineStr">
        <is>
          <t>Recepcion de orden planificada</t>
        </is>
      </c>
      <c r="D247" s="64" t="n"/>
      <c r="E247" s="65">
        <f>IF(E246&lt;=0,0,IF(Materiales!$G$38&lt;=0,E246,ROUNDUP(E246/Materiales!$G$38,0)*Materiales!$G$38))</f>
        <v/>
      </c>
      <c r="F247" s="65">
        <f>IF(F246&lt;=0,0,IF(Materiales!$G$38&lt;=0,F246,ROUNDUP(F246/Materiales!$G$38,0)*Materiales!$G$38))</f>
        <v/>
      </c>
      <c r="G247" s="65">
        <f>IF(G246&lt;=0,0,IF(Materiales!$G$38&lt;=0,G246,ROUNDUP(G246/Materiales!$G$38,0)*Materiales!$G$38))</f>
        <v/>
      </c>
      <c r="H247" s="65">
        <f>IF(H246&lt;=0,0,IF(Materiales!$G$38&lt;=0,H246,ROUNDUP(H246/Materiales!$G$38,0)*Materiales!$G$38))</f>
        <v/>
      </c>
      <c r="I247" s="65">
        <f>IF(I246&lt;=0,0,IF(Materiales!$G$38&lt;=0,I246,ROUNDUP(I246/Materiales!$G$38,0)*Materiales!$G$38))</f>
        <v/>
      </c>
      <c r="J247" s="65">
        <f>IF(J246&lt;=0,0,IF(Materiales!$G$38&lt;=0,J246,ROUNDUP(J246/Materiales!$G$38,0)*Materiales!$G$38))</f>
        <v/>
      </c>
      <c r="K247" s="65">
        <f>IF(K246&lt;=0,0,IF(Materiales!$G$38&lt;=0,K246,ROUNDUP(K246/Materiales!$G$38,0)*Materiales!$G$38))</f>
        <v/>
      </c>
      <c r="L247" s="65">
        <f>IF(L246&lt;=0,0,IF(Materiales!$G$38&lt;=0,L246,ROUNDUP(L246/Materiales!$G$38,0)*Materiales!$G$38))</f>
        <v/>
      </c>
      <c r="M247" s="66" t="n"/>
    </row>
    <row r="248">
      <c r="C248" s="70" t="inlineStr">
        <is>
          <t>LANZAMIENTO DE ORDEN — pedir esta semana</t>
        </is>
      </c>
      <c r="D248" s="64" t="n"/>
      <c r="E248" s="71">
        <f>IF(1+Materiales!$F$38&gt;8,0,INDEX($E$247:$L$247,1,1+Materiales!$F$38))</f>
        <v/>
      </c>
      <c r="F248" s="71">
        <f>IF(2+Materiales!$F$38&gt;8,0,INDEX($E$247:$L$247,1,2+Materiales!$F$38))</f>
        <v/>
      </c>
      <c r="G248" s="71">
        <f>IF(3+Materiales!$F$38&gt;8,0,INDEX($E$247:$L$247,1,3+Materiales!$F$38))</f>
        <v/>
      </c>
      <c r="H248" s="71">
        <f>IF(4+Materiales!$F$38&gt;8,0,INDEX($E$247:$L$247,1,4+Materiales!$F$38))</f>
        <v/>
      </c>
      <c r="I248" s="71">
        <f>IF(5+Materiales!$F$38&gt;8,0,INDEX($E$247:$L$247,1,5+Materiales!$F$38))</f>
        <v/>
      </c>
      <c r="J248" s="71">
        <f>IF(6+Materiales!$F$38&gt;8,0,INDEX($E$247:$L$247,1,6+Materiales!$F$38))</f>
        <v/>
      </c>
      <c r="K248" s="71">
        <f>IF(7+Materiales!$F$38&gt;8,0,INDEX($E$247:$L$247,1,7+Materiales!$F$38))</f>
        <v/>
      </c>
      <c r="L248" s="71">
        <f>IF(8+Materiales!$F$38&gt;8,0,INDEX($E$247:$L$247,1,8+Materiales!$F$38))</f>
        <v/>
      </c>
      <c r="M248" s="72">
        <f>IF($A243="","",IF(SUMPRODUCT((COLUMN($E$247:$L$247)-4&lt;=Materiales!$F$38)*$E$247:$L$247)&gt;0,"PEDIR YA (atrasado)","OK"))</f>
        <v/>
      </c>
    </row>
    <row r="249" ht="6" customHeight="1"/>
    <row r="250">
      <c r="A250" s="62">
        <f>IF(Materiales!$A$39="","",Materiales!$A$39)</f>
        <v/>
      </c>
      <c r="B250" s="62">
        <f>IF(Materiales!$B$39="","",Materiales!$B$39)</f>
        <v/>
      </c>
      <c r="C250" s="63" t="inlineStr">
        <is>
          <t>Necesidad bruta</t>
        </is>
      </c>
      <c r="D250" s="64" t="n"/>
      <c r="E250" s="65">
        <f>ROUND(SUMIF(Consumo!$P$4:$P$189,"#"&amp;$A250,Consumo!H$4:H$189),4)</f>
        <v/>
      </c>
      <c r="F250" s="65">
        <f>ROUND(SUMIF(Consumo!$P$4:$P$189,"#"&amp;$A250,Consumo!I$4:I$189),4)</f>
        <v/>
      </c>
      <c r="G250" s="65">
        <f>ROUND(SUMIF(Consumo!$P$4:$P$189,"#"&amp;$A250,Consumo!J$4:J$189),4)</f>
        <v/>
      </c>
      <c r="H250" s="65">
        <f>ROUND(SUMIF(Consumo!$P$4:$P$189,"#"&amp;$A250,Consumo!K$4:K$189),4)</f>
        <v/>
      </c>
      <c r="I250" s="65">
        <f>ROUND(SUMIF(Consumo!$P$4:$P$189,"#"&amp;$A250,Consumo!L$4:L$189),4)</f>
        <v/>
      </c>
      <c r="J250" s="65">
        <f>ROUND(SUMIF(Consumo!$P$4:$P$189,"#"&amp;$A250,Consumo!M$4:M$189),4)</f>
        <v/>
      </c>
      <c r="K250" s="65">
        <f>ROUND(SUMIF(Consumo!$P$4:$P$189,"#"&amp;$A250,Consumo!N$4:N$189),4)</f>
        <v/>
      </c>
      <c r="L250" s="65">
        <f>ROUND(SUMIF(Consumo!$P$4:$P$189,"#"&amp;$A250,Consumo!O$4:O$189),4)</f>
        <v/>
      </c>
      <c r="M250" s="66" t="n"/>
    </row>
    <row r="251">
      <c r="C251" s="63" t="inlineStr">
        <is>
          <t>Recepciones programadas (ya pedido)</t>
        </is>
      </c>
      <c r="D251" s="64" t="n"/>
      <c r="E251" s="65">
        <f>SUMIF(Inventario!$M$5:$M$505,"#"&amp;$A250,Inventario!E$5:E$505)</f>
        <v/>
      </c>
      <c r="F251" s="65">
        <f>SUMIF(Inventario!$M$5:$M$505,"#"&amp;$A250,Inventario!F$5:F$505)</f>
        <v/>
      </c>
      <c r="G251" s="65">
        <f>SUMIF(Inventario!$M$5:$M$505,"#"&amp;$A250,Inventario!G$5:G$505)</f>
        <v/>
      </c>
      <c r="H251" s="65">
        <f>SUMIF(Inventario!$M$5:$M$505,"#"&amp;$A250,Inventario!H$5:H$505)</f>
        <v/>
      </c>
      <c r="I251" s="65">
        <f>SUMIF(Inventario!$M$5:$M$505,"#"&amp;$A250,Inventario!I$5:I$505)</f>
        <v/>
      </c>
      <c r="J251" s="65">
        <f>SUMIF(Inventario!$M$5:$M$505,"#"&amp;$A250,Inventario!J$5:J$505)</f>
        <v/>
      </c>
      <c r="K251" s="65">
        <f>SUMIF(Inventario!$M$5:$M$505,"#"&amp;$A250,Inventario!K$5:K$505)</f>
        <v/>
      </c>
      <c r="L251" s="65">
        <f>SUMIF(Inventario!$M$5:$M$505,"#"&amp;$A250,Inventario!L$5:L$505)</f>
        <v/>
      </c>
      <c r="M251" s="66" t="n"/>
    </row>
    <row r="252">
      <c r="C252" s="63" t="inlineStr">
        <is>
          <t>Stock proyectado disponible</t>
        </is>
      </c>
      <c r="D252" s="67">
        <f>SUMIF(Inventario!$M$5:$M$505,"#"&amp;$A250,Inventario!$C$5:$C$505)</f>
        <v/>
      </c>
      <c r="E252" s="68">
        <f>D252+E251+E254-E250</f>
        <v/>
      </c>
      <c r="F252" s="68">
        <f>E252+F251+F254-F250</f>
        <v/>
      </c>
      <c r="G252" s="68">
        <f>F252+G251+G254-G250</f>
        <v/>
      </c>
      <c r="H252" s="68">
        <f>G252+H251+H254-H250</f>
        <v/>
      </c>
      <c r="I252" s="68">
        <f>H252+I251+I254-I250</f>
        <v/>
      </c>
      <c r="J252" s="68">
        <f>I252+J251+J254-J250</f>
        <v/>
      </c>
      <c r="K252" s="68">
        <f>J252+K251+K254-K250</f>
        <v/>
      </c>
      <c r="L252" s="68">
        <f>K252+L251+L254-L250</f>
        <v/>
      </c>
      <c r="M252" s="66" t="n"/>
    </row>
    <row r="253">
      <c r="C253" s="63" t="inlineStr">
        <is>
          <t>Necesidad neta</t>
        </is>
      </c>
      <c r="D253" s="64" t="n"/>
      <c r="E253" s="69">
        <f>MAX(0,ROUND(E250+Materiales!$H$39-D252-E251,4))</f>
        <v/>
      </c>
      <c r="F253" s="69">
        <f>MAX(0,ROUND(F250+Materiales!$H$39-E252-F251,4))</f>
        <v/>
      </c>
      <c r="G253" s="69">
        <f>MAX(0,ROUND(G250+Materiales!$H$39-F252-G251,4))</f>
        <v/>
      </c>
      <c r="H253" s="69">
        <f>MAX(0,ROUND(H250+Materiales!$H$39-G252-H251,4))</f>
        <v/>
      </c>
      <c r="I253" s="69">
        <f>MAX(0,ROUND(I250+Materiales!$H$39-H252-I251,4))</f>
        <v/>
      </c>
      <c r="J253" s="69">
        <f>MAX(0,ROUND(J250+Materiales!$H$39-I252-J251,4))</f>
        <v/>
      </c>
      <c r="K253" s="69">
        <f>MAX(0,ROUND(K250+Materiales!$H$39-J252-K251,4))</f>
        <v/>
      </c>
      <c r="L253" s="69">
        <f>MAX(0,ROUND(L250+Materiales!$H$39-K252-L251,4))</f>
        <v/>
      </c>
      <c r="M253" s="66" t="n"/>
    </row>
    <row r="254">
      <c r="C254" s="63" t="inlineStr">
        <is>
          <t>Recepcion de orden planificada</t>
        </is>
      </c>
      <c r="D254" s="64" t="n"/>
      <c r="E254" s="65">
        <f>IF(E253&lt;=0,0,IF(Materiales!$G$39&lt;=0,E253,ROUNDUP(E253/Materiales!$G$39,0)*Materiales!$G$39))</f>
        <v/>
      </c>
      <c r="F254" s="65">
        <f>IF(F253&lt;=0,0,IF(Materiales!$G$39&lt;=0,F253,ROUNDUP(F253/Materiales!$G$39,0)*Materiales!$G$39))</f>
        <v/>
      </c>
      <c r="G254" s="65">
        <f>IF(G253&lt;=0,0,IF(Materiales!$G$39&lt;=0,G253,ROUNDUP(G253/Materiales!$G$39,0)*Materiales!$G$39))</f>
        <v/>
      </c>
      <c r="H254" s="65">
        <f>IF(H253&lt;=0,0,IF(Materiales!$G$39&lt;=0,H253,ROUNDUP(H253/Materiales!$G$39,0)*Materiales!$G$39))</f>
        <v/>
      </c>
      <c r="I254" s="65">
        <f>IF(I253&lt;=0,0,IF(Materiales!$G$39&lt;=0,I253,ROUNDUP(I253/Materiales!$G$39,0)*Materiales!$G$39))</f>
        <v/>
      </c>
      <c r="J254" s="65">
        <f>IF(J253&lt;=0,0,IF(Materiales!$G$39&lt;=0,J253,ROUNDUP(J253/Materiales!$G$39,0)*Materiales!$G$39))</f>
        <v/>
      </c>
      <c r="K254" s="65">
        <f>IF(K253&lt;=0,0,IF(Materiales!$G$39&lt;=0,K253,ROUNDUP(K253/Materiales!$G$39,0)*Materiales!$G$39))</f>
        <v/>
      </c>
      <c r="L254" s="65">
        <f>IF(L253&lt;=0,0,IF(Materiales!$G$39&lt;=0,L253,ROUNDUP(L253/Materiales!$G$39,0)*Materiales!$G$39))</f>
        <v/>
      </c>
      <c r="M254" s="66" t="n"/>
    </row>
    <row r="255">
      <c r="C255" s="70" t="inlineStr">
        <is>
          <t>LANZAMIENTO DE ORDEN — pedir esta semana</t>
        </is>
      </c>
      <c r="D255" s="64" t="n"/>
      <c r="E255" s="71">
        <f>IF(1+Materiales!$F$39&gt;8,0,INDEX($E$254:$L$254,1,1+Materiales!$F$39))</f>
        <v/>
      </c>
      <c r="F255" s="71">
        <f>IF(2+Materiales!$F$39&gt;8,0,INDEX($E$254:$L$254,1,2+Materiales!$F$39))</f>
        <v/>
      </c>
      <c r="G255" s="71">
        <f>IF(3+Materiales!$F$39&gt;8,0,INDEX($E$254:$L$254,1,3+Materiales!$F$39))</f>
        <v/>
      </c>
      <c r="H255" s="71">
        <f>IF(4+Materiales!$F$39&gt;8,0,INDEX($E$254:$L$254,1,4+Materiales!$F$39))</f>
        <v/>
      </c>
      <c r="I255" s="71">
        <f>IF(5+Materiales!$F$39&gt;8,0,INDEX($E$254:$L$254,1,5+Materiales!$F$39))</f>
        <v/>
      </c>
      <c r="J255" s="71">
        <f>IF(6+Materiales!$F$39&gt;8,0,INDEX($E$254:$L$254,1,6+Materiales!$F$39))</f>
        <v/>
      </c>
      <c r="K255" s="71">
        <f>IF(7+Materiales!$F$39&gt;8,0,INDEX($E$254:$L$254,1,7+Materiales!$F$39))</f>
        <v/>
      </c>
      <c r="L255" s="71">
        <f>IF(8+Materiales!$F$39&gt;8,0,INDEX($E$254:$L$254,1,8+Materiales!$F$39))</f>
        <v/>
      </c>
      <c r="M255" s="72">
        <f>IF($A250="","",IF(SUMPRODUCT((COLUMN($E$254:$L$254)-4&lt;=Materiales!$F$39)*$E$254:$L$254)&gt;0,"PEDIR YA (atrasado)","OK"))</f>
        <v/>
      </c>
    </row>
    <row r="256" ht="6" customHeight="1"/>
    <row r="257">
      <c r="A257" s="62">
        <f>IF(Materiales!$A$40="","",Materiales!$A$40)</f>
        <v/>
      </c>
      <c r="B257" s="62">
        <f>IF(Materiales!$B$40="","",Materiales!$B$40)</f>
        <v/>
      </c>
      <c r="C257" s="63" t="inlineStr">
        <is>
          <t>Necesidad bruta</t>
        </is>
      </c>
      <c r="D257" s="64" t="n"/>
      <c r="E257" s="65">
        <f>ROUND(SUMIF(Consumo!$P$4:$P$189,"#"&amp;$A257,Consumo!H$4:H$189),4)</f>
        <v/>
      </c>
      <c r="F257" s="65">
        <f>ROUND(SUMIF(Consumo!$P$4:$P$189,"#"&amp;$A257,Consumo!I$4:I$189),4)</f>
        <v/>
      </c>
      <c r="G257" s="65">
        <f>ROUND(SUMIF(Consumo!$P$4:$P$189,"#"&amp;$A257,Consumo!J$4:J$189),4)</f>
        <v/>
      </c>
      <c r="H257" s="65">
        <f>ROUND(SUMIF(Consumo!$P$4:$P$189,"#"&amp;$A257,Consumo!K$4:K$189),4)</f>
        <v/>
      </c>
      <c r="I257" s="65">
        <f>ROUND(SUMIF(Consumo!$P$4:$P$189,"#"&amp;$A257,Consumo!L$4:L$189),4)</f>
        <v/>
      </c>
      <c r="J257" s="65">
        <f>ROUND(SUMIF(Consumo!$P$4:$P$189,"#"&amp;$A257,Consumo!M$4:M$189),4)</f>
        <v/>
      </c>
      <c r="K257" s="65">
        <f>ROUND(SUMIF(Consumo!$P$4:$P$189,"#"&amp;$A257,Consumo!N$4:N$189),4)</f>
        <v/>
      </c>
      <c r="L257" s="65">
        <f>ROUND(SUMIF(Consumo!$P$4:$P$189,"#"&amp;$A257,Consumo!O$4:O$189),4)</f>
        <v/>
      </c>
      <c r="M257" s="66" t="n"/>
    </row>
    <row r="258">
      <c r="C258" s="63" t="inlineStr">
        <is>
          <t>Recepciones programadas (ya pedido)</t>
        </is>
      </c>
      <c r="D258" s="64" t="n"/>
      <c r="E258" s="65">
        <f>SUMIF(Inventario!$M$5:$M$505,"#"&amp;$A257,Inventario!E$5:E$505)</f>
        <v/>
      </c>
      <c r="F258" s="65">
        <f>SUMIF(Inventario!$M$5:$M$505,"#"&amp;$A257,Inventario!F$5:F$505)</f>
        <v/>
      </c>
      <c r="G258" s="65">
        <f>SUMIF(Inventario!$M$5:$M$505,"#"&amp;$A257,Inventario!G$5:G$505)</f>
        <v/>
      </c>
      <c r="H258" s="65">
        <f>SUMIF(Inventario!$M$5:$M$505,"#"&amp;$A257,Inventario!H$5:H$505)</f>
        <v/>
      </c>
      <c r="I258" s="65">
        <f>SUMIF(Inventario!$M$5:$M$505,"#"&amp;$A257,Inventario!I$5:I$505)</f>
        <v/>
      </c>
      <c r="J258" s="65">
        <f>SUMIF(Inventario!$M$5:$M$505,"#"&amp;$A257,Inventario!J$5:J$505)</f>
        <v/>
      </c>
      <c r="K258" s="65">
        <f>SUMIF(Inventario!$M$5:$M$505,"#"&amp;$A257,Inventario!K$5:K$505)</f>
        <v/>
      </c>
      <c r="L258" s="65">
        <f>SUMIF(Inventario!$M$5:$M$505,"#"&amp;$A257,Inventario!L$5:L$505)</f>
        <v/>
      </c>
      <c r="M258" s="66" t="n"/>
    </row>
    <row r="259">
      <c r="C259" s="63" t="inlineStr">
        <is>
          <t>Stock proyectado disponible</t>
        </is>
      </c>
      <c r="D259" s="67">
        <f>SUMIF(Inventario!$M$5:$M$505,"#"&amp;$A257,Inventario!$C$5:$C$505)</f>
        <v/>
      </c>
      <c r="E259" s="68">
        <f>D259+E258+E261-E257</f>
        <v/>
      </c>
      <c r="F259" s="68">
        <f>E259+F258+F261-F257</f>
        <v/>
      </c>
      <c r="G259" s="68">
        <f>F259+G258+G261-G257</f>
        <v/>
      </c>
      <c r="H259" s="68">
        <f>G259+H258+H261-H257</f>
        <v/>
      </c>
      <c r="I259" s="68">
        <f>H259+I258+I261-I257</f>
        <v/>
      </c>
      <c r="J259" s="68">
        <f>I259+J258+J261-J257</f>
        <v/>
      </c>
      <c r="K259" s="68">
        <f>J259+K258+K261-K257</f>
        <v/>
      </c>
      <c r="L259" s="68">
        <f>K259+L258+L261-L257</f>
        <v/>
      </c>
      <c r="M259" s="66" t="n"/>
    </row>
    <row r="260">
      <c r="C260" s="63" t="inlineStr">
        <is>
          <t>Necesidad neta</t>
        </is>
      </c>
      <c r="D260" s="64" t="n"/>
      <c r="E260" s="69">
        <f>MAX(0,ROUND(E257+Materiales!$H$40-D259-E258,4))</f>
        <v/>
      </c>
      <c r="F260" s="69">
        <f>MAX(0,ROUND(F257+Materiales!$H$40-E259-F258,4))</f>
        <v/>
      </c>
      <c r="G260" s="69">
        <f>MAX(0,ROUND(G257+Materiales!$H$40-F259-G258,4))</f>
        <v/>
      </c>
      <c r="H260" s="69">
        <f>MAX(0,ROUND(H257+Materiales!$H$40-G259-H258,4))</f>
        <v/>
      </c>
      <c r="I260" s="69">
        <f>MAX(0,ROUND(I257+Materiales!$H$40-H259-I258,4))</f>
        <v/>
      </c>
      <c r="J260" s="69">
        <f>MAX(0,ROUND(J257+Materiales!$H$40-I259-J258,4))</f>
        <v/>
      </c>
      <c r="K260" s="69">
        <f>MAX(0,ROUND(K257+Materiales!$H$40-J259-K258,4))</f>
        <v/>
      </c>
      <c r="L260" s="69">
        <f>MAX(0,ROUND(L257+Materiales!$H$40-K259-L258,4))</f>
        <v/>
      </c>
      <c r="M260" s="66" t="n"/>
    </row>
    <row r="261">
      <c r="C261" s="63" t="inlineStr">
        <is>
          <t>Recepcion de orden planificada</t>
        </is>
      </c>
      <c r="D261" s="64" t="n"/>
      <c r="E261" s="65">
        <f>IF(E260&lt;=0,0,IF(Materiales!$G$40&lt;=0,E260,ROUNDUP(E260/Materiales!$G$40,0)*Materiales!$G$40))</f>
        <v/>
      </c>
      <c r="F261" s="65">
        <f>IF(F260&lt;=0,0,IF(Materiales!$G$40&lt;=0,F260,ROUNDUP(F260/Materiales!$G$40,0)*Materiales!$G$40))</f>
        <v/>
      </c>
      <c r="G261" s="65">
        <f>IF(G260&lt;=0,0,IF(Materiales!$G$40&lt;=0,G260,ROUNDUP(G260/Materiales!$G$40,0)*Materiales!$G$40))</f>
        <v/>
      </c>
      <c r="H261" s="65">
        <f>IF(H260&lt;=0,0,IF(Materiales!$G$40&lt;=0,H260,ROUNDUP(H260/Materiales!$G$40,0)*Materiales!$G$40))</f>
        <v/>
      </c>
      <c r="I261" s="65">
        <f>IF(I260&lt;=0,0,IF(Materiales!$G$40&lt;=0,I260,ROUNDUP(I260/Materiales!$G$40,0)*Materiales!$G$40))</f>
        <v/>
      </c>
      <c r="J261" s="65">
        <f>IF(J260&lt;=0,0,IF(Materiales!$G$40&lt;=0,J260,ROUNDUP(J260/Materiales!$G$40,0)*Materiales!$G$40))</f>
        <v/>
      </c>
      <c r="K261" s="65">
        <f>IF(K260&lt;=0,0,IF(Materiales!$G$40&lt;=0,K260,ROUNDUP(K260/Materiales!$G$40,0)*Materiales!$G$40))</f>
        <v/>
      </c>
      <c r="L261" s="65">
        <f>IF(L260&lt;=0,0,IF(Materiales!$G$40&lt;=0,L260,ROUNDUP(L260/Materiales!$G$40,0)*Materiales!$G$40))</f>
        <v/>
      </c>
      <c r="M261" s="66" t="n"/>
    </row>
    <row r="262">
      <c r="C262" s="70" t="inlineStr">
        <is>
          <t>LANZAMIENTO DE ORDEN — pedir esta semana</t>
        </is>
      </c>
      <c r="D262" s="64" t="n"/>
      <c r="E262" s="71">
        <f>IF(1+Materiales!$F$40&gt;8,0,INDEX($E$261:$L$261,1,1+Materiales!$F$40))</f>
        <v/>
      </c>
      <c r="F262" s="71">
        <f>IF(2+Materiales!$F$40&gt;8,0,INDEX($E$261:$L$261,1,2+Materiales!$F$40))</f>
        <v/>
      </c>
      <c r="G262" s="71">
        <f>IF(3+Materiales!$F$40&gt;8,0,INDEX($E$261:$L$261,1,3+Materiales!$F$40))</f>
        <v/>
      </c>
      <c r="H262" s="71">
        <f>IF(4+Materiales!$F$40&gt;8,0,INDEX($E$261:$L$261,1,4+Materiales!$F$40))</f>
        <v/>
      </c>
      <c r="I262" s="71">
        <f>IF(5+Materiales!$F$40&gt;8,0,INDEX($E$261:$L$261,1,5+Materiales!$F$40))</f>
        <v/>
      </c>
      <c r="J262" s="71">
        <f>IF(6+Materiales!$F$40&gt;8,0,INDEX($E$261:$L$261,1,6+Materiales!$F$40))</f>
        <v/>
      </c>
      <c r="K262" s="71">
        <f>IF(7+Materiales!$F$40&gt;8,0,INDEX($E$261:$L$261,1,7+Materiales!$F$40))</f>
        <v/>
      </c>
      <c r="L262" s="71">
        <f>IF(8+Materiales!$F$40&gt;8,0,INDEX($E$261:$L$261,1,8+Materiales!$F$40))</f>
        <v/>
      </c>
      <c r="M262" s="72">
        <f>IF($A257="","",IF(SUMPRODUCT((COLUMN($E$261:$L$261)-4&lt;=Materiales!$F$40)*$E$261:$L$261)&gt;0,"PEDIR YA (atrasado)","OK"))</f>
        <v/>
      </c>
    </row>
    <row r="263" ht="6" customHeight="1"/>
    <row r="264">
      <c r="A264" s="62">
        <f>IF(Materiales!$A$41="","",Materiales!$A$41)</f>
        <v/>
      </c>
      <c r="B264" s="62">
        <f>IF(Materiales!$B$41="","",Materiales!$B$41)</f>
        <v/>
      </c>
      <c r="C264" s="63" t="inlineStr">
        <is>
          <t>Necesidad bruta</t>
        </is>
      </c>
      <c r="D264" s="64" t="n"/>
      <c r="E264" s="65">
        <f>ROUND(SUMIF(Consumo!$P$4:$P$189,"#"&amp;$A264,Consumo!H$4:H$189),4)</f>
        <v/>
      </c>
      <c r="F264" s="65">
        <f>ROUND(SUMIF(Consumo!$P$4:$P$189,"#"&amp;$A264,Consumo!I$4:I$189),4)</f>
        <v/>
      </c>
      <c r="G264" s="65">
        <f>ROUND(SUMIF(Consumo!$P$4:$P$189,"#"&amp;$A264,Consumo!J$4:J$189),4)</f>
        <v/>
      </c>
      <c r="H264" s="65">
        <f>ROUND(SUMIF(Consumo!$P$4:$P$189,"#"&amp;$A264,Consumo!K$4:K$189),4)</f>
        <v/>
      </c>
      <c r="I264" s="65">
        <f>ROUND(SUMIF(Consumo!$P$4:$P$189,"#"&amp;$A264,Consumo!L$4:L$189),4)</f>
        <v/>
      </c>
      <c r="J264" s="65">
        <f>ROUND(SUMIF(Consumo!$P$4:$P$189,"#"&amp;$A264,Consumo!M$4:M$189),4)</f>
        <v/>
      </c>
      <c r="K264" s="65">
        <f>ROUND(SUMIF(Consumo!$P$4:$P$189,"#"&amp;$A264,Consumo!N$4:N$189),4)</f>
        <v/>
      </c>
      <c r="L264" s="65">
        <f>ROUND(SUMIF(Consumo!$P$4:$P$189,"#"&amp;$A264,Consumo!O$4:O$189),4)</f>
        <v/>
      </c>
      <c r="M264" s="66" t="n"/>
    </row>
    <row r="265">
      <c r="C265" s="63" t="inlineStr">
        <is>
          <t>Recepciones programadas (ya pedido)</t>
        </is>
      </c>
      <c r="D265" s="64" t="n"/>
      <c r="E265" s="65">
        <f>SUMIF(Inventario!$M$5:$M$505,"#"&amp;$A264,Inventario!E$5:E$505)</f>
        <v/>
      </c>
      <c r="F265" s="65">
        <f>SUMIF(Inventario!$M$5:$M$505,"#"&amp;$A264,Inventario!F$5:F$505)</f>
        <v/>
      </c>
      <c r="G265" s="65">
        <f>SUMIF(Inventario!$M$5:$M$505,"#"&amp;$A264,Inventario!G$5:G$505)</f>
        <v/>
      </c>
      <c r="H265" s="65">
        <f>SUMIF(Inventario!$M$5:$M$505,"#"&amp;$A264,Inventario!H$5:H$505)</f>
        <v/>
      </c>
      <c r="I265" s="65">
        <f>SUMIF(Inventario!$M$5:$M$505,"#"&amp;$A264,Inventario!I$5:I$505)</f>
        <v/>
      </c>
      <c r="J265" s="65">
        <f>SUMIF(Inventario!$M$5:$M$505,"#"&amp;$A264,Inventario!J$5:J$505)</f>
        <v/>
      </c>
      <c r="K265" s="65">
        <f>SUMIF(Inventario!$M$5:$M$505,"#"&amp;$A264,Inventario!K$5:K$505)</f>
        <v/>
      </c>
      <c r="L265" s="65">
        <f>SUMIF(Inventario!$M$5:$M$505,"#"&amp;$A264,Inventario!L$5:L$505)</f>
        <v/>
      </c>
      <c r="M265" s="66" t="n"/>
    </row>
    <row r="266">
      <c r="C266" s="63" t="inlineStr">
        <is>
          <t>Stock proyectado disponible</t>
        </is>
      </c>
      <c r="D266" s="67">
        <f>SUMIF(Inventario!$M$5:$M$505,"#"&amp;$A264,Inventario!$C$5:$C$505)</f>
        <v/>
      </c>
      <c r="E266" s="68">
        <f>D266+E265+E268-E264</f>
        <v/>
      </c>
      <c r="F266" s="68">
        <f>E266+F265+F268-F264</f>
        <v/>
      </c>
      <c r="G266" s="68">
        <f>F266+G265+G268-G264</f>
        <v/>
      </c>
      <c r="H266" s="68">
        <f>G266+H265+H268-H264</f>
        <v/>
      </c>
      <c r="I266" s="68">
        <f>H266+I265+I268-I264</f>
        <v/>
      </c>
      <c r="J266" s="68">
        <f>I266+J265+J268-J264</f>
        <v/>
      </c>
      <c r="K266" s="68">
        <f>J266+K265+K268-K264</f>
        <v/>
      </c>
      <c r="L266" s="68">
        <f>K266+L265+L268-L264</f>
        <v/>
      </c>
      <c r="M266" s="66" t="n"/>
    </row>
    <row r="267">
      <c r="C267" s="63" t="inlineStr">
        <is>
          <t>Necesidad neta</t>
        </is>
      </c>
      <c r="D267" s="64" t="n"/>
      <c r="E267" s="69">
        <f>MAX(0,ROUND(E264+Materiales!$H$41-D266-E265,4))</f>
        <v/>
      </c>
      <c r="F267" s="69">
        <f>MAX(0,ROUND(F264+Materiales!$H$41-E266-F265,4))</f>
        <v/>
      </c>
      <c r="G267" s="69">
        <f>MAX(0,ROUND(G264+Materiales!$H$41-F266-G265,4))</f>
        <v/>
      </c>
      <c r="H267" s="69">
        <f>MAX(0,ROUND(H264+Materiales!$H$41-G266-H265,4))</f>
        <v/>
      </c>
      <c r="I267" s="69">
        <f>MAX(0,ROUND(I264+Materiales!$H$41-H266-I265,4))</f>
        <v/>
      </c>
      <c r="J267" s="69">
        <f>MAX(0,ROUND(J264+Materiales!$H$41-I266-J265,4))</f>
        <v/>
      </c>
      <c r="K267" s="69">
        <f>MAX(0,ROUND(K264+Materiales!$H$41-J266-K265,4))</f>
        <v/>
      </c>
      <c r="L267" s="69">
        <f>MAX(0,ROUND(L264+Materiales!$H$41-K266-L265,4))</f>
        <v/>
      </c>
      <c r="M267" s="66" t="n"/>
    </row>
    <row r="268">
      <c r="C268" s="63" t="inlineStr">
        <is>
          <t>Recepcion de orden planificada</t>
        </is>
      </c>
      <c r="D268" s="64" t="n"/>
      <c r="E268" s="65">
        <f>IF(E267&lt;=0,0,IF(Materiales!$G$41&lt;=0,E267,ROUNDUP(E267/Materiales!$G$41,0)*Materiales!$G$41))</f>
        <v/>
      </c>
      <c r="F268" s="65">
        <f>IF(F267&lt;=0,0,IF(Materiales!$G$41&lt;=0,F267,ROUNDUP(F267/Materiales!$G$41,0)*Materiales!$G$41))</f>
        <v/>
      </c>
      <c r="G268" s="65">
        <f>IF(G267&lt;=0,0,IF(Materiales!$G$41&lt;=0,G267,ROUNDUP(G267/Materiales!$G$41,0)*Materiales!$G$41))</f>
        <v/>
      </c>
      <c r="H268" s="65">
        <f>IF(H267&lt;=0,0,IF(Materiales!$G$41&lt;=0,H267,ROUNDUP(H267/Materiales!$G$41,0)*Materiales!$G$41))</f>
        <v/>
      </c>
      <c r="I268" s="65">
        <f>IF(I267&lt;=0,0,IF(Materiales!$G$41&lt;=0,I267,ROUNDUP(I267/Materiales!$G$41,0)*Materiales!$G$41))</f>
        <v/>
      </c>
      <c r="J268" s="65">
        <f>IF(J267&lt;=0,0,IF(Materiales!$G$41&lt;=0,J267,ROUNDUP(J267/Materiales!$G$41,0)*Materiales!$G$41))</f>
        <v/>
      </c>
      <c r="K268" s="65">
        <f>IF(K267&lt;=0,0,IF(Materiales!$G$41&lt;=0,K267,ROUNDUP(K267/Materiales!$G$41,0)*Materiales!$G$41))</f>
        <v/>
      </c>
      <c r="L268" s="65">
        <f>IF(L267&lt;=0,0,IF(Materiales!$G$41&lt;=0,L267,ROUNDUP(L267/Materiales!$G$41,0)*Materiales!$G$41))</f>
        <v/>
      </c>
      <c r="M268" s="66" t="n"/>
    </row>
    <row r="269">
      <c r="C269" s="70" t="inlineStr">
        <is>
          <t>LANZAMIENTO DE ORDEN — pedir esta semana</t>
        </is>
      </c>
      <c r="D269" s="64" t="n"/>
      <c r="E269" s="71">
        <f>IF(1+Materiales!$F$41&gt;8,0,INDEX($E$268:$L$268,1,1+Materiales!$F$41))</f>
        <v/>
      </c>
      <c r="F269" s="71">
        <f>IF(2+Materiales!$F$41&gt;8,0,INDEX($E$268:$L$268,1,2+Materiales!$F$41))</f>
        <v/>
      </c>
      <c r="G269" s="71">
        <f>IF(3+Materiales!$F$41&gt;8,0,INDEX($E$268:$L$268,1,3+Materiales!$F$41))</f>
        <v/>
      </c>
      <c r="H269" s="71">
        <f>IF(4+Materiales!$F$41&gt;8,0,INDEX($E$268:$L$268,1,4+Materiales!$F$41))</f>
        <v/>
      </c>
      <c r="I269" s="71">
        <f>IF(5+Materiales!$F$41&gt;8,0,INDEX($E$268:$L$268,1,5+Materiales!$F$41))</f>
        <v/>
      </c>
      <c r="J269" s="71">
        <f>IF(6+Materiales!$F$41&gt;8,0,INDEX($E$268:$L$268,1,6+Materiales!$F$41))</f>
        <v/>
      </c>
      <c r="K269" s="71">
        <f>IF(7+Materiales!$F$41&gt;8,0,INDEX($E$268:$L$268,1,7+Materiales!$F$41))</f>
        <v/>
      </c>
      <c r="L269" s="71">
        <f>IF(8+Materiales!$F$41&gt;8,0,INDEX($E$268:$L$268,1,8+Materiales!$F$41))</f>
        <v/>
      </c>
      <c r="M269" s="72">
        <f>IF($A264="","",IF(SUMPRODUCT((COLUMN($E$268:$L$268)-4&lt;=Materiales!$F$41)*$E$268:$L$268)&gt;0,"PEDIR YA (atrasado)","OK"))</f>
        <v/>
      </c>
    </row>
    <row r="270" ht="6" customHeight="1"/>
    <row r="271">
      <c r="A271" s="62">
        <f>IF(Materiales!$A$42="","",Materiales!$A$42)</f>
        <v/>
      </c>
      <c r="B271" s="62">
        <f>IF(Materiales!$B$42="","",Materiales!$B$42)</f>
        <v/>
      </c>
      <c r="C271" s="63" t="inlineStr">
        <is>
          <t>Necesidad bruta</t>
        </is>
      </c>
      <c r="D271" s="64" t="n"/>
      <c r="E271" s="65">
        <f>ROUND(SUMIF(Consumo!$P$4:$P$189,"#"&amp;$A271,Consumo!H$4:H$189),4)</f>
        <v/>
      </c>
      <c r="F271" s="65">
        <f>ROUND(SUMIF(Consumo!$P$4:$P$189,"#"&amp;$A271,Consumo!I$4:I$189),4)</f>
        <v/>
      </c>
      <c r="G271" s="65">
        <f>ROUND(SUMIF(Consumo!$P$4:$P$189,"#"&amp;$A271,Consumo!J$4:J$189),4)</f>
        <v/>
      </c>
      <c r="H271" s="65">
        <f>ROUND(SUMIF(Consumo!$P$4:$P$189,"#"&amp;$A271,Consumo!K$4:K$189),4)</f>
        <v/>
      </c>
      <c r="I271" s="65">
        <f>ROUND(SUMIF(Consumo!$P$4:$P$189,"#"&amp;$A271,Consumo!L$4:L$189),4)</f>
        <v/>
      </c>
      <c r="J271" s="65">
        <f>ROUND(SUMIF(Consumo!$P$4:$P$189,"#"&amp;$A271,Consumo!M$4:M$189),4)</f>
        <v/>
      </c>
      <c r="K271" s="65">
        <f>ROUND(SUMIF(Consumo!$P$4:$P$189,"#"&amp;$A271,Consumo!N$4:N$189),4)</f>
        <v/>
      </c>
      <c r="L271" s="65">
        <f>ROUND(SUMIF(Consumo!$P$4:$P$189,"#"&amp;$A271,Consumo!O$4:O$189),4)</f>
        <v/>
      </c>
      <c r="M271" s="66" t="n"/>
    </row>
    <row r="272">
      <c r="C272" s="63" t="inlineStr">
        <is>
          <t>Recepciones programadas (ya pedido)</t>
        </is>
      </c>
      <c r="D272" s="64" t="n"/>
      <c r="E272" s="65">
        <f>SUMIF(Inventario!$M$5:$M$505,"#"&amp;$A271,Inventario!E$5:E$505)</f>
        <v/>
      </c>
      <c r="F272" s="65">
        <f>SUMIF(Inventario!$M$5:$M$505,"#"&amp;$A271,Inventario!F$5:F$505)</f>
        <v/>
      </c>
      <c r="G272" s="65">
        <f>SUMIF(Inventario!$M$5:$M$505,"#"&amp;$A271,Inventario!G$5:G$505)</f>
        <v/>
      </c>
      <c r="H272" s="65">
        <f>SUMIF(Inventario!$M$5:$M$505,"#"&amp;$A271,Inventario!H$5:H$505)</f>
        <v/>
      </c>
      <c r="I272" s="65">
        <f>SUMIF(Inventario!$M$5:$M$505,"#"&amp;$A271,Inventario!I$5:I$505)</f>
        <v/>
      </c>
      <c r="J272" s="65">
        <f>SUMIF(Inventario!$M$5:$M$505,"#"&amp;$A271,Inventario!J$5:J$505)</f>
        <v/>
      </c>
      <c r="K272" s="65">
        <f>SUMIF(Inventario!$M$5:$M$505,"#"&amp;$A271,Inventario!K$5:K$505)</f>
        <v/>
      </c>
      <c r="L272" s="65">
        <f>SUMIF(Inventario!$M$5:$M$505,"#"&amp;$A271,Inventario!L$5:L$505)</f>
        <v/>
      </c>
      <c r="M272" s="66" t="n"/>
    </row>
    <row r="273">
      <c r="C273" s="63" t="inlineStr">
        <is>
          <t>Stock proyectado disponible</t>
        </is>
      </c>
      <c r="D273" s="67">
        <f>SUMIF(Inventario!$M$5:$M$505,"#"&amp;$A271,Inventario!$C$5:$C$505)</f>
        <v/>
      </c>
      <c r="E273" s="68">
        <f>D273+E272+E275-E271</f>
        <v/>
      </c>
      <c r="F273" s="68">
        <f>E273+F272+F275-F271</f>
        <v/>
      </c>
      <c r="G273" s="68">
        <f>F273+G272+G275-G271</f>
        <v/>
      </c>
      <c r="H273" s="68">
        <f>G273+H272+H275-H271</f>
        <v/>
      </c>
      <c r="I273" s="68">
        <f>H273+I272+I275-I271</f>
        <v/>
      </c>
      <c r="J273" s="68">
        <f>I273+J272+J275-J271</f>
        <v/>
      </c>
      <c r="K273" s="68">
        <f>J273+K272+K275-K271</f>
        <v/>
      </c>
      <c r="L273" s="68">
        <f>K273+L272+L275-L271</f>
        <v/>
      </c>
      <c r="M273" s="66" t="n"/>
    </row>
    <row r="274">
      <c r="C274" s="63" t="inlineStr">
        <is>
          <t>Necesidad neta</t>
        </is>
      </c>
      <c r="D274" s="64" t="n"/>
      <c r="E274" s="69">
        <f>MAX(0,ROUND(E271+Materiales!$H$42-D273-E272,4))</f>
        <v/>
      </c>
      <c r="F274" s="69">
        <f>MAX(0,ROUND(F271+Materiales!$H$42-E273-F272,4))</f>
        <v/>
      </c>
      <c r="G274" s="69">
        <f>MAX(0,ROUND(G271+Materiales!$H$42-F273-G272,4))</f>
        <v/>
      </c>
      <c r="H274" s="69">
        <f>MAX(0,ROUND(H271+Materiales!$H$42-G273-H272,4))</f>
        <v/>
      </c>
      <c r="I274" s="69">
        <f>MAX(0,ROUND(I271+Materiales!$H$42-H273-I272,4))</f>
        <v/>
      </c>
      <c r="J274" s="69">
        <f>MAX(0,ROUND(J271+Materiales!$H$42-I273-J272,4))</f>
        <v/>
      </c>
      <c r="K274" s="69">
        <f>MAX(0,ROUND(K271+Materiales!$H$42-J273-K272,4))</f>
        <v/>
      </c>
      <c r="L274" s="69">
        <f>MAX(0,ROUND(L271+Materiales!$H$42-K273-L272,4))</f>
        <v/>
      </c>
      <c r="M274" s="66" t="n"/>
    </row>
    <row r="275">
      <c r="C275" s="63" t="inlineStr">
        <is>
          <t>Recepcion de orden planificada</t>
        </is>
      </c>
      <c r="D275" s="64" t="n"/>
      <c r="E275" s="65">
        <f>IF(E274&lt;=0,0,IF(Materiales!$G$42&lt;=0,E274,ROUNDUP(E274/Materiales!$G$42,0)*Materiales!$G$42))</f>
        <v/>
      </c>
      <c r="F275" s="65">
        <f>IF(F274&lt;=0,0,IF(Materiales!$G$42&lt;=0,F274,ROUNDUP(F274/Materiales!$G$42,0)*Materiales!$G$42))</f>
        <v/>
      </c>
      <c r="G275" s="65">
        <f>IF(G274&lt;=0,0,IF(Materiales!$G$42&lt;=0,G274,ROUNDUP(G274/Materiales!$G$42,0)*Materiales!$G$42))</f>
        <v/>
      </c>
      <c r="H275" s="65">
        <f>IF(H274&lt;=0,0,IF(Materiales!$G$42&lt;=0,H274,ROUNDUP(H274/Materiales!$G$42,0)*Materiales!$G$42))</f>
        <v/>
      </c>
      <c r="I275" s="65">
        <f>IF(I274&lt;=0,0,IF(Materiales!$G$42&lt;=0,I274,ROUNDUP(I274/Materiales!$G$42,0)*Materiales!$G$42))</f>
        <v/>
      </c>
      <c r="J275" s="65">
        <f>IF(J274&lt;=0,0,IF(Materiales!$G$42&lt;=0,J274,ROUNDUP(J274/Materiales!$G$42,0)*Materiales!$G$42))</f>
        <v/>
      </c>
      <c r="K275" s="65">
        <f>IF(K274&lt;=0,0,IF(Materiales!$G$42&lt;=0,K274,ROUNDUP(K274/Materiales!$G$42,0)*Materiales!$G$42))</f>
        <v/>
      </c>
      <c r="L275" s="65">
        <f>IF(L274&lt;=0,0,IF(Materiales!$G$42&lt;=0,L274,ROUNDUP(L274/Materiales!$G$42,0)*Materiales!$G$42))</f>
        <v/>
      </c>
      <c r="M275" s="66" t="n"/>
    </row>
    <row r="276">
      <c r="C276" s="70" t="inlineStr">
        <is>
          <t>LANZAMIENTO DE ORDEN — pedir esta semana</t>
        </is>
      </c>
      <c r="D276" s="64" t="n"/>
      <c r="E276" s="71">
        <f>IF(1+Materiales!$F$42&gt;8,0,INDEX($E$275:$L$275,1,1+Materiales!$F$42))</f>
        <v/>
      </c>
      <c r="F276" s="71">
        <f>IF(2+Materiales!$F$42&gt;8,0,INDEX($E$275:$L$275,1,2+Materiales!$F$42))</f>
        <v/>
      </c>
      <c r="G276" s="71">
        <f>IF(3+Materiales!$F$42&gt;8,0,INDEX($E$275:$L$275,1,3+Materiales!$F$42))</f>
        <v/>
      </c>
      <c r="H276" s="71">
        <f>IF(4+Materiales!$F$42&gt;8,0,INDEX($E$275:$L$275,1,4+Materiales!$F$42))</f>
        <v/>
      </c>
      <c r="I276" s="71">
        <f>IF(5+Materiales!$F$42&gt;8,0,INDEX($E$275:$L$275,1,5+Materiales!$F$42))</f>
        <v/>
      </c>
      <c r="J276" s="71">
        <f>IF(6+Materiales!$F$42&gt;8,0,INDEX($E$275:$L$275,1,6+Materiales!$F$42))</f>
        <v/>
      </c>
      <c r="K276" s="71">
        <f>IF(7+Materiales!$F$42&gt;8,0,INDEX($E$275:$L$275,1,7+Materiales!$F$42))</f>
        <v/>
      </c>
      <c r="L276" s="71">
        <f>IF(8+Materiales!$F$42&gt;8,0,INDEX($E$275:$L$275,1,8+Materiales!$F$42))</f>
        <v/>
      </c>
      <c r="M276" s="72">
        <f>IF($A271="","",IF(SUMPRODUCT((COLUMN($E$275:$L$275)-4&lt;=Materiales!$F$42)*$E$275:$L$275)&gt;0,"PEDIR YA (atrasado)","OK"))</f>
        <v/>
      </c>
    </row>
    <row r="277" ht="6" customHeight="1"/>
    <row r="278">
      <c r="A278" s="62">
        <f>IF(Materiales!$A$43="","",Materiales!$A$43)</f>
        <v/>
      </c>
      <c r="B278" s="62">
        <f>IF(Materiales!$B$43="","",Materiales!$B$43)</f>
        <v/>
      </c>
      <c r="C278" s="63" t="inlineStr">
        <is>
          <t>Necesidad bruta</t>
        </is>
      </c>
      <c r="D278" s="64" t="n"/>
      <c r="E278" s="65">
        <f>ROUND(SUMIF(Consumo!$P$4:$P$189,"#"&amp;$A278,Consumo!H$4:H$189),4)</f>
        <v/>
      </c>
      <c r="F278" s="65">
        <f>ROUND(SUMIF(Consumo!$P$4:$P$189,"#"&amp;$A278,Consumo!I$4:I$189),4)</f>
        <v/>
      </c>
      <c r="G278" s="65">
        <f>ROUND(SUMIF(Consumo!$P$4:$P$189,"#"&amp;$A278,Consumo!J$4:J$189),4)</f>
        <v/>
      </c>
      <c r="H278" s="65">
        <f>ROUND(SUMIF(Consumo!$P$4:$P$189,"#"&amp;$A278,Consumo!K$4:K$189),4)</f>
        <v/>
      </c>
      <c r="I278" s="65">
        <f>ROUND(SUMIF(Consumo!$P$4:$P$189,"#"&amp;$A278,Consumo!L$4:L$189),4)</f>
        <v/>
      </c>
      <c r="J278" s="65">
        <f>ROUND(SUMIF(Consumo!$P$4:$P$189,"#"&amp;$A278,Consumo!M$4:M$189),4)</f>
        <v/>
      </c>
      <c r="K278" s="65">
        <f>ROUND(SUMIF(Consumo!$P$4:$P$189,"#"&amp;$A278,Consumo!N$4:N$189),4)</f>
        <v/>
      </c>
      <c r="L278" s="65">
        <f>ROUND(SUMIF(Consumo!$P$4:$P$189,"#"&amp;$A278,Consumo!O$4:O$189),4)</f>
        <v/>
      </c>
      <c r="M278" s="66" t="n"/>
    </row>
    <row r="279">
      <c r="C279" s="63" t="inlineStr">
        <is>
          <t>Recepciones programadas (ya pedido)</t>
        </is>
      </c>
      <c r="D279" s="64" t="n"/>
      <c r="E279" s="65">
        <f>SUMIF(Inventario!$M$5:$M$505,"#"&amp;$A278,Inventario!E$5:E$505)</f>
        <v/>
      </c>
      <c r="F279" s="65">
        <f>SUMIF(Inventario!$M$5:$M$505,"#"&amp;$A278,Inventario!F$5:F$505)</f>
        <v/>
      </c>
      <c r="G279" s="65">
        <f>SUMIF(Inventario!$M$5:$M$505,"#"&amp;$A278,Inventario!G$5:G$505)</f>
        <v/>
      </c>
      <c r="H279" s="65">
        <f>SUMIF(Inventario!$M$5:$M$505,"#"&amp;$A278,Inventario!H$5:H$505)</f>
        <v/>
      </c>
      <c r="I279" s="65">
        <f>SUMIF(Inventario!$M$5:$M$505,"#"&amp;$A278,Inventario!I$5:I$505)</f>
        <v/>
      </c>
      <c r="J279" s="65">
        <f>SUMIF(Inventario!$M$5:$M$505,"#"&amp;$A278,Inventario!J$5:J$505)</f>
        <v/>
      </c>
      <c r="K279" s="65">
        <f>SUMIF(Inventario!$M$5:$M$505,"#"&amp;$A278,Inventario!K$5:K$505)</f>
        <v/>
      </c>
      <c r="L279" s="65">
        <f>SUMIF(Inventario!$M$5:$M$505,"#"&amp;$A278,Inventario!L$5:L$505)</f>
        <v/>
      </c>
      <c r="M279" s="66" t="n"/>
    </row>
    <row r="280">
      <c r="C280" s="63" t="inlineStr">
        <is>
          <t>Stock proyectado disponible</t>
        </is>
      </c>
      <c r="D280" s="67">
        <f>SUMIF(Inventario!$M$5:$M$505,"#"&amp;$A278,Inventario!$C$5:$C$505)</f>
        <v/>
      </c>
      <c r="E280" s="68">
        <f>D280+E279+E282-E278</f>
        <v/>
      </c>
      <c r="F280" s="68">
        <f>E280+F279+F282-F278</f>
        <v/>
      </c>
      <c r="G280" s="68">
        <f>F280+G279+G282-G278</f>
        <v/>
      </c>
      <c r="H280" s="68">
        <f>G280+H279+H282-H278</f>
        <v/>
      </c>
      <c r="I280" s="68">
        <f>H280+I279+I282-I278</f>
        <v/>
      </c>
      <c r="J280" s="68">
        <f>I280+J279+J282-J278</f>
        <v/>
      </c>
      <c r="K280" s="68">
        <f>J280+K279+K282-K278</f>
        <v/>
      </c>
      <c r="L280" s="68">
        <f>K280+L279+L282-L278</f>
        <v/>
      </c>
      <c r="M280" s="66" t="n"/>
    </row>
    <row r="281">
      <c r="C281" s="63" t="inlineStr">
        <is>
          <t>Necesidad neta</t>
        </is>
      </c>
      <c r="D281" s="64" t="n"/>
      <c r="E281" s="69">
        <f>MAX(0,ROUND(E278+Materiales!$H$43-D280-E279,4))</f>
        <v/>
      </c>
      <c r="F281" s="69">
        <f>MAX(0,ROUND(F278+Materiales!$H$43-E280-F279,4))</f>
        <v/>
      </c>
      <c r="G281" s="69">
        <f>MAX(0,ROUND(G278+Materiales!$H$43-F280-G279,4))</f>
        <v/>
      </c>
      <c r="H281" s="69">
        <f>MAX(0,ROUND(H278+Materiales!$H$43-G280-H279,4))</f>
        <v/>
      </c>
      <c r="I281" s="69">
        <f>MAX(0,ROUND(I278+Materiales!$H$43-H280-I279,4))</f>
        <v/>
      </c>
      <c r="J281" s="69">
        <f>MAX(0,ROUND(J278+Materiales!$H$43-I280-J279,4))</f>
        <v/>
      </c>
      <c r="K281" s="69">
        <f>MAX(0,ROUND(K278+Materiales!$H$43-J280-K279,4))</f>
        <v/>
      </c>
      <c r="L281" s="69">
        <f>MAX(0,ROUND(L278+Materiales!$H$43-K280-L279,4))</f>
        <v/>
      </c>
      <c r="M281" s="66" t="n"/>
    </row>
    <row r="282">
      <c r="C282" s="63" t="inlineStr">
        <is>
          <t>Recepcion de orden planificada</t>
        </is>
      </c>
      <c r="D282" s="64" t="n"/>
      <c r="E282" s="65">
        <f>IF(E281&lt;=0,0,IF(Materiales!$G$43&lt;=0,E281,ROUNDUP(E281/Materiales!$G$43,0)*Materiales!$G$43))</f>
        <v/>
      </c>
      <c r="F282" s="65">
        <f>IF(F281&lt;=0,0,IF(Materiales!$G$43&lt;=0,F281,ROUNDUP(F281/Materiales!$G$43,0)*Materiales!$G$43))</f>
        <v/>
      </c>
      <c r="G282" s="65">
        <f>IF(G281&lt;=0,0,IF(Materiales!$G$43&lt;=0,G281,ROUNDUP(G281/Materiales!$G$43,0)*Materiales!$G$43))</f>
        <v/>
      </c>
      <c r="H282" s="65">
        <f>IF(H281&lt;=0,0,IF(Materiales!$G$43&lt;=0,H281,ROUNDUP(H281/Materiales!$G$43,0)*Materiales!$G$43))</f>
        <v/>
      </c>
      <c r="I282" s="65">
        <f>IF(I281&lt;=0,0,IF(Materiales!$G$43&lt;=0,I281,ROUNDUP(I281/Materiales!$G$43,0)*Materiales!$G$43))</f>
        <v/>
      </c>
      <c r="J282" s="65">
        <f>IF(J281&lt;=0,0,IF(Materiales!$G$43&lt;=0,J281,ROUNDUP(J281/Materiales!$G$43,0)*Materiales!$G$43))</f>
        <v/>
      </c>
      <c r="K282" s="65">
        <f>IF(K281&lt;=0,0,IF(Materiales!$G$43&lt;=0,K281,ROUNDUP(K281/Materiales!$G$43,0)*Materiales!$G$43))</f>
        <v/>
      </c>
      <c r="L282" s="65">
        <f>IF(L281&lt;=0,0,IF(Materiales!$G$43&lt;=0,L281,ROUNDUP(L281/Materiales!$G$43,0)*Materiales!$G$43))</f>
        <v/>
      </c>
      <c r="M282" s="66" t="n"/>
    </row>
    <row r="283">
      <c r="C283" s="70" t="inlineStr">
        <is>
          <t>LANZAMIENTO DE ORDEN — pedir esta semana</t>
        </is>
      </c>
      <c r="D283" s="64" t="n"/>
      <c r="E283" s="71">
        <f>IF(1+Materiales!$F$43&gt;8,0,INDEX($E$282:$L$282,1,1+Materiales!$F$43))</f>
        <v/>
      </c>
      <c r="F283" s="71">
        <f>IF(2+Materiales!$F$43&gt;8,0,INDEX($E$282:$L$282,1,2+Materiales!$F$43))</f>
        <v/>
      </c>
      <c r="G283" s="71">
        <f>IF(3+Materiales!$F$43&gt;8,0,INDEX($E$282:$L$282,1,3+Materiales!$F$43))</f>
        <v/>
      </c>
      <c r="H283" s="71">
        <f>IF(4+Materiales!$F$43&gt;8,0,INDEX($E$282:$L$282,1,4+Materiales!$F$43))</f>
        <v/>
      </c>
      <c r="I283" s="71">
        <f>IF(5+Materiales!$F$43&gt;8,0,INDEX($E$282:$L$282,1,5+Materiales!$F$43))</f>
        <v/>
      </c>
      <c r="J283" s="71">
        <f>IF(6+Materiales!$F$43&gt;8,0,INDEX($E$282:$L$282,1,6+Materiales!$F$43))</f>
        <v/>
      </c>
      <c r="K283" s="71">
        <f>IF(7+Materiales!$F$43&gt;8,0,INDEX($E$282:$L$282,1,7+Materiales!$F$43))</f>
        <v/>
      </c>
      <c r="L283" s="71">
        <f>IF(8+Materiales!$F$43&gt;8,0,INDEX($E$282:$L$282,1,8+Materiales!$F$43))</f>
        <v/>
      </c>
      <c r="M283" s="72">
        <f>IF($A278="","",IF(SUMPRODUCT((COLUMN($E$282:$L$282)-4&lt;=Materiales!$F$43)*$E$282:$L$282)&gt;0,"PEDIR YA (atrasado)","OK"))</f>
        <v/>
      </c>
    </row>
    <row r="284" ht="6" customHeight="1"/>
    <row r="285">
      <c r="A285" s="62">
        <f>IF(Materiales!$A$44="","",Materiales!$A$44)</f>
        <v/>
      </c>
      <c r="B285" s="62">
        <f>IF(Materiales!$B$44="","",Materiales!$B$44)</f>
        <v/>
      </c>
      <c r="C285" s="63" t="inlineStr">
        <is>
          <t>Necesidad bruta</t>
        </is>
      </c>
      <c r="D285" s="64" t="n"/>
      <c r="E285" s="65">
        <f>ROUND(SUMIF(Consumo!$P$4:$P$189,"#"&amp;$A285,Consumo!H$4:H$189),4)</f>
        <v/>
      </c>
      <c r="F285" s="65">
        <f>ROUND(SUMIF(Consumo!$P$4:$P$189,"#"&amp;$A285,Consumo!I$4:I$189),4)</f>
        <v/>
      </c>
      <c r="G285" s="65">
        <f>ROUND(SUMIF(Consumo!$P$4:$P$189,"#"&amp;$A285,Consumo!J$4:J$189),4)</f>
        <v/>
      </c>
      <c r="H285" s="65">
        <f>ROUND(SUMIF(Consumo!$P$4:$P$189,"#"&amp;$A285,Consumo!K$4:K$189),4)</f>
        <v/>
      </c>
      <c r="I285" s="65">
        <f>ROUND(SUMIF(Consumo!$P$4:$P$189,"#"&amp;$A285,Consumo!L$4:L$189),4)</f>
        <v/>
      </c>
      <c r="J285" s="65">
        <f>ROUND(SUMIF(Consumo!$P$4:$P$189,"#"&amp;$A285,Consumo!M$4:M$189),4)</f>
        <v/>
      </c>
      <c r="K285" s="65">
        <f>ROUND(SUMIF(Consumo!$P$4:$P$189,"#"&amp;$A285,Consumo!N$4:N$189),4)</f>
        <v/>
      </c>
      <c r="L285" s="65">
        <f>ROUND(SUMIF(Consumo!$P$4:$P$189,"#"&amp;$A285,Consumo!O$4:O$189),4)</f>
        <v/>
      </c>
      <c r="M285" s="66" t="n"/>
    </row>
    <row r="286">
      <c r="C286" s="63" t="inlineStr">
        <is>
          <t>Recepciones programadas (ya pedido)</t>
        </is>
      </c>
      <c r="D286" s="64" t="n"/>
      <c r="E286" s="65">
        <f>SUMIF(Inventario!$M$5:$M$505,"#"&amp;$A285,Inventario!E$5:E$505)</f>
        <v/>
      </c>
      <c r="F286" s="65">
        <f>SUMIF(Inventario!$M$5:$M$505,"#"&amp;$A285,Inventario!F$5:F$505)</f>
        <v/>
      </c>
      <c r="G286" s="65">
        <f>SUMIF(Inventario!$M$5:$M$505,"#"&amp;$A285,Inventario!G$5:G$505)</f>
        <v/>
      </c>
      <c r="H286" s="65">
        <f>SUMIF(Inventario!$M$5:$M$505,"#"&amp;$A285,Inventario!H$5:H$505)</f>
        <v/>
      </c>
      <c r="I286" s="65">
        <f>SUMIF(Inventario!$M$5:$M$505,"#"&amp;$A285,Inventario!I$5:I$505)</f>
        <v/>
      </c>
      <c r="J286" s="65">
        <f>SUMIF(Inventario!$M$5:$M$505,"#"&amp;$A285,Inventario!J$5:J$505)</f>
        <v/>
      </c>
      <c r="K286" s="65">
        <f>SUMIF(Inventario!$M$5:$M$505,"#"&amp;$A285,Inventario!K$5:K$505)</f>
        <v/>
      </c>
      <c r="L286" s="65">
        <f>SUMIF(Inventario!$M$5:$M$505,"#"&amp;$A285,Inventario!L$5:L$505)</f>
        <v/>
      </c>
      <c r="M286" s="66" t="n"/>
    </row>
    <row r="287">
      <c r="C287" s="63" t="inlineStr">
        <is>
          <t>Stock proyectado disponible</t>
        </is>
      </c>
      <c r="D287" s="67">
        <f>SUMIF(Inventario!$M$5:$M$505,"#"&amp;$A285,Inventario!$C$5:$C$505)</f>
        <v/>
      </c>
      <c r="E287" s="68">
        <f>D287+E286+E289-E285</f>
        <v/>
      </c>
      <c r="F287" s="68">
        <f>E287+F286+F289-F285</f>
        <v/>
      </c>
      <c r="G287" s="68">
        <f>F287+G286+G289-G285</f>
        <v/>
      </c>
      <c r="H287" s="68">
        <f>G287+H286+H289-H285</f>
        <v/>
      </c>
      <c r="I287" s="68">
        <f>H287+I286+I289-I285</f>
        <v/>
      </c>
      <c r="J287" s="68">
        <f>I287+J286+J289-J285</f>
        <v/>
      </c>
      <c r="K287" s="68">
        <f>J287+K286+K289-K285</f>
        <v/>
      </c>
      <c r="L287" s="68">
        <f>K287+L286+L289-L285</f>
        <v/>
      </c>
      <c r="M287" s="66" t="n"/>
    </row>
    <row r="288">
      <c r="C288" s="63" t="inlineStr">
        <is>
          <t>Necesidad neta</t>
        </is>
      </c>
      <c r="D288" s="64" t="n"/>
      <c r="E288" s="69">
        <f>MAX(0,ROUND(E285+Materiales!$H$44-D287-E286,4))</f>
        <v/>
      </c>
      <c r="F288" s="69">
        <f>MAX(0,ROUND(F285+Materiales!$H$44-E287-F286,4))</f>
        <v/>
      </c>
      <c r="G288" s="69">
        <f>MAX(0,ROUND(G285+Materiales!$H$44-F287-G286,4))</f>
        <v/>
      </c>
      <c r="H288" s="69">
        <f>MAX(0,ROUND(H285+Materiales!$H$44-G287-H286,4))</f>
        <v/>
      </c>
      <c r="I288" s="69">
        <f>MAX(0,ROUND(I285+Materiales!$H$44-H287-I286,4))</f>
        <v/>
      </c>
      <c r="J288" s="69">
        <f>MAX(0,ROUND(J285+Materiales!$H$44-I287-J286,4))</f>
        <v/>
      </c>
      <c r="K288" s="69">
        <f>MAX(0,ROUND(K285+Materiales!$H$44-J287-K286,4))</f>
        <v/>
      </c>
      <c r="L288" s="69">
        <f>MAX(0,ROUND(L285+Materiales!$H$44-K287-L286,4))</f>
        <v/>
      </c>
      <c r="M288" s="66" t="n"/>
    </row>
    <row r="289">
      <c r="C289" s="63" t="inlineStr">
        <is>
          <t>Recepcion de orden planificada</t>
        </is>
      </c>
      <c r="D289" s="64" t="n"/>
      <c r="E289" s="65">
        <f>IF(E288&lt;=0,0,IF(Materiales!$G$44&lt;=0,E288,ROUNDUP(E288/Materiales!$G$44,0)*Materiales!$G$44))</f>
        <v/>
      </c>
      <c r="F289" s="65">
        <f>IF(F288&lt;=0,0,IF(Materiales!$G$44&lt;=0,F288,ROUNDUP(F288/Materiales!$G$44,0)*Materiales!$G$44))</f>
        <v/>
      </c>
      <c r="G289" s="65">
        <f>IF(G288&lt;=0,0,IF(Materiales!$G$44&lt;=0,G288,ROUNDUP(G288/Materiales!$G$44,0)*Materiales!$G$44))</f>
        <v/>
      </c>
      <c r="H289" s="65">
        <f>IF(H288&lt;=0,0,IF(Materiales!$G$44&lt;=0,H288,ROUNDUP(H288/Materiales!$G$44,0)*Materiales!$G$44))</f>
        <v/>
      </c>
      <c r="I289" s="65">
        <f>IF(I288&lt;=0,0,IF(Materiales!$G$44&lt;=0,I288,ROUNDUP(I288/Materiales!$G$44,0)*Materiales!$G$44))</f>
        <v/>
      </c>
      <c r="J289" s="65">
        <f>IF(J288&lt;=0,0,IF(Materiales!$G$44&lt;=0,J288,ROUNDUP(J288/Materiales!$G$44,0)*Materiales!$G$44))</f>
        <v/>
      </c>
      <c r="K289" s="65">
        <f>IF(K288&lt;=0,0,IF(Materiales!$G$44&lt;=0,K288,ROUNDUP(K288/Materiales!$G$44,0)*Materiales!$G$44))</f>
        <v/>
      </c>
      <c r="L289" s="65">
        <f>IF(L288&lt;=0,0,IF(Materiales!$G$44&lt;=0,L288,ROUNDUP(L288/Materiales!$G$44,0)*Materiales!$G$44))</f>
        <v/>
      </c>
      <c r="M289" s="66" t="n"/>
    </row>
    <row r="290">
      <c r="C290" s="70" t="inlineStr">
        <is>
          <t>LANZAMIENTO DE ORDEN — pedir esta semana</t>
        </is>
      </c>
      <c r="D290" s="64" t="n"/>
      <c r="E290" s="71">
        <f>IF(1+Materiales!$F$44&gt;8,0,INDEX($E$289:$L$289,1,1+Materiales!$F$44))</f>
        <v/>
      </c>
      <c r="F290" s="71">
        <f>IF(2+Materiales!$F$44&gt;8,0,INDEX($E$289:$L$289,1,2+Materiales!$F$44))</f>
        <v/>
      </c>
      <c r="G290" s="71">
        <f>IF(3+Materiales!$F$44&gt;8,0,INDEX($E$289:$L$289,1,3+Materiales!$F$44))</f>
        <v/>
      </c>
      <c r="H290" s="71">
        <f>IF(4+Materiales!$F$44&gt;8,0,INDEX($E$289:$L$289,1,4+Materiales!$F$44))</f>
        <v/>
      </c>
      <c r="I290" s="71">
        <f>IF(5+Materiales!$F$44&gt;8,0,INDEX($E$289:$L$289,1,5+Materiales!$F$44))</f>
        <v/>
      </c>
      <c r="J290" s="71">
        <f>IF(6+Materiales!$F$44&gt;8,0,INDEX($E$289:$L$289,1,6+Materiales!$F$44))</f>
        <v/>
      </c>
      <c r="K290" s="71">
        <f>IF(7+Materiales!$F$44&gt;8,0,INDEX($E$289:$L$289,1,7+Materiales!$F$44))</f>
        <v/>
      </c>
      <c r="L290" s="71">
        <f>IF(8+Materiales!$F$44&gt;8,0,INDEX($E$289:$L$289,1,8+Materiales!$F$44))</f>
        <v/>
      </c>
      <c r="M290" s="72">
        <f>IF($A285="","",IF(SUMPRODUCT((COLUMN($E$289:$L$289)-4&lt;=Materiales!$F$44)*$E$289:$L$289)&gt;0,"PEDIR YA (atrasado)","OK"))</f>
        <v/>
      </c>
    </row>
    <row r="291" ht="6" customHeight="1"/>
    <row r="292">
      <c r="A292" s="62">
        <f>IF(Materiales!$A$45="","",Materiales!$A$45)</f>
        <v/>
      </c>
      <c r="B292" s="62">
        <f>IF(Materiales!$B$45="","",Materiales!$B$45)</f>
        <v/>
      </c>
      <c r="C292" s="63" t="inlineStr">
        <is>
          <t>Necesidad bruta</t>
        </is>
      </c>
      <c r="D292" s="64" t="n"/>
      <c r="E292" s="65">
        <f>ROUND(SUMIF(Consumo!$P$4:$P$189,"#"&amp;$A292,Consumo!H$4:H$189),4)</f>
        <v/>
      </c>
      <c r="F292" s="65">
        <f>ROUND(SUMIF(Consumo!$P$4:$P$189,"#"&amp;$A292,Consumo!I$4:I$189),4)</f>
        <v/>
      </c>
      <c r="G292" s="65">
        <f>ROUND(SUMIF(Consumo!$P$4:$P$189,"#"&amp;$A292,Consumo!J$4:J$189),4)</f>
        <v/>
      </c>
      <c r="H292" s="65">
        <f>ROUND(SUMIF(Consumo!$P$4:$P$189,"#"&amp;$A292,Consumo!K$4:K$189),4)</f>
        <v/>
      </c>
      <c r="I292" s="65">
        <f>ROUND(SUMIF(Consumo!$P$4:$P$189,"#"&amp;$A292,Consumo!L$4:L$189),4)</f>
        <v/>
      </c>
      <c r="J292" s="65">
        <f>ROUND(SUMIF(Consumo!$P$4:$P$189,"#"&amp;$A292,Consumo!M$4:M$189),4)</f>
        <v/>
      </c>
      <c r="K292" s="65">
        <f>ROUND(SUMIF(Consumo!$P$4:$P$189,"#"&amp;$A292,Consumo!N$4:N$189),4)</f>
        <v/>
      </c>
      <c r="L292" s="65">
        <f>ROUND(SUMIF(Consumo!$P$4:$P$189,"#"&amp;$A292,Consumo!O$4:O$189),4)</f>
        <v/>
      </c>
      <c r="M292" s="66" t="n"/>
    </row>
    <row r="293">
      <c r="C293" s="63" t="inlineStr">
        <is>
          <t>Recepciones programadas (ya pedido)</t>
        </is>
      </c>
      <c r="D293" s="64" t="n"/>
      <c r="E293" s="65">
        <f>SUMIF(Inventario!$M$5:$M$505,"#"&amp;$A292,Inventario!E$5:E$505)</f>
        <v/>
      </c>
      <c r="F293" s="65">
        <f>SUMIF(Inventario!$M$5:$M$505,"#"&amp;$A292,Inventario!F$5:F$505)</f>
        <v/>
      </c>
      <c r="G293" s="65">
        <f>SUMIF(Inventario!$M$5:$M$505,"#"&amp;$A292,Inventario!G$5:G$505)</f>
        <v/>
      </c>
      <c r="H293" s="65">
        <f>SUMIF(Inventario!$M$5:$M$505,"#"&amp;$A292,Inventario!H$5:H$505)</f>
        <v/>
      </c>
      <c r="I293" s="65">
        <f>SUMIF(Inventario!$M$5:$M$505,"#"&amp;$A292,Inventario!I$5:I$505)</f>
        <v/>
      </c>
      <c r="J293" s="65">
        <f>SUMIF(Inventario!$M$5:$M$505,"#"&amp;$A292,Inventario!J$5:J$505)</f>
        <v/>
      </c>
      <c r="K293" s="65">
        <f>SUMIF(Inventario!$M$5:$M$505,"#"&amp;$A292,Inventario!K$5:K$505)</f>
        <v/>
      </c>
      <c r="L293" s="65">
        <f>SUMIF(Inventario!$M$5:$M$505,"#"&amp;$A292,Inventario!L$5:L$505)</f>
        <v/>
      </c>
      <c r="M293" s="66" t="n"/>
    </row>
    <row r="294">
      <c r="C294" s="63" t="inlineStr">
        <is>
          <t>Stock proyectado disponible</t>
        </is>
      </c>
      <c r="D294" s="67">
        <f>SUMIF(Inventario!$M$5:$M$505,"#"&amp;$A292,Inventario!$C$5:$C$505)</f>
        <v/>
      </c>
      <c r="E294" s="68">
        <f>D294+E293+E296-E292</f>
        <v/>
      </c>
      <c r="F294" s="68">
        <f>E294+F293+F296-F292</f>
        <v/>
      </c>
      <c r="G294" s="68">
        <f>F294+G293+G296-G292</f>
        <v/>
      </c>
      <c r="H294" s="68">
        <f>G294+H293+H296-H292</f>
        <v/>
      </c>
      <c r="I294" s="68">
        <f>H294+I293+I296-I292</f>
        <v/>
      </c>
      <c r="J294" s="68">
        <f>I294+J293+J296-J292</f>
        <v/>
      </c>
      <c r="K294" s="68">
        <f>J294+K293+K296-K292</f>
        <v/>
      </c>
      <c r="L294" s="68">
        <f>K294+L293+L296-L292</f>
        <v/>
      </c>
      <c r="M294" s="66" t="n"/>
    </row>
    <row r="295">
      <c r="C295" s="63" t="inlineStr">
        <is>
          <t>Necesidad neta</t>
        </is>
      </c>
      <c r="D295" s="64" t="n"/>
      <c r="E295" s="69">
        <f>MAX(0,ROUND(E292+Materiales!$H$45-D294-E293,4))</f>
        <v/>
      </c>
      <c r="F295" s="69">
        <f>MAX(0,ROUND(F292+Materiales!$H$45-E294-F293,4))</f>
        <v/>
      </c>
      <c r="G295" s="69">
        <f>MAX(0,ROUND(G292+Materiales!$H$45-F294-G293,4))</f>
        <v/>
      </c>
      <c r="H295" s="69">
        <f>MAX(0,ROUND(H292+Materiales!$H$45-G294-H293,4))</f>
        <v/>
      </c>
      <c r="I295" s="69">
        <f>MAX(0,ROUND(I292+Materiales!$H$45-H294-I293,4))</f>
        <v/>
      </c>
      <c r="J295" s="69">
        <f>MAX(0,ROUND(J292+Materiales!$H$45-I294-J293,4))</f>
        <v/>
      </c>
      <c r="K295" s="69">
        <f>MAX(0,ROUND(K292+Materiales!$H$45-J294-K293,4))</f>
        <v/>
      </c>
      <c r="L295" s="69">
        <f>MAX(0,ROUND(L292+Materiales!$H$45-K294-L293,4))</f>
        <v/>
      </c>
      <c r="M295" s="66" t="n"/>
    </row>
    <row r="296">
      <c r="C296" s="63" t="inlineStr">
        <is>
          <t>Recepcion de orden planificada</t>
        </is>
      </c>
      <c r="D296" s="64" t="n"/>
      <c r="E296" s="65">
        <f>IF(E295&lt;=0,0,IF(Materiales!$G$45&lt;=0,E295,ROUNDUP(E295/Materiales!$G$45,0)*Materiales!$G$45))</f>
        <v/>
      </c>
      <c r="F296" s="65">
        <f>IF(F295&lt;=0,0,IF(Materiales!$G$45&lt;=0,F295,ROUNDUP(F295/Materiales!$G$45,0)*Materiales!$G$45))</f>
        <v/>
      </c>
      <c r="G296" s="65">
        <f>IF(G295&lt;=0,0,IF(Materiales!$G$45&lt;=0,G295,ROUNDUP(G295/Materiales!$G$45,0)*Materiales!$G$45))</f>
        <v/>
      </c>
      <c r="H296" s="65">
        <f>IF(H295&lt;=0,0,IF(Materiales!$G$45&lt;=0,H295,ROUNDUP(H295/Materiales!$G$45,0)*Materiales!$G$45))</f>
        <v/>
      </c>
      <c r="I296" s="65">
        <f>IF(I295&lt;=0,0,IF(Materiales!$G$45&lt;=0,I295,ROUNDUP(I295/Materiales!$G$45,0)*Materiales!$G$45))</f>
        <v/>
      </c>
      <c r="J296" s="65">
        <f>IF(J295&lt;=0,0,IF(Materiales!$G$45&lt;=0,J295,ROUNDUP(J295/Materiales!$G$45,0)*Materiales!$G$45))</f>
        <v/>
      </c>
      <c r="K296" s="65">
        <f>IF(K295&lt;=0,0,IF(Materiales!$G$45&lt;=0,K295,ROUNDUP(K295/Materiales!$G$45,0)*Materiales!$G$45))</f>
        <v/>
      </c>
      <c r="L296" s="65">
        <f>IF(L295&lt;=0,0,IF(Materiales!$G$45&lt;=0,L295,ROUNDUP(L295/Materiales!$G$45,0)*Materiales!$G$45))</f>
        <v/>
      </c>
      <c r="M296" s="66" t="n"/>
    </row>
    <row r="297">
      <c r="C297" s="70" t="inlineStr">
        <is>
          <t>LANZAMIENTO DE ORDEN — pedir esta semana</t>
        </is>
      </c>
      <c r="D297" s="64" t="n"/>
      <c r="E297" s="71">
        <f>IF(1+Materiales!$F$45&gt;8,0,INDEX($E$296:$L$296,1,1+Materiales!$F$45))</f>
        <v/>
      </c>
      <c r="F297" s="71">
        <f>IF(2+Materiales!$F$45&gt;8,0,INDEX($E$296:$L$296,1,2+Materiales!$F$45))</f>
        <v/>
      </c>
      <c r="G297" s="71">
        <f>IF(3+Materiales!$F$45&gt;8,0,INDEX($E$296:$L$296,1,3+Materiales!$F$45))</f>
        <v/>
      </c>
      <c r="H297" s="71">
        <f>IF(4+Materiales!$F$45&gt;8,0,INDEX($E$296:$L$296,1,4+Materiales!$F$45))</f>
        <v/>
      </c>
      <c r="I297" s="71">
        <f>IF(5+Materiales!$F$45&gt;8,0,INDEX($E$296:$L$296,1,5+Materiales!$F$45))</f>
        <v/>
      </c>
      <c r="J297" s="71">
        <f>IF(6+Materiales!$F$45&gt;8,0,INDEX($E$296:$L$296,1,6+Materiales!$F$45))</f>
        <v/>
      </c>
      <c r="K297" s="71">
        <f>IF(7+Materiales!$F$45&gt;8,0,INDEX($E$296:$L$296,1,7+Materiales!$F$45))</f>
        <v/>
      </c>
      <c r="L297" s="71">
        <f>IF(8+Materiales!$F$45&gt;8,0,INDEX($E$296:$L$296,1,8+Materiales!$F$45))</f>
        <v/>
      </c>
      <c r="M297" s="72">
        <f>IF($A292="","",IF(SUMPRODUCT((COLUMN($E$296:$L$296)-4&lt;=Materiales!$F$45)*$E$296:$L$296)&gt;0,"PEDIR YA (atrasado)","OK"))</f>
        <v/>
      </c>
    </row>
    <row r="298" ht="6" customHeight="1"/>
    <row r="299">
      <c r="A299" s="62">
        <f>IF(Materiales!$A$46="","",Materiales!$A$46)</f>
        <v/>
      </c>
      <c r="B299" s="62">
        <f>IF(Materiales!$B$46="","",Materiales!$B$46)</f>
        <v/>
      </c>
      <c r="C299" s="63" t="inlineStr">
        <is>
          <t>Necesidad bruta</t>
        </is>
      </c>
      <c r="D299" s="64" t="n"/>
      <c r="E299" s="65">
        <f>ROUND(SUMIF(Consumo!$P$4:$P$189,"#"&amp;$A299,Consumo!H$4:H$189),4)</f>
        <v/>
      </c>
      <c r="F299" s="65">
        <f>ROUND(SUMIF(Consumo!$P$4:$P$189,"#"&amp;$A299,Consumo!I$4:I$189),4)</f>
        <v/>
      </c>
      <c r="G299" s="65">
        <f>ROUND(SUMIF(Consumo!$P$4:$P$189,"#"&amp;$A299,Consumo!J$4:J$189),4)</f>
        <v/>
      </c>
      <c r="H299" s="65">
        <f>ROUND(SUMIF(Consumo!$P$4:$P$189,"#"&amp;$A299,Consumo!K$4:K$189),4)</f>
        <v/>
      </c>
      <c r="I299" s="65">
        <f>ROUND(SUMIF(Consumo!$P$4:$P$189,"#"&amp;$A299,Consumo!L$4:L$189),4)</f>
        <v/>
      </c>
      <c r="J299" s="65">
        <f>ROUND(SUMIF(Consumo!$P$4:$P$189,"#"&amp;$A299,Consumo!M$4:M$189),4)</f>
        <v/>
      </c>
      <c r="K299" s="65">
        <f>ROUND(SUMIF(Consumo!$P$4:$P$189,"#"&amp;$A299,Consumo!N$4:N$189),4)</f>
        <v/>
      </c>
      <c r="L299" s="65">
        <f>ROUND(SUMIF(Consumo!$P$4:$P$189,"#"&amp;$A299,Consumo!O$4:O$189),4)</f>
        <v/>
      </c>
      <c r="M299" s="66" t="n"/>
    </row>
    <row r="300">
      <c r="C300" s="63" t="inlineStr">
        <is>
          <t>Recepciones programadas (ya pedido)</t>
        </is>
      </c>
      <c r="D300" s="64" t="n"/>
      <c r="E300" s="65">
        <f>SUMIF(Inventario!$M$5:$M$505,"#"&amp;$A299,Inventario!E$5:E$505)</f>
        <v/>
      </c>
      <c r="F300" s="65">
        <f>SUMIF(Inventario!$M$5:$M$505,"#"&amp;$A299,Inventario!F$5:F$505)</f>
        <v/>
      </c>
      <c r="G300" s="65">
        <f>SUMIF(Inventario!$M$5:$M$505,"#"&amp;$A299,Inventario!G$5:G$505)</f>
        <v/>
      </c>
      <c r="H300" s="65">
        <f>SUMIF(Inventario!$M$5:$M$505,"#"&amp;$A299,Inventario!H$5:H$505)</f>
        <v/>
      </c>
      <c r="I300" s="65">
        <f>SUMIF(Inventario!$M$5:$M$505,"#"&amp;$A299,Inventario!I$5:I$505)</f>
        <v/>
      </c>
      <c r="J300" s="65">
        <f>SUMIF(Inventario!$M$5:$M$505,"#"&amp;$A299,Inventario!J$5:J$505)</f>
        <v/>
      </c>
      <c r="K300" s="65">
        <f>SUMIF(Inventario!$M$5:$M$505,"#"&amp;$A299,Inventario!K$5:K$505)</f>
        <v/>
      </c>
      <c r="L300" s="65">
        <f>SUMIF(Inventario!$M$5:$M$505,"#"&amp;$A299,Inventario!L$5:L$505)</f>
        <v/>
      </c>
      <c r="M300" s="66" t="n"/>
    </row>
    <row r="301">
      <c r="C301" s="63" t="inlineStr">
        <is>
          <t>Stock proyectado disponible</t>
        </is>
      </c>
      <c r="D301" s="67">
        <f>SUMIF(Inventario!$M$5:$M$505,"#"&amp;$A299,Inventario!$C$5:$C$505)</f>
        <v/>
      </c>
      <c r="E301" s="68">
        <f>D301+E300+E303-E299</f>
        <v/>
      </c>
      <c r="F301" s="68">
        <f>E301+F300+F303-F299</f>
        <v/>
      </c>
      <c r="G301" s="68">
        <f>F301+G300+G303-G299</f>
        <v/>
      </c>
      <c r="H301" s="68">
        <f>G301+H300+H303-H299</f>
        <v/>
      </c>
      <c r="I301" s="68">
        <f>H301+I300+I303-I299</f>
        <v/>
      </c>
      <c r="J301" s="68">
        <f>I301+J300+J303-J299</f>
        <v/>
      </c>
      <c r="K301" s="68">
        <f>J301+K300+K303-K299</f>
        <v/>
      </c>
      <c r="L301" s="68">
        <f>K301+L300+L303-L299</f>
        <v/>
      </c>
      <c r="M301" s="66" t="n"/>
    </row>
    <row r="302">
      <c r="C302" s="63" t="inlineStr">
        <is>
          <t>Necesidad neta</t>
        </is>
      </c>
      <c r="D302" s="64" t="n"/>
      <c r="E302" s="69">
        <f>MAX(0,ROUND(E299+Materiales!$H$46-D301-E300,4))</f>
        <v/>
      </c>
      <c r="F302" s="69">
        <f>MAX(0,ROUND(F299+Materiales!$H$46-E301-F300,4))</f>
        <v/>
      </c>
      <c r="G302" s="69">
        <f>MAX(0,ROUND(G299+Materiales!$H$46-F301-G300,4))</f>
        <v/>
      </c>
      <c r="H302" s="69">
        <f>MAX(0,ROUND(H299+Materiales!$H$46-G301-H300,4))</f>
        <v/>
      </c>
      <c r="I302" s="69">
        <f>MAX(0,ROUND(I299+Materiales!$H$46-H301-I300,4))</f>
        <v/>
      </c>
      <c r="J302" s="69">
        <f>MAX(0,ROUND(J299+Materiales!$H$46-I301-J300,4))</f>
        <v/>
      </c>
      <c r="K302" s="69">
        <f>MAX(0,ROUND(K299+Materiales!$H$46-J301-K300,4))</f>
        <v/>
      </c>
      <c r="L302" s="69">
        <f>MAX(0,ROUND(L299+Materiales!$H$46-K301-L300,4))</f>
        <v/>
      </c>
      <c r="M302" s="66" t="n"/>
    </row>
    <row r="303">
      <c r="C303" s="63" t="inlineStr">
        <is>
          <t>Recepcion de orden planificada</t>
        </is>
      </c>
      <c r="D303" s="64" t="n"/>
      <c r="E303" s="65">
        <f>IF(E302&lt;=0,0,IF(Materiales!$G$46&lt;=0,E302,ROUNDUP(E302/Materiales!$G$46,0)*Materiales!$G$46))</f>
        <v/>
      </c>
      <c r="F303" s="65">
        <f>IF(F302&lt;=0,0,IF(Materiales!$G$46&lt;=0,F302,ROUNDUP(F302/Materiales!$G$46,0)*Materiales!$G$46))</f>
        <v/>
      </c>
      <c r="G303" s="65">
        <f>IF(G302&lt;=0,0,IF(Materiales!$G$46&lt;=0,G302,ROUNDUP(G302/Materiales!$G$46,0)*Materiales!$G$46))</f>
        <v/>
      </c>
      <c r="H303" s="65">
        <f>IF(H302&lt;=0,0,IF(Materiales!$G$46&lt;=0,H302,ROUNDUP(H302/Materiales!$G$46,0)*Materiales!$G$46))</f>
        <v/>
      </c>
      <c r="I303" s="65">
        <f>IF(I302&lt;=0,0,IF(Materiales!$G$46&lt;=0,I302,ROUNDUP(I302/Materiales!$G$46,0)*Materiales!$G$46))</f>
        <v/>
      </c>
      <c r="J303" s="65">
        <f>IF(J302&lt;=0,0,IF(Materiales!$G$46&lt;=0,J302,ROUNDUP(J302/Materiales!$G$46,0)*Materiales!$G$46))</f>
        <v/>
      </c>
      <c r="K303" s="65">
        <f>IF(K302&lt;=0,0,IF(Materiales!$G$46&lt;=0,K302,ROUNDUP(K302/Materiales!$G$46,0)*Materiales!$G$46))</f>
        <v/>
      </c>
      <c r="L303" s="65">
        <f>IF(L302&lt;=0,0,IF(Materiales!$G$46&lt;=0,L302,ROUNDUP(L302/Materiales!$G$46,0)*Materiales!$G$46))</f>
        <v/>
      </c>
      <c r="M303" s="66" t="n"/>
    </row>
    <row r="304">
      <c r="C304" s="70" t="inlineStr">
        <is>
          <t>LANZAMIENTO DE ORDEN — pedir esta semana</t>
        </is>
      </c>
      <c r="D304" s="64" t="n"/>
      <c r="E304" s="71">
        <f>IF(1+Materiales!$F$46&gt;8,0,INDEX($E$303:$L$303,1,1+Materiales!$F$46))</f>
        <v/>
      </c>
      <c r="F304" s="71">
        <f>IF(2+Materiales!$F$46&gt;8,0,INDEX($E$303:$L$303,1,2+Materiales!$F$46))</f>
        <v/>
      </c>
      <c r="G304" s="71">
        <f>IF(3+Materiales!$F$46&gt;8,0,INDEX($E$303:$L$303,1,3+Materiales!$F$46))</f>
        <v/>
      </c>
      <c r="H304" s="71">
        <f>IF(4+Materiales!$F$46&gt;8,0,INDEX($E$303:$L$303,1,4+Materiales!$F$46))</f>
        <v/>
      </c>
      <c r="I304" s="71">
        <f>IF(5+Materiales!$F$46&gt;8,0,INDEX($E$303:$L$303,1,5+Materiales!$F$46))</f>
        <v/>
      </c>
      <c r="J304" s="71">
        <f>IF(6+Materiales!$F$46&gt;8,0,INDEX($E$303:$L$303,1,6+Materiales!$F$46))</f>
        <v/>
      </c>
      <c r="K304" s="71">
        <f>IF(7+Materiales!$F$46&gt;8,0,INDEX($E$303:$L$303,1,7+Materiales!$F$46))</f>
        <v/>
      </c>
      <c r="L304" s="71">
        <f>IF(8+Materiales!$F$46&gt;8,0,INDEX($E$303:$L$303,1,8+Materiales!$F$46))</f>
        <v/>
      </c>
      <c r="M304" s="72">
        <f>IF($A299="","",IF(SUMPRODUCT((COLUMN($E$303:$L$303)-4&lt;=Materiales!$F$46)*$E$303:$L$303)&gt;0,"PEDIR YA (atrasado)","OK"))</f>
        <v/>
      </c>
    </row>
    <row r="305" ht="6" customHeight="1"/>
    <row r="306">
      <c r="A306" s="62">
        <f>IF(Materiales!$A$47="","",Materiales!$A$47)</f>
        <v/>
      </c>
      <c r="B306" s="62">
        <f>IF(Materiales!$B$47="","",Materiales!$B$47)</f>
        <v/>
      </c>
      <c r="C306" s="63" t="inlineStr">
        <is>
          <t>Necesidad bruta</t>
        </is>
      </c>
      <c r="D306" s="64" t="n"/>
      <c r="E306" s="65">
        <f>ROUND(SUMIF(Consumo!$P$4:$P$189,"#"&amp;$A306,Consumo!H$4:H$189),4)</f>
        <v/>
      </c>
      <c r="F306" s="65">
        <f>ROUND(SUMIF(Consumo!$P$4:$P$189,"#"&amp;$A306,Consumo!I$4:I$189),4)</f>
        <v/>
      </c>
      <c r="G306" s="65">
        <f>ROUND(SUMIF(Consumo!$P$4:$P$189,"#"&amp;$A306,Consumo!J$4:J$189),4)</f>
        <v/>
      </c>
      <c r="H306" s="65">
        <f>ROUND(SUMIF(Consumo!$P$4:$P$189,"#"&amp;$A306,Consumo!K$4:K$189),4)</f>
        <v/>
      </c>
      <c r="I306" s="65">
        <f>ROUND(SUMIF(Consumo!$P$4:$P$189,"#"&amp;$A306,Consumo!L$4:L$189),4)</f>
        <v/>
      </c>
      <c r="J306" s="65">
        <f>ROUND(SUMIF(Consumo!$P$4:$P$189,"#"&amp;$A306,Consumo!M$4:M$189),4)</f>
        <v/>
      </c>
      <c r="K306" s="65">
        <f>ROUND(SUMIF(Consumo!$P$4:$P$189,"#"&amp;$A306,Consumo!N$4:N$189),4)</f>
        <v/>
      </c>
      <c r="L306" s="65">
        <f>ROUND(SUMIF(Consumo!$P$4:$P$189,"#"&amp;$A306,Consumo!O$4:O$189),4)</f>
        <v/>
      </c>
      <c r="M306" s="66" t="n"/>
    </row>
    <row r="307">
      <c r="C307" s="63" t="inlineStr">
        <is>
          <t>Recepciones programadas (ya pedido)</t>
        </is>
      </c>
      <c r="D307" s="64" t="n"/>
      <c r="E307" s="65">
        <f>SUMIF(Inventario!$M$5:$M$505,"#"&amp;$A306,Inventario!E$5:E$505)</f>
        <v/>
      </c>
      <c r="F307" s="65">
        <f>SUMIF(Inventario!$M$5:$M$505,"#"&amp;$A306,Inventario!F$5:F$505)</f>
        <v/>
      </c>
      <c r="G307" s="65">
        <f>SUMIF(Inventario!$M$5:$M$505,"#"&amp;$A306,Inventario!G$5:G$505)</f>
        <v/>
      </c>
      <c r="H307" s="65">
        <f>SUMIF(Inventario!$M$5:$M$505,"#"&amp;$A306,Inventario!H$5:H$505)</f>
        <v/>
      </c>
      <c r="I307" s="65">
        <f>SUMIF(Inventario!$M$5:$M$505,"#"&amp;$A306,Inventario!I$5:I$505)</f>
        <v/>
      </c>
      <c r="J307" s="65">
        <f>SUMIF(Inventario!$M$5:$M$505,"#"&amp;$A306,Inventario!J$5:J$505)</f>
        <v/>
      </c>
      <c r="K307" s="65">
        <f>SUMIF(Inventario!$M$5:$M$505,"#"&amp;$A306,Inventario!K$5:K$505)</f>
        <v/>
      </c>
      <c r="L307" s="65">
        <f>SUMIF(Inventario!$M$5:$M$505,"#"&amp;$A306,Inventario!L$5:L$505)</f>
        <v/>
      </c>
      <c r="M307" s="66" t="n"/>
    </row>
    <row r="308">
      <c r="C308" s="63" t="inlineStr">
        <is>
          <t>Stock proyectado disponible</t>
        </is>
      </c>
      <c r="D308" s="67">
        <f>SUMIF(Inventario!$M$5:$M$505,"#"&amp;$A306,Inventario!$C$5:$C$505)</f>
        <v/>
      </c>
      <c r="E308" s="68">
        <f>D308+E307+E310-E306</f>
        <v/>
      </c>
      <c r="F308" s="68">
        <f>E308+F307+F310-F306</f>
        <v/>
      </c>
      <c r="G308" s="68">
        <f>F308+G307+G310-G306</f>
        <v/>
      </c>
      <c r="H308" s="68">
        <f>G308+H307+H310-H306</f>
        <v/>
      </c>
      <c r="I308" s="68">
        <f>H308+I307+I310-I306</f>
        <v/>
      </c>
      <c r="J308" s="68">
        <f>I308+J307+J310-J306</f>
        <v/>
      </c>
      <c r="K308" s="68">
        <f>J308+K307+K310-K306</f>
        <v/>
      </c>
      <c r="L308" s="68">
        <f>K308+L307+L310-L306</f>
        <v/>
      </c>
      <c r="M308" s="66" t="n"/>
    </row>
    <row r="309">
      <c r="C309" s="63" t="inlineStr">
        <is>
          <t>Necesidad neta</t>
        </is>
      </c>
      <c r="D309" s="64" t="n"/>
      <c r="E309" s="69">
        <f>MAX(0,ROUND(E306+Materiales!$H$47-D308-E307,4))</f>
        <v/>
      </c>
      <c r="F309" s="69">
        <f>MAX(0,ROUND(F306+Materiales!$H$47-E308-F307,4))</f>
        <v/>
      </c>
      <c r="G309" s="69">
        <f>MAX(0,ROUND(G306+Materiales!$H$47-F308-G307,4))</f>
        <v/>
      </c>
      <c r="H309" s="69">
        <f>MAX(0,ROUND(H306+Materiales!$H$47-G308-H307,4))</f>
        <v/>
      </c>
      <c r="I309" s="69">
        <f>MAX(0,ROUND(I306+Materiales!$H$47-H308-I307,4))</f>
        <v/>
      </c>
      <c r="J309" s="69">
        <f>MAX(0,ROUND(J306+Materiales!$H$47-I308-J307,4))</f>
        <v/>
      </c>
      <c r="K309" s="69">
        <f>MAX(0,ROUND(K306+Materiales!$H$47-J308-K307,4))</f>
        <v/>
      </c>
      <c r="L309" s="69">
        <f>MAX(0,ROUND(L306+Materiales!$H$47-K308-L307,4))</f>
        <v/>
      </c>
      <c r="M309" s="66" t="n"/>
    </row>
    <row r="310">
      <c r="C310" s="63" t="inlineStr">
        <is>
          <t>Recepcion de orden planificada</t>
        </is>
      </c>
      <c r="D310" s="64" t="n"/>
      <c r="E310" s="65">
        <f>IF(E309&lt;=0,0,IF(Materiales!$G$47&lt;=0,E309,ROUNDUP(E309/Materiales!$G$47,0)*Materiales!$G$47))</f>
        <v/>
      </c>
      <c r="F310" s="65">
        <f>IF(F309&lt;=0,0,IF(Materiales!$G$47&lt;=0,F309,ROUNDUP(F309/Materiales!$G$47,0)*Materiales!$G$47))</f>
        <v/>
      </c>
      <c r="G310" s="65">
        <f>IF(G309&lt;=0,0,IF(Materiales!$G$47&lt;=0,G309,ROUNDUP(G309/Materiales!$G$47,0)*Materiales!$G$47))</f>
        <v/>
      </c>
      <c r="H310" s="65">
        <f>IF(H309&lt;=0,0,IF(Materiales!$G$47&lt;=0,H309,ROUNDUP(H309/Materiales!$G$47,0)*Materiales!$G$47))</f>
        <v/>
      </c>
      <c r="I310" s="65">
        <f>IF(I309&lt;=0,0,IF(Materiales!$G$47&lt;=0,I309,ROUNDUP(I309/Materiales!$G$47,0)*Materiales!$G$47))</f>
        <v/>
      </c>
      <c r="J310" s="65">
        <f>IF(J309&lt;=0,0,IF(Materiales!$G$47&lt;=0,J309,ROUNDUP(J309/Materiales!$G$47,0)*Materiales!$G$47))</f>
        <v/>
      </c>
      <c r="K310" s="65">
        <f>IF(K309&lt;=0,0,IF(Materiales!$G$47&lt;=0,K309,ROUNDUP(K309/Materiales!$G$47,0)*Materiales!$G$47))</f>
        <v/>
      </c>
      <c r="L310" s="65">
        <f>IF(L309&lt;=0,0,IF(Materiales!$G$47&lt;=0,L309,ROUNDUP(L309/Materiales!$G$47,0)*Materiales!$G$47))</f>
        <v/>
      </c>
      <c r="M310" s="66" t="n"/>
    </row>
    <row r="311">
      <c r="C311" s="70" t="inlineStr">
        <is>
          <t>LANZAMIENTO DE ORDEN — pedir esta semana</t>
        </is>
      </c>
      <c r="D311" s="64" t="n"/>
      <c r="E311" s="71">
        <f>IF(1+Materiales!$F$47&gt;8,0,INDEX($E$310:$L$310,1,1+Materiales!$F$47))</f>
        <v/>
      </c>
      <c r="F311" s="71">
        <f>IF(2+Materiales!$F$47&gt;8,0,INDEX($E$310:$L$310,1,2+Materiales!$F$47))</f>
        <v/>
      </c>
      <c r="G311" s="71">
        <f>IF(3+Materiales!$F$47&gt;8,0,INDEX($E$310:$L$310,1,3+Materiales!$F$47))</f>
        <v/>
      </c>
      <c r="H311" s="71">
        <f>IF(4+Materiales!$F$47&gt;8,0,INDEX($E$310:$L$310,1,4+Materiales!$F$47))</f>
        <v/>
      </c>
      <c r="I311" s="71">
        <f>IF(5+Materiales!$F$47&gt;8,0,INDEX($E$310:$L$310,1,5+Materiales!$F$47))</f>
        <v/>
      </c>
      <c r="J311" s="71">
        <f>IF(6+Materiales!$F$47&gt;8,0,INDEX($E$310:$L$310,1,6+Materiales!$F$47))</f>
        <v/>
      </c>
      <c r="K311" s="71">
        <f>IF(7+Materiales!$F$47&gt;8,0,INDEX($E$310:$L$310,1,7+Materiales!$F$47))</f>
        <v/>
      </c>
      <c r="L311" s="71">
        <f>IF(8+Materiales!$F$47&gt;8,0,INDEX($E$310:$L$310,1,8+Materiales!$F$47))</f>
        <v/>
      </c>
      <c r="M311" s="72">
        <f>IF($A306="","",IF(SUMPRODUCT((COLUMN($E$310:$L$310)-4&lt;=Materiales!$F$47)*$E$310:$L$310)&gt;0,"PEDIR YA (atrasado)","OK"))</f>
        <v/>
      </c>
    </row>
    <row r="312" ht="6" customHeight="1"/>
    <row r="313">
      <c r="A313" s="62">
        <f>IF(Materiales!$A$48="","",Materiales!$A$48)</f>
        <v/>
      </c>
      <c r="B313" s="62">
        <f>IF(Materiales!$B$48="","",Materiales!$B$48)</f>
        <v/>
      </c>
      <c r="C313" s="63" t="inlineStr">
        <is>
          <t>Necesidad bruta</t>
        </is>
      </c>
      <c r="D313" s="64" t="n"/>
      <c r="E313" s="65">
        <f>ROUND(SUMIF(Consumo!$P$4:$P$189,"#"&amp;$A313,Consumo!H$4:H$189),4)</f>
        <v/>
      </c>
      <c r="F313" s="65">
        <f>ROUND(SUMIF(Consumo!$P$4:$P$189,"#"&amp;$A313,Consumo!I$4:I$189),4)</f>
        <v/>
      </c>
      <c r="G313" s="65">
        <f>ROUND(SUMIF(Consumo!$P$4:$P$189,"#"&amp;$A313,Consumo!J$4:J$189),4)</f>
        <v/>
      </c>
      <c r="H313" s="65">
        <f>ROUND(SUMIF(Consumo!$P$4:$P$189,"#"&amp;$A313,Consumo!K$4:K$189),4)</f>
        <v/>
      </c>
      <c r="I313" s="65">
        <f>ROUND(SUMIF(Consumo!$P$4:$P$189,"#"&amp;$A313,Consumo!L$4:L$189),4)</f>
        <v/>
      </c>
      <c r="J313" s="65">
        <f>ROUND(SUMIF(Consumo!$P$4:$P$189,"#"&amp;$A313,Consumo!M$4:M$189),4)</f>
        <v/>
      </c>
      <c r="K313" s="65">
        <f>ROUND(SUMIF(Consumo!$P$4:$P$189,"#"&amp;$A313,Consumo!N$4:N$189),4)</f>
        <v/>
      </c>
      <c r="L313" s="65">
        <f>ROUND(SUMIF(Consumo!$P$4:$P$189,"#"&amp;$A313,Consumo!O$4:O$189),4)</f>
        <v/>
      </c>
      <c r="M313" s="66" t="n"/>
    </row>
    <row r="314">
      <c r="C314" s="63" t="inlineStr">
        <is>
          <t>Recepciones programadas (ya pedido)</t>
        </is>
      </c>
      <c r="D314" s="64" t="n"/>
      <c r="E314" s="65">
        <f>SUMIF(Inventario!$M$5:$M$505,"#"&amp;$A313,Inventario!E$5:E$505)</f>
        <v/>
      </c>
      <c r="F314" s="65">
        <f>SUMIF(Inventario!$M$5:$M$505,"#"&amp;$A313,Inventario!F$5:F$505)</f>
        <v/>
      </c>
      <c r="G314" s="65">
        <f>SUMIF(Inventario!$M$5:$M$505,"#"&amp;$A313,Inventario!G$5:G$505)</f>
        <v/>
      </c>
      <c r="H314" s="65">
        <f>SUMIF(Inventario!$M$5:$M$505,"#"&amp;$A313,Inventario!H$5:H$505)</f>
        <v/>
      </c>
      <c r="I314" s="65">
        <f>SUMIF(Inventario!$M$5:$M$505,"#"&amp;$A313,Inventario!I$5:I$505)</f>
        <v/>
      </c>
      <c r="J314" s="65">
        <f>SUMIF(Inventario!$M$5:$M$505,"#"&amp;$A313,Inventario!J$5:J$505)</f>
        <v/>
      </c>
      <c r="K314" s="65">
        <f>SUMIF(Inventario!$M$5:$M$505,"#"&amp;$A313,Inventario!K$5:K$505)</f>
        <v/>
      </c>
      <c r="L314" s="65">
        <f>SUMIF(Inventario!$M$5:$M$505,"#"&amp;$A313,Inventario!L$5:L$505)</f>
        <v/>
      </c>
      <c r="M314" s="66" t="n"/>
    </row>
    <row r="315">
      <c r="C315" s="63" t="inlineStr">
        <is>
          <t>Stock proyectado disponible</t>
        </is>
      </c>
      <c r="D315" s="67">
        <f>SUMIF(Inventario!$M$5:$M$505,"#"&amp;$A313,Inventario!$C$5:$C$505)</f>
        <v/>
      </c>
      <c r="E315" s="68">
        <f>D315+E314+E317-E313</f>
        <v/>
      </c>
      <c r="F315" s="68">
        <f>E315+F314+F317-F313</f>
        <v/>
      </c>
      <c r="G315" s="68">
        <f>F315+G314+G317-G313</f>
        <v/>
      </c>
      <c r="H315" s="68">
        <f>G315+H314+H317-H313</f>
        <v/>
      </c>
      <c r="I315" s="68">
        <f>H315+I314+I317-I313</f>
        <v/>
      </c>
      <c r="J315" s="68">
        <f>I315+J314+J317-J313</f>
        <v/>
      </c>
      <c r="K315" s="68">
        <f>J315+K314+K317-K313</f>
        <v/>
      </c>
      <c r="L315" s="68">
        <f>K315+L314+L317-L313</f>
        <v/>
      </c>
      <c r="M315" s="66" t="n"/>
    </row>
    <row r="316">
      <c r="C316" s="63" t="inlineStr">
        <is>
          <t>Necesidad neta</t>
        </is>
      </c>
      <c r="D316" s="64" t="n"/>
      <c r="E316" s="69">
        <f>MAX(0,ROUND(E313+Materiales!$H$48-D315-E314,4))</f>
        <v/>
      </c>
      <c r="F316" s="69">
        <f>MAX(0,ROUND(F313+Materiales!$H$48-E315-F314,4))</f>
        <v/>
      </c>
      <c r="G316" s="69">
        <f>MAX(0,ROUND(G313+Materiales!$H$48-F315-G314,4))</f>
        <v/>
      </c>
      <c r="H316" s="69">
        <f>MAX(0,ROUND(H313+Materiales!$H$48-G315-H314,4))</f>
        <v/>
      </c>
      <c r="I316" s="69">
        <f>MAX(0,ROUND(I313+Materiales!$H$48-H315-I314,4))</f>
        <v/>
      </c>
      <c r="J316" s="69">
        <f>MAX(0,ROUND(J313+Materiales!$H$48-I315-J314,4))</f>
        <v/>
      </c>
      <c r="K316" s="69">
        <f>MAX(0,ROUND(K313+Materiales!$H$48-J315-K314,4))</f>
        <v/>
      </c>
      <c r="L316" s="69">
        <f>MAX(0,ROUND(L313+Materiales!$H$48-K315-L314,4))</f>
        <v/>
      </c>
      <c r="M316" s="66" t="n"/>
    </row>
    <row r="317">
      <c r="C317" s="63" t="inlineStr">
        <is>
          <t>Recepcion de orden planificada</t>
        </is>
      </c>
      <c r="D317" s="64" t="n"/>
      <c r="E317" s="65">
        <f>IF(E316&lt;=0,0,IF(Materiales!$G$48&lt;=0,E316,ROUNDUP(E316/Materiales!$G$48,0)*Materiales!$G$48))</f>
        <v/>
      </c>
      <c r="F317" s="65">
        <f>IF(F316&lt;=0,0,IF(Materiales!$G$48&lt;=0,F316,ROUNDUP(F316/Materiales!$G$48,0)*Materiales!$G$48))</f>
        <v/>
      </c>
      <c r="G317" s="65">
        <f>IF(G316&lt;=0,0,IF(Materiales!$G$48&lt;=0,G316,ROUNDUP(G316/Materiales!$G$48,0)*Materiales!$G$48))</f>
        <v/>
      </c>
      <c r="H317" s="65">
        <f>IF(H316&lt;=0,0,IF(Materiales!$G$48&lt;=0,H316,ROUNDUP(H316/Materiales!$G$48,0)*Materiales!$G$48))</f>
        <v/>
      </c>
      <c r="I317" s="65">
        <f>IF(I316&lt;=0,0,IF(Materiales!$G$48&lt;=0,I316,ROUNDUP(I316/Materiales!$G$48,0)*Materiales!$G$48))</f>
        <v/>
      </c>
      <c r="J317" s="65">
        <f>IF(J316&lt;=0,0,IF(Materiales!$G$48&lt;=0,J316,ROUNDUP(J316/Materiales!$G$48,0)*Materiales!$G$48))</f>
        <v/>
      </c>
      <c r="K317" s="65">
        <f>IF(K316&lt;=0,0,IF(Materiales!$G$48&lt;=0,K316,ROUNDUP(K316/Materiales!$G$48,0)*Materiales!$G$48))</f>
        <v/>
      </c>
      <c r="L317" s="65">
        <f>IF(L316&lt;=0,0,IF(Materiales!$G$48&lt;=0,L316,ROUNDUP(L316/Materiales!$G$48,0)*Materiales!$G$48))</f>
        <v/>
      </c>
      <c r="M317" s="66" t="n"/>
    </row>
    <row r="318">
      <c r="C318" s="70" t="inlineStr">
        <is>
          <t>LANZAMIENTO DE ORDEN — pedir esta semana</t>
        </is>
      </c>
      <c r="D318" s="64" t="n"/>
      <c r="E318" s="71">
        <f>IF(1+Materiales!$F$48&gt;8,0,INDEX($E$317:$L$317,1,1+Materiales!$F$48))</f>
        <v/>
      </c>
      <c r="F318" s="71">
        <f>IF(2+Materiales!$F$48&gt;8,0,INDEX($E$317:$L$317,1,2+Materiales!$F$48))</f>
        <v/>
      </c>
      <c r="G318" s="71">
        <f>IF(3+Materiales!$F$48&gt;8,0,INDEX($E$317:$L$317,1,3+Materiales!$F$48))</f>
        <v/>
      </c>
      <c r="H318" s="71">
        <f>IF(4+Materiales!$F$48&gt;8,0,INDEX($E$317:$L$317,1,4+Materiales!$F$48))</f>
        <v/>
      </c>
      <c r="I318" s="71">
        <f>IF(5+Materiales!$F$48&gt;8,0,INDEX($E$317:$L$317,1,5+Materiales!$F$48))</f>
        <v/>
      </c>
      <c r="J318" s="71">
        <f>IF(6+Materiales!$F$48&gt;8,0,INDEX($E$317:$L$317,1,6+Materiales!$F$48))</f>
        <v/>
      </c>
      <c r="K318" s="71">
        <f>IF(7+Materiales!$F$48&gt;8,0,INDEX($E$317:$L$317,1,7+Materiales!$F$48))</f>
        <v/>
      </c>
      <c r="L318" s="71">
        <f>IF(8+Materiales!$F$48&gt;8,0,INDEX($E$317:$L$317,1,8+Materiales!$F$48))</f>
        <v/>
      </c>
      <c r="M318" s="72">
        <f>IF($A313="","",IF(SUMPRODUCT((COLUMN($E$317:$L$317)-4&lt;=Materiales!$F$48)*$E$317:$L$317)&gt;0,"PEDIR YA (atrasado)","OK"))</f>
        <v/>
      </c>
    </row>
    <row r="319" ht="6" customHeight="1"/>
    <row r="320">
      <c r="A320" s="62">
        <f>IF(Materiales!$A$49="","",Materiales!$A$49)</f>
        <v/>
      </c>
      <c r="B320" s="62">
        <f>IF(Materiales!$B$49="","",Materiales!$B$49)</f>
        <v/>
      </c>
      <c r="C320" s="63" t="inlineStr">
        <is>
          <t>Necesidad bruta</t>
        </is>
      </c>
      <c r="D320" s="64" t="n"/>
      <c r="E320" s="65">
        <f>ROUND(SUMIF(Consumo!$P$4:$P$189,"#"&amp;$A320,Consumo!H$4:H$189),4)</f>
        <v/>
      </c>
      <c r="F320" s="65">
        <f>ROUND(SUMIF(Consumo!$P$4:$P$189,"#"&amp;$A320,Consumo!I$4:I$189),4)</f>
        <v/>
      </c>
      <c r="G320" s="65">
        <f>ROUND(SUMIF(Consumo!$P$4:$P$189,"#"&amp;$A320,Consumo!J$4:J$189),4)</f>
        <v/>
      </c>
      <c r="H320" s="65">
        <f>ROUND(SUMIF(Consumo!$P$4:$P$189,"#"&amp;$A320,Consumo!K$4:K$189),4)</f>
        <v/>
      </c>
      <c r="I320" s="65">
        <f>ROUND(SUMIF(Consumo!$P$4:$P$189,"#"&amp;$A320,Consumo!L$4:L$189),4)</f>
        <v/>
      </c>
      <c r="J320" s="65">
        <f>ROUND(SUMIF(Consumo!$P$4:$P$189,"#"&amp;$A320,Consumo!M$4:M$189),4)</f>
        <v/>
      </c>
      <c r="K320" s="65">
        <f>ROUND(SUMIF(Consumo!$P$4:$P$189,"#"&amp;$A320,Consumo!N$4:N$189),4)</f>
        <v/>
      </c>
      <c r="L320" s="65">
        <f>ROUND(SUMIF(Consumo!$P$4:$P$189,"#"&amp;$A320,Consumo!O$4:O$189),4)</f>
        <v/>
      </c>
      <c r="M320" s="66" t="n"/>
    </row>
    <row r="321">
      <c r="C321" s="63" t="inlineStr">
        <is>
          <t>Recepciones programadas (ya pedido)</t>
        </is>
      </c>
      <c r="D321" s="64" t="n"/>
      <c r="E321" s="65">
        <f>SUMIF(Inventario!$M$5:$M$505,"#"&amp;$A320,Inventario!E$5:E$505)</f>
        <v/>
      </c>
      <c r="F321" s="65">
        <f>SUMIF(Inventario!$M$5:$M$505,"#"&amp;$A320,Inventario!F$5:F$505)</f>
        <v/>
      </c>
      <c r="G321" s="65">
        <f>SUMIF(Inventario!$M$5:$M$505,"#"&amp;$A320,Inventario!G$5:G$505)</f>
        <v/>
      </c>
      <c r="H321" s="65">
        <f>SUMIF(Inventario!$M$5:$M$505,"#"&amp;$A320,Inventario!H$5:H$505)</f>
        <v/>
      </c>
      <c r="I321" s="65">
        <f>SUMIF(Inventario!$M$5:$M$505,"#"&amp;$A320,Inventario!I$5:I$505)</f>
        <v/>
      </c>
      <c r="J321" s="65">
        <f>SUMIF(Inventario!$M$5:$M$505,"#"&amp;$A320,Inventario!J$5:J$505)</f>
        <v/>
      </c>
      <c r="K321" s="65">
        <f>SUMIF(Inventario!$M$5:$M$505,"#"&amp;$A320,Inventario!K$5:K$505)</f>
        <v/>
      </c>
      <c r="L321" s="65">
        <f>SUMIF(Inventario!$M$5:$M$505,"#"&amp;$A320,Inventario!L$5:L$505)</f>
        <v/>
      </c>
      <c r="M321" s="66" t="n"/>
    </row>
    <row r="322">
      <c r="C322" s="63" t="inlineStr">
        <is>
          <t>Stock proyectado disponible</t>
        </is>
      </c>
      <c r="D322" s="67">
        <f>SUMIF(Inventario!$M$5:$M$505,"#"&amp;$A320,Inventario!$C$5:$C$505)</f>
        <v/>
      </c>
      <c r="E322" s="68">
        <f>D322+E321+E324-E320</f>
        <v/>
      </c>
      <c r="F322" s="68">
        <f>E322+F321+F324-F320</f>
        <v/>
      </c>
      <c r="G322" s="68">
        <f>F322+G321+G324-G320</f>
        <v/>
      </c>
      <c r="H322" s="68">
        <f>G322+H321+H324-H320</f>
        <v/>
      </c>
      <c r="I322" s="68">
        <f>H322+I321+I324-I320</f>
        <v/>
      </c>
      <c r="J322" s="68">
        <f>I322+J321+J324-J320</f>
        <v/>
      </c>
      <c r="K322" s="68">
        <f>J322+K321+K324-K320</f>
        <v/>
      </c>
      <c r="L322" s="68">
        <f>K322+L321+L324-L320</f>
        <v/>
      </c>
      <c r="M322" s="66" t="n"/>
    </row>
    <row r="323">
      <c r="C323" s="63" t="inlineStr">
        <is>
          <t>Necesidad neta</t>
        </is>
      </c>
      <c r="D323" s="64" t="n"/>
      <c r="E323" s="69">
        <f>MAX(0,ROUND(E320+Materiales!$H$49-D322-E321,4))</f>
        <v/>
      </c>
      <c r="F323" s="69">
        <f>MAX(0,ROUND(F320+Materiales!$H$49-E322-F321,4))</f>
        <v/>
      </c>
      <c r="G323" s="69">
        <f>MAX(0,ROUND(G320+Materiales!$H$49-F322-G321,4))</f>
        <v/>
      </c>
      <c r="H323" s="69">
        <f>MAX(0,ROUND(H320+Materiales!$H$49-G322-H321,4))</f>
        <v/>
      </c>
      <c r="I323" s="69">
        <f>MAX(0,ROUND(I320+Materiales!$H$49-H322-I321,4))</f>
        <v/>
      </c>
      <c r="J323" s="69">
        <f>MAX(0,ROUND(J320+Materiales!$H$49-I322-J321,4))</f>
        <v/>
      </c>
      <c r="K323" s="69">
        <f>MAX(0,ROUND(K320+Materiales!$H$49-J322-K321,4))</f>
        <v/>
      </c>
      <c r="L323" s="69">
        <f>MAX(0,ROUND(L320+Materiales!$H$49-K322-L321,4))</f>
        <v/>
      </c>
      <c r="M323" s="66" t="n"/>
    </row>
    <row r="324">
      <c r="C324" s="63" t="inlineStr">
        <is>
          <t>Recepcion de orden planificada</t>
        </is>
      </c>
      <c r="D324" s="64" t="n"/>
      <c r="E324" s="65">
        <f>IF(E323&lt;=0,0,IF(Materiales!$G$49&lt;=0,E323,ROUNDUP(E323/Materiales!$G$49,0)*Materiales!$G$49))</f>
        <v/>
      </c>
      <c r="F324" s="65">
        <f>IF(F323&lt;=0,0,IF(Materiales!$G$49&lt;=0,F323,ROUNDUP(F323/Materiales!$G$49,0)*Materiales!$G$49))</f>
        <v/>
      </c>
      <c r="G324" s="65">
        <f>IF(G323&lt;=0,0,IF(Materiales!$G$49&lt;=0,G323,ROUNDUP(G323/Materiales!$G$49,0)*Materiales!$G$49))</f>
        <v/>
      </c>
      <c r="H324" s="65">
        <f>IF(H323&lt;=0,0,IF(Materiales!$G$49&lt;=0,H323,ROUNDUP(H323/Materiales!$G$49,0)*Materiales!$G$49))</f>
        <v/>
      </c>
      <c r="I324" s="65">
        <f>IF(I323&lt;=0,0,IF(Materiales!$G$49&lt;=0,I323,ROUNDUP(I323/Materiales!$G$49,0)*Materiales!$G$49))</f>
        <v/>
      </c>
      <c r="J324" s="65">
        <f>IF(J323&lt;=0,0,IF(Materiales!$G$49&lt;=0,J323,ROUNDUP(J323/Materiales!$G$49,0)*Materiales!$G$49))</f>
        <v/>
      </c>
      <c r="K324" s="65">
        <f>IF(K323&lt;=0,0,IF(Materiales!$G$49&lt;=0,K323,ROUNDUP(K323/Materiales!$G$49,0)*Materiales!$G$49))</f>
        <v/>
      </c>
      <c r="L324" s="65">
        <f>IF(L323&lt;=0,0,IF(Materiales!$G$49&lt;=0,L323,ROUNDUP(L323/Materiales!$G$49,0)*Materiales!$G$49))</f>
        <v/>
      </c>
      <c r="M324" s="66" t="n"/>
    </row>
    <row r="325">
      <c r="C325" s="70" t="inlineStr">
        <is>
          <t>LANZAMIENTO DE ORDEN — pedir esta semana</t>
        </is>
      </c>
      <c r="D325" s="64" t="n"/>
      <c r="E325" s="71">
        <f>IF(1+Materiales!$F$49&gt;8,0,INDEX($E$324:$L$324,1,1+Materiales!$F$49))</f>
        <v/>
      </c>
      <c r="F325" s="71">
        <f>IF(2+Materiales!$F$49&gt;8,0,INDEX($E$324:$L$324,1,2+Materiales!$F$49))</f>
        <v/>
      </c>
      <c r="G325" s="71">
        <f>IF(3+Materiales!$F$49&gt;8,0,INDEX($E$324:$L$324,1,3+Materiales!$F$49))</f>
        <v/>
      </c>
      <c r="H325" s="71">
        <f>IF(4+Materiales!$F$49&gt;8,0,INDEX($E$324:$L$324,1,4+Materiales!$F$49))</f>
        <v/>
      </c>
      <c r="I325" s="71">
        <f>IF(5+Materiales!$F$49&gt;8,0,INDEX($E$324:$L$324,1,5+Materiales!$F$49))</f>
        <v/>
      </c>
      <c r="J325" s="71">
        <f>IF(6+Materiales!$F$49&gt;8,0,INDEX($E$324:$L$324,1,6+Materiales!$F$49))</f>
        <v/>
      </c>
      <c r="K325" s="71">
        <f>IF(7+Materiales!$F$49&gt;8,0,INDEX($E$324:$L$324,1,7+Materiales!$F$49))</f>
        <v/>
      </c>
      <c r="L325" s="71">
        <f>IF(8+Materiales!$F$49&gt;8,0,INDEX($E$324:$L$324,1,8+Materiales!$F$49))</f>
        <v/>
      </c>
      <c r="M325" s="72">
        <f>IF($A320="","",IF(SUMPRODUCT((COLUMN($E$324:$L$324)-4&lt;=Materiales!$F$49)*$E$324:$L$324)&gt;0,"PEDIR YA (atrasado)","OK"))</f>
        <v/>
      </c>
    </row>
    <row r="326" ht="6" customHeight="1"/>
    <row r="327">
      <c r="A327" s="62">
        <f>IF(Materiales!$A$50="","",Materiales!$A$50)</f>
        <v/>
      </c>
      <c r="B327" s="62">
        <f>IF(Materiales!$B$50="","",Materiales!$B$50)</f>
        <v/>
      </c>
      <c r="C327" s="63" t="inlineStr">
        <is>
          <t>Necesidad bruta</t>
        </is>
      </c>
      <c r="D327" s="64" t="n"/>
      <c r="E327" s="65">
        <f>ROUND(SUMIF(Consumo!$P$4:$P$189,"#"&amp;$A327,Consumo!H$4:H$189),4)</f>
        <v/>
      </c>
      <c r="F327" s="65">
        <f>ROUND(SUMIF(Consumo!$P$4:$P$189,"#"&amp;$A327,Consumo!I$4:I$189),4)</f>
        <v/>
      </c>
      <c r="G327" s="65">
        <f>ROUND(SUMIF(Consumo!$P$4:$P$189,"#"&amp;$A327,Consumo!J$4:J$189),4)</f>
        <v/>
      </c>
      <c r="H327" s="65">
        <f>ROUND(SUMIF(Consumo!$P$4:$P$189,"#"&amp;$A327,Consumo!K$4:K$189),4)</f>
        <v/>
      </c>
      <c r="I327" s="65">
        <f>ROUND(SUMIF(Consumo!$P$4:$P$189,"#"&amp;$A327,Consumo!L$4:L$189),4)</f>
        <v/>
      </c>
      <c r="J327" s="65">
        <f>ROUND(SUMIF(Consumo!$P$4:$P$189,"#"&amp;$A327,Consumo!M$4:M$189),4)</f>
        <v/>
      </c>
      <c r="K327" s="65">
        <f>ROUND(SUMIF(Consumo!$P$4:$P$189,"#"&amp;$A327,Consumo!N$4:N$189),4)</f>
        <v/>
      </c>
      <c r="L327" s="65">
        <f>ROUND(SUMIF(Consumo!$P$4:$P$189,"#"&amp;$A327,Consumo!O$4:O$189),4)</f>
        <v/>
      </c>
      <c r="M327" s="66" t="n"/>
    </row>
    <row r="328">
      <c r="C328" s="63" t="inlineStr">
        <is>
          <t>Recepciones programadas (ya pedido)</t>
        </is>
      </c>
      <c r="D328" s="64" t="n"/>
      <c r="E328" s="65">
        <f>SUMIF(Inventario!$M$5:$M$505,"#"&amp;$A327,Inventario!E$5:E$505)</f>
        <v/>
      </c>
      <c r="F328" s="65">
        <f>SUMIF(Inventario!$M$5:$M$505,"#"&amp;$A327,Inventario!F$5:F$505)</f>
        <v/>
      </c>
      <c r="G328" s="65">
        <f>SUMIF(Inventario!$M$5:$M$505,"#"&amp;$A327,Inventario!G$5:G$505)</f>
        <v/>
      </c>
      <c r="H328" s="65">
        <f>SUMIF(Inventario!$M$5:$M$505,"#"&amp;$A327,Inventario!H$5:H$505)</f>
        <v/>
      </c>
      <c r="I328" s="65">
        <f>SUMIF(Inventario!$M$5:$M$505,"#"&amp;$A327,Inventario!I$5:I$505)</f>
        <v/>
      </c>
      <c r="J328" s="65">
        <f>SUMIF(Inventario!$M$5:$M$505,"#"&amp;$A327,Inventario!J$5:J$505)</f>
        <v/>
      </c>
      <c r="K328" s="65">
        <f>SUMIF(Inventario!$M$5:$M$505,"#"&amp;$A327,Inventario!K$5:K$505)</f>
        <v/>
      </c>
      <c r="L328" s="65">
        <f>SUMIF(Inventario!$M$5:$M$505,"#"&amp;$A327,Inventario!L$5:L$505)</f>
        <v/>
      </c>
      <c r="M328" s="66" t="n"/>
    </row>
    <row r="329">
      <c r="C329" s="63" t="inlineStr">
        <is>
          <t>Stock proyectado disponible</t>
        </is>
      </c>
      <c r="D329" s="67">
        <f>SUMIF(Inventario!$M$5:$M$505,"#"&amp;$A327,Inventario!$C$5:$C$505)</f>
        <v/>
      </c>
      <c r="E329" s="68">
        <f>D329+E328+E331-E327</f>
        <v/>
      </c>
      <c r="F329" s="68">
        <f>E329+F328+F331-F327</f>
        <v/>
      </c>
      <c r="G329" s="68">
        <f>F329+G328+G331-G327</f>
        <v/>
      </c>
      <c r="H329" s="68">
        <f>G329+H328+H331-H327</f>
        <v/>
      </c>
      <c r="I329" s="68">
        <f>H329+I328+I331-I327</f>
        <v/>
      </c>
      <c r="J329" s="68">
        <f>I329+J328+J331-J327</f>
        <v/>
      </c>
      <c r="K329" s="68">
        <f>J329+K328+K331-K327</f>
        <v/>
      </c>
      <c r="L329" s="68">
        <f>K329+L328+L331-L327</f>
        <v/>
      </c>
      <c r="M329" s="66" t="n"/>
    </row>
    <row r="330">
      <c r="C330" s="63" t="inlineStr">
        <is>
          <t>Necesidad neta</t>
        </is>
      </c>
      <c r="D330" s="64" t="n"/>
      <c r="E330" s="69">
        <f>MAX(0,ROUND(E327+Materiales!$H$50-D329-E328,4))</f>
        <v/>
      </c>
      <c r="F330" s="69">
        <f>MAX(0,ROUND(F327+Materiales!$H$50-E329-F328,4))</f>
        <v/>
      </c>
      <c r="G330" s="69">
        <f>MAX(0,ROUND(G327+Materiales!$H$50-F329-G328,4))</f>
        <v/>
      </c>
      <c r="H330" s="69">
        <f>MAX(0,ROUND(H327+Materiales!$H$50-G329-H328,4))</f>
        <v/>
      </c>
      <c r="I330" s="69">
        <f>MAX(0,ROUND(I327+Materiales!$H$50-H329-I328,4))</f>
        <v/>
      </c>
      <c r="J330" s="69">
        <f>MAX(0,ROUND(J327+Materiales!$H$50-I329-J328,4))</f>
        <v/>
      </c>
      <c r="K330" s="69">
        <f>MAX(0,ROUND(K327+Materiales!$H$50-J329-K328,4))</f>
        <v/>
      </c>
      <c r="L330" s="69">
        <f>MAX(0,ROUND(L327+Materiales!$H$50-K329-L328,4))</f>
        <v/>
      </c>
      <c r="M330" s="66" t="n"/>
    </row>
    <row r="331">
      <c r="C331" s="63" t="inlineStr">
        <is>
          <t>Recepcion de orden planificada</t>
        </is>
      </c>
      <c r="D331" s="64" t="n"/>
      <c r="E331" s="65">
        <f>IF(E330&lt;=0,0,IF(Materiales!$G$50&lt;=0,E330,ROUNDUP(E330/Materiales!$G$50,0)*Materiales!$G$50))</f>
        <v/>
      </c>
      <c r="F331" s="65">
        <f>IF(F330&lt;=0,0,IF(Materiales!$G$50&lt;=0,F330,ROUNDUP(F330/Materiales!$G$50,0)*Materiales!$G$50))</f>
        <v/>
      </c>
      <c r="G331" s="65">
        <f>IF(G330&lt;=0,0,IF(Materiales!$G$50&lt;=0,G330,ROUNDUP(G330/Materiales!$G$50,0)*Materiales!$G$50))</f>
        <v/>
      </c>
      <c r="H331" s="65">
        <f>IF(H330&lt;=0,0,IF(Materiales!$G$50&lt;=0,H330,ROUNDUP(H330/Materiales!$G$50,0)*Materiales!$G$50))</f>
        <v/>
      </c>
      <c r="I331" s="65">
        <f>IF(I330&lt;=0,0,IF(Materiales!$G$50&lt;=0,I330,ROUNDUP(I330/Materiales!$G$50,0)*Materiales!$G$50))</f>
        <v/>
      </c>
      <c r="J331" s="65">
        <f>IF(J330&lt;=0,0,IF(Materiales!$G$50&lt;=0,J330,ROUNDUP(J330/Materiales!$G$50,0)*Materiales!$G$50))</f>
        <v/>
      </c>
      <c r="K331" s="65">
        <f>IF(K330&lt;=0,0,IF(Materiales!$G$50&lt;=0,K330,ROUNDUP(K330/Materiales!$G$50,0)*Materiales!$G$50))</f>
        <v/>
      </c>
      <c r="L331" s="65">
        <f>IF(L330&lt;=0,0,IF(Materiales!$G$50&lt;=0,L330,ROUNDUP(L330/Materiales!$G$50,0)*Materiales!$G$50))</f>
        <v/>
      </c>
      <c r="M331" s="66" t="n"/>
    </row>
    <row r="332">
      <c r="C332" s="70" t="inlineStr">
        <is>
          <t>LANZAMIENTO DE ORDEN — pedir esta semana</t>
        </is>
      </c>
      <c r="D332" s="64" t="n"/>
      <c r="E332" s="71">
        <f>IF(1+Materiales!$F$50&gt;8,0,INDEX($E$331:$L$331,1,1+Materiales!$F$50))</f>
        <v/>
      </c>
      <c r="F332" s="71">
        <f>IF(2+Materiales!$F$50&gt;8,0,INDEX($E$331:$L$331,1,2+Materiales!$F$50))</f>
        <v/>
      </c>
      <c r="G332" s="71">
        <f>IF(3+Materiales!$F$50&gt;8,0,INDEX($E$331:$L$331,1,3+Materiales!$F$50))</f>
        <v/>
      </c>
      <c r="H332" s="71">
        <f>IF(4+Materiales!$F$50&gt;8,0,INDEX($E$331:$L$331,1,4+Materiales!$F$50))</f>
        <v/>
      </c>
      <c r="I332" s="71">
        <f>IF(5+Materiales!$F$50&gt;8,0,INDEX($E$331:$L$331,1,5+Materiales!$F$50))</f>
        <v/>
      </c>
      <c r="J332" s="71">
        <f>IF(6+Materiales!$F$50&gt;8,0,INDEX($E$331:$L$331,1,6+Materiales!$F$50))</f>
        <v/>
      </c>
      <c r="K332" s="71">
        <f>IF(7+Materiales!$F$50&gt;8,0,INDEX($E$331:$L$331,1,7+Materiales!$F$50))</f>
        <v/>
      </c>
      <c r="L332" s="71">
        <f>IF(8+Materiales!$F$50&gt;8,0,INDEX($E$331:$L$331,1,8+Materiales!$F$50))</f>
        <v/>
      </c>
      <c r="M332" s="72">
        <f>IF($A327="","",IF(SUMPRODUCT((COLUMN($E$331:$L$331)-4&lt;=Materiales!$F$50)*$E$331:$L$331)&gt;0,"PEDIR YA (atrasado)","OK"))</f>
        <v/>
      </c>
    </row>
    <row r="333" ht="6" customHeight="1"/>
    <row r="334">
      <c r="A334" s="62">
        <f>IF(Materiales!$A$51="","",Materiales!$A$51)</f>
        <v/>
      </c>
      <c r="B334" s="62">
        <f>IF(Materiales!$B$51="","",Materiales!$B$51)</f>
        <v/>
      </c>
      <c r="C334" s="63" t="inlineStr">
        <is>
          <t>Necesidad bruta</t>
        </is>
      </c>
      <c r="D334" s="64" t="n"/>
      <c r="E334" s="65">
        <f>ROUND(SUMIF(Consumo!$P$4:$P$189,"#"&amp;$A334,Consumo!H$4:H$189),4)</f>
        <v/>
      </c>
      <c r="F334" s="65">
        <f>ROUND(SUMIF(Consumo!$P$4:$P$189,"#"&amp;$A334,Consumo!I$4:I$189),4)</f>
        <v/>
      </c>
      <c r="G334" s="65">
        <f>ROUND(SUMIF(Consumo!$P$4:$P$189,"#"&amp;$A334,Consumo!J$4:J$189),4)</f>
        <v/>
      </c>
      <c r="H334" s="65">
        <f>ROUND(SUMIF(Consumo!$P$4:$P$189,"#"&amp;$A334,Consumo!K$4:K$189),4)</f>
        <v/>
      </c>
      <c r="I334" s="65">
        <f>ROUND(SUMIF(Consumo!$P$4:$P$189,"#"&amp;$A334,Consumo!L$4:L$189),4)</f>
        <v/>
      </c>
      <c r="J334" s="65">
        <f>ROUND(SUMIF(Consumo!$P$4:$P$189,"#"&amp;$A334,Consumo!M$4:M$189),4)</f>
        <v/>
      </c>
      <c r="K334" s="65">
        <f>ROUND(SUMIF(Consumo!$P$4:$P$189,"#"&amp;$A334,Consumo!N$4:N$189),4)</f>
        <v/>
      </c>
      <c r="L334" s="65">
        <f>ROUND(SUMIF(Consumo!$P$4:$P$189,"#"&amp;$A334,Consumo!O$4:O$189),4)</f>
        <v/>
      </c>
      <c r="M334" s="66" t="n"/>
    </row>
    <row r="335">
      <c r="C335" s="63" t="inlineStr">
        <is>
          <t>Recepciones programadas (ya pedido)</t>
        </is>
      </c>
      <c r="D335" s="64" t="n"/>
      <c r="E335" s="65">
        <f>SUMIF(Inventario!$M$5:$M$505,"#"&amp;$A334,Inventario!E$5:E$505)</f>
        <v/>
      </c>
      <c r="F335" s="65">
        <f>SUMIF(Inventario!$M$5:$M$505,"#"&amp;$A334,Inventario!F$5:F$505)</f>
        <v/>
      </c>
      <c r="G335" s="65">
        <f>SUMIF(Inventario!$M$5:$M$505,"#"&amp;$A334,Inventario!G$5:G$505)</f>
        <v/>
      </c>
      <c r="H335" s="65">
        <f>SUMIF(Inventario!$M$5:$M$505,"#"&amp;$A334,Inventario!H$5:H$505)</f>
        <v/>
      </c>
      <c r="I335" s="65">
        <f>SUMIF(Inventario!$M$5:$M$505,"#"&amp;$A334,Inventario!I$5:I$505)</f>
        <v/>
      </c>
      <c r="J335" s="65">
        <f>SUMIF(Inventario!$M$5:$M$505,"#"&amp;$A334,Inventario!J$5:J$505)</f>
        <v/>
      </c>
      <c r="K335" s="65">
        <f>SUMIF(Inventario!$M$5:$M$505,"#"&amp;$A334,Inventario!K$5:K$505)</f>
        <v/>
      </c>
      <c r="L335" s="65">
        <f>SUMIF(Inventario!$M$5:$M$505,"#"&amp;$A334,Inventario!L$5:L$505)</f>
        <v/>
      </c>
      <c r="M335" s="66" t="n"/>
    </row>
    <row r="336">
      <c r="C336" s="63" t="inlineStr">
        <is>
          <t>Stock proyectado disponible</t>
        </is>
      </c>
      <c r="D336" s="67">
        <f>SUMIF(Inventario!$M$5:$M$505,"#"&amp;$A334,Inventario!$C$5:$C$505)</f>
        <v/>
      </c>
      <c r="E336" s="68">
        <f>D336+E335+E338-E334</f>
        <v/>
      </c>
      <c r="F336" s="68">
        <f>E336+F335+F338-F334</f>
        <v/>
      </c>
      <c r="G336" s="68">
        <f>F336+G335+G338-G334</f>
        <v/>
      </c>
      <c r="H336" s="68">
        <f>G336+H335+H338-H334</f>
        <v/>
      </c>
      <c r="I336" s="68">
        <f>H336+I335+I338-I334</f>
        <v/>
      </c>
      <c r="J336" s="68">
        <f>I336+J335+J338-J334</f>
        <v/>
      </c>
      <c r="K336" s="68">
        <f>J336+K335+K338-K334</f>
        <v/>
      </c>
      <c r="L336" s="68">
        <f>K336+L335+L338-L334</f>
        <v/>
      </c>
      <c r="M336" s="66" t="n"/>
    </row>
    <row r="337">
      <c r="C337" s="63" t="inlineStr">
        <is>
          <t>Necesidad neta</t>
        </is>
      </c>
      <c r="D337" s="64" t="n"/>
      <c r="E337" s="69">
        <f>MAX(0,ROUND(E334+Materiales!$H$51-D336-E335,4))</f>
        <v/>
      </c>
      <c r="F337" s="69">
        <f>MAX(0,ROUND(F334+Materiales!$H$51-E336-F335,4))</f>
        <v/>
      </c>
      <c r="G337" s="69">
        <f>MAX(0,ROUND(G334+Materiales!$H$51-F336-G335,4))</f>
        <v/>
      </c>
      <c r="H337" s="69">
        <f>MAX(0,ROUND(H334+Materiales!$H$51-G336-H335,4))</f>
        <v/>
      </c>
      <c r="I337" s="69">
        <f>MAX(0,ROUND(I334+Materiales!$H$51-H336-I335,4))</f>
        <v/>
      </c>
      <c r="J337" s="69">
        <f>MAX(0,ROUND(J334+Materiales!$H$51-I336-J335,4))</f>
        <v/>
      </c>
      <c r="K337" s="69">
        <f>MAX(0,ROUND(K334+Materiales!$H$51-J336-K335,4))</f>
        <v/>
      </c>
      <c r="L337" s="69">
        <f>MAX(0,ROUND(L334+Materiales!$H$51-K336-L335,4))</f>
        <v/>
      </c>
      <c r="M337" s="66" t="n"/>
    </row>
    <row r="338">
      <c r="C338" s="63" t="inlineStr">
        <is>
          <t>Recepcion de orden planificada</t>
        </is>
      </c>
      <c r="D338" s="64" t="n"/>
      <c r="E338" s="65">
        <f>IF(E337&lt;=0,0,IF(Materiales!$G$51&lt;=0,E337,ROUNDUP(E337/Materiales!$G$51,0)*Materiales!$G$51))</f>
        <v/>
      </c>
      <c r="F338" s="65">
        <f>IF(F337&lt;=0,0,IF(Materiales!$G$51&lt;=0,F337,ROUNDUP(F337/Materiales!$G$51,0)*Materiales!$G$51))</f>
        <v/>
      </c>
      <c r="G338" s="65">
        <f>IF(G337&lt;=0,0,IF(Materiales!$G$51&lt;=0,G337,ROUNDUP(G337/Materiales!$G$51,0)*Materiales!$G$51))</f>
        <v/>
      </c>
      <c r="H338" s="65">
        <f>IF(H337&lt;=0,0,IF(Materiales!$G$51&lt;=0,H337,ROUNDUP(H337/Materiales!$G$51,0)*Materiales!$G$51))</f>
        <v/>
      </c>
      <c r="I338" s="65">
        <f>IF(I337&lt;=0,0,IF(Materiales!$G$51&lt;=0,I337,ROUNDUP(I337/Materiales!$G$51,0)*Materiales!$G$51))</f>
        <v/>
      </c>
      <c r="J338" s="65">
        <f>IF(J337&lt;=0,0,IF(Materiales!$G$51&lt;=0,J337,ROUNDUP(J337/Materiales!$G$51,0)*Materiales!$G$51))</f>
        <v/>
      </c>
      <c r="K338" s="65">
        <f>IF(K337&lt;=0,0,IF(Materiales!$G$51&lt;=0,K337,ROUNDUP(K337/Materiales!$G$51,0)*Materiales!$G$51))</f>
        <v/>
      </c>
      <c r="L338" s="65">
        <f>IF(L337&lt;=0,0,IF(Materiales!$G$51&lt;=0,L337,ROUNDUP(L337/Materiales!$G$51,0)*Materiales!$G$51))</f>
        <v/>
      </c>
      <c r="M338" s="66" t="n"/>
    </row>
    <row r="339">
      <c r="C339" s="70" t="inlineStr">
        <is>
          <t>LANZAMIENTO DE ORDEN — pedir esta semana</t>
        </is>
      </c>
      <c r="D339" s="64" t="n"/>
      <c r="E339" s="71">
        <f>IF(1+Materiales!$F$51&gt;8,0,INDEX($E$338:$L$338,1,1+Materiales!$F$51))</f>
        <v/>
      </c>
      <c r="F339" s="71">
        <f>IF(2+Materiales!$F$51&gt;8,0,INDEX($E$338:$L$338,1,2+Materiales!$F$51))</f>
        <v/>
      </c>
      <c r="G339" s="71">
        <f>IF(3+Materiales!$F$51&gt;8,0,INDEX($E$338:$L$338,1,3+Materiales!$F$51))</f>
        <v/>
      </c>
      <c r="H339" s="71">
        <f>IF(4+Materiales!$F$51&gt;8,0,INDEX($E$338:$L$338,1,4+Materiales!$F$51))</f>
        <v/>
      </c>
      <c r="I339" s="71">
        <f>IF(5+Materiales!$F$51&gt;8,0,INDEX($E$338:$L$338,1,5+Materiales!$F$51))</f>
        <v/>
      </c>
      <c r="J339" s="71">
        <f>IF(6+Materiales!$F$51&gt;8,0,INDEX($E$338:$L$338,1,6+Materiales!$F$51))</f>
        <v/>
      </c>
      <c r="K339" s="71">
        <f>IF(7+Materiales!$F$51&gt;8,0,INDEX($E$338:$L$338,1,7+Materiales!$F$51))</f>
        <v/>
      </c>
      <c r="L339" s="71">
        <f>IF(8+Materiales!$F$51&gt;8,0,INDEX($E$338:$L$338,1,8+Materiales!$F$51))</f>
        <v/>
      </c>
      <c r="M339" s="72">
        <f>IF($A334="","",IF(SUMPRODUCT((COLUMN($E$338:$L$338)-4&lt;=Materiales!$F$51)*$E$338:$L$338)&gt;0,"PEDIR YA (atrasado)","OK"))</f>
        <v/>
      </c>
    </row>
    <row r="340" ht="6" customHeight="1"/>
    <row r="341">
      <c r="A341" s="62">
        <f>IF(Materiales!$A$52="","",Materiales!$A$52)</f>
        <v/>
      </c>
      <c r="B341" s="62">
        <f>IF(Materiales!$B$52="","",Materiales!$B$52)</f>
        <v/>
      </c>
      <c r="C341" s="63" t="inlineStr">
        <is>
          <t>Necesidad bruta</t>
        </is>
      </c>
      <c r="D341" s="64" t="n"/>
      <c r="E341" s="65">
        <f>ROUND(SUMIF(Consumo!$P$4:$P$189,"#"&amp;$A341,Consumo!H$4:H$189),4)</f>
        <v/>
      </c>
      <c r="F341" s="65">
        <f>ROUND(SUMIF(Consumo!$P$4:$P$189,"#"&amp;$A341,Consumo!I$4:I$189),4)</f>
        <v/>
      </c>
      <c r="G341" s="65">
        <f>ROUND(SUMIF(Consumo!$P$4:$P$189,"#"&amp;$A341,Consumo!J$4:J$189),4)</f>
        <v/>
      </c>
      <c r="H341" s="65">
        <f>ROUND(SUMIF(Consumo!$P$4:$P$189,"#"&amp;$A341,Consumo!K$4:K$189),4)</f>
        <v/>
      </c>
      <c r="I341" s="65">
        <f>ROUND(SUMIF(Consumo!$P$4:$P$189,"#"&amp;$A341,Consumo!L$4:L$189),4)</f>
        <v/>
      </c>
      <c r="J341" s="65">
        <f>ROUND(SUMIF(Consumo!$P$4:$P$189,"#"&amp;$A341,Consumo!M$4:M$189),4)</f>
        <v/>
      </c>
      <c r="K341" s="65">
        <f>ROUND(SUMIF(Consumo!$P$4:$P$189,"#"&amp;$A341,Consumo!N$4:N$189),4)</f>
        <v/>
      </c>
      <c r="L341" s="65">
        <f>ROUND(SUMIF(Consumo!$P$4:$P$189,"#"&amp;$A341,Consumo!O$4:O$189),4)</f>
        <v/>
      </c>
      <c r="M341" s="66" t="n"/>
    </row>
    <row r="342">
      <c r="C342" s="63" t="inlineStr">
        <is>
          <t>Recepciones programadas (ya pedido)</t>
        </is>
      </c>
      <c r="D342" s="64" t="n"/>
      <c r="E342" s="65">
        <f>SUMIF(Inventario!$M$5:$M$505,"#"&amp;$A341,Inventario!E$5:E$505)</f>
        <v/>
      </c>
      <c r="F342" s="65">
        <f>SUMIF(Inventario!$M$5:$M$505,"#"&amp;$A341,Inventario!F$5:F$505)</f>
        <v/>
      </c>
      <c r="G342" s="65">
        <f>SUMIF(Inventario!$M$5:$M$505,"#"&amp;$A341,Inventario!G$5:G$505)</f>
        <v/>
      </c>
      <c r="H342" s="65">
        <f>SUMIF(Inventario!$M$5:$M$505,"#"&amp;$A341,Inventario!H$5:H$505)</f>
        <v/>
      </c>
      <c r="I342" s="65">
        <f>SUMIF(Inventario!$M$5:$M$505,"#"&amp;$A341,Inventario!I$5:I$505)</f>
        <v/>
      </c>
      <c r="J342" s="65">
        <f>SUMIF(Inventario!$M$5:$M$505,"#"&amp;$A341,Inventario!J$5:J$505)</f>
        <v/>
      </c>
      <c r="K342" s="65">
        <f>SUMIF(Inventario!$M$5:$M$505,"#"&amp;$A341,Inventario!K$5:K$505)</f>
        <v/>
      </c>
      <c r="L342" s="65">
        <f>SUMIF(Inventario!$M$5:$M$505,"#"&amp;$A341,Inventario!L$5:L$505)</f>
        <v/>
      </c>
      <c r="M342" s="66" t="n"/>
    </row>
    <row r="343">
      <c r="C343" s="63" t="inlineStr">
        <is>
          <t>Stock proyectado disponible</t>
        </is>
      </c>
      <c r="D343" s="67">
        <f>SUMIF(Inventario!$M$5:$M$505,"#"&amp;$A341,Inventario!$C$5:$C$505)</f>
        <v/>
      </c>
      <c r="E343" s="68">
        <f>D343+E342+E345-E341</f>
        <v/>
      </c>
      <c r="F343" s="68">
        <f>E343+F342+F345-F341</f>
        <v/>
      </c>
      <c r="G343" s="68">
        <f>F343+G342+G345-G341</f>
        <v/>
      </c>
      <c r="H343" s="68">
        <f>G343+H342+H345-H341</f>
        <v/>
      </c>
      <c r="I343" s="68">
        <f>H343+I342+I345-I341</f>
        <v/>
      </c>
      <c r="J343" s="68">
        <f>I343+J342+J345-J341</f>
        <v/>
      </c>
      <c r="K343" s="68">
        <f>J343+K342+K345-K341</f>
        <v/>
      </c>
      <c r="L343" s="68">
        <f>K343+L342+L345-L341</f>
        <v/>
      </c>
      <c r="M343" s="66" t="n"/>
    </row>
    <row r="344">
      <c r="C344" s="63" t="inlineStr">
        <is>
          <t>Necesidad neta</t>
        </is>
      </c>
      <c r="D344" s="64" t="n"/>
      <c r="E344" s="69">
        <f>MAX(0,ROUND(E341+Materiales!$H$52-D343-E342,4))</f>
        <v/>
      </c>
      <c r="F344" s="69">
        <f>MAX(0,ROUND(F341+Materiales!$H$52-E343-F342,4))</f>
        <v/>
      </c>
      <c r="G344" s="69">
        <f>MAX(0,ROUND(G341+Materiales!$H$52-F343-G342,4))</f>
        <v/>
      </c>
      <c r="H344" s="69">
        <f>MAX(0,ROUND(H341+Materiales!$H$52-G343-H342,4))</f>
        <v/>
      </c>
      <c r="I344" s="69">
        <f>MAX(0,ROUND(I341+Materiales!$H$52-H343-I342,4))</f>
        <v/>
      </c>
      <c r="J344" s="69">
        <f>MAX(0,ROUND(J341+Materiales!$H$52-I343-J342,4))</f>
        <v/>
      </c>
      <c r="K344" s="69">
        <f>MAX(0,ROUND(K341+Materiales!$H$52-J343-K342,4))</f>
        <v/>
      </c>
      <c r="L344" s="69">
        <f>MAX(0,ROUND(L341+Materiales!$H$52-K343-L342,4))</f>
        <v/>
      </c>
      <c r="M344" s="66" t="n"/>
    </row>
    <row r="345">
      <c r="C345" s="63" t="inlineStr">
        <is>
          <t>Recepcion de orden planificada</t>
        </is>
      </c>
      <c r="D345" s="64" t="n"/>
      <c r="E345" s="65">
        <f>IF(E344&lt;=0,0,IF(Materiales!$G$52&lt;=0,E344,ROUNDUP(E344/Materiales!$G$52,0)*Materiales!$G$52))</f>
        <v/>
      </c>
      <c r="F345" s="65">
        <f>IF(F344&lt;=0,0,IF(Materiales!$G$52&lt;=0,F344,ROUNDUP(F344/Materiales!$G$52,0)*Materiales!$G$52))</f>
        <v/>
      </c>
      <c r="G345" s="65">
        <f>IF(G344&lt;=0,0,IF(Materiales!$G$52&lt;=0,G344,ROUNDUP(G344/Materiales!$G$52,0)*Materiales!$G$52))</f>
        <v/>
      </c>
      <c r="H345" s="65">
        <f>IF(H344&lt;=0,0,IF(Materiales!$G$52&lt;=0,H344,ROUNDUP(H344/Materiales!$G$52,0)*Materiales!$G$52))</f>
        <v/>
      </c>
      <c r="I345" s="65">
        <f>IF(I344&lt;=0,0,IF(Materiales!$G$52&lt;=0,I344,ROUNDUP(I344/Materiales!$G$52,0)*Materiales!$G$52))</f>
        <v/>
      </c>
      <c r="J345" s="65">
        <f>IF(J344&lt;=0,0,IF(Materiales!$G$52&lt;=0,J344,ROUNDUP(J344/Materiales!$G$52,0)*Materiales!$G$52))</f>
        <v/>
      </c>
      <c r="K345" s="65">
        <f>IF(K344&lt;=0,0,IF(Materiales!$G$52&lt;=0,K344,ROUNDUP(K344/Materiales!$G$52,0)*Materiales!$G$52))</f>
        <v/>
      </c>
      <c r="L345" s="65">
        <f>IF(L344&lt;=0,0,IF(Materiales!$G$52&lt;=0,L344,ROUNDUP(L344/Materiales!$G$52,0)*Materiales!$G$52))</f>
        <v/>
      </c>
      <c r="M345" s="66" t="n"/>
    </row>
    <row r="346">
      <c r="C346" s="70" t="inlineStr">
        <is>
          <t>LANZAMIENTO DE ORDEN — pedir esta semana</t>
        </is>
      </c>
      <c r="D346" s="64" t="n"/>
      <c r="E346" s="71">
        <f>IF(1+Materiales!$F$52&gt;8,0,INDEX($E$345:$L$345,1,1+Materiales!$F$52))</f>
        <v/>
      </c>
      <c r="F346" s="71">
        <f>IF(2+Materiales!$F$52&gt;8,0,INDEX($E$345:$L$345,1,2+Materiales!$F$52))</f>
        <v/>
      </c>
      <c r="G346" s="71">
        <f>IF(3+Materiales!$F$52&gt;8,0,INDEX($E$345:$L$345,1,3+Materiales!$F$52))</f>
        <v/>
      </c>
      <c r="H346" s="71">
        <f>IF(4+Materiales!$F$52&gt;8,0,INDEX($E$345:$L$345,1,4+Materiales!$F$52))</f>
        <v/>
      </c>
      <c r="I346" s="71">
        <f>IF(5+Materiales!$F$52&gt;8,0,INDEX($E$345:$L$345,1,5+Materiales!$F$52))</f>
        <v/>
      </c>
      <c r="J346" s="71">
        <f>IF(6+Materiales!$F$52&gt;8,0,INDEX($E$345:$L$345,1,6+Materiales!$F$52))</f>
        <v/>
      </c>
      <c r="K346" s="71">
        <f>IF(7+Materiales!$F$52&gt;8,0,INDEX($E$345:$L$345,1,7+Materiales!$F$52))</f>
        <v/>
      </c>
      <c r="L346" s="71">
        <f>IF(8+Materiales!$F$52&gt;8,0,INDEX($E$345:$L$345,1,8+Materiales!$F$52))</f>
        <v/>
      </c>
      <c r="M346" s="72">
        <f>IF($A341="","",IF(SUMPRODUCT((COLUMN($E$345:$L$345)-4&lt;=Materiales!$F$52)*$E$345:$L$345)&gt;0,"PEDIR YA (atrasado)","OK"))</f>
        <v/>
      </c>
    </row>
    <row r="347" ht="6" customHeight="1"/>
    <row r="348">
      <c r="A348" s="62">
        <f>IF(Materiales!$A$53="","",Materiales!$A$53)</f>
        <v/>
      </c>
      <c r="B348" s="62">
        <f>IF(Materiales!$B$53="","",Materiales!$B$53)</f>
        <v/>
      </c>
      <c r="C348" s="63" t="inlineStr">
        <is>
          <t>Necesidad bruta</t>
        </is>
      </c>
      <c r="D348" s="64" t="n"/>
      <c r="E348" s="65">
        <f>ROUND(SUMIF(Consumo!$P$4:$P$189,"#"&amp;$A348,Consumo!H$4:H$189),4)</f>
        <v/>
      </c>
      <c r="F348" s="65">
        <f>ROUND(SUMIF(Consumo!$P$4:$P$189,"#"&amp;$A348,Consumo!I$4:I$189),4)</f>
        <v/>
      </c>
      <c r="G348" s="65">
        <f>ROUND(SUMIF(Consumo!$P$4:$P$189,"#"&amp;$A348,Consumo!J$4:J$189),4)</f>
        <v/>
      </c>
      <c r="H348" s="65">
        <f>ROUND(SUMIF(Consumo!$P$4:$P$189,"#"&amp;$A348,Consumo!K$4:K$189),4)</f>
        <v/>
      </c>
      <c r="I348" s="65">
        <f>ROUND(SUMIF(Consumo!$P$4:$P$189,"#"&amp;$A348,Consumo!L$4:L$189),4)</f>
        <v/>
      </c>
      <c r="J348" s="65">
        <f>ROUND(SUMIF(Consumo!$P$4:$P$189,"#"&amp;$A348,Consumo!M$4:M$189),4)</f>
        <v/>
      </c>
      <c r="K348" s="65">
        <f>ROUND(SUMIF(Consumo!$P$4:$P$189,"#"&amp;$A348,Consumo!N$4:N$189),4)</f>
        <v/>
      </c>
      <c r="L348" s="65">
        <f>ROUND(SUMIF(Consumo!$P$4:$P$189,"#"&amp;$A348,Consumo!O$4:O$189),4)</f>
        <v/>
      </c>
      <c r="M348" s="66" t="n"/>
    </row>
    <row r="349">
      <c r="C349" s="63" t="inlineStr">
        <is>
          <t>Recepciones programadas (ya pedido)</t>
        </is>
      </c>
      <c r="D349" s="64" t="n"/>
      <c r="E349" s="65">
        <f>SUMIF(Inventario!$M$5:$M$505,"#"&amp;$A348,Inventario!E$5:E$505)</f>
        <v/>
      </c>
      <c r="F349" s="65">
        <f>SUMIF(Inventario!$M$5:$M$505,"#"&amp;$A348,Inventario!F$5:F$505)</f>
        <v/>
      </c>
      <c r="G349" s="65">
        <f>SUMIF(Inventario!$M$5:$M$505,"#"&amp;$A348,Inventario!G$5:G$505)</f>
        <v/>
      </c>
      <c r="H349" s="65">
        <f>SUMIF(Inventario!$M$5:$M$505,"#"&amp;$A348,Inventario!H$5:H$505)</f>
        <v/>
      </c>
      <c r="I349" s="65">
        <f>SUMIF(Inventario!$M$5:$M$505,"#"&amp;$A348,Inventario!I$5:I$505)</f>
        <v/>
      </c>
      <c r="J349" s="65">
        <f>SUMIF(Inventario!$M$5:$M$505,"#"&amp;$A348,Inventario!J$5:J$505)</f>
        <v/>
      </c>
      <c r="K349" s="65">
        <f>SUMIF(Inventario!$M$5:$M$505,"#"&amp;$A348,Inventario!K$5:K$505)</f>
        <v/>
      </c>
      <c r="L349" s="65">
        <f>SUMIF(Inventario!$M$5:$M$505,"#"&amp;$A348,Inventario!L$5:L$505)</f>
        <v/>
      </c>
      <c r="M349" s="66" t="n"/>
    </row>
    <row r="350">
      <c r="C350" s="63" t="inlineStr">
        <is>
          <t>Stock proyectado disponible</t>
        </is>
      </c>
      <c r="D350" s="67">
        <f>SUMIF(Inventario!$M$5:$M$505,"#"&amp;$A348,Inventario!$C$5:$C$505)</f>
        <v/>
      </c>
      <c r="E350" s="68">
        <f>D350+E349+E352-E348</f>
        <v/>
      </c>
      <c r="F350" s="68">
        <f>E350+F349+F352-F348</f>
        <v/>
      </c>
      <c r="G350" s="68">
        <f>F350+G349+G352-G348</f>
        <v/>
      </c>
      <c r="H350" s="68">
        <f>G350+H349+H352-H348</f>
        <v/>
      </c>
      <c r="I350" s="68">
        <f>H350+I349+I352-I348</f>
        <v/>
      </c>
      <c r="J350" s="68">
        <f>I350+J349+J352-J348</f>
        <v/>
      </c>
      <c r="K350" s="68">
        <f>J350+K349+K352-K348</f>
        <v/>
      </c>
      <c r="L350" s="68">
        <f>K350+L349+L352-L348</f>
        <v/>
      </c>
      <c r="M350" s="66" t="n"/>
    </row>
    <row r="351">
      <c r="C351" s="63" t="inlineStr">
        <is>
          <t>Necesidad neta</t>
        </is>
      </c>
      <c r="D351" s="64" t="n"/>
      <c r="E351" s="69">
        <f>MAX(0,ROUND(E348+Materiales!$H$53-D350-E349,4))</f>
        <v/>
      </c>
      <c r="F351" s="69">
        <f>MAX(0,ROUND(F348+Materiales!$H$53-E350-F349,4))</f>
        <v/>
      </c>
      <c r="G351" s="69">
        <f>MAX(0,ROUND(G348+Materiales!$H$53-F350-G349,4))</f>
        <v/>
      </c>
      <c r="H351" s="69">
        <f>MAX(0,ROUND(H348+Materiales!$H$53-G350-H349,4))</f>
        <v/>
      </c>
      <c r="I351" s="69">
        <f>MAX(0,ROUND(I348+Materiales!$H$53-H350-I349,4))</f>
        <v/>
      </c>
      <c r="J351" s="69">
        <f>MAX(0,ROUND(J348+Materiales!$H$53-I350-J349,4))</f>
        <v/>
      </c>
      <c r="K351" s="69">
        <f>MAX(0,ROUND(K348+Materiales!$H$53-J350-K349,4))</f>
        <v/>
      </c>
      <c r="L351" s="69">
        <f>MAX(0,ROUND(L348+Materiales!$H$53-K350-L349,4))</f>
        <v/>
      </c>
      <c r="M351" s="66" t="n"/>
    </row>
    <row r="352">
      <c r="C352" s="63" t="inlineStr">
        <is>
          <t>Recepcion de orden planificada</t>
        </is>
      </c>
      <c r="D352" s="64" t="n"/>
      <c r="E352" s="65">
        <f>IF(E351&lt;=0,0,IF(Materiales!$G$53&lt;=0,E351,ROUNDUP(E351/Materiales!$G$53,0)*Materiales!$G$53))</f>
        <v/>
      </c>
      <c r="F352" s="65">
        <f>IF(F351&lt;=0,0,IF(Materiales!$G$53&lt;=0,F351,ROUNDUP(F351/Materiales!$G$53,0)*Materiales!$G$53))</f>
        <v/>
      </c>
      <c r="G352" s="65">
        <f>IF(G351&lt;=0,0,IF(Materiales!$G$53&lt;=0,G351,ROUNDUP(G351/Materiales!$G$53,0)*Materiales!$G$53))</f>
        <v/>
      </c>
      <c r="H352" s="65">
        <f>IF(H351&lt;=0,0,IF(Materiales!$G$53&lt;=0,H351,ROUNDUP(H351/Materiales!$G$53,0)*Materiales!$G$53))</f>
        <v/>
      </c>
      <c r="I352" s="65">
        <f>IF(I351&lt;=0,0,IF(Materiales!$G$53&lt;=0,I351,ROUNDUP(I351/Materiales!$G$53,0)*Materiales!$G$53))</f>
        <v/>
      </c>
      <c r="J352" s="65">
        <f>IF(J351&lt;=0,0,IF(Materiales!$G$53&lt;=0,J351,ROUNDUP(J351/Materiales!$G$53,0)*Materiales!$G$53))</f>
        <v/>
      </c>
      <c r="K352" s="65">
        <f>IF(K351&lt;=0,0,IF(Materiales!$G$53&lt;=0,K351,ROUNDUP(K351/Materiales!$G$53,0)*Materiales!$G$53))</f>
        <v/>
      </c>
      <c r="L352" s="65">
        <f>IF(L351&lt;=0,0,IF(Materiales!$G$53&lt;=0,L351,ROUNDUP(L351/Materiales!$G$53,0)*Materiales!$G$53))</f>
        <v/>
      </c>
      <c r="M352" s="66" t="n"/>
    </row>
    <row r="353">
      <c r="C353" s="70" t="inlineStr">
        <is>
          <t>LANZAMIENTO DE ORDEN — pedir esta semana</t>
        </is>
      </c>
      <c r="D353" s="64" t="n"/>
      <c r="E353" s="71">
        <f>IF(1+Materiales!$F$53&gt;8,0,INDEX($E$352:$L$352,1,1+Materiales!$F$53))</f>
        <v/>
      </c>
      <c r="F353" s="71">
        <f>IF(2+Materiales!$F$53&gt;8,0,INDEX($E$352:$L$352,1,2+Materiales!$F$53))</f>
        <v/>
      </c>
      <c r="G353" s="71">
        <f>IF(3+Materiales!$F$53&gt;8,0,INDEX($E$352:$L$352,1,3+Materiales!$F$53))</f>
        <v/>
      </c>
      <c r="H353" s="71">
        <f>IF(4+Materiales!$F$53&gt;8,0,INDEX($E$352:$L$352,1,4+Materiales!$F$53))</f>
        <v/>
      </c>
      <c r="I353" s="71">
        <f>IF(5+Materiales!$F$53&gt;8,0,INDEX($E$352:$L$352,1,5+Materiales!$F$53))</f>
        <v/>
      </c>
      <c r="J353" s="71">
        <f>IF(6+Materiales!$F$53&gt;8,0,INDEX($E$352:$L$352,1,6+Materiales!$F$53))</f>
        <v/>
      </c>
      <c r="K353" s="71">
        <f>IF(7+Materiales!$F$53&gt;8,0,INDEX($E$352:$L$352,1,7+Materiales!$F$53))</f>
        <v/>
      </c>
      <c r="L353" s="71">
        <f>IF(8+Materiales!$F$53&gt;8,0,INDEX($E$352:$L$352,1,8+Materiales!$F$53))</f>
        <v/>
      </c>
      <c r="M353" s="72">
        <f>IF($A348="","",IF(SUMPRODUCT((COLUMN($E$352:$L$352)-4&lt;=Materiales!$F$53)*$E$352:$L$352)&gt;0,"PEDIR YA (atrasado)","OK"))</f>
        <v/>
      </c>
    </row>
    <row r="354" ht="6" customHeight="1"/>
    <row r="355">
      <c r="A355" s="62">
        <f>IF(Materiales!$A$54="","",Materiales!$A$54)</f>
        <v/>
      </c>
      <c r="B355" s="62">
        <f>IF(Materiales!$B$54="","",Materiales!$B$54)</f>
        <v/>
      </c>
      <c r="C355" s="63" t="inlineStr">
        <is>
          <t>Necesidad bruta</t>
        </is>
      </c>
      <c r="D355" s="64" t="n"/>
      <c r="E355" s="65">
        <f>ROUND(SUMIF(Consumo!$P$4:$P$189,"#"&amp;$A355,Consumo!H$4:H$189),4)</f>
        <v/>
      </c>
      <c r="F355" s="65">
        <f>ROUND(SUMIF(Consumo!$P$4:$P$189,"#"&amp;$A355,Consumo!I$4:I$189),4)</f>
        <v/>
      </c>
      <c r="G355" s="65">
        <f>ROUND(SUMIF(Consumo!$P$4:$P$189,"#"&amp;$A355,Consumo!J$4:J$189),4)</f>
        <v/>
      </c>
      <c r="H355" s="65">
        <f>ROUND(SUMIF(Consumo!$P$4:$P$189,"#"&amp;$A355,Consumo!K$4:K$189),4)</f>
        <v/>
      </c>
      <c r="I355" s="65">
        <f>ROUND(SUMIF(Consumo!$P$4:$P$189,"#"&amp;$A355,Consumo!L$4:L$189),4)</f>
        <v/>
      </c>
      <c r="J355" s="65">
        <f>ROUND(SUMIF(Consumo!$P$4:$P$189,"#"&amp;$A355,Consumo!M$4:M$189),4)</f>
        <v/>
      </c>
      <c r="K355" s="65">
        <f>ROUND(SUMIF(Consumo!$P$4:$P$189,"#"&amp;$A355,Consumo!N$4:N$189),4)</f>
        <v/>
      </c>
      <c r="L355" s="65">
        <f>ROUND(SUMIF(Consumo!$P$4:$P$189,"#"&amp;$A355,Consumo!O$4:O$189),4)</f>
        <v/>
      </c>
      <c r="M355" s="66" t="n"/>
    </row>
    <row r="356">
      <c r="C356" s="63" t="inlineStr">
        <is>
          <t>Recepciones programadas (ya pedido)</t>
        </is>
      </c>
      <c r="D356" s="64" t="n"/>
      <c r="E356" s="65">
        <f>SUMIF(Inventario!$M$5:$M$505,"#"&amp;$A355,Inventario!E$5:E$505)</f>
        <v/>
      </c>
      <c r="F356" s="65">
        <f>SUMIF(Inventario!$M$5:$M$505,"#"&amp;$A355,Inventario!F$5:F$505)</f>
        <v/>
      </c>
      <c r="G356" s="65">
        <f>SUMIF(Inventario!$M$5:$M$505,"#"&amp;$A355,Inventario!G$5:G$505)</f>
        <v/>
      </c>
      <c r="H356" s="65">
        <f>SUMIF(Inventario!$M$5:$M$505,"#"&amp;$A355,Inventario!H$5:H$505)</f>
        <v/>
      </c>
      <c r="I356" s="65">
        <f>SUMIF(Inventario!$M$5:$M$505,"#"&amp;$A355,Inventario!I$5:I$505)</f>
        <v/>
      </c>
      <c r="J356" s="65">
        <f>SUMIF(Inventario!$M$5:$M$505,"#"&amp;$A355,Inventario!J$5:J$505)</f>
        <v/>
      </c>
      <c r="K356" s="65">
        <f>SUMIF(Inventario!$M$5:$M$505,"#"&amp;$A355,Inventario!K$5:K$505)</f>
        <v/>
      </c>
      <c r="L356" s="65">
        <f>SUMIF(Inventario!$M$5:$M$505,"#"&amp;$A355,Inventario!L$5:L$505)</f>
        <v/>
      </c>
      <c r="M356" s="66" t="n"/>
    </row>
    <row r="357">
      <c r="C357" s="63" t="inlineStr">
        <is>
          <t>Stock proyectado disponible</t>
        </is>
      </c>
      <c r="D357" s="67">
        <f>SUMIF(Inventario!$M$5:$M$505,"#"&amp;$A355,Inventario!$C$5:$C$505)</f>
        <v/>
      </c>
      <c r="E357" s="68">
        <f>D357+E356+E359-E355</f>
        <v/>
      </c>
      <c r="F357" s="68">
        <f>E357+F356+F359-F355</f>
        <v/>
      </c>
      <c r="G357" s="68">
        <f>F357+G356+G359-G355</f>
        <v/>
      </c>
      <c r="H357" s="68">
        <f>G357+H356+H359-H355</f>
        <v/>
      </c>
      <c r="I357" s="68">
        <f>H357+I356+I359-I355</f>
        <v/>
      </c>
      <c r="J357" s="68">
        <f>I357+J356+J359-J355</f>
        <v/>
      </c>
      <c r="K357" s="68">
        <f>J357+K356+K359-K355</f>
        <v/>
      </c>
      <c r="L357" s="68">
        <f>K357+L356+L359-L355</f>
        <v/>
      </c>
      <c r="M357" s="66" t="n"/>
    </row>
    <row r="358">
      <c r="C358" s="63" t="inlineStr">
        <is>
          <t>Necesidad neta</t>
        </is>
      </c>
      <c r="D358" s="64" t="n"/>
      <c r="E358" s="69">
        <f>MAX(0,ROUND(E355+Materiales!$H$54-D357-E356,4))</f>
        <v/>
      </c>
      <c r="F358" s="69">
        <f>MAX(0,ROUND(F355+Materiales!$H$54-E357-F356,4))</f>
        <v/>
      </c>
      <c r="G358" s="69">
        <f>MAX(0,ROUND(G355+Materiales!$H$54-F357-G356,4))</f>
        <v/>
      </c>
      <c r="H358" s="69">
        <f>MAX(0,ROUND(H355+Materiales!$H$54-G357-H356,4))</f>
        <v/>
      </c>
      <c r="I358" s="69">
        <f>MAX(0,ROUND(I355+Materiales!$H$54-H357-I356,4))</f>
        <v/>
      </c>
      <c r="J358" s="69">
        <f>MAX(0,ROUND(J355+Materiales!$H$54-I357-J356,4))</f>
        <v/>
      </c>
      <c r="K358" s="69">
        <f>MAX(0,ROUND(K355+Materiales!$H$54-J357-K356,4))</f>
        <v/>
      </c>
      <c r="L358" s="69">
        <f>MAX(0,ROUND(L355+Materiales!$H$54-K357-L356,4))</f>
        <v/>
      </c>
      <c r="M358" s="66" t="n"/>
    </row>
    <row r="359">
      <c r="C359" s="63" t="inlineStr">
        <is>
          <t>Recepcion de orden planificada</t>
        </is>
      </c>
      <c r="D359" s="64" t="n"/>
      <c r="E359" s="65">
        <f>IF(E358&lt;=0,0,IF(Materiales!$G$54&lt;=0,E358,ROUNDUP(E358/Materiales!$G$54,0)*Materiales!$G$54))</f>
        <v/>
      </c>
      <c r="F359" s="65">
        <f>IF(F358&lt;=0,0,IF(Materiales!$G$54&lt;=0,F358,ROUNDUP(F358/Materiales!$G$54,0)*Materiales!$G$54))</f>
        <v/>
      </c>
      <c r="G359" s="65">
        <f>IF(G358&lt;=0,0,IF(Materiales!$G$54&lt;=0,G358,ROUNDUP(G358/Materiales!$G$54,0)*Materiales!$G$54))</f>
        <v/>
      </c>
      <c r="H359" s="65">
        <f>IF(H358&lt;=0,0,IF(Materiales!$G$54&lt;=0,H358,ROUNDUP(H358/Materiales!$G$54,0)*Materiales!$G$54))</f>
        <v/>
      </c>
      <c r="I359" s="65">
        <f>IF(I358&lt;=0,0,IF(Materiales!$G$54&lt;=0,I358,ROUNDUP(I358/Materiales!$G$54,0)*Materiales!$G$54))</f>
        <v/>
      </c>
      <c r="J359" s="65">
        <f>IF(J358&lt;=0,0,IF(Materiales!$G$54&lt;=0,J358,ROUNDUP(J358/Materiales!$G$54,0)*Materiales!$G$54))</f>
        <v/>
      </c>
      <c r="K359" s="65">
        <f>IF(K358&lt;=0,0,IF(Materiales!$G$54&lt;=0,K358,ROUNDUP(K358/Materiales!$G$54,0)*Materiales!$G$54))</f>
        <v/>
      </c>
      <c r="L359" s="65">
        <f>IF(L358&lt;=0,0,IF(Materiales!$G$54&lt;=0,L358,ROUNDUP(L358/Materiales!$G$54,0)*Materiales!$G$54))</f>
        <v/>
      </c>
      <c r="M359" s="66" t="n"/>
    </row>
    <row r="360">
      <c r="C360" s="70" t="inlineStr">
        <is>
          <t>LANZAMIENTO DE ORDEN — pedir esta semana</t>
        </is>
      </c>
      <c r="D360" s="64" t="n"/>
      <c r="E360" s="71">
        <f>IF(1+Materiales!$F$54&gt;8,0,INDEX($E$359:$L$359,1,1+Materiales!$F$54))</f>
        <v/>
      </c>
      <c r="F360" s="71">
        <f>IF(2+Materiales!$F$54&gt;8,0,INDEX($E$359:$L$359,1,2+Materiales!$F$54))</f>
        <v/>
      </c>
      <c r="G360" s="71">
        <f>IF(3+Materiales!$F$54&gt;8,0,INDEX($E$359:$L$359,1,3+Materiales!$F$54))</f>
        <v/>
      </c>
      <c r="H360" s="71">
        <f>IF(4+Materiales!$F$54&gt;8,0,INDEX($E$359:$L$359,1,4+Materiales!$F$54))</f>
        <v/>
      </c>
      <c r="I360" s="71">
        <f>IF(5+Materiales!$F$54&gt;8,0,INDEX($E$359:$L$359,1,5+Materiales!$F$54))</f>
        <v/>
      </c>
      <c r="J360" s="71">
        <f>IF(6+Materiales!$F$54&gt;8,0,INDEX($E$359:$L$359,1,6+Materiales!$F$54))</f>
        <v/>
      </c>
      <c r="K360" s="71">
        <f>IF(7+Materiales!$F$54&gt;8,0,INDEX($E$359:$L$359,1,7+Materiales!$F$54))</f>
        <v/>
      </c>
      <c r="L360" s="71">
        <f>IF(8+Materiales!$F$54&gt;8,0,INDEX($E$359:$L$359,1,8+Materiales!$F$54))</f>
        <v/>
      </c>
      <c r="M360" s="72">
        <f>IF($A355="","",IF(SUMPRODUCT((COLUMN($E$359:$L$359)-4&lt;=Materiales!$F$54)*$E$359:$L$359)&gt;0,"PEDIR YA (atrasado)","OK"))</f>
        <v/>
      </c>
    </row>
    <row r="361" ht="6" customHeight="1"/>
    <row r="362">
      <c r="A362" s="62">
        <f>IF(Materiales!$A$55="","",Materiales!$A$55)</f>
        <v/>
      </c>
      <c r="B362" s="62">
        <f>IF(Materiales!$B$55="","",Materiales!$B$55)</f>
        <v/>
      </c>
      <c r="C362" s="63" t="inlineStr">
        <is>
          <t>Necesidad bruta</t>
        </is>
      </c>
      <c r="D362" s="64" t="n"/>
      <c r="E362" s="65">
        <f>ROUND(SUMIF(Consumo!$P$4:$P$189,"#"&amp;$A362,Consumo!H$4:H$189),4)</f>
        <v/>
      </c>
      <c r="F362" s="65">
        <f>ROUND(SUMIF(Consumo!$P$4:$P$189,"#"&amp;$A362,Consumo!I$4:I$189),4)</f>
        <v/>
      </c>
      <c r="G362" s="65">
        <f>ROUND(SUMIF(Consumo!$P$4:$P$189,"#"&amp;$A362,Consumo!J$4:J$189),4)</f>
        <v/>
      </c>
      <c r="H362" s="65">
        <f>ROUND(SUMIF(Consumo!$P$4:$P$189,"#"&amp;$A362,Consumo!K$4:K$189),4)</f>
        <v/>
      </c>
      <c r="I362" s="65">
        <f>ROUND(SUMIF(Consumo!$P$4:$P$189,"#"&amp;$A362,Consumo!L$4:L$189),4)</f>
        <v/>
      </c>
      <c r="J362" s="65">
        <f>ROUND(SUMIF(Consumo!$P$4:$P$189,"#"&amp;$A362,Consumo!M$4:M$189),4)</f>
        <v/>
      </c>
      <c r="K362" s="65">
        <f>ROUND(SUMIF(Consumo!$P$4:$P$189,"#"&amp;$A362,Consumo!N$4:N$189),4)</f>
        <v/>
      </c>
      <c r="L362" s="65">
        <f>ROUND(SUMIF(Consumo!$P$4:$P$189,"#"&amp;$A362,Consumo!O$4:O$189),4)</f>
        <v/>
      </c>
      <c r="M362" s="66" t="n"/>
    </row>
    <row r="363">
      <c r="C363" s="63" t="inlineStr">
        <is>
          <t>Recepciones programadas (ya pedido)</t>
        </is>
      </c>
      <c r="D363" s="64" t="n"/>
      <c r="E363" s="65">
        <f>SUMIF(Inventario!$M$5:$M$505,"#"&amp;$A362,Inventario!E$5:E$505)</f>
        <v/>
      </c>
      <c r="F363" s="65">
        <f>SUMIF(Inventario!$M$5:$M$505,"#"&amp;$A362,Inventario!F$5:F$505)</f>
        <v/>
      </c>
      <c r="G363" s="65">
        <f>SUMIF(Inventario!$M$5:$M$505,"#"&amp;$A362,Inventario!G$5:G$505)</f>
        <v/>
      </c>
      <c r="H363" s="65">
        <f>SUMIF(Inventario!$M$5:$M$505,"#"&amp;$A362,Inventario!H$5:H$505)</f>
        <v/>
      </c>
      <c r="I363" s="65">
        <f>SUMIF(Inventario!$M$5:$M$505,"#"&amp;$A362,Inventario!I$5:I$505)</f>
        <v/>
      </c>
      <c r="J363" s="65">
        <f>SUMIF(Inventario!$M$5:$M$505,"#"&amp;$A362,Inventario!J$5:J$505)</f>
        <v/>
      </c>
      <c r="K363" s="65">
        <f>SUMIF(Inventario!$M$5:$M$505,"#"&amp;$A362,Inventario!K$5:K$505)</f>
        <v/>
      </c>
      <c r="L363" s="65">
        <f>SUMIF(Inventario!$M$5:$M$505,"#"&amp;$A362,Inventario!L$5:L$505)</f>
        <v/>
      </c>
      <c r="M363" s="66" t="n"/>
    </row>
    <row r="364">
      <c r="C364" s="63" t="inlineStr">
        <is>
          <t>Stock proyectado disponible</t>
        </is>
      </c>
      <c r="D364" s="67">
        <f>SUMIF(Inventario!$M$5:$M$505,"#"&amp;$A362,Inventario!$C$5:$C$505)</f>
        <v/>
      </c>
      <c r="E364" s="68">
        <f>D364+E363+E366-E362</f>
        <v/>
      </c>
      <c r="F364" s="68">
        <f>E364+F363+F366-F362</f>
        <v/>
      </c>
      <c r="G364" s="68">
        <f>F364+G363+G366-G362</f>
        <v/>
      </c>
      <c r="H364" s="68">
        <f>G364+H363+H366-H362</f>
        <v/>
      </c>
      <c r="I364" s="68">
        <f>H364+I363+I366-I362</f>
        <v/>
      </c>
      <c r="J364" s="68">
        <f>I364+J363+J366-J362</f>
        <v/>
      </c>
      <c r="K364" s="68">
        <f>J364+K363+K366-K362</f>
        <v/>
      </c>
      <c r="L364" s="68">
        <f>K364+L363+L366-L362</f>
        <v/>
      </c>
      <c r="M364" s="66" t="n"/>
    </row>
    <row r="365">
      <c r="C365" s="63" t="inlineStr">
        <is>
          <t>Necesidad neta</t>
        </is>
      </c>
      <c r="D365" s="64" t="n"/>
      <c r="E365" s="69">
        <f>MAX(0,ROUND(E362+Materiales!$H$55-D364-E363,4))</f>
        <v/>
      </c>
      <c r="F365" s="69">
        <f>MAX(0,ROUND(F362+Materiales!$H$55-E364-F363,4))</f>
        <v/>
      </c>
      <c r="G365" s="69">
        <f>MAX(0,ROUND(G362+Materiales!$H$55-F364-G363,4))</f>
        <v/>
      </c>
      <c r="H365" s="69">
        <f>MAX(0,ROUND(H362+Materiales!$H$55-G364-H363,4))</f>
        <v/>
      </c>
      <c r="I365" s="69">
        <f>MAX(0,ROUND(I362+Materiales!$H$55-H364-I363,4))</f>
        <v/>
      </c>
      <c r="J365" s="69">
        <f>MAX(0,ROUND(J362+Materiales!$H$55-I364-J363,4))</f>
        <v/>
      </c>
      <c r="K365" s="69">
        <f>MAX(0,ROUND(K362+Materiales!$H$55-J364-K363,4))</f>
        <v/>
      </c>
      <c r="L365" s="69">
        <f>MAX(0,ROUND(L362+Materiales!$H$55-K364-L363,4))</f>
        <v/>
      </c>
      <c r="M365" s="66" t="n"/>
    </row>
    <row r="366">
      <c r="C366" s="63" t="inlineStr">
        <is>
          <t>Recepcion de orden planificada</t>
        </is>
      </c>
      <c r="D366" s="64" t="n"/>
      <c r="E366" s="65">
        <f>IF(E365&lt;=0,0,IF(Materiales!$G$55&lt;=0,E365,ROUNDUP(E365/Materiales!$G$55,0)*Materiales!$G$55))</f>
        <v/>
      </c>
      <c r="F366" s="65">
        <f>IF(F365&lt;=0,0,IF(Materiales!$G$55&lt;=0,F365,ROUNDUP(F365/Materiales!$G$55,0)*Materiales!$G$55))</f>
        <v/>
      </c>
      <c r="G366" s="65">
        <f>IF(G365&lt;=0,0,IF(Materiales!$G$55&lt;=0,G365,ROUNDUP(G365/Materiales!$G$55,0)*Materiales!$G$55))</f>
        <v/>
      </c>
      <c r="H366" s="65">
        <f>IF(H365&lt;=0,0,IF(Materiales!$G$55&lt;=0,H365,ROUNDUP(H365/Materiales!$G$55,0)*Materiales!$G$55))</f>
        <v/>
      </c>
      <c r="I366" s="65">
        <f>IF(I365&lt;=0,0,IF(Materiales!$G$55&lt;=0,I365,ROUNDUP(I365/Materiales!$G$55,0)*Materiales!$G$55))</f>
        <v/>
      </c>
      <c r="J366" s="65">
        <f>IF(J365&lt;=0,0,IF(Materiales!$G$55&lt;=0,J365,ROUNDUP(J365/Materiales!$G$55,0)*Materiales!$G$55))</f>
        <v/>
      </c>
      <c r="K366" s="65">
        <f>IF(K365&lt;=0,0,IF(Materiales!$G$55&lt;=0,K365,ROUNDUP(K365/Materiales!$G$55,0)*Materiales!$G$55))</f>
        <v/>
      </c>
      <c r="L366" s="65">
        <f>IF(L365&lt;=0,0,IF(Materiales!$G$55&lt;=0,L365,ROUNDUP(L365/Materiales!$G$55,0)*Materiales!$G$55))</f>
        <v/>
      </c>
      <c r="M366" s="66" t="n"/>
    </row>
    <row r="367">
      <c r="C367" s="70" t="inlineStr">
        <is>
          <t>LANZAMIENTO DE ORDEN — pedir esta semana</t>
        </is>
      </c>
      <c r="D367" s="64" t="n"/>
      <c r="E367" s="71">
        <f>IF(1+Materiales!$F$55&gt;8,0,INDEX($E$366:$L$366,1,1+Materiales!$F$55))</f>
        <v/>
      </c>
      <c r="F367" s="71">
        <f>IF(2+Materiales!$F$55&gt;8,0,INDEX($E$366:$L$366,1,2+Materiales!$F$55))</f>
        <v/>
      </c>
      <c r="G367" s="71">
        <f>IF(3+Materiales!$F$55&gt;8,0,INDEX($E$366:$L$366,1,3+Materiales!$F$55))</f>
        <v/>
      </c>
      <c r="H367" s="71">
        <f>IF(4+Materiales!$F$55&gt;8,0,INDEX($E$366:$L$366,1,4+Materiales!$F$55))</f>
        <v/>
      </c>
      <c r="I367" s="71">
        <f>IF(5+Materiales!$F$55&gt;8,0,INDEX($E$366:$L$366,1,5+Materiales!$F$55))</f>
        <v/>
      </c>
      <c r="J367" s="71">
        <f>IF(6+Materiales!$F$55&gt;8,0,INDEX($E$366:$L$366,1,6+Materiales!$F$55))</f>
        <v/>
      </c>
      <c r="K367" s="71">
        <f>IF(7+Materiales!$F$55&gt;8,0,INDEX($E$366:$L$366,1,7+Materiales!$F$55))</f>
        <v/>
      </c>
      <c r="L367" s="71">
        <f>IF(8+Materiales!$F$55&gt;8,0,INDEX($E$366:$L$366,1,8+Materiales!$F$55))</f>
        <v/>
      </c>
      <c r="M367" s="72">
        <f>IF($A362="","",IF(SUMPRODUCT((COLUMN($E$366:$L$366)-4&lt;=Materiales!$F$55)*$E$366:$L$366)&gt;0,"PEDIR YA (atrasado)","OK"))</f>
        <v/>
      </c>
    </row>
    <row r="368" ht="6" customHeight="1"/>
    <row r="369">
      <c r="A369" s="62">
        <f>IF(Materiales!$A$56="","",Materiales!$A$56)</f>
        <v/>
      </c>
      <c r="B369" s="62">
        <f>IF(Materiales!$B$56="","",Materiales!$B$56)</f>
        <v/>
      </c>
      <c r="C369" s="63" t="inlineStr">
        <is>
          <t>Necesidad bruta</t>
        </is>
      </c>
      <c r="D369" s="64" t="n"/>
      <c r="E369" s="65">
        <f>ROUND(SUMIF(Consumo!$P$4:$P$189,"#"&amp;$A369,Consumo!H$4:H$189),4)</f>
        <v/>
      </c>
      <c r="F369" s="65">
        <f>ROUND(SUMIF(Consumo!$P$4:$P$189,"#"&amp;$A369,Consumo!I$4:I$189),4)</f>
        <v/>
      </c>
      <c r="G369" s="65">
        <f>ROUND(SUMIF(Consumo!$P$4:$P$189,"#"&amp;$A369,Consumo!J$4:J$189),4)</f>
        <v/>
      </c>
      <c r="H369" s="65">
        <f>ROUND(SUMIF(Consumo!$P$4:$P$189,"#"&amp;$A369,Consumo!K$4:K$189),4)</f>
        <v/>
      </c>
      <c r="I369" s="65">
        <f>ROUND(SUMIF(Consumo!$P$4:$P$189,"#"&amp;$A369,Consumo!L$4:L$189),4)</f>
        <v/>
      </c>
      <c r="J369" s="65">
        <f>ROUND(SUMIF(Consumo!$P$4:$P$189,"#"&amp;$A369,Consumo!M$4:M$189),4)</f>
        <v/>
      </c>
      <c r="K369" s="65">
        <f>ROUND(SUMIF(Consumo!$P$4:$P$189,"#"&amp;$A369,Consumo!N$4:N$189),4)</f>
        <v/>
      </c>
      <c r="L369" s="65">
        <f>ROUND(SUMIF(Consumo!$P$4:$P$189,"#"&amp;$A369,Consumo!O$4:O$189),4)</f>
        <v/>
      </c>
      <c r="M369" s="66" t="n"/>
    </row>
    <row r="370">
      <c r="C370" s="63" t="inlineStr">
        <is>
          <t>Recepciones programadas (ya pedido)</t>
        </is>
      </c>
      <c r="D370" s="64" t="n"/>
      <c r="E370" s="65">
        <f>SUMIF(Inventario!$M$5:$M$505,"#"&amp;$A369,Inventario!E$5:E$505)</f>
        <v/>
      </c>
      <c r="F370" s="65">
        <f>SUMIF(Inventario!$M$5:$M$505,"#"&amp;$A369,Inventario!F$5:F$505)</f>
        <v/>
      </c>
      <c r="G370" s="65">
        <f>SUMIF(Inventario!$M$5:$M$505,"#"&amp;$A369,Inventario!G$5:G$505)</f>
        <v/>
      </c>
      <c r="H370" s="65">
        <f>SUMIF(Inventario!$M$5:$M$505,"#"&amp;$A369,Inventario!H$5:H$505)</f>
        <v/>
      </c>
      <c r="I370" s="65">
        <f>SUMIF(Inventario!$M$5:$M$505,"#"&amp;$A369,Inventario!I$5:I$505)</f>
        <v/>
      </c>
      <c r="J370" s="65">
        <f>SUMIF(Inventario!$M$5:$M$505,"#"&amp;$A369,Inventario!J$5:J$505)</f>
        <v/>
      </c>
      <c r="K370" s="65">
        <f>SUMIF(Inventario!$M$5:$M$505,"#"&amp;$A369,Inventario!K$5:K$505)</f>
        <v/>
      </c>
      <c r="L370" s="65">
        <f>SUMIF(Inventario!$M$5:$M$505,"#"&amp;$A369,Inventario!L$5:L$505)</f>
        <v/>
      </c>
      <c r="M370" s="66" t="n"/>
    </row>
    <row r="371">
      <c r="C371" s="63" t="inlineStr">
        <is>
          <t>Stock proyectado disponible</t>
        </is>
      </c>
      <c r="D371" s="67">
        <f>SUMIF(Inventario!$M$5:$M$505,"#"&amp;$A369,Inventario!$C$5:$C$505)</f>
        <v/>
      </c>
      <c r="E371" s="68">
        <f>D371+E370+E373-E369</f>
        <v/>
      </c>
      <c r="F371" s="68">
        <f>E371+F370+F373-F369</f>
        <v/>
      </c>
      <c r="G371" s="68">
        <f>F371+G370+G373-G369</f>
        <v/>
      </c>
      <c r="H371" s="68">
        <f>G371+H370+H373-H369</f>
        <v/>
      </c>
      <c r="I371" s="68">
        <f>H371+I370+I373-I369</f>
        <v/>
      </c>
      <c r="J371" s="68">
        <f>I371+J370+J373-J369</f>
        <v/>
      </c>
      <c r="K371" s="68">
        <f>J371+K370+K373-K369</f>
        <v/>
      </c>
      <c r="L371" s="68">
        <f>K371+L370+L373-L369</f>
        <v/>
      </c>
      <c r="M371" s="66" t="n"/>
    </row>
    <row r="372">
      <c r="C372" s="63" t="inlineStr">
        <is>
          <t>Necesidad neta</t>
        </is>
      </c>
      <c r="D372" s="64" t="n"/>
      <c r="E372" s="69">
        <f>MAX(0,ROUND(E369+Materiales!$H$56-D371-E370,4))</f>
        <v/>
      </c>
      <c r="F372" s="69">
        <f>MAX(0,ROUND(F369+Materiales!$H$56-E371-F370,4))</f>
        <v/>
      </c>
      <c r="G372" s="69">
        <f>MAX(0,ROUND(G369+Materiales!$H$56-F371-G370,4))</f>
        <v/>
      </c>
      <c r="H372" s="69">
        <f>MAX(0,ROUND(H369+Materiales!$H$56-G371-H370,4))</f>
        <v/>
      </c>
      <c r="I372" s="69">
        <f>MAX(0,ROUND(I369+Materiales!$H$56-H371-I370,4))</f>
        <v/>
      </c>
      <c r="J372" s="69">
        <f>MAX(0,ROUND(J369+Materiales!$H$56-I371-J370,4))</f>
        <v/>
      </c>
      <c r="K372" s="69">
        <f>MAX(0,ROUND(K369+Materiales!$H$56-J371-K370,4))</f>
        <v/>
      </c>
      <c r="L372" s="69">
        <f>MAX(0,ROUND(L369+Materiales!$H$56-K371-L370,4))</f>
        <v/>
      </c>
      <c r="M372" s="66" t="n"/>
    </row>
    <row r="373">
      <c r="C373" s="63" t="inlineStr">
        <is>
          <t>Recepcion de orden planificada</t>
        </is>
      </c>
      <c r="D373" s="64" t="n"/>
      <c r="E373" s="65">
        <f>IF(E372&lt;=0,0,IF(Materiales!$G$56&lt;=0,E372,ROUNDUP(E372/Materiales!$G$56,0)*Materiales!$G$56))</f>
        <v/>
      </c>
      <c r="F373" s="65">
        <f>IF(F372&lt;=0,0,IF(Materiales!$G$56&lt;=0,F372,ROUNDUP(F372/Materiales!$G$56,0)*Materiales!$G$56))</f>
        <v/>
      </c>
      <c r="G373" s="65">
        <f>IF(G372&lt;=0,0,IF(Materiales!$G$56&lt;=0,G372,ROUNDUP(G372/Materiales!$G$56,0)*Materiales!$G$56))</f>
        <v/>
      </c>
      <c r="H373" s="65">
        <f>IF(H372&lt;=0,0,IF(Materiales!$G$56&lt;=0,H372,ROUNDUP(H372/Materiales!$G$56,0)*Materiales!$G$56))</f>
        <v/>
      </c>
      <c r="I373" s="65">
        <f>IF(I372&lt;=0,0,IF(Materiales!$G$56&lt;=0,I372,ROUNDUP(I372/Materiales!$G$56,0)*Materiales!$G$56))</f>
        <v/>
      </c>
      <c r="J373" s="65">
        <f>IF(J372&lt;=0,0,IF(Materiales!$G$56&lt;=0,J372,ROUNDUP(J372/Materiales!$G$56,0)*Materiales!$G$56))</f>
        <v/>
      </c>
      <c r="K373" s="65">
        <f>IF(K372&lt;=0,0,IF(Materiales!$G$56&lt;=0,K372,ROUNDUP(K372/Materiales!$G$56,0)*Materiales!$G$56))</f>
        <v/>
      </c>
      <c r="L373" s="65">
        <f>IF(L372&lt;=0,0,IF(Materiales!$G$56&lt;=0,L372,ROUNDUP(L372/Materiales!$G$56,0)*Materiales!$G$56))</f>
        <v/>
      </c>
      <c r="M373" s="66" t="n"/>
    </row>
    <row r="374">
      <c r="C374" s="70" t="inlineStr">
        <is>
          <t>LANZAMIENTO DE ORDEN — pedir esta semana</t>
        </is>
      </c>
      <c r="D374" s="64" t="n"/>
      <c r="E374" s="71">
        <f>IF(1+Materiales!$F$56&gt;8,0,INDEX($E$373:$L$373,1,1+Materiales!$F$56))</f>
        <v/>
      </c>
      <c r="F374" s="71">
        <f>IF(2+Materiales!$F$56&gt;8,0,INDEX($E$373:$L$373,1,2+Materiales!$F$56))</f>
        <v/>
      </c>
      <c r="G374" s="71">
        <f>IF(3+Materiales!$F$56&gt;8,0,INDEX($E$373:$L$373,1,3+Materiales!$F$56))</f>
        <v/>
      </c>
      <c r="H374" s="71">
        <f>IF(4+Materiales!$F$56&gt;8,0,INDEX($E$373:$L$373,1,4+Materiales!$F$56))</f>
        <v/>
      </c>
      <c r="I374" s="71">
        <f>IF(5+Materiales!$F$56&gt;8,0,INDEX($E$373:$L$373,1,5+Materiales!$F$56))</f>
        <v/>
      </c>
      <c r="J374" s="71">
        <f>IF(6+Materiales!$F$56&gt;8,0,INDEX($E$373:$L$373,1,6+Materiales!$F$56))</f>
        <v/>
      </c>
      <c r="K374" s="71">
        <f>IF(7+Materiales!$F$56&gt;8,0,INDEX($E$373:$L$373,1,7+Materiales!$F$56))</f>
        <v/>
      </c>
      <c r="L374" s="71">
        <f>IF(8+Materiales!$F$56&gt;8,0,INDEX($E$373:$L$373,1,8+Materiales!$F$56))</f>
        <v/>
      </c>
      <c r="M374" s="72">
        <f>IF($A369="","",IF(SUMPRODUCT((COLUMN($E$373:$L$373)-4&lt;=Materiales!$F$56)*$E$373:$L$373)&gt;0,"PEDIR YA (atrasado)","OK"))</f>
        <v/>
      </c>
    </row>
    <row r="375" ht="6" customHeight="1"/>
    <row r="376">
      <c r="A376" s="62">
        <f>IF(Materiales!$A$57="","",Materiales!$A$57)</f>
        <v/>
      </c>
      <c r="B376" s="62">
        <f>IF(Materiales!$B$57="","",Materiales!$B$57)</f>
        <v/>
      </c>
      <c r="C376" s="63" t="inlineStr">
        <is>
          <t>Necesidad bruta</t>
        </is>
      </c>
      <c r="D376" s="64" t="n"/>
      <c r="E376" s="65">
        <f>ROUND(SUMIF(Consumo!$P$4:$P$189,"#"&amp;$A376,Consumo!H$4:H$189),4)</f>
        <v/>
      </c>
      <c r="F376" s="65">
        <f>ROUND(SUMIF(Consumo!$P$4:$P$189,"#"&amp;$A376,Consumo!I$4:I$189),4)</f>
        <v/>
      </c>
      <c r="G376" s="65">
        <f>ROUND(SUMIF(Consumo!$P$4:$P$189,"#"&amp;$A376,Consumo!J$4:J$189),4)</f>
        <v/>
      </c>
      <c r="H376" s="65">
        <f>ROUND(SUMIF(Consumo!$P$4:$P$189,"#"&amp;$A376,Consumo!K$4:K$189),4)</f>
        <v/>
      </c>
      <c r="I376" s="65">
        <f>ROUND(SUMIF(Consumo!$P$4:$P$189,"#"&amp;$A376,Consumo!L$4:L$189),4)</f>
        <v/>
      </c>
      <c r="J376" s="65">
        <f>ROUND(SUMIF(Consumo!$P$4:$P$189,"#"&amp;$A376,Consumo!M$4:M$189),4)</f>
        <v/>
      </c>
      <c r="K376" s="65">
        <f>ROUND(SUMIF(Consumo!$P$4:$P$189,"#"&amp;$A376,Consumo!N$4:N$189),4)</f>
        <v/>
      </c>
      <c r="L376" s="65">
        <f>ROUND(SUMIF(Consumo!$P$4:$P$189,"#"&amp;$A376,Consumo!O$4:O$189),4)</f>
        <v/>
      </c>
      <c r="M376" s="66" t="n"/>
    </row>
    <row r="377">
      <c r="C377" s="63" t="inlineStr">
        <is>
          <t>Recepciones programadas (ya pedido)</t>
        </is>
      </c>
      <c r="D377" s="64" t="n"/>
      <c r="E377" s="65">
        <f>SUMIF(Inventario!$M$5:$M$505,"#"&amp;$A376,Inventario!E$5:E$505)</f>
        <v/>
      </c>
      <c r="F377" s="65">
        <f>SUMIF(Inventario!$M$5:$M$505,"#"&amp;$A376,Inventario!F$5:F$505)</f>
        <v/>
      </c>
      <c r="G377" s="65">
        <f>SUMIF(Inventario!$M$5:$M$505,"#"&amp;$A376,Inventario!G$5:G$505)</f>
        <v/>
      </c>
      <c r="H377" s="65">
        <f>SUMIF(Inventario!$M$5:$M$505,"#"&amp;$A376,Inventario!H$5:H$505)</f>
        <v/>
      </c>
      <c r="I377" s="65">
        <f>SUMIF(Inventario!$M$5:$M$505,"#"&amp;$A376,Inventario!I$5:I$505)</f>
        <v/>
      </c>
      <c r="J377" s="65">
        <f>SUMIF(Inventario!$M$5:$M$505,"#"&amp;$A376,Inventario!J$5:J$505)</f>
        <v/>
      </c>
      <c r="K377" s="65">
        <f>SUMIF(Inventario!$M$5:$M$505,"#"&amp;$A376,Inventario!K$5:K$505)</f>
        <v/>
      </c>
      <c r="L377" s="65">
        <f>SUMIF(Inventario!$M$5:$M$505,"#"&amp;$A376,Inventario!L$5:L$505)</f>
        <v/>
      </c>
      <c r="M377" s="66" t="n"/>
    </row>
    <row r="378">
      <c r="C378" s="63" t="inlineStr">
        <is>
          <t>Stock proyectado disponible</t>
        </is>
      </c>
      <c r="D378" s="67">
        <f>SUMIF(Inventario!$M$5:$M$505,"#"&amp;$A376,Inventario!$C$5:$C$505)</f>
        <v/>
      </c>
      <c r="E378" s="68">
        <f>D378+E377+E380-E376</f>
        <v/>
      </c>
      <c r="F378" s="68">
        <f>E378+F377+F380-F376</f>
        <v/>
      </c>
      <c r="G378" s="68">
        <f>F378+G377+G380-G376</f>
        <v/>
      </c>
      <c r="H378" s="68">
        <f>G378+H377+H380-H376</f>
        <v/>
      </c>
      <c r="I378" s="68">
        <f>H378+I377+I380-I376</f>
        <v/>
      </c>
      <c r="J378" s="68">
        <f>I378+J377+J380-J376</f>
        <v/>
      </c>
      <c r="K378" s="68">
        <f>J378+K377+K380-K376</f>
        <v/>
      </c>
      <c r="L378" s="68">
        <f>K378+L377+L380-L376</f>
        <v/>
      </c>
      <c r="M378" s="66" t="n"/>
    </row>
    <row r="379">
      <c r="C379" s="63" t="inlineStr">
        <is>
          <t>Necesidad neta</t>
        </is>
      </c>
      <c r="D379" s="64" t="n"/>
      <c r="E379" s="69">
        <f>MAX(0,ROUND(E376+Materiales!$H$57-D378-E377,4))</f>
        <v/>
      </c>
      <c r="F379" s="69">
        <f>MAX(0,ROUND(F376+Materiales!$H$57-E378-F377,4))</f>
        <v/>
      </c>
      <c r="G379" s="69">
        <f>MAX(0,ROUND(G376+Materiales!$H$57-F378-G377,4))</f>
        <v/>
      </c>
      <c r="H379" s="69">
        <f>MAX(0,ROUND(H376+Materiales!$H$57-G378-H377,4))</f>
        <v/>
      </c>
      <c r="I379" s="69">
        <f>MAX(0,ROUND(I376+Materiales!$H$57-H378-I377,4))</f>
        <v/>
      </c>
      <c r="J379" s="69">
        <f>MAX(0,ROUND(J376+Materiales!$H$57-I378-J377,4))</f>
        <v/>
      </c>
      <c r="K379" s="69">
        <f>MAX(0,ROUND(K376+Materiales!$H$57-J378-K377,4))</f>
        <v/>
      </c>
      <c r="L379" s="69">
        <f>MAX(0,ROUND(L376+Materiales!$H$57-K378-L377,4))</f>
        <v/>
      </c>
      <c r="M379" s="66" t="n"/>
    </row>
    <row r="380">
      <c r="C380" s="63" t="inlineStr">
        <is>
          <t>Recepcion de orden planificada</t>
        </is>
      </c>
      <c r="D380" s="64" t="n"/>
      <c r="E380" s="65">
        <f>IF(E379&lt;=0,0,IF(Materiales!$G$57&lt;=0,E379,ROUNDUP(E379/Materiales!$G$57,0)*Materiales!$G$57))</f>
        <v/>
      </c>
      <c r="F380" s="65">
        <f>IF(F379&lt;=0,0,IF(Materiales!$G$57&lt;=0,F379,ROUNDUP(F379/Materiales!$G$57,0)*Materiales!$G$57))</f>
        <v/>
      </c>
      <c r="G380" s="65">
        <f>IF(G379&lt;=0,0,IF(Materiales!$G$57&lt;=0,G379,ROUNDUP(G379/Materiales!$G$57,0)*Materiales!$G$57))</f>
        <v/>
      </c>
      <c r="H380" s="65">
        <f>IF(H379&lt;=0,0,IF(Materiales!$G$57&lt;=0,H379,ROUNDUP(H379/Materiales!$G$57,0)*Materiales!$G$57))</f>
        <v/>
      </c>
      <c r="I380" s="65">
        <f>IF(I379&lt;=0,0,IF(Materiales!$G$57&lt;=0,I379,ROUNDUP(I379/Materiales!$G$57,0)*Materiales!$G$57))</f>
        <v/>
      </c>
      <c r="J380" s="65">
        <f>IF(J379&lt;=0,0,IF(Materiales!$G$57&lt;=0,J379,ROUNDUP(J379/Materiales!$G$57,0)*Materiales!$G$57))</f>
        <v/>
      </c>
      <c r="K380" s="65">
        <f>IF(K379&lt;=0,0,IF(Materiales!$G$57&lt;=0,K379,ROUNDUP(K379/Materiales!$G$57,0)*Materiales!$G$57))</f>
        <v/>
      </c>
      <c r="L380" s="65">
        <f>IF(L379&lt;=0,0,IF(Materiales!$G$57&lt;=0,L379,ROUNDUP(L379/Materiales!$G$57,0)*Materiales!$G$57))</f>
        <v/>
      </c>
      <c r="M380" s="66" t="n"/>
    </row>
    <row r="381">
      <c r="C381" s="70" t="inlineStr">
        <is>
          <t>LANZAMIENTO DE ORDEN — pedir esta semana</t>
        </is>
      </c>
      <c r="D381" s="64" t="n"/>
      <c r="E381" s="71">
        <f>IF(1+Materiales!$F$57&gt;8,0,INDEX($E$380:$L$380,1,1+Materiales!$F$57))</f>
        <v/>
      </c>
      <c r="F381" s="71">
        <f>IF(2+Materiales!$F$57&gt;8,0,INDEX($E$380:$L$380,1,2+Materiales!$F$57))</f>
        <v/>
      </c>
      <c r="G381" s="71">
        <f>IF(3+Materiales!$F$57&gt;8,0,INDEX($E$380:$L$380,1,3+Materiales!$F$57))</f>
        <v/>
      </c>
      <c r="H381" s="71">
        <f>IF(4+Materiales!$F$57&gt;8,0,INDEX($E$380:$L$380,1,4+Materiales!$F$57))</f>
        <v/>
      </c>
      <c r="I381" s="71">
        <f>IF(5+Materiales!$F$57&gt;8,0,INDEX($E$380:$L$380,1,5+Materiales!$F$57))</f>
        <v/>
      </c>
      <c r="J381" s="71">
        <f>IF(6+Materiales!$F$57&gt;8,0,INDEX($E$380:$L$380,1,6+Materiales!$F$57))</f>
        <v/>
      </c>
      <c r="K381" s="71">
        <f>IF(7+Materiales!$F$57&gt;8,0,INDEX($E$380:$L$380,1,7+Materiales!$F$57))</f>
        <v/>
      </c>
      <c r="L381" s="71">
        <f>IF(8+Materiales!$F$57&gt;8,0,INDEX($E$380:$L$380,1,8+Materiales!$F$57))</f>
        <v/>
      </c>
      <c r="M381" s="72">
        <f>IF($A376="","",IF(SUMPRODUCT((COLUMN($E$380:$L$380)-4&lt;=Materiales!$F$57)*$E$380:$L$380)&gt;0,"PEDIR YA (atrasado)","OK"))</f>
        <v/>
      </c>
    </row>
    <row r="382" ht="6" customHeight="1"/>
    <row r="383">
      <c r="A383" s="62">
        <f>IF(Materiales!$A$58="","",Materiales!$A$58)</f>
        <v/>
      </c>
      <c r="B383" s="62">
        <f>IF(Materiales!$B$58="","",Materiales!$B$58)</f>
        <v/>
      </c>
      <c r="C383" s="63" t="inlineStr">
        <is>
          <t>Necesidad bruta</t>
        </is>
      </c>
      <c r="D383" s="64" t="n"/>
      <c r="E383" s="65">
        <f>ROUND(SUMIF(Consumo!$P$4:$P$189,"#"&amp;$A383,Consumo!H$4:H$189),4)</f>
        <v/>
      </c>
      <c r="F383" s="65">
        <f>ROUND(SUMIF(Consumo!$P$4:$P$189,"#"&amp;$A383,Consumo!I$4:I$189),4)</f>
        <v/>
      </c>
      <c r="G383" s="65">
        <f>ROUND(SUMIF(Consumo!$P$4:$P$189,"#"&amp;$A383,Consumo!J$4:J$189),4)</f>
        <v/>
      </c>
      <c r="H383" s="65">
        <f>ROUND(SUMIF(Consumo!$P$4:$P$189,"#"&amp;$A383,Consumo!K$4:K$189),4)</f>
        <v/>
      </c>
      <c r="I383" s="65">
        <f>ROUND(SUMIF(Consumo!$P$4:$P$189,"#"&amp;$A383,Consumo!L$4:L$189),4)</f>
        <v/>
      </c>
      <c r="J383" s="65">
        <f>ROUND(SUMIF(Consumo!$P$4:$P$189,"#"&amp;$A383,Consumo!M$4:M$189),4)</f>
        <v/>
      </c>
      <c r="K383" s="65">
        <f>ROUND(SUMIF(Consumo!$P$4:$P$189,"#"&amp;$A383,Consumo!N$4:N$189),4)</f>
        <v/>
      </c>
      <c r="L383" s="65">
        <f>ROUND(SUMIF(Consumo!$P$4:$P$189,"#"&amp;$A383,Consumo!O$4:O$189),4)</f>
        <v/>
      </c>
      <c r="M383" s="66" t="n"/>
    </row>
    <row r="384">
      <c r="C384" s="63" t="inlineStr">
        <is>
          <t>Recepciones programadas (ya pedido)</t>
        </is>
      </c>
      <c r="D384" s="64" t="n"/>
      <c r="E384" s="65">
        <f>SUMIF(Inventario!$M$5:$M$505,"#"&amp;$A383,Inventario!E$5:E$505)</f>
        <v/>
      </c>
      <c r="F384" s="65">
        <f>SUMIF(Inventario!$M$5:$M$505,"#"&amp;$A383,Inventario!F$5:F$505)</f>
        <v/>
      </c>
      <c r="G384" s="65">
        <f>SUMIF(Inventario!$M$5:$M$505,"#"&amp;$A383,Inventario!G$5:G$505)</f>
        <v/>
      </c>
      <c r="H384" s="65">
        <f>SUMIF(Inventario!$M$5:$M$505,"#"&amp;$A383,Inventario!H$5:H$505)</f>
        <v/>
      </c>
      <c r="I384" s="65">
        <f>SUMIF(Inventario!$M$5:$M$505,"#"&amp;$A383,Inventario!I$5:I$505)</f>
        <v/>
      </c>
      <c r="J384" s="65">
        <f>SUMIF(Inventario!$M$5:$M$505,"#"&amp;$A383,Inventario!J$5:J$505)</f>
        <v/>
      </c>
      <c r="K384" s="65">
        <f>SUMIF(Inventario!$M$5:$M$505,"#"&amp;$A383,Inventario!K$5:K$505)</f>
        <v/>
      </c>
      <c r="L384" s="65">
        <f>SUMIF(Inventario!$M$5:$M$505,"#"&amp;$A383,Inventario!L$5:L$505)</f>
        <v/>
      </c>
      <c r="M384" s="66" t="n"/>
    </row>
    <row r="385">
      <c r="C385" s="63" t="inlineStr">
        <is>
          <t>Stock proyectado disponible</t>
        </is>
      </c>
      <c r="D385" s="67">
        <f>SUMIF(Inventario!$M$5:$M$505,"#"&amp;$A383,Inventario!$C$5:$C$505)</f>
        <v/>
      </c>
      <c r="E385" s="68">
        <f>D385+E384+E387-E383</f>
        <v/>
      </c>
      <c r="F385" s="68">
        <f>E385+F384+F387-F383</f>
        <v/>
      </c>
      <c r="G385" s="68">
        <f>F385+G384+G387-G383</f>
        <v/>
      </c>
      <c r="H385" s="68">
        <f>G385+H384+H387-H383</f>
        <v/>
      </c>
      <c r="I385" s="68">
        <f>H385+I384+I387-I383</f>
        <v/>
      </c>
      <c r="J385" s="68">
        <f>I385+J384+J387-J383</f>
        <v/>
      </c>
      <c r="K385" s="68">
        <f>J385+K384+K387-K383</f>
        <v/>
      </c>
      <c r="L385" s="68">
        <f>K385+L384+L387-L383</f>
        <v/>
      </c>
      <c r="M385" s="66" t="n"/>
    </row>
    <row r="386">
      <c r="C386" s="63" t="inlineStr">
        <is>
          <t>Necesidad neta</t>
        </is>
      </c>
      <c r="D386" s="64" t="n"/>
      <c r="E386" s="69">
        <f>MAX(0,ROUND(E383+Materiales!$H$58-D385-E384,4))</f>
        <v/>
      </c>
      <c r="F386" s="69">
        <f>MAX(0,ROUND(F383+Materiales!$H$58-E385-F384,4))</f>
        <v/>
      </c>
      <c r="G386" s="69">
        <f>MAX(0,ROUND(G383+Materiales!$H$58-F385-G384,4))</f>
        <v/>
      </c>
      <c r="H386" s="69">
        <f>MAX(0,ROUND(H383+Materiales!$H$58-G385-H384,4))</f>
        <v/>
      </c>
      <c r="I386" s="69">
        <f>MAX(0,ROUND(I383+Materiales!$H$58-H385-I384,4))</f>
        <v/>
      </c>
      <c r="J386" s="69">
        <f>MAX(0,ROUND(J383+Materiales!$H$58-I385-J384,4))</f>
        <v/>
      </c>
      <c r="K386" s="69">
        <f>MAX(0,ROUND(K383+Materiales!$H$58-J385-K384,4))</f>
        <v/>
      </c>
      <c r="L386" s="69">
        <f>MAX(0,ROUND(L383+Materiales!$H$58-K385-L384,4))</f>
        <v/>
      </c>
      <c r="M386" s="66" t="n"/>
    </row>
    <row r="387">
      <c r="C387" s="63" t="inlineStr">
        <is>
          <t>Recepcion de orden planificada</t>
        </is>
      </c>
      <c r="D387" s="64" t="n"/>
      <c r="E387" s="65">
        <f>IF(E386&lt;=0,0,IF(Materiales!$G$58&lt;=0,E386,ROUNDUP(E386/Materiales!$G$58,0)*Materiales!$G$58))</f>
        <v/>
      </c>
      <c r="F387" s="65">
        <f>IF(F386&lt;=0,0,IF(Materiales!$G$58&lt;=0,F386,ROUNDUP(F386/Materiales!$G$58,0)*Materiales!$G$58))</f>
        <v/>
      </c>
      <c r="G387" s="65">
        <f>IF(G386&lt;=0,0,IF(Materiales!$G$58&lt;=0,G386,ROUNDUP(G386/Materiales!$G$58,0)*Materiales!$G$58))</f>
        <v/>
      </c>
      <c r="H387" s="65">
        <f>IF(H386&lt;=0,0,IF(Materiales!$G$58&lt;=0,H386,ROUNDUP(H386/Materiales!$G$58,0)*Materiales!$G$58))</f>
        <v/>
      </c>
      <c r="I387" s="65">
        <f>IF(I386&lt;=0,0,IF(Materiales!$G$58&lt;=0,I386,ROUNDUP(I386/Materiales!$G$58,0)*Materiales!$G$58))</f>
        <v/>
      </c>
      <c r="J387" s="65">
        <f>IF(J386&lt;=0,0,IF(Materiales!$G$58&lt;=0,J386,ROUNDUP(J386/Materiales!$G$58,0)*Materiales!$G$58))</f>
        <v/>
      </c>
      <c r="K387" s="65">
        <f>IF(K386&lt;=0,0,IF(Materiales!$G$58&lt;=0,K386,ROUNDUP(K386/Materiales!$G$58,0)*Materiales!$G$58))</f>
        <v/>
      </c>
      <c r="L387" s="65">
        <f>IF(L386&lt;=0,0,IF(Materiales!$G$58&lt;=0,L386,ROUNDUP(L386/Materiales!$G$58,0)*Materiales!$G$58))</f>
        <v/>
      </c>
      <c r="M387" s="66" t="n"/>
    </row>
    <row r="388">
      <c r="C388" s="70" t="inlineStr">
        <is>
          <t>LANZAMIENTO DE ORDEN — pedir esta semana</t>
        </is>
      </c>
      <c r="D388" s="64" t="n"/>
      <c r="E388" s="71">
        <f>IF(1+Materiales!$F$58&gt;8,0,INDEX($E$387:$L$387,1,1+Materiales!$F$58))</f>
        <v/>
      </c>
      <c r="F388" s="71">
        <f>IF(2+Materiales!$F$58&gt;8,0,INDEX($E$387:$L$387,1,2+Materiales!$F$58))</f>
        <v/>
      </c>
      <c r="G388" s="71">
        <f>IF(3+Materiales!$F$58&gt;8,0,INDEX($E$387:$L$387,1,3+Materiales!$F$58))</f>
        <v/>
      </c>
      <c r="H388" s="71">
        <f>IF(4+Materiales!$F$58&gt;8,0,INDEX($E$387:$L$387,1,4+Materiales!$F$58))</f>
        <v/>
      </c>
      <c r="I388" s="71">
        <f>IF(5+Materiales!$F$58&gt;8,0,INDEX($E$387:$L$387,1,5+Materiales!$F$58))</f>
        <v/>
      </c>
      <c r="J388" s="71">
        <f>IF(6+Materiales!$F$58&gt;8,0,INDEX($E$387:$L$387,1,6+Materiales!$F$58))</f>
        <v/>
      </c>
      <c r="K388" s="71">
        <f>IF(7+Materiales!$F$58&gt;8,0,INDEX($E$387:$L$387,1,7+Materiales!$F$58))</f>
        <v/>
      </c>
      <c r="L388" s="71">
        <f>IF(8+Materiales!$F$58&gt;8,0,INDEX($E$387:$L$387,1,8+Materiales!$F$58))</f>
        <v/>
      </c>
      <c r="M388" s="72">
        <f>IF($A383="","",IF(SUMPRODUCT((COLUMN($E$387:$L$387)-4&lt;=Materiales!$F$58)*$E$387:$L$387)&gt;0,"PEDIR YA (atrasado)","OK"))</f>
        <v/>
      </c>
    </row>
    <row r="389" ht="6" customHeight="1"/>
    <row r="390">
      <c r="A390" s="62">
        <f>IF(Materiales!$A$59="","",Materiales!$A$59)</f>
        <v/>
      </c>
      <c r="B390" s="62">
        <f>IF(Materiales!$B$59="","",Materiales!$B$59)</f>
        <v/>
      </c>
      <c r="C390" s="63" t="inlineStr">
        <is>
          <t>Necesidad bruta</t>
        </is>
      </c>
      <c r="D390" s="64" t="n"/>
      <c r="E390" s="65">
        <f>ROUND(SUMIF(Consumo!$P$4:$P$189,"#"&amp;$A390,Consumo!H$4:H$189),4)</f>
        <v/>
      </c>
      <c r="F390" s="65">
        <f>ROUND(SUMIF(Consumo!$P$4:$P$189,"#"&amp;$A390,Consumo!I$4:I$189),4)</f>
        <v/>
      </c>
      <c r="G390" s="65">
        <f>ROUND(SUMIF(Consumo!$P$4:$P$189,"#"&amp;$A390,Consumo!J$4:J$189),4)</f>
        <v/>
      </c>
      <c r="H390" s="65">
        <f>ROUND(SUMIF(Consumo!$P$4:$P$189,"#"&amp;$A390,Consumo!K$4:K$189),4)</f>
        <v/>
      </c>
      <c r="I390" s="65">
        <f>ROUND(SUMIF(Consumo!$P$4:$P$189,"#"&amp;$A390,Consumo!L$4:L$189),4)</f>
        <v/>
      </c>
      <c r="J390" s="65">
        <f>ROUND(SUMIF(Consumo!$P$4:$P$189,"#"&amp;$A390,Consumo!M$4:M$189),4)</f>
        <v/>
      </c>
      <c r="K390" s="65">
        <f>ROUND(SUMIF(Consumo!$P$4:$P$189,"#"&amp;$A390,Consumo!N$4:N$189),4)</f>
        <v/>
      </c>
      <c r="L390" s="65">
        <f>ROUND(SUMIF(Consumo!$P$4:$P$189,"#"&amp;$A390,Consumo!O$4:O$189),4)</f>
        <v/>
      </c>
      <c r="M390" s="66" t="n"/>
    </row>
    <row r="391">
      <c r="C391" s="63" t="inlineStr">
        <is>
          <t>Recepciones programadas (ya pedido)</t>
        </is>
      </c>
      <c r="D391" s="64" t="n"/>
      <c r="E391" s="65">
        <f>SUMIF(Inventario!$M$5:$M$505,"#"&amp;$A390,Inventario!E$5:E$505)</f>
        <v/>
      </c>
      <c r="F391" s="65">
        <f>SUMIF(Inventario!$M$5:$M$505,"#"&amp;$A390,Inventario!F$5:F$505)</f>
        <v/>
      </c>
      <c r="G391" s="65">
        <f>SUMIF(Inventario!$M$5:$M$505,"#"&amp;$A390,Inventario!G$5:G$505)</f>
        <v/>
      </c>
      <c r="H391" s="65">
        <f>SUMIF(Inventario!$M$5:$M$505,"#"&amp;$A390,Inventario!H$5:H$505)</f>
        <v/>
      </c>
      <c r="I391" s="65">
        <f>SUMIF(Inventario!$M$5:$M$505,"#"&amp;$A390,Inventario!I$5:I$505)</f>
        <v/>
      </c>
      <c r="J391" s="65">
        <f>SUMIF(Inventario!$M$5:$M$505,"#"&amp;$A390,Inventario!J$5:J$505)</f>
        <v/>
      </c>
      <c r="K391" s="65">
        <f>SUMIF(Inventario!$M$5:$M$505,"#"&amp;$A390,Inventario!K$5:K$505)</f>
        <v/>
      </c>
      <c r="L391" s="65">
        <f>SUMIF(Inventario!$M$5:$M$505,"#"&amp;$A390,Inventario!L$5:L$505)</f>
        <v/>
      </c>
      <c r="M391" s="66" t="n"/>
    </row>
    <row r="392">
      <c r="C392" s="63" t="inlineStr">
        <is>
          <t>Stock proyectado disponible</t>
        </is>
      </c>
      <c r="D392" s="67">
        <f>SUMIF(Inventario!$M$5:$M$505,"#"&amp;$A390,Inventario!$C$5:$C$505)</f>
        <v/>
      </c>
      <c r="E392" s="68">
        <f>D392+E391+E394-E390</f>
        <v/>
      </c>
      <c r="F392" s="68">
        <f>E392+F391+F394-F390</f>
        <v/>
      </c>
      <c r="G392" s="68">
        <f>F392+G391+G394-G390</f>
        <v/>
      </c>
      <c r="H392" s="68">
        <f>G392+H391+H394-H390</f>
        <v/>
      </c>
      <c r="I392" s="68">
        <f>H392+I391+I394-I390</f>
        <v/>
      </c>
      <c r="J392" s="68">
        <f>I392+J391+J394-J390</f>
        <v/>
      </c>
      <c r="K392" s="68">
        <f>J392+K391+K394-K390</f>
        <v/>
      </c>
      <c r="L392" s="68">
        <f>K392+L391+L394-L390</f>
        <v/>
      </c>
      <c r="M392" s="66" t="n"/>
    </row>
    <row r="393">
      <c r="C393" s="63" t="inlineStr">
        <is>
          <t>Necesidad neta</t>
        </is>
      </c>
      <c r="D393" s="64" t="n"/>
      <c r="E393" s="69">
        <f>MAX(0,ROUND(E390+Materiales!$H$59-D392-E391,4))</f>
        <v/>
      </c>
      <c r="F393" s="69">
        <f>MAX(0,ROUND(F390+Materiales!$H$59-E392-F391,4))</f>
        <v/>
      </c>
      <c r="G393" s="69">
        <f>MAX(0,ROUND(G390+Materiales!$H$59-F392-G391,4))</f>
        <v/>
      </c>
      <c r="H393" s="69">
        <f>MAX(0,ROUND(H390+Materiales!$H$59-G392-H391,4))</f>
        <v/>
      </c>
      <c r="I393" s="69">
        <f>MAX(0,ROUND(I390+Materiales!$H$59-H392-I391,4))</f>
        <v/>
      </c>
      <c r="J393" s="69">
        <f>MAX(0,ROUND(J390+Materiales!$H$59-I392-J391,4))</f>
        <v/>
      </c>
      <c r="K393" s="69">
        <f>MAX(0,ROUND(K390+Materiales!$H$59-J392-K391,4))</f>
        <v/>
      </c>
      <c r="L393" s="69">
        <f>MAX(0,ROUND(L390+Materiales!$H$59-K392-L391,4))</f>
        <v/>
      </c>
      <c r="M393" s="66" t="n"/>
    </row>
    <row r="394">
      <c r="C394" s="63" t="inlineStr">
        <is>
          <t>Recepcion de orden planificada</t>
        </is>
      </c>
      <c r="D394" s="64" t="n"/>
      <c r="E394" s="65">
        <f>IF(E393&lt;=0,0,IF(Materiales!$G$59&lt;=0,E393,ROUNDUP(E393/Materiales!$G$59,0)*Materiales!$G$59))</f>
        <v/>
      </c>
      <c r="F394" s="65">
        <f>IF(F393&lt;=0,0,IF(Materiales!$G$59&lt;=0,F393,ROUNDUP(F393/Materiales!$G$59,0)*Materiales!$G$59))</f>
        <v/>
      </c>
      <c r="G394" s="65">
        <f>IF(G393&lt;=0,0,IF(Materiales!$G$59&lt;=0,G393,ROUNDUP(G393/Materiales!$G$59,0)*Materiales!$G$59))</f>
        <v/>
      </c>
      <c r="H394" s="65">
        <f>IF(H393&lt;=0,0,IF(Materiales!$G$59&lt;=0,H393,ROUNDUP(H393/Materiales!$G$59,0)*Materiales!$G$59))</f>
        <v/>
      </c>
      <c r="I394" s="65">
        <f>IF(I393&lt;=0,0,IF(Materiales!$G$59&lt;=0,I393,ROUNDUP(I393/Materiales!$G$59,0)*Materiales!$G$59))</f>
        <v/>
      </c>
      <c r="J394" s="65">
        <f>IF(J393&lt;=0,0,IF(Materiales!$G$59&lt;=0,J393,ROUNDUP(J393/Materiales!$G$59,0)*Materiales!$G$59))</f>
        <v/>
      </c>
      <c r="K394" s="65">
        <f>IF(K393&lt;=0,0,IF(Materiales!$G$59&lt;=0,K393,ROUNDUP(K393/Materiales!$G$59,0)*Materiales!$G$59))</f>
        <v/>
      </c>
      <c r="L394" s="65">
        <f>IF(L393&lt;=0,0,IF(Materiales!$G$59&lt;=0,L393,ROUNDUP(L393/Materiales!$G$59,0)*Materiales!$G$59))</f>
        <v/>
      </c>
      <c r="M394" s="66" t="n"/>
    </row>
    <row r="395">
      <c r="C395" s="70" t="inlineStr">
        <is>
          <t>LANZAMIENTO DE ORDEN — pedir esta semana</t>
        </is>
      </c>
      <c r="D395" s="64" t="n"/>
      <c r="E395" s="71">
        <f>IF(1+Materiales!$F$59&gt;8,0,INDEX($E$394:$L$394,1,1+Materiales!$F$59))</f>
        <v/>
      </c>
      <c r="F395" s="71">
        <f>IF(2+Materiales!$F$59&gt;8,0,INDEX($E$394:$L$394,1,2+Materiales!$F$59))</f>
        <v/>
      </c>
      <c r="G395" s="71">
        <f>IF(3+Materiales!$F$59&gt;8,0,INDEX($E$394:$L$394,1,3+Materiales!$F$59))</f>
        <v/>
      </c>
      <c r="H395" s="71">
        <f>IF(4+Materiales!$F$59&gt;8,0,INDEX($E$394:$L$394,1,4+Materiales!$F$59))</f>
        <v/>
      </c>
      <c r="I395" s="71">
        <f>IF(5+Materiales!$F$59&gt;8,0,INDEX($E$394:$L$394,1,5+Materiales!$F$59))</f>
        <v/>
      </c>
      <c r="J395" s="71">
        <f>IF(6+Materiales!$F$59&gt;8,0,INDEX($E$394:$L$394,1,6+Materiales!$F$59))</f>
        <v/>
      </c>
      <c r="K395" s="71">
        <f>IF(7+Materiales!$F$59&gt;8,0,INDEX($E$394:$L$394,1,7+Materiales!$F$59))</f>
        <v/>
      </c>
      <c r="L395" s="71">
        <f>IF(8+Materiales!$F$59&gt;8,0,INDEX($E$394:$L$394,1,8+Materiales!$F$59))</f>
        <v/>
      </c>
      <c r="M395" s="72">
        <f>IF($A390="","",IF(SUMPRODUCT((COLUMN($E$394:$L$394)-4&lt;=Materiales!$F$59)*$E$394:$L$394)&gt;0,"PEDIR YA (atrasado)","OK"))</f>
        <v/>
      </c>
    </row>
    <row r="396" ht="6" customHeight="1"/>
    <row r="397">
      <c r="A397" s="62">
        <f>IF(Materiales!$A$60="","",Materiales!$A$60)</f>
        <v/>
      </c>
      <c r="B397" s="62">
        <f>IF(Materiales!$B$60="","",Materiales!$B$60)</f>
        <v/>
      </c>
      <c r="C397" s="63" t="inlineStr">
        <is>
          <t>Necesidad bruta</t>
        </is>
      </c>
      <c r="D397" s="64" t="n"/>
      <c r="E397" s="65">
        <f>ROUND(SUMIF(Consumo!$P$4:$P$189,"#"&amp;$A397,Consumo!H$4:H$189),4)</f>
        <v/>
      </c>
      <c r="F397" s="65">
        <f>ROUND(SUMIF(Consumo!$P$4:$P$189,"#"&amp;$A397,Consumo!I$4:I$189),4)</f>
        <v/>
      </c>
      <c r="G397" s="65">
        <f>ROUND(SUMIF(Consumo!$P$4:$P$189,"#"&amp;$A397,Consumo!J$4:J$189),4)</f>
        <v/>
      </c>
      <c r="H397" s="65">
        <f>ROUND(SUMIF(Consumo!$P$4:$P$189,"#"&amp;$A397,Consumo!K$4:K$189),4)</f>
        <v/>
      </c>
      <c r="I397" s="65">
        <f>ROUND(SUMIF(Consumo!$P$4:$P$189,"#"&amp;$A397,Consumo!L$4:L$189),4)</f>
        <v/>
      </c>
      <c r="J397" s="65">
        <f>ROUND(SUMIF(Consumo!$P$4:$P$189,"#"&amp;$A397,Consumo!M$4:M$189),4)</f>
        <v/>
      </c>
      <c r="K397" s="65">
        <f>ROUND(SUMIF(Consumo!$P$4:$P$189,"#"&amp;$A397,Consumo!N$4:N$189),4)</f>
        <v/>
      </c>
      <c r="L397" s="65">
        <f>ROUND(SUMIF(Consumo!$P$4:$P$189,"#"&amp;$A397,Consumo!O$4:O$189),4)</f>
        <v/>
      </c>
      <c r="M397" s="66" t="n"/>
    </row>
    <row r="398">
      <c r="C398" s="63" t="inlineStr">
        <is>
          <t>Recepciones programadas (ya pedido)</t>
        </is>
      </c>
      <c r="D398" s="64" t="n"/>
      <c r="E398" s="65">
        <f>SUMIF(Inventario!$M$5:$M$505,"#"&amp;$A397,Inventario!E$5:E$505)</f>
        <v/>
      </c>
      <c r="F398" s="65">
        <f>SUMIF(Inventario!$M$5:$M$505,"#"&amp;$A397,Inventario!F$5:F$505)</f>
        <v/>
      </c>
      <c r="G398" s="65">
        <f>SUMIF(Inventario!$M$5:$M$505,"#"&amp;$A397,Inventario!G$5:G$505)</f>
        <v/>
      </c>
      <c r="H398" s="65">
        <f>SUMIF(Inventario!$M$5:$M$505,"#"&amp;$A397,Inventario!H$5:H$505)</f>
        <v/>
      </c>
      <c r="I398" s="65">
        <f>SUMIF(Inventario!$M$5:$M$505,"#"&amp;$A397,Inventario!I$5:I$505)</f>
        <v/>
      </c>
      <c r="J398" s="65">
        <f>SUMIF(Inventario!$M$5:$M$505,"#"&amp;$A397,Inventario!J$5:J$505)</f>
        <v/>
      </c>
      <c r="K398" s="65">
        <f>SUMIF(Inventario!$M$5:$M$505,"#"&amp;$A397,Inventario!K$5:K$505)</f>
        <v/>
      </c>
      <c r="L398" s="65">
        <f>SUMIF(Inventario!$M$5:$M$505,"#"&amp;$A397,Inventario!L$5:L$505)</f>
        <v/>
      </c>
      <c r="M398" s="66" t="n"/>
    </row>
    <row r="399">
      <c r="C399" s="63" t="inlineStr">
        <is>
          <t>Stock proyectado disponible</t>
        </is>
      </c>
      <c r="D399" s="67">
        <f>SUMIF(Inventario!$M$5:$M$505,"#"&amp;$A397,Inventario!$C$5:$C$505)</f>
        <v/>
      </c>
      <c r="E399" s="68">
        <f>D399+E398+E401-E397</f>
        <v/>
      </c>
      <c r="F399" s="68">
        <f>E399+F398+F401-F397</f>
        <v/>
      </c>
      <c r="G399" s="68">
        <f>F399+G398+G401-G397</f>
        <v/>
      </c>
      <c r="H399" s="68">
        <f>G399+H398+H401-H397</f>
        <v/>
      </c>
      <c r="I399" s="68">
        <f>H399+I398+I401-I397</f>
        <v/>
      </c>
      <c r="J399" s="68">
        <f>I399+J398+J401-J397</f>
        <v/>
      </c>
      <c r="K399" s="68">
        <f>J399+K398+K401-K397</f>
        <v/>
      </c>
      <c r="L399" s="68">
        <f>K399+L398+L401-L397</f>
        <v/>
      </c>
      <c r="M399" s="66" t="n"/>
    </row>
    <row r="400">
      <c r="C400" s="63" t="inlineStr">
        <is>
          <t>Necesidad neta</t>
        </is>
      </c>
      <c r="D400" s="64" t="n"/>
      <c r="E400" s="69">
        <f>MAX(0,ROUND(E397+Materiales!$H$60-D399-E398,4))</f>
        <v/>
      </c>
      <c r="F400" s="69">
        <f>MAX(0,ROUND(F397+Materiales!$H$60-E399-F398,4))</f>
        <v/>
      </c>
      <c r="G400" s="69">
        <f>MAX(0,ROUND(G397+Materiales!$H$60-F399-G398,4))</f>
        <v/>
      </c>
      <c r="H400" s="69">
        <f>MAX(0,ROUND(H397+Materiales!$H$60-G399-H398,4))</f>
        <v/>
      </c>
      <c r="I400" s="69">
        <f>MAX(0,ROUND(I397+Materiales!$H$60-H399-I398,4))</f>
        <v/>
      </c>
      <c r="J400" s="69">
        <f>MAX(0,ROUND(J397+Materiales!$H$60-I399-J398,4))</f>
        <v/>
      </c>
      <c r="K400" s="69">
        <f>MAX(0,ROUND(K397+Materiales!$H$60-J399-K398,4))</f>
        <v/>
      </c>
      <c r="L400" s="69">
        <f>MAX(0,ROUND(L397+Materiales!$H$60-K399-L398,4))</f>
        <v/>
      </c>
      <c r="M400" s="66" t="n"/>
    </row>
    <row r="401">
      <c r="C401" s="63" t="inlineStr">
        <is>
          <t>Recepcion de orden planificada</t>
        </is>
      </c>
      <c r="D401" s="64" t="n"/>
      <c r="E401" s="65">
        <f>IF(E400&lt;=0,0,IF(Materiales!$G$60&lt;=0,E400,ROUNDUP(E400/Materiales!$G$60,0)*Materiales!$G$60))</f>
        <v/>
      </c>
      <c r="F401" s="65">
        <f>IF(F400&lt;=0,0,IF(Materiales!$G$60&lt;=0,F400,ROUNDUP(F400/Materiales!$G$60,0)*Materiales!$G$60))</f>
        <v/>
      </c>
      <c r="G401" s="65">
        <f>IF(G400&lt;=0,0,IF(Materiales!$G$60&lt;=0,G400,ROUNDUP(G400/Materiales!$G$60,0)*Materiales!$G$60))</f>
        <v/>
      </c>
      <c r="H401" s="65">
        <f>IF(H400&lt;=0,0,IF(Materiales!$G$60&lt;=0,H400,ROUNDUP(H400/Materiales!$G$60,0)*Materiales!$G$60))</f>
        <v/>
      </c>
      <c r="I401" s="65">
        <f>IF(I400&lt;=0,0,IF(Materiales!$G$60&lt;=0,I400,ROUNDUP(I400/Materiales!$G$60,0)*Materiales!$G$60))</f>
        <v/>
      </c>
      <c r="J401" s="65">
        <f>IF(J400&lt;=0,0,IF(Materiales!$G$60&lt;=0,J400,ROUNDUP(J400/Materiales!$G$60,0)*Materiales!$G$60))</f>
        <v/>
      </c>
      <c r="K401" s="65">
        <f>IF(K400&lt;=0,0,IF(Materiales!$G$60&lt;=0,K400,ROUNDUP(K400/Materiales!$G$60,0)*Materiales!$G$60))</f>
        <v/>
      </c>
      <c r="L401" s="65">
        <f>IF(L400&lt;=0,0,IF(Materiales!$G$60&lt;=0,L400,ROUNDUP(L400/Materiales!$G$60,0)*Materiales!$G$60))</f>
        <v/>
      </c>
      <c r="M401" s="66" t="n"/>
    </row>
    <row r="402">
      <c r="C402" s="70" t="inlineStr">
        <is>
          <t>LANZAMIENTO DE ORDEN — pedir esta semana</t>
        </is>
      </c>
      <c r="D402" s="64" t="n"/>
      <c r="E402" s="71">
        <f>IF(1+Materiales!$F$60&gt;8,0,INDEX($E$401:$L$401,1,1+Materiales!$F$60))</f>
        <v/>
      </c>
      <c r="F402" s="71">
        <f>IF(2+Materiales!$F$60&gt;8,0,INDEX($E$401:$L$401,1,2+Materiales!$F$60))</f>
        <v/>
      </c>
      <c r="G402" s="71">
        <f>IF(3+Materiales!$F$60&gt;8,0,INDEX($E$401:$L$401,1,3+Materiales!$F$60))</f>
        <v/>
      </c>
      <c r="H402" s="71">
        <f>IF(4+Materiales!$F$60&gt;8,0,INDEX($E$401:$L$401,1,4+Materiales!$F$60))</f>
        <v/>
      </c>
      <c r="I402" s="71">
        <f>IF(5+Materiales!$F$60&gt;8,0,INDEX($E$401:$L$401,1,5+Materiales!$F$60))</f>
        <v/>
      </c>
      <c r="J402" s="71">
        <f>IF(6+Materiales!$F$60&gt;8,0,INDEX($E$401:$L$401,1,6+Materiales!$F$60))</f>
        <v/>
      </c>
      <c r="K402" s="71">
        <f>IF(7+Materiales!$F$60&gt;8,0,INDEX($E$401:$L$401,1,7+Materiales!$F$60))</f>
        <v/>
      </c>
      <c r="L402" s="71">
        <f>IF(8+Materiales!$F$60&gt;8,0,INDEX($E$401:$L$401,1,8+Materiales!$F$60))</f>
        <v/>
      </c>
      <c r="M402" s="72">
        <f>IF($A397="","",IF(SUMPRODUCT((COLUMN($E$401:$L$401)-4&lt;=Materiales!$F$60)*$E$401:$L$401)&gt;0,"PEDIR YA (atrasado)","OK"))</f>
        <v/>
      </c>
    </row>
    <row r="403" ht="6" customHeight="1"/>
    <row r="404">
      <c r="A404" s="62">
        <f>IF(Materiales!$A$61="","",Materiales!$A$61)</f>
        <v/>
      </c>
      <c r="B404" s="62">
        <f>IF(Materiales!$B$61="","",Materiales!$B$61)</f>
        <v/>
      </c>
      <c r="C404" s="63" t="inlineStr">
        <is>
          <t>Necesidad bruta</t>
        </is>
      </c>
      <c r="D404" s="64" t="n"/>
      <c r="E404" s="65">
        <f>ROUND(SUMIF(Consumo!$P$4:$P$189,"#"&amp;$A404,Consumo!H$4:H$189),4)</f>
        <v/>
      </c>
      <c r="F404" s="65">
        <f>ROUND(SUMIF(Consumo!$P$4:$P$189,"#"&amp;$A404,Consumo!I$4:I$189),4)</f>
        <v/>
      </c>
      <c r="G404" s="65">
        <f>ROUND(SUMIF(Consumo!$P$4:$P$189,"#"&amp;$A404,Consumo!J$4:J$189),4)</f>
        <v/>
      </c>
      <c r="H404" s="65">
        <f>ROUND(SUMIF(Consumo!$P$4:$P$189,"#"&amp;$A404,Consumo!K$4:K$189),4)</f>
        <v/>
      </c>
      <c r="I404" s="65">
        <f>ROUND(SUMIF(Consumo!$P$4:$P$189,"#"&amp;$A404,Consumo!L$4:L$189),4)</f>
        <v/>
      </c>
      <c r="J404" s="65">
        <f>ROUND(SUMIF(Consumo!$P$4:$P$189,"#"&amp;$A404,Consumo!M$4:M$189),4)</f>
        <v/>
      </c>
      <c r="K404" s="65">
        <f>ROUND(SUMIF(Consumo!$P$4:$P$189,"#"&amp;$A404,Consumo!N$4:N$189),4)</f>
        <v/>
      </c>
      <c r="L404" s="65">
        <f>ROUND(SUMIF(Consumo!$P$4:$P$189,"#"&amp;$A404,Consumo!O$4:O$189),4)</f>
        <v/>
      </c>
      <c r="M404" s="66" t="n"/>
    </row>
    <row r="405">
      <c r="C405" s="63" t="inlineStr">
        <is>
          <t>Recepciones programadas (ya pedido)</t>
        </is>
      </c>
      <c r="D405" s="64" t="n"/>
      <c r="E405" s="65">
        <f>SUMIF(Inventario!$M$5:$M$505,"#"&amp;$A404,Inventario!E$5:E$505)</f>
        <v/>
      </c>
      <c r="F405" s="65">
        <f>SUMIF(Inventario!$M$5:$M$505,"#"&amp;$A404,Inventario!F$5:F$505)</f>
        <v/>
      </c>
      <c r="G405" s="65">
        <f>SUMIF(Inventario!$M$5:$M$505,"#"&amp;$A404,Inventario!G$5:G$505)</f>
        <v/>
      </c>
      <c r="H405" s="65">
        <f>SUMIF(Inventario!$M$5:$M$505,"#"&amp;$A404,Inventario!H$5:H$505)</f>
        <v/>
      </c>
      <c r="I405" s="65">
        <f>SUMIF(Inventario!$M$5:$M$505,"#"&amp;$A404,Inventario!I$5:I$505)</f>
        <v/>
      </c>
      <c r="J405" s="65">
        <f>SUMIF(Inventario!$M$5:$M$505,"#"&amp;$A404,Inventario!J$5:J$505)</f>
        <v/>
      </c>
      <c r="K405" s="65">
        <f>SUMIF(Inventario!$M$5:$M$505,"#"&amp;$A404,Inventario!K$5:K$505)</f>
        <v/>
      </c>
      <c r="L405" s="65">
        <f>SUMIF(Inventario!$M$5:$M$505,"#"&amp;$A404,Inventario!L$5:L$505)</f>
        <v/>
      </c>
      <c r="M405" s="66" t="n"/>
    </row>
    <row r="406">
      <c r="C406" s="63" t="inlineStr">
        <is>
          <t>Stock proyectado disponible</t>
        </is>
      </c>
      <c r="D406" s="67">
        <f>SUMIF(Inventario!$M$5:$M$505,"#"&amp;$A404,Inventario!$C$5:$C$505)</f>
        <v/>
      </c>
      <c r="E406" s="68">
        <f>D406+E405+E408-E404</f>
        <v/>
      </c>
      <c r="F406" s="68">
        <f>E406+F405+F408-F404</f>
        <v/>
      </c>
      <c r="G406" s="68">
        <f>F406+G405+G408-G404</f>
        <v/>
      </c>
      <c r="H406" s="68">
        <f>G406+H405+H408-H404</f>
        <v/>
      </c>
      <c r="I406" s="68">
        <f>H406+I405+I408-I404</f>
        <v/>
      </c>
      <c r="J406" s="68">
        <f>I406+J405+J408-J404</f>
        <v/>
      </c>
      <c r="K406" s="68">
        <f>J406+K405+K408-K404</f>
        <v/>
      </c>
      <c r="L406" s="68">
        <f>K406+L405+L408-L404</f>
        <v/>
      </c>
      <c r="M406" s="66" t="n"/>
    </row>
    <row r="407">
      <c r="C407" s="63" t="inlineStr">
        <is>
          <t>Necesidad neta</t>
        </is>
      </c>
      <c r="D407" s="64" t="n"/>
      <c r="E407" s="69">
        <f>MAX(0,ROUND(E404+Materiales!$H$61-D406-E405,4))</f>
        <v/>
      </c>
      <c r="F407" s="69">
        <f>MAX(0,ROUND(F404+Materiales!$H$61-E406-F405,4))</f>
        <v/>
      </c>
      <c r="G407" s="69">
        <f>MAX(0,ROUND(G404+Materiales!$H$61-F406-G405,4))</f>
        <v/>
      </c>
      <c r="H407" s="69">
        <f>MAX(0,ROUND(H404+Materiales!$H$61-G406-H405,4))</f>
        <v/>
      </c>
      <c r="I407" s="69">
        <f>MAX(0,ROUND(I404+Materiales!$H$61-H406-I405,4))</f>
        <v/>
      </c>
      <c r="J407" s="69">
        <f>MAX(0,ROUND(J404+Materiales!$H$61-I406-J405,4))</f>
        <v/>
      </c>
      <c r="K407" s="69">
        <f>MAX(0,ROUND(K404+Materiales!$H$61-J406-K405,4))</f>
        <v/>
      </c>
      <c r="L407" s="69">
        <f>MAX(0,ROUND(L404+Materiales!$H$61-K406-L405,4))</f>
        <v/>
      </c>
      <c r="M407" s="66" t="n"/>
    </row>
    <row r="408">
      <c r="C408" s="63" t="inlineStr">
        <is>
          <t>Recepcion de orden planificada</t>
        </is>
      </c>
      <c r="D408" s="64" t="n"/>
      <c r="E408" s="65">
        <f>IF(E407&lt;=0,0,IF(Materiales!$G$61&lt;=0,E407,ROUNDUP(E407/Materiales!$G$61,0)*Materiales!$G$61))</f>
        <v/>
      </c>
      <c r="F408" s="65">
        <f>IF(F407&lt;=0,0,IF(Materiales!$G$61&lt;=0,F407,ROUNDUP(F407/Materiales!$G$61,0)*Materiales!$G$61))</f>
        <v/>
      </c>
      <c r="G408" s="65">
        <f>IF(G407&lt;=0,0,IF(Materiales!$G$61&lt;=0,G407,ROUNDUP(G407/Materiales!$G$61,0)*Materiales!$G$61))</f>
        <v/>
      </c>
      <c r="H408" s="65">
        <f>IF(H407&lt;=0,0,IF(Materiales!$G$61&lt;=0,H407,ROUNDUP(H407/Materiales!$G$61,0)*Materiales!$G$61))</f>
        <v/>
      </c>
      <c r="I408" s="65">
        <f>IF(I407&lt;=0,0,IF(Materiales!$G$61&lt;=0,I407,ROUNDUP(I407/Materiales!$G$61,0)*Materiales!$G$61))</f>
        <v/>
      </c>
      <c r="J408" s="65">
        <f>IF(J407&lt;=0,0,IF(Materiales!$G$61&lt;=0,J407,ROUNDUP(J407/Materiales!$G$61,0)*Materiales!$G$61))</f>
        <v/>
      </c>
      <c r="K408" s="65">
        <f>IF(K407&lt;=0,0,IF(Materiales!$G$61&lt;=0,K407,ROUNDUP(K407/Materiales!$G$61,0)*Materiales!$G$61))</f>
        <v/>
      </c>
      <c r="L408" s="65">
        <f>IF(L407&lt;=0,0,IF(Materiales!$G$61&lt;=0,L407,ROUNDUP(L407/Materiales!$G$61,0)*Materiales!$G$61))</f>
        <v/>
      </c>
      <c r="M408" s="66" t="n"/>
    </row>
    <row r="409">
      <c r="C409" s="70" t="inlineStr">
        <is>
          <t>LANZAMIENTO DE ORDEN — pedir esta semana</t>
        </is>
      </c>
      <c r="D409" s="64" t="n"/>
      <c r="E409" s="71">
        <f>IF(1+Materiales!$F$61&gt;8,0,INDEX($E$408:$L$408,1,1+Materiales!$F$61))</f>
        <v/>
      </c>
      <c r="F409" s="71">
        <f>IF(2+Materiales!$F$61&gt;8,0,INDEX($E$408:$L$408,1,2+Materiales!$F$61))</f>
        <v/>
      </c>
      <c r="G409" s="71">
        <f>IF(3+Materiales!$F$61&gt;8,0,INDEX($E$408:$L$408,1,3+Materiales!$F$61))</f>
        <v/>
      </c>
      <c r="H409" s="71">
        <f>IF(4+Materiales!$F$61&gt;8,0,INDEX($E$408:$L$408,1,4+Materiales!$F$61))</f>
        <v/>
      </c>
      <c r="I409" s="71">
        <f>IF(5+Materiales!$F$61&gt;8,0,INDEX($E$408:$L$408,1,5+Materiales!$F$61))</f>
        <v/>
      </c>
      <c r="J409" s="71">
        <f>IF(6+Materiales!$F$61&gt;8,0,INDEX($E$408:$L$408,1,6+Materiales!$F$61))</f>
        <v/>
      </c>
      <c r="K409" s="71">
        <f>IF(7+Materiales!$F$61&gt;8,0,INDEX($E$408:$L$408,1,7+Materiales!$F$61))</f>
        <v/>
      </c>
      <c r="L409" s="71">
        <f>IF(8+Materiales!$F$61&gt;8,0,INDEX($E$408:$L$408,1,8+Materiales!$F$61))</f>
        <v/>
      </c>
      <c r="M409" s="72">
        <f>IF($A404="","",IF(SUMPRODUCT((COLUMN($E$408:$L$408)-4&lt;=Materiales!$F$61)*$E$408:$L$408)&gt;0,"PEDIR YA (atrasado)","OK"))</f>
        <v/>
      </c>
    </row>
    <row r="410" ht="6" customHeight="1"/>
    <row r="411">
      <c r="A411" s="62">
        <f>IF(Materiales!$A$62="","",Materiales!$A$62)</f>
        <v/>
      </c>
      <c r="B411" s="62">
        <f>IF(Materiales!$B$62="","",Materiales!$B$62)</f>
        <v/>
      </c>
      <c r="C411" s="63" t="inlineStr">
        <is>
          <t>Necesidad bruta</t>
        </is>
      </c>
      <c r="D411" s="64" t="n"/>
      <c r="E411" s="65">
        <f>ROUND(SUMIF(Consumo!$P$4:$P$189,"#"&amp;$A411,Consumo!H$4:H$189),4)</f>
        <v/>
      </c>
      <c r="F411" s="65">
        <f>ROUND(SUMIF(Consumo!$P$4:$P$189,"#"&amp;$A411,Consumo!I$4:I$189),4)</f>
        <v/>
      </c>
      <c r="G411" s="65">
        <f>ROUND(SUMIF(Consumo!$P$4:$P$189,"#"&amp;$A411,Consumo!J$4:J$189),4)</f>
        <v/>
      </c>
      <c r="H411" s="65">
        <f>ROUND(SUMIF(Consumo!$P$4:$P$189,"#"&amp;$A411,Consumo!K$4:K$189),4)</f>
        <v/>
      </c>
      <c r="I411" s="65">
        <f>ROUND(SUMIF(Consumo!$P$4:$P$189,"#"&amp;$A411,Consumo!L$4:L$189),4)</f>
        <v/>
      </c>
      <c r="J411" s="65">
        <f>ROUND(SUMIF(Consumo!$P$4:$P$189,"#"&amp;$A411,Consumo!M$4:M$189),4)</f>
        <v/>
      </c>
      <c r="K411" s="65">
        <f>ROUND(SUMIF(Consumo!$P$4:$P$189,"#"&amp;$A411,Consumo!N$4:N$189),4)</f>
        <v/>
      </c>
      <c r="L411" s="65">
        <f>ROUND(SUMIF(Consumo!$P$4:$P$189,"#"&amp;$A411,Consumo!O$4:O$189),4)</f>
        <v/>
      </c>
      <c r="M411" s="66" t="n"/>
    </row>
    <row r="412">
      <c r="C412" s="63" t="inlineStr">
        <is>
          <t>Recepciones programadas (ya pedido)</t>
        </is>
      </c>
      <c r="D412" s="64" t="n"/>
      <c r="E412" s="65">
        <f>SUMIF(Inventario!$M$5:$M$505,"#"&amp;$A411,Inventario!E$5:E$505)</f>
        <v/>
      </c>
      <c r="F412" s="65">
        <f>SUMIF(Inventario!$M$5:$M$505,"#"&amp;$A411,Inventario!F$5:F$505)</f>
        <v/>
      </c>
      <c r="G412" s="65">
        <f>SUMIF(Inventario!$M$5:$M$505,"#"&amp;$A411,Inventario!G$5:G$505)</f>
        <v/>
      </c>
      <c r="H412" s="65">
        <f>SUMIF(Inventario!$M$5:$M$505,"#"&amp;$A411,Inventario!H$5:H$505)</f>
        <v/>
      </c>
      <c r="I412" s="65">
        <f>SUMIF(Inventario!$M$5:$M$505,"#"&amp;$A411,Inventario!I$5:I$505)</f>
        <v/>
      </c>
      <c r="J412" s="65">
        <f>SUMIF(Inventario!$M$5:$M$505,"#"&amp;$A411,Inventario!J$5:J$505)</f>
        <v/>
      </c>
      <c r="K412" s="65">
        <f>SUMIF(Inventario!$M$5:$M$505,"#"&amp;$A411,Inventario!K$5:K$505)</f>
        <v/>
      </c>
      <c r="L412" s="65">
        <f>SUMIF(Inventario!$M$5:$M$505,"#"&amp;$A411,Inventario!L$5:L$505)</f>
        <v/>
      </c>
      <c r="M412" s="66" t="n"/>
    </row>
    <row r="413">
      <c r="C413" s="63" t="inlineStr">
        <is>
          <t>Stock proyectado disponible</t>
        </is>
      </c>
      <c r="D413" s="67">
        <f>SUMIF(Inventario!$M$5:$M$505,"#"&amp;$A411,Inventario!$C$5:$C$505)</f>
        <v/>
      </c>
      <c r="E413" s="68">
        <f>D413+E412+E415-E411</f>
        <v/>
      </c>
      <c r="F413" s="68">
        <f>E413+F412+F415-F411</f>
        <v/>
      </c>
      <c r="G413" s="68">
        <f>F413+G412+G415-G411</f>
        <v/>
      </c>
      <c r="H413" s="68">
        <f>G413+H412+H415-H411</f>
        <v/>
      </c>
      <c r="I413" s="68">
        <f>H413+I412+I415-I411</f>
        <v/>
      </c>
      <c r="J413" s="68">
        <f>I413+J412+J415-J411</f>
        <v/>
      </c>
      <c r="K413" s="68">
        <f>J413+K412+K415-K411</f>
        <v/>
      </c>
      <c r="L413" s="68">
        <f>K413+L412+L415-L411</f>
        <v/>
      </c>
      <c r="M413" s="66" t="n"/>
    </row>
    <row r="414">
      <c r="C414" s="63" t="inlineStr">
        <is>
          <t>Necesidad neta</t>
        </is>
      </c>
      <c r="D414" s="64" t="n"/>
      <c r="E414" s="69">
        <f>MAX(0,ROUND(E411+Materiales!$H$62-D413-E412,4))</f>
        <v/>
      </c>
      <c r="F414" s="69">
        <f>MAX(0,ROUND(F411+Materiales!$H$62-E413-F412,4))</f>
        <v/>
      </c>
      <c r="G414" s="69">
        <f>MAX(0,ROUND(G411+Materiales!$H$62-F413-G412,4))</f>
        <v/>
      </c>
      <c r="H414" s="69">
        <f>MAX(0,ROUND(H411+Materiales!$H$62-G413-H412,4))</f>
        <v/>
      </c>
      <c r="I414" s="69">
        <f>MAX(0,ROUND(I411+Materiales!$H$62-H413-I412,4))</f>
        <v/>
      </c>
      <c r="J414" s="69">
        <f>MAX(0,ROUND(J411+Materiales!$H$62-I413-J412,4))</f>
        <v/>
      </c>
      <c r="K414" s="69">
        <f>MAX(0,ROUND(K411+Materiales!$H$62-J413-K412,4))</f>
        <v/>
      </c>
      <c r="L414" s="69">
        <f>MAX(0,ROUND(L411+Materiales!$H$62-K413-L412,4))</f>
        <v/>
      </c>
      <c r="M414" s="66" t="n"/>
    </row>
    <row r="415">
      <c r="C415" s="63" t="inlineStr">
        <is>
          <t>Recepcion de orden planificada</t>
        </is>
      </c>
      <c r="D415" s="64" t="n"/>
      <c r="E415" s="65">
        <f>IF(E414&lt;=0,0,IF(Materiales!$G$62&lt;=0,E414,ROUNDUP(E414/Materiales!$G$62,0)*Materiales!$G$62))</f>
        <v/>
      </c>
      <c r="F415" s="65">
        <f>IF(F414&lt;=0,0,IF(Materiales!$G$62&lt;=0,F414,ROUNDUP(F414/Materiales!$G$62,0)*Materiales!$G$62))</f>
        <v/>
      </c>
      <c r="G415" s="65">
        <f>IF(G414&lt;=0,0,IF(Materiales!$G$62&lt;=0,G414,ROUNDUP(G414/Materiales!$G$62,0)*Materiales!$G$62))</f>
        <v/>
      </c>
      <c r="H415" s="65">
        <f>IF(H414&lt;=0,0,IF(Materiales!$G$62&lt;=0,H414,ROUNDUP(H414/Materiales!$G$62,0)*Materiales!$G$62))</f>
        <v/>
      </c>
      <c r="I415" s="65">
        <f>IF(I414&lt;=0,0,IF(Materiales!$G$62&lt;=0,I414,ROUNDUP(I414/Materiales!$G$62,0)*Materiales!$G$62))</f>
        <v/>
      </c>
      <c r="J415" s="65">
        <f>IF(J414&lt;=0,0,IF(Materiales!$G$62&lt;=0,J414,ROUNDUP(J414/Materiales!$G$62,0)*Materiales!$G$62))</f>
        <v/>
      </c>
      <c r="K415" s="65">
        <f>IF(K414&lt;=0,0,IF(Materiales!$G$62&lt;=0,K414,ROUNDUP(K414/Materiales!$G$62,0)*Materiales!$G$62))</f>
        <v/>
      </c>
      <c r="L415" s="65">
        <f>IF(L414&lt;=0,0,IF(Materiales!$G$62&lt;=0,L414,ROUNDUP(L414/Materiales!$G$62,0)*Materiales!$G$62))</f>
        <v/>
      </c>
      <c r="M415" s="66" t="n"/>
    </row>
    <row r="416">
      <c r="C416" s="70" t="inlineStr">
        <is>
          <t>LANZAMIENTO DE ORDEN — pedir esta semana</t>
        </is>
      </c>
      <c r="D416" s="64" t="n"/>
      <c r="E416" s="71">
        <f>IF(1+Materiales!$F$62&gt;8,0,INDEX($E$415:$L$415,1,1+Materiales!$F$62))</f>
        <v/>
      </c>
      <c r="F416" s="71">
        <f>IF(2+Materiales!$F$62&gt;8,0,INDEX($E$415:$L$415,1,2+Materiales!$F$62))</f>
        <v/>
      </c>
      <c r="G416" s="71">
        <f>IF(3+Materiales!$F$62&gt;8,0,INDEX($E$415:$L$415,1,3+Materiales!$F$62))</f>
        <v/>
      </c>
      <c r="H416" s="71">
        <f>IF(4+Materiales!$F$62&gt;8,0,INDEX($E$415:$L$415,1,4+Materiales!$F$62))</f>
        <v/>
      </c>
      <c r="I416" s="71">
        <f>IF(5+Materiales!$F$62&gt;8,0,INDEX($E$415:$L$415,1,5+Materiales!$F$62))</f>
        <v/>
      </c>
      <c r="J416" s="71">
        <f>IF(6+Materiales!$F$62&gt;8,0,INDEX($E$415:$L$415,1,6+Materiales!$F$62))</f>
        <v/>
      </c>
      <c r="K416" s="71">
        <f>IF(7+Materiales!$F$62&gt;8,0,INDEX($E$415:$L$415,1,7+Materiales!$F$62))</f>
        <v/>
      </c>
      <c r="L416" s="71">
        <f>IF(8+Materiales!$F$62&gt;8,0,INDEX($E$415:$L$415,1,8+Materiales!$F$62))</f>
        <v/>
      </c>
      <c r="M416" s="72">
        <f>IF($A411="","",IF(SUMPRODUCT((COLUMN($E$415:$L$415)-4&lt;=Materiales!$F$62)*$E$415:$L$415)&gt;0,"PEDIR YA (atrasado)","OK"))</f>
        <v/>
      </c>
    </row>
    <row r="417" ht="6" customHeight="1"/>
    <row r="418">
      <c r="A418" s="62">
        <f>IF(Materiales!$A$63="","",Materiales!$A$63)</f>
        <v/>
      </c>
      <c r="B418" s="62">
        <f>IF(Materiales!$B$63="","",Materiales!$B$63)</f>
        <v/>
      </c>
      <c r="C418" s="63" t="inlineStr">
        <is>
          <t>Necesidad bruta</t>
        </is>
      </c>
      <c r="D418" s="64" t="n"/>
      <c r="E418" s="65">
        <f>ROUND(SUMIF(Consumo!$P$4:$P$189,"#"&amp;$A418,Consumo!H$4:H$189),4)</f>
        <v/>
      </c>
      <c r="F418" s="65">
        <f>ROUND(SUMIF(Consumo!$P$4:$P$189,"#"&amp;$A418,Consumo!I$4:I$189),4)</f>
        <v/>
      </c>
      <c r="G418" s="65">
        <f>ROUND(SUMIF(Consumo!$P$4:$P$189,"#"&amp;$A418,Consumo!J$4:J$189),4)</f>
        <v/>
      </c>
      <c r="H418" s="65">
        <f>ROUND(SUMIF(Consumo!$P$4:$P$189,"#"&amp;$A418,Consumo!K$4:K$189),4)</f>
        <v/>
      </c>
      <c r="I418" s="65">
        <f>ROUND(SUMIF(Consumo!$P$4:$P$189,"#"&amp;$A418,Consumo!L$4:L$189),4)</f>
        <v/>
      </c>
      <c r="J418" s="65">
        <f>ROUND(SUMIF(Consumo!$P$4:$P$189,"#"&amp;$A418,Consumo!M$4:M$189),4)</f>
        <v/>
      </c>
      <c r="K418" s="65">
        <f>ROUND(SUMIF(Consumo!$P$4:$P$189,"#"&amp;$A418,Consumo!N$4:N$189),4)</f>
        <v/>
      </c>
      <c r="L418" s="65">
        <f>ROUND(SUMIF(Consumo!$P$4:$P$189,"#"&amp;$A418,Consumo!O$4:O$189),4)</f>
        <v/>
      </c>
      <c r="M418" s="66" t="n"/>
    </row>
    <row r="419">
      <c r="C419" s="63" t="inlineStr">
        <is>
          <t>Recepciones programadas (ya pedido)</t>
        </is>
      </c>
      <c r="D419" s="64" t="n"/>
      <c r="E419" s="65">
        <f>SUMIF(Inventario!$M$5:$M$505,"#"&amp;$A418,Inventario!E$5:E$505)</f>
        <v/>
      </c>
      <c r="F419" s="65">
        <f>SUMIF(Inventario!$M$5:$M$505,"#"&amp;$A418,Inventario!F$5:F$505)</f>
        <v/>
      </c>
      <c r="G419" s="65">
        <f>SUMIF(Inventario!$M$5:$M$505,"#"&amp;$A418,Inventario!G$5:G$505)</f>
        <v/>
      </c>
      <c r="H419" s="65">
        <f>SUMIF(Inventario!$M$5:$M$505,"#"&amp;$A418,Inventario!H$5:H$505)</f>
        <v/>
      </c>
      <c r="I419" s="65">
        <f>SUMIF(Inventario!$M$5:$M$505,"#"&amp;$A418,Inventario!I$5:I$505)</f>
        <v/>
      </c>
      <c r="J419" s="65">
        <f>SUMIF(Inventario!$M$5:$M$505,"#"&amp;$A418,Inventario!J$5:J$505)</f>
        <v/>
      </c>
      <c r="K419" s="65">
        <f>SUMIF(Inventario!$M$5:$M$505,"#"&amp;$A418,Inventario!K$5:K$505)</f>
        <v/>
      </c>
      <c r="L419" s="65">
        <f>SUMIF(Inventario!$M$5:$M$505,"#"&amp;$A418,Inventario!L$5:L$505)</f>
        <v/>
      </c>
      <c r="M419" s="66" t="n"/>
    </row>
    <row r="420">
      <c r="C420" s="63" t="inlineStr">
        <is>
          <t>Stock proyectado disponible</t>
        </is>
      </c>
      <c r="D420" s="67">
        <f>SUMIF(Inventario!$M$5:$M$505,"#"&amp;$A418,Inventario!$C$5:$C$505)</f>
        <v/>
      </c>
      <c r="E420" s="68">
        <f>D420+E419+E422-E418</f>
        <v/>
      </c>
      <c r="F420" s="68">
        <f>E420+F419+F422-F418</f>
        <v/>
      </c>
      <c r="G420" s="68">
        <f>F420+G419+G422-G418</f>
        <v/>
      </c>
      <c r="H420" s="68">
        <f>G420+H419+H422-H418</f>
        <v/>
      </c>
      <c r="I420" s="68">
        <f>H420+I419+I422-I418</f>
        <v/>
      </c>
      <c r="J420" s="68">
        <f>I420+J419+J422-J418</f>
        <v/>
      </c>
      <c r="K420" s="68">
        <f>J420+K419+K422-K418</f>
        <v/>
      </c>
      <c r="L420" s="68">
        <f>K420+L419+L422-L418</f>
        <v/>
      </c>
      <c r="M420" s="66" t="n"/>
    </row>
    <row r="421">
      <c r="C421" s="63" t="inlineStr">
        <is>
          <t>Necesidad neta</t>
        </is>
      </c>
      <c r="D421" s="64" t="n"/>
      <c r="E421" s="69">
        <f>MAX(0,ROUND(E418+Materiales!$H$63-D420-E419,4))</f>
        <v/>
      </c>
      <c r="F421" s="69">
        <f>MAX(0,ROUND(F418+Materiales!$H$63-E420-F419,4))</f>
        <v/>
      </c>
      <c r="G421" s="69">
        <f>MAX(0,ROUND(G418+Materiales!$H$63-F420-G419,4))</f>
        <v/>
      </c>
      <c r="H421" s="69">
        <f>MAX(0,ROUND(H418+Materiales!$H$63-G420-H419,4))</f>
        <v/>
      </c>
      <c r="I421" s="69">
        <f>MAX(0,ROUND(I418+Materiales!$H$63-H420-I419,4))</f>
        <v/>
      </c>
      <c r="J421" s="69">
        <f>MAX(0,ROUND(J418+Materiales!$H$63-I420-J419,4))</f>
        <v/>
      </c>
      <c r="K421" s="69">
        <f>MAX(0,ROUND(K418+Materiales!$H$63-J420-K419,4))</f>
        <v/>
      </c>
      <c r="L421" s="69">
        <f>MAX(0,ROUND(L418+Materiales!$H$63-K420-L419,4))</f>
        <v/>
      </c>
      <c r="M421" s="66" t="n"/>
    </row>
    <row r="422">
      <c r="C422" s="63" t="inlineStr">
        <is>
          <t>Recepcion de orden planificada</t>
        </is>
      </c>
      <c r="D422" s="64" t="n"/>
      <c r="E422" s="65">
        <f>IF(E421&lt;=0,0,IF(Materiales!$G$63&lt;=0,E421,ROUNDUP(E421/Materiales!$G$63,0)*Materiales!$G$63))</f>
        <v/>
      </c>
      <c r="F422" s="65">
        <f>IF(F421&lt;=0,0,IF(Materiales!$G$63&lt;=0,F421,ROUNDUP(F421/Materiales!$G$63,0)*Materiales!$G$63))</f>
        <v/>
      </c>
      <c r="G422" s="65">
        <f>IF(G421&lt;=0,0,IF(Materiales!$G$63&lt;=0,G421,ROUNDUP(G421/Materiales!$G$63,0)*Materiales!$G$63))</f>
        <v/>
      </c>
      <c r="H422" s="65">
        <f>IF(H421&lt;=0,0,IF(Materiales!$G$63&lt;=0,H421,ROUNDUP(H421/Materiales!$G$63,0)*Materiales!$G$63))</f>
        <v/>
      </c>
      <c r="I422" s="65">
        <f>IF(I421&lt;=0,0,IF(Materiales!$G$63&lt;=0,I421,ROUNDUP(I421/Materiales!$G$63,0)*Materiales!$G$63))</f>
        <v/>
      </c>
      <c r="J422" s="65">
        <f>IF(J421&lt;=0,0,IF(Materiales!$G$63&lt;=0,J421,ROUNDUP(J421/Materiales!$G$63,0)*Materiales!$G$63))</f>
        <v/>
      </c>
      <c r="K422" s="65">
        <f>IF(K421&lt;=0,0,IF(Materiales!$G$63&lt;=0,K421,ROUNDUP(K421/Materiales!$G$63,0)*Materiales!$G$63))</f>
        <v/>
      </c>
      <c r="L422" s="65">
        <f>IF(L421&lt;=0,0,IF(Materiales!$G$63&lt;=0,L421,ROUNDUP(L421/Materiales!$G$63,0)*Materiales!$G$63))</f>
        <v/>
      </c>
      <c r="M422" s="66" t="n"/>
    </row>
    <row r="423">
      <c r="C423" s="70" t="inlineStr">
        <is>
          <t>LANZAMIENTO DE ORDEN — pedir esta semana</t>
        </is>
      </c>
      <c r="D423" s="64" t="n"/>
      <c r="E423" s="71">
        <f>IF(1+Materiales!$F$63&gt;8,0,INDEX($E$422:$L$422,1,1+Materiales!$F$63))</f>
        <v/>
      </c>
      <c r="F423" s="71">
        <f>IF(2+Materiales!$F$63&gt;8,0,INDEX($E$422:$L$422,1,2+Materiales!$F$63))</f>
        <v/>
      </c>
      <c r="G423" s="71">
        <f>IF(3+Materiales!$F$63&gt;8,0,INDEX($E$422:$L$422,1,3+Materiales!$F$63))</f>
        <v/>
      </c>
      <c r="H423" s="71">
        <f>IF(4+Materiales!$F$63&gt;8,0,INDEX($E$422:$L$422,1,4+Materiales!$F$63))</f>
        <v/>
      </c>
      <c r="I423" s="71">
        <f>IF(5+Materiales!$F$63&gt;8,0,INDEX($E$422:$L$422,1,5+Materiales!$F$63))</f>
        <v/>
      </c>
      <c r="J423" s="71">
        <f>IF(6+Materiales!$F$63&gt;8,0,INDEX($E$422:$L$422,1,6+Materiales!$F$63))</f>
        <v/>
      </c>
      <c r="K423" s="71">
        <f>IF(7+Materiales!$F$63&gt;8,0,INDEX($E$422:$L$422,1,7+Materiales!$F$63))</f>
        <v/>
      </c>
      <c r="L423" s="71">
        <f>IF(8+Materiales!$F$63&gt;8,0,INDEX($E$422:$L$422,1,8+Materiales!$F$63))</f>
        <v/>
      </c>
      <c r="M423" s="72">
        <f>IF($A418="","",IF(SUMPRODUCT((COLUMN($E$422:$L$422)-4&lt;=Materiales!$F$63)*$E$422:$L$422)&gt;0,"PEDIR YA (atrasado)","OK"))</f>
        <v/>
      </c>
    </row>
    <row r="424" ht="6" customHeight="1"/>
    <row r="425">
      <c r="A425" s="62">
        <f>IF(Materiales!$A$64="","",Materiales!$A$64)</f>
        <v/>
      </c>
      <c r="B425" s="62">
        <f>IF(Materiales!$B$64="","",Materiales!$B$64)</f>
        <v/>
      </c>
      <c r="C425" s="63" t="inlineStr">
        <is>
          <t>Necesidad bruta</t>
        </is>
      </c>
      <c r="D425" s="64" t="n"/>
      <c r="E425" s="65">
        <f>ROUND(SUMIF(Consumo!$P$4:$P$189,"#"&amp;$A425,Consumo!H$4:H$189),4)</f>
        <v/>
      </c>
      <c r="F425" s="65">
        <f>ROUND(SUMIF(Consumo!$P$4:$P$189,"#"&amp;$A425,Consumo!I$4:I$189),4)</f>
        <v/>
      </c>
      <c r="G425" s="65">
        <f>ROUND(SUMIF(Consumo!$P$4:$P$189,"#"&amp;$A425,Consumo!J$4:J$189),4)</f>
        <v/>
      </c>
      <c r="H425" s="65">
        <f>ROUND(SUMIF(Consumo!$P$4:$P$189,"#"&amp;$A425,Consumo!K$4:K$189),4)</f>
        <v/>
      </c>
      <c r="I425" s="65">
        <f>ROUND(SUMIF(Consumo!$P$4:$P$189,"#"&amp;$A425,Consumo!L$4:L$189),4)</f>
        <v/>
      </c>
      <c r="J425" s="65">
        <f>ROUND(SUMIF(Consumo!$P$4:$P$189,"#"&amp;$A425,Consumo!M$4:M$189),4)</f>
        <v/>
      </c>
      <c r="K425" s="65">
        <f>ROUND(SUMIF(Consumo!$P$4:$P$189,"#"&amp;$A425,Consumo!N$4:N$189),4)</f>
        <v/>
      </c>
      <c r="L425" s="65">
        <f>ROUND(SUMIF(Consumo!$P$4:$P$189,"#"&amp;$A425,Consumo!O$4:O$189),4)</f>
        <v/>
      </c>
      <c r="M425" s="66" t="n"/>
    </row>
    <row r="426">
      <c r="C426" s="63" t="inlineStr">
        <is>
          <t>Recepciones programadas (ya pedido)</t>
        </is>
      </c>
      <c r="D426" s="64" t="n"/>
      <c r="E426" s="65">
        <f>SUMIF(Inventario!$M$5:$M$505,"#"&amp;$A425,Inventario!E$5:E$505)</f>
        <v/>
      </c>
      <c r="F426" s="65">
        <f>SUMIF(Inventario!$M$5:$M$505,"#"&amp;$A425,Inventario!F$5:F$505)</f>
        <v/>
      </c>
      <c r="G426" s="65">
        <f>SUMIF(Inventario!$M$5:$M$505,"#"&amp;$A425,Inventario!G$5:G$505)</f>
        <v/>
      </c>
      <c r="H426" s="65">
        <f>SUMIF(Inventario!$M$5:$M$505,"#"&amp;$A425,Inventario!H$5:H$505)</f>
        <v/>
      </c>
      <c r="I426" s="65">
        <f>SUMIF(Inventario!$M$5:$M$505,"#"&amp;$A425,Inventario!I$5:I$505)</f>
        <v/>
      </c>
      <c r="J426" s="65">
        <f>SUMIF(Inventario!$M$5:$M$505,"#"&amp;$A425,Inventario!J$5:J$505)</f>
        <v/>
      </c>
      <c r="K426" s="65">
        <f>SUMIF(Inventario!$M$5:$M$505,"#"&amp;$A425,Inventario!K$5:K$505)</f>
        <v/>
      </c>
      <c r="L426" s="65">
        <f>SUMIF(Inventario!$M$5:$M$505,"#"&amp;$A425,Inventario!L$5:L$505)</f>
        <v/>
      </c>
      <c r="M426" s="66" t="n"/>
    </row>
    <row r="427">
      <c r="C427" s="63" t="inlineStr">
        <is>
          <t>Stock proyectado disponible</t>
        </is>
      </c>
      <c r="D427" s="67">
        <f>SUMIF(Inventario!$M$5:$M$505,"#"&amp;$A425,Inventario!$C$5:$C$505)</f>
        <v/>
      </c>
      <c r="E427" s="68">
        <f>D427+E426+E429-E425</f>
        <v/>
      </c>
      <c r="F427" s="68">
        <f>E427+F426+F429-F425</f>
        <v/>
      </c>
      <c r="G427" s="68">
        <f>F427+G426+G429-G425</f>
        <v/>
      </c>
      <c r="H427" s="68">
        <f>G427+H426+H429-H425</f>
        <v/>
      </c>
      <c r="I427" s="68">
        <f>H427+I426+I429-I425</f>
        <v/>
      </c>
      <c r="J427" s="68">
        <f>I427+J426+J429-J425</f>
        <v/>
      </c>
      <c r="K427" s="68">
        <f>J427+K426+K429-K425</f>
        <v/>
      </c>
      <c r="L427" s="68">
        <f>K427+L426+L429-L425</f>
        <v/>
      </c>
      <c r="M427" s="66" t="n"/>
    </row>
    <row r="428">
      <c r="C428" s="63" t="inlineStr">
        <is>
          <t>Necesidad neta</t>
        </is>
      </c>
      <c r="D428" s="64" t="n"/>
      <c r="E428" s="69">
        <f>MAX(0,ROUND(E425+Materiales!$H$64-D427-E426,4))</f>
        <v/>
      </c>
      <c r="F428" s="69">
        <f>MAX(0,ROUND(F425+Materiales!$H$64-E427-F426,4))</f>
        <v/>
      </c>
      <c r="G428" s="69">
        <f>MAX(0,ROUND(G425+Materiales!$H$64-F427-G426,4))</f>
        <v/>
      </c>
      <c r="H428" s="69">
        <f>MAX(0,ROUND(H425+Materiales!$H$64-G427-H426,4))</f>
        <v/>
      </c>
      <c r="I428" s="69">
        <f>MAX(0,ROUND(I425+Materiales!$H$64-H427-I426,4))</f>
        <v/>
      </c>
      <c r="J428" s="69">
        <f>MAX(0,ROUND(J425+Materiales!$H$64-I427-J426,4))</f>
        <v/>
      </c>
      <c r="K428" s="69">
        <f>MAX(0,ROUND(K425+Materiales!$H$64-J427-K426,4))</f>
        <v/>
      </c>
      <c r="L428" s="69">
        <f>MAX(0,ROUND(L425+Materiales!$H$64-K427-L426,4))</f>
        <v/>
      </c>
      <c r="M428" s="66" t="n"/>
    </row>
    <row r="429">
      <c r="C429" s="63" t="inlineStr">
        <is>
          <t>Recepcion de orden planificada</t>
        </is>
      </c>
      <c r="D429" s="64" t="n"/>
      <c r="E429" s="65">
        <f>IF(E428&lt;=0,0,IF(Materiales!$G$64&lt;=0,E428,ROUNDUP(E428/Materiales!$G$64,0)*Materiales!$G$64))</f>
        <v/>
      </c>
      <c r="F429" s="65">
        <f>IF(F428&lt;=0,0,IF(Materiales!$G$64&lt;=0,F428,ROUNDUP(F428/Materiales!$G$64,0)*Materiales!$G$64))</f>
        <v/>
      </c>
      <c r="G429" s="65">
        <f>IF(G428&lt;=0,0,IF(Materiales!$G$64&lt;=0,G428,ROUNDUP(G428/Materiales!$G$64,0)*Materiales!$G$64))</f>
        <v/>
      </c>
      <c r="H429" s="65">
        <f>IF(H428&lt;=0,0,IF(Materiales!$G$64&lt;=0,H428,ROUNDUP(H428/Materiales!$G$64,0)*Materiales!$G$64))</f>
        <v/>
      </c>
      <c r="I429" s="65">
        <f>IF(I428&lt;=0,0,IF(Materiales!$G$64&lt;=0,I428,ROUNDUP(I428/Materiales!$G$64,0)*Materiales!$G$64))</f>
        <v/>
      </c>
      <c r="J429" s="65">
        <f>IF(J428&lt;=0,0,IF(Materiales!$G$64&lt;=0,J428,ROUNDUP(J428/Materiales!$G$64,0)*Materiales!$G$64))</f>
        <v/>
      </c>
      <c r="K429" s="65">
        <f>IF(K428&lt;=0,0,IF(Materiales!$G$64&lt;=0,K428,ROUNDUP(K428/Materiales!$G$64,0)*Materiales!$G$64))</f>
        <v/>
      </c>
      <c r="L429" s="65">
        <f>IF(L428&lt;=0,0,IF(Materiales!$G$64&lt;=0,L428,ROUNDUP(L428/Materiales!$G$64,0)*Materiales!$G$64))</f>
        <v/>
      </c>
      <c r="M429" s="66" t="n"/>
    </row>
    <row r="430">
      <c r="C430" s="70" t="inlineStr">
        <is>
          <t>LANZAMIENTO DE ORDEN — pedir esta semana</t>
        </is>
      </c>
      <c r="D430" s="64" t="n"/>
      <c r="E430" s="71">
        <f>IF(1+Materiales!$F$64&gt;8,0,INDEX($E$429:$L$429,1,1+Materiales!$F$64))</f>
        <v/>
      </c>
      <c r="F430" s="71">
        <f>IF(2+Materiales!$F$64&gt;8,0,INDEX($E$429:$L$429,1,2+Materiales!$F$64))</f>
        <v/>
      </c>
      <c r="G430" s="71">
        <f>IF(3+Materiales!$F$64&gt;8,0,INDEX($E$429:$L$429,1,3+Materiales!$F$64))</f>
        <v/>
      </c>
      <c r="H430" s="71">
        <f>IF(4+Materiales!$F$64&gt;8,0,INDEX($E$429:$L$429,1,4+Materiales!$F$64))</f>
        <v/>
      </c>
      <c r="I430" s="71">
        <f>IF(5+Materiales!$F$64&gt;8,0,INDEX($E$429:$L$429,1,5+Materiales!$F$64))</f>
        <v/>
      </c>
      <c r="J430" s="71">
        <f>IF(6+Materiales!$F$64&gt;8,0,INDEX($E$429:$L$429,1,6+Materiales!$F$64))</f>
        <v/>
      </c>
      <c r="K430" s="71">
        <f>IF(7+Materiales!$F$64&gt;8,0,INDEX($E$429:$L$429,1,7+Materiales!$F$64))</f>
        <v/>
      </c>
      <c r="L430" s="71">
        <f>IF(8+Materiales!$F$64&gt;8,0,INDEX($E$429:$L$429,1,8+Materiales!$F$64))</f>
        <v/>
      </c>
      <c r="M430" s="72">
        <f>IF($A425="","",IF(SUMPRODUCT((COLUMN($E$429:$L$429)-4&lt;=Materiales!$F$64)*$E$429:$L$429)&gt;0,"PEDIR YA (atrasado)","OK"))</f>
        <v/>
      </c>
    </row>
    <row r="431" ht="6" customHeight="1"/>
    <row r="432">
      <c r="A432" s="62">
        <f>IF(Materiales!$A$65="","",Materiales!$A$65)</f>
        <v/>
      </c>
      <c r="B432" s="62">
        <f>IF(Materiales!$B$65="","",Materiales!$B$65)</f>
        <v/>
      </c>
      <c r="C432" s="63" t="inlineStr">
        <is>
          <t>Necesidad bruta</t>
        </is>
      </c>
      <c r="D432" s="64" t="n"/>
      <c r="E432" s="65">
        <f>ROUND(SUMIF(Consumo!$P$4:$P$189,"#"&amp;$A432,Consumo!H$4:H$189),4)</f>
        <v/>
      </c>
      <c r="F432" s="65">
        <f>ROUND(SUMIF(Consumo!$P$4:$P$189,"#"&amp;$A432,Consumo!I$4:I$189),4)</f>
        <v/>
      </c>
      <c r="G432" s="65">
        <f>ROUND(SUMIF(Consumo!$P$4:$P$189,"#"&amp;$A432,Consumo!J$4:J$189),4)</f>
        <v/>
      </c>
      <c r="H432" s="65">
        <f>ROUND(SUMIF(Consumo!$P$4:$P$189,"#"&amp;$A432,Consumo!K$4:K$189),4)</f>
        <v/>
      </c>
      <c r="I432" s="65">
        <f>ROUND(SUMIF(Consumo!$P$4:$P$189,"#"&amp;$A432,Consumo!L$4:L$189),4)</f>
        <v/>
      </c>
      <c r="J432" s="65">
        <f>ROUND(SUMIF(Consumo!$P$4:$P$189,"#"&amp;$A432,Consumo!M$4:M$189),4)</f>
        <v/>
      </c>
      <c r="K432" s="65">
        <f>ROUND(SUMIF(Consumo!$P$4:$P$189,"#"&amp;$A432,Consumo!N$4:N$189),4)</f>
        <v/>
      </c>
      <c r="L432" s="65">
        <f>ROUND(SUMIF(Consumo!$P$4:$P$189,"#"&amp;$A432,Consumo!O$4:O$189),4)</f>
        <v/>
      </c>
      <c r="M432" s="66" t="n"/>
    </row>
    <row r="433">
      <c r="C433" s="63" t="inlineStr">
        <is>
          <t>Recepciones programadas (ya pedido)</t>
        </is>
      </c>
      <c r="D433" s="64" t="n"/>
      <c r="E433" s="65">
        <f>SUMIF(Inventario!$M$5:$M$505,"#"&amp;$A432,Inventario!E$5:E$505)</f>
        <v/>
      </c>
      <c r="F433" s="65">
        <f>SUMIF(Inventario!$M$5:$M$505,"#"&amp;$A432,Inventario!F$5:F$505)</f>
        <v/>
      </c>
      <c r="G433" s="65">
        <f>SUMIF(Inventario!$M$5:$M$505,"#"&amp;$A432,Inventario!G$5:G$505)</f>
        <v/>
      </c>
      <c r="H433" s="65">
        <f>SUMIF(Inventario!$M$5:$M$505,"#"&amp;$A432,Inventario!H$5:H$505)</f>
        <v/>
      </c>
      <c r="I433" s="65">
        <f>SUMIF(Inventario!$M$5:$M$505,"#"&amp;$A432,Inventario!I$5:I$505)</f>
        <v/>
      </c>
      <c r="J433" s="65">
        <f>SUMIF(Inventario!$M$5:$M$505,"#"&amp;$A432,Inventario!J$5:J$505)</f>
        <v/>
      </c>
      <c r="K433" s="65">
        <f>SUMIF(Inventario!$M$5:$M$505,"#"&amp;$A432,Inventario!K$5:K$505)</f>
        <v/>
      </c>
      <c r="L433" s="65">
        <f>SUMIF(Inventario!$M$5:$M$505,"#"&amp;$A432,Inventario!L$5:L$505)</f>
        <v/>
      </c>
      <c r="M433" s="66" t="n"/>
    </row>
    <row r="434">
      <c r="C434" s="63" t="inlineStr">
        <is>
          <t>Stock proyectado disponible</t>
        </is>
      </c>
      <c r="D434" s="67">
        <f>SUMIF(Inventario!$M$5:$M$505,"#"&amp;$A432,Inventario!$C$5:$C$505)</f>
        <v/>
      </c>
      <c r="E434" s="68">
        <f>D434+E433+E436-E432</f>
        <v/>
      </c>
      <c r="F434" s="68">
        <f>E434+F433+F436-F432</f>
        <v/>
      </c>
      <c r="G434" s="68">
        <f>F434+G433+G436-G432</f>
        <v/>
      </c>
      <c r="H434" s="68">
        <f>G434+H433+H436-H432</f>
        <v/>
      </c>
      <c r="I434" s="68">
        <f>H434+I433+I436-I432</f>
        <v/>
      </c>
      <c r="J434" s="68">
        <f>I434+J433+J436-J432</f>
        <v/>
      </c>
      <c r="K434" s="68">
        <f>J434+K433+K436-K432</f>
        <v/>
      </c>
      <c r="L434" s="68">
        <f>K434+L433+L436-L432</f>
        <v/>
      </c>
      <c r="M434" s="66" t="n"/>
    </row>
    <row r="435">
      <c r="C435" s="63" t="inlineStr">
        <is>
          <t>Necesidad neta</t>
        </is>
      </c>
      <c r="D435" s="64" t="n"/>
      <c r="E435" s="69">
        <f>MAX(0,ROUND(E432+Materiales!$H$65-D434-E433,4))</f>
        <v/>
      </c>
      <c r="F435" s="69">
        <f>MAX(0,ROUND(F432+Materiales!$H$65-E434-F433,4))</f>
        <v/>
      </c>
      <c r="G435" s="69">
        <f>MAX(0,ROUND(G432+Materiales!$H$65-F434-G433,4))</f>
        <v/>
      </c>
      <c r="H435" s="69">
        <f>MAX(0,ROUND(H432+Materiales!$H$65-G434-H433,4))</f>
        <v/>
      </c>
      <c r="I435" s="69">
        <f>MAX(0,ROUND(I432+Materiales!$H$65-H434-I433,4))</f>
        <v/>
      </c>
      <c r="J435" s="69">
        <f>MAX(0,ROUND(J432+Materiales!$H$65-I434-J433,4))</f>
        <v/>
      </c>
      <c r="K435" s="69">
        <f>MAX(0,ROUND(K432+Materiales!$H$65-J434-K433,4))</f>
        <v/>
      </c>
      <c r="L435" s="69">
        <f>MAX(0,ROUND(L432+Materiales!$H$65-K434-L433,4))</f>
        <v/>
      </c>
      <c r="M435" s="66" t="n"/>
    </row>
    <row r="436">
      <c r="C436" s="63" t="inlineStr">
        <is>
          <t>Recepcion de orden planificada</t>
        </is>
      </c>
      <c r="D436" s="64" t="n"/>
      <c r="E436" s="65">
        <f>IF(E435&lt;=0,0,IF(Materiales!$G$65&lt;=0,E435,ROUNDUP(E435/Materiales!$G$65,0)*Materiales!$G$65))</f>
        <v/>
      </c>
      <c r="F436" s="65">
        <f>IF(F435&lt;=0,0,IF(Materiales!$G$65&lt;=0,F435,ROUNDUP(F435/Materiales!$G$65,0)*Materiales!$G$65))</f>
        <v/>
      </c>
      <c r="G436" s="65">
        <f>IF(G435&lt;=0,0,IF(Materiales!$G$65&lt;=0,G435,ROUNDUP(G435/Materiales!$G$65,0)*Materiales!$G$65))</f>
        <v/>
      </c>
      <c r="H436" s="65">
        <f>IF(H435&lt;=0,0,IF(Materiales!$G$65&lt;=0,H435,ROUNDUP(H435/Materiales!$G$65,0)*Materiales!$G$65))</f>
        <v/>
      </c>
      <c r="I436" s="65">
        <f>IF(I435&lt;=0,0,IF(Materiales!$G$65&lt;=0,I435,ROUNDUP(I435/Materiales!$G$65,0)*Materiales!$G$65))</f>
        <v/>
      </c>
      <c r="J436" s="65">
        <f>IF(J435&lt;=0,0,IF(Materiales!$G$65&lt;=0,J435,ROUNDUP(J435/Materiales!$G$65,0)*Materiales!$G$65))</f>
        <v/>
      </c>
      <c r="K436" s="65">
        <f>IF(K435&lt;=0,0,IF(Materiales!$G$65&lt;=0,K435,ROUNDUP(K435/Materiales!$G$65,0)*Materiales!$G$65))</f>
        <v/>
      </c>
      <c r="L436" s="65">
        <f>IF(L435&lt;=0,0,IF(Materiales!$G$65&lt;=0,L435,ROUNDUP(L435/Materiales!$G$65,0)*Materiales!$G$65))</f>
        <v/>
      </c>
      <c r="M436" s="66" t="n"/>
    </row>
    <row r="437">
      <c r="C437" s="70" t="inlineStr">
        <is>
          <t>LANZAMIENTO DE ORDEN — pedir esta semana</t>
        </is>
      </c>
      <c r="D437" s="64" t="n"/>
      <c r="E437" s="71">
        <f>IF(1+Materiales!$F$65&gt;8,0,INDEX($E$436:$L$436,1,1+Materiales!$F$65))</f>
        <v/>
      </c>
      <c r="F437" s="71">
        <f>IF(2+Materiales!$F$65&gt;8,0,INDEX($E$436:$L$436,1,2+Materiales!$F$65))</f>
        <v/>
      </c>
      <c r="G437" s="71">
        <f>IF(3+Materiales!$F$65&gt;8,0,INDEX($E$436:$L$436,1,3+Materiales!$F$65))</f>
        <v/>
      </c>
      <c r="H437" s="71">
        <f>IF(4+Materiales!$F$65&gt;8,0,INDEX($E$436:$L$436,1,4+Materiales!$F$65))</f>
        <v/>
      </c>
      <c r="I437" s="71">
        <f>IF(5+Materiales!$F$65&gt;8,0,INDEX($E$436:$L$436,1,5+Materiales!$F$65))</f>
        <v/>
      </c>
      <c r="J437" s="71">
        <f>IF(6+Materiales!$F$65&gt;8,0,INDEX($E$436:$L$436,1,6+Materiales!$F$65))</f>
        <v/>
      </c>
      <c r="K437" s="71">
        <f>IF(7+Materiales!$F$65&gt;8,0,INDEX($E$436:$L$436,1,7+Materiales!$F$65))</f>
        <v/>
      </c>
      <c r="L437" s="71">
        <f>IF(8+Materiales!$F$65&gt;8,0,INDEX($E$436:$L$436,1,8+Materiales!$F$65))</f>
        <v/>
      </c>
      <c r="M437" s="72">
        <f>IF($A432="","",IF(SUMPRODUCT((COLUMN($E$436:$L$436)-4&lt;=Materiales!$F$65)*$E$436:$L$436)&gt;0,"PEDIR YA (atrasado)","OK"))</f>
        <v/>
      </c>
    </row>
    <row r="438" ht="6" customHeight="1"/>
    <row r="439">
      <c r="A439" s="62">
        <f>IF(Materiales!$A$66="","",Materiales!$A$66)</f>
        <v/>
      </c>
      <c r="B439" s="62">
        <f>IF(Materiales!$B$66="","",Materiales!$B$66)</f>
        <v/>
      </c>
      <c r="C439" s="63" t="inlineStr">
        <is>
          <t>Necesidad bruta</t>
        </is>
      </c>
      <c r="D439" s="64" t="n"/>
      <c r="E439" s="65">
        <f>ROUND(SUMIF(Consumo!$P$4:$P$189,"#"&amp;$A439,Consumo!H$4:H$189),4)</f>
        <v/>
      </c>
      <c r="F439" s="65">
        <f>ROUND(SUMIF(Consumo!$P$4:$P$189,"#"&amp;$A439,Consumo!I$4:I$189),4)</f>
        <v/>
      </c>
      <c r="G439" s="65">
        <f>ROUND(SUMIF(Consumo!$P$4:$P$189,"#"&amp;$A439,Consumo!J$4:J$189),4)</f>
        <v/>
      </c>
      <c r="H439" s="65">
        <f>ROUND(SUMIF(Consumo!$P$4:$P$189,"#"&amp;$A439,Consumo!K$4:K$189),4)</f>
        <v/>
      </c>
      <c r="I439" s="65">
        <f>ROUND(SUMIF(Consumo!$P$4:$P$189,"#"&amp;$A439,Consumo!L$4:L$189),4)</f>
        <v/>
      </c>
      <c r="J439" s="65">
        <f>ROUND(SUMIF(Consumo!$P$4:$P$189,"#"&amp;$A439,Consumo!M$4:M$189),4)</f>
        <v/>
      </c>
      <c r="K439" s="65">
        <f>ROUND(SUMIF(Consumo!$P$4:$P$189,"#"&amp;$A439,Consumo!N$4:N$189),4)</f>
        <v/>
      </c>
      <c r="L439" s="65">
        <f>ROUND(SUMIF(Consumo!$P$4:$P$189,"#"&amp;$A439,Consumo!O$4:O$189),4)</f>
        <v/>
      </c>
      <c r="M439" s="66" t="n"/>
    </row>
    <row r="440">
      <c r="C440" s="63" t="inlineStr">
        <is>
          <t>Recepciones programadas (ya pedido)</t>
        </is>
      </c>
      <c r="D440" s="64" t="n"/>
      <c r="E440" s="65">
        <f>SUMIF(Inventario!$M$5:$M$505,"#"&amp;$A439,Inventario!E$5:E$505)</f>
        <v/>
      </c>
      <c r="F440" s="65">
        <f>SUMIF(Inventario!$M$5:$M$505,"#"&amp;$A439,Inventario!F$5:F$505)</f>
        <v/>
      </c>
      <c r="G440" s="65">
        <f>SUMIF(Inventario!$M$5:$M$505,"#"&amp;$A439,Inventario!G$5:G$505)</f>
        <v/>
      </c>
      <c r="H440" s="65">
        <f>SUMIF(Inventario!$M$5:$M$505,"#"&amp;$A439,Inventario!H$5:H$505)</f>
        <v/>
      </c>
      <c r="I440" s="65">
        <f>SUMIF(Inventario!$M$5:$M$505,"#"&amp;$A439,Inventario!I$5:I$505)</f>
        <v/>
      </c>
      <c r="J440" s="65">
        <f>SUMIF(Inventario!$M$5:$M$505,"#"&amp;$A439,Inventario!J$5:J$505)</f>
        <v/>
      </c>
      <c r="K440" s="65">
        <f>SUMIF(Inventario!$M$5:$M$505,"#"&amp;$A439,Inventario!K$5:K$505)</f>
        <v/>
      </c>
      <c r="L440" s="65">
        <f>SUMIF(Inventario!$M$5:$M$505,"#"&amp;$A439,Inventario!L$5:L$505)</f>
        <v/>
      </c>
      <c r="M440" s="66" t="n"/>
    </row>
    <row r="441">
      <c r="C441" s="63" t="inlineStr">
        <is>
          <t>Stock proyectado disponible</t>
        </is>
      </c>
      <c r="D441" s="67">
        <f>SUMIF(Inventario!$M$5:$M$505,"#"&amp;$A439,Inventario!$C$5:$C$505)</f>
        <v/>
      </c>
      <c r="E441" s="68">
        <f>D441+E440+E443-E439</f>
        <v/>
      </c>
      <c r="F441" s="68">
        <f>E441+F440+F443-F439</f>
        <v/>
      </c>
      <c r="G441" s="68">
        <f>F441+G440+G443-G439</f>
        <v/>
      </c>
      <c r="H441" s="68">
        <f>G441+H440+H443-H439</f>
        <v/>
      </c>
      <c r="I441" s="68">
        <f>H441+I440+I443-I439</f>
        <v/>
      </c>
      <c r="J441" s="68">
        <f>I441+J440+J443-J439</f>
        <v/>
      </c>
      <c r="K441" s="68">
        <f>J441+K440+K443-K439</f>
        <v/>
      </c>
      <c r="L441" s="68">
        <f>K441+L440+L443-L439</f>
        <v/>
      </c>
      <c r="M441" s="66" t="n"/>
    </row>
    <row r="442">
      <c r="C442" s="63" t="inlineStr">
        <is>
          <t>Necesidad neta</t>
        </is>
      </c>
      <c r="D442" s="64" t="n"/>
      <c r="E442" s="69">
        <f>MAX(0,ROUND(E439+Materiales!$H$66-D441-E440,4))</f>
        <v/>
      </c>
      <c r="F442" s="69">
        <f>MAX(0,ROUND(F439+Materiales!$H$66-E441-F440,4))</f>
        <v/>
      </c>
      <c r="G442" s="69">
        <f>MAX(0,ROUND(G439+Materiales!$H$66-F441-G440,4))</f>
        <v/>
      </c>
      <c r="H442" s="69">
        <f>MAX(0,ROUND(H439+Materiales!$H$66-G441-H440,4))</f>
        <v/>
      </c>
      <c r="I442" s="69">
        <f>MAX(0,ROUND(I439+Materiales!$H$66-H441-I440,4))</f>
        <v/>
      </c>
      <c r="J442" s="69">
        <f>MAX(0,ROUND(J439+Materiales!$H$66-I441-J440,4))</f>
        <v/>
      </c>
      <c r="K442" s="69">
        <f>MAX(0,ROUND(K439+Materiales!$H$66-J441-K440,4))</f>
        <v/>
      </c>
      <c r="L442" s="69">
        <f>MAX(0,ROUND(L439+Materiales!$H$66-K441-L440,4))</f>
        <v/>
      </c>
      <c r="M442" s="66" t="n"/>
    </row>
    <row r="443">
      <c r="C443" s="63" t="inlineStr">
        <is>
          <t>Recepcion de orden planificada</t>
        </is>
      </c>
      <c r="D443" s="64" t="n"/>
      <c r="E443" s="65">
        <f>IF(E442&lt;=0,0,IF(Materiales!$G$66&lt;=0,E442,ROUNDUP(E442/Materiales!$G$66,0)*Materiales!$G$66))</f>
        <v/>
      </c>
      <c r="F443" s="65">
        <f>IF(F442&lt;=0,0,IF(Materiales!$G$66&lt;=0,F442,ROUNDUP(F442/Materiales!$G$66,0)*Materiales!$G$66))</f>
        <v/>
      </c>
      <c r="G443" s="65">
        <f>IF(G442&lt;=0,0,IF(Materiales!$G$66&lt;=0,G442,ROUNDUP(G442/Materiales!$G$66,0)*Materiales!$G$66))</f>
        <v/>
      </c>
      <c r="H443" s="65">
        <f>IF(H442&lt;=0,0,IF(Materiales!$G$66&lt;=0,H442,ROUNDUP(H442/Materiales!$G$66,0)*Materiales!$G$66))</f>
        <v/>
      </c>
      <c r="I443" s="65">
        <f>IF(I442&lt;=0,0,IF(Materiales!$G$66&lt;=0,I442,ROUNDUP(I442/Materiales!$G$66,0)*Materiales!$G$66))</f>
        <v/>
      </c>
      <c r="J443" s="65">
        <f>IF(J442&lt;=0,0,IF(Materiales!$G$66&lt;=0,J442,ROUNDUP(J442/Materiales!$G$66,0)*Materiales!$G$66))</f>
        <v/>
      </c>
      <c r="K443" s="65">
        <f>IF(K442&lt;=0,0,IF(Materiales!$G$66&lt;=0,K442,ROUNDUP(K442/Materiales!$G$66,0)*Materiales!$G$66))</f>
        <v/>
      </c>
      <c r="L443" s="65">
        <f>IF(L442&lt;=0,0,IF(Materiales!$G$66&lt;=0,L442,ROUNDUP(L442/Materiales!$G$66,0)*Materiales!$G$66))</f>
        <v/>
      </c>
      <c r="M443" s="66" t="n"/>
    </row>
    <row r="444">
      <c r="C444" s="70" t="inlineStr">
        <is>
          <t>LANZAMIENTO DE ORDEN — pedir esta semana</t>
        </is>
      </c>
      <c r="D444" s="64" t="n"/>
      <c r="E444" s="71">
        <f>IF(1+Materiales!$F$66&gt;8,0,INDEX($E$443:$L$443,1,1+Materiales!$F$66))</f>
        <v/>
      </c>
      <c r="F444" s="71">
        <f>IF(2+Materiales!$F$66&gt;8,0,INDEX($E$443:$L$443,1,2+Materiales!$F$66))</f>
        <v/>
      </c>
      <c r="G444" s="71">
        <f>IF(3+Materiales!$F$66&gt;8,0,INDEX($E$443:$L$443,1,3+Materiales!$F$66))</f>
        <v/>
      </c>
      <c r="H444" s="71">
        <f>IF(4+Materiales!$F$66&gt;8,0,INDEX($E$443:$L$443,1,4+Materiales!$F$66))</f>
        <v/>
      </c>
      <c r="I444" s="71">
        <f>IF(5+Materiales!$F$66&gt;8,0,INDEX($E$443:$L$443,1,5+Materiales!$F$66))</f>
        <v/>
      </c>
      <c r="J444" s="71">
        <f>IF(6+Materiales!$F$66&gt;8,0,INDEX($E$443:$L$443,1,6+Materiales!$F$66))</f>
        <v/>
      </c>
      <c r="K444" s="71">
        <f>IF(7+Materiales!$F$66&gt;8,0,INDEX($E$443:$L$443,1,7+Materiales!$F$66))</f>
        <v/>
      </c>
      <c r="L444" s="71">
        <f>IF(8+Materiales!$F$66&gt;8,0,INDEX($E$443:$L$443,1,8+Materiales!$F$66))</f>
        <v/>
      </c>
      <c r="M444" s="72">
        <f>IF($A439="","",IF(SUMPRODUCT((COLUMN($E$443:$L$443)-4&lt;=Materiales!$F$66)*$E$443:$L$443)&gt;0,"PEDIR YA (atrasado)","OK"))</f>
        <v/>
      </c>
    </row>
    <row r="445" ht="6" customHeight="1"/>
    <row r="446">
      <c r="A446" s="62">
        <f>IF(Materiales!$A$67="","",Materiales!$A$67)</f>
        <v/>
      </c>
      <c r="B446" s="62">
        <f>IF(Materiales!$B$67="","",Materiales!$B$67)</f>
        <v/>
      </c>
      <c r="C446" s="63" t="inlineStr">
        <is>
          <t>Necesidad bruta</t>
        </is>
      </c>
      <c r="D446" s="64" t="n"/>
      <c r="E446" s="65">
        <f>ROUND(SUMIF(Consumo!$P$4:$P$189,"#"&amp;$A446,Consumo!H$4:H$189),4)</f>
        <v/>
      </c>
      <c r="F446" s="65">
        <f>ROUND(SUMIF(Consumo!$P$4:$P$189,"#"&amp;$A446,Consumo!I$4:I$189),4)</f>
        <v/>
      </c>
      <c r="G446" s="65">
        <f>ROUND(SUMIF(Consumo!$P$4:$P$189,"#"&amp;$A446,Consumo!J$4:J$189),4)</f>
        <v/>
      </c>
      <c r="H446" s="65">
        <f>ROUND(SUMIF(Consumo!$P$4:$P$189,"#"&amp;$A446,Consumo!K$4:K$189),4)</f>
        <v/>
      </c>
      <c r="I446" s="65">
        <f>ROUND(SUMIF(Consumo!$P$4:$P$189,"#"&amp;$A446,Consumo!L$4:L$189),4)</f>
        <v/>
      </c>
      <c r="J446" s="65">
        <f>ROUND(SUMIF(Consumo!$P$4:$P$189,"#"&amp;$A446,Consumo!M$4:M$189),4)</f>
        <v/>
      </c>
      <c r="K446" s="65">
        <f>ROUND(SUMIF(Consumo!$P$4:$P$189,"#"&amp;$A446,Consumo!N$4:N$189),4)</f>
        <v/>
      </c>
      <c r="L446" s="65">
        <f>ROUND(SUMIF(Consumo!$P$4:$P$189,"#"&amp;$A446,Consumo!O$4:O$189),4)</f>
        <v/>
      </c>
      <c r="M446" s="66" t="n"/>
    </row>
    <row r="447">
      <c r="C447" s="63" t="inlineStr">
        <is>
          <t>Recepciones programadas (ya pedido)</t>
        </is>
      </c>
      <c r="D447" s="64" t="n"/>
      <c r="E447" s="65">
        <f>SUMIF(Inventario!$M$5:$M$505,"#"&amp;$A446,Inventario!E$5:E$505)</f>
        <v/>
      </c>
      <c r="F447" s="65">
        <f>SUMIF(Inventario!$M$5:$M$505,"#"&amp;$A446,Inventario!F$5:F$505)</f>
        <v/>
      </c>
      <c r="G447" s="65">
        <f>SUMIF(Inventario!$M$5:$M$505,"#"&amp;$A446,Inventario!G$5:G$505)</f>
        <v/>
      </c>
      <c r="H447" s="65">
        <f>SUMIF(Inventario!$M$5:$M$505,"#"&amp;$A446,Inventario!H$5:H$505)</f>
        <v/>
      </c>
      <c r="I447" s="65">
        <f>SUMIF(Inventario!$M$5:$M$505,"#"&amp;$A446,Inventario!I$5:I$505)</f>
        <v/>
      </c>
      <c r="J447" s="65">
        <f>SUMIF(Inventario!$M$5:$M$505,"#"&amp;$A446,Inventario!J$5:J$505)</f>
        <v/>
      </c>
      <c r="K447" s="65">
        <f>SUMIF(Inventario!$M$5:$M$505,"#"&amp;$A446,Inventario!K$5:K$505)</f>
        <v/>
      </c>
      <c r="L447" s="65">
        <f>SUMIF(Inventario!$M$5:$M$505,"#"&amp;$A446,Inventario!L$5:L$505)</f>
        <v/>
      </c>
      <c r="M447" s="66" t="n"/>
    </row>
    <row r="448">
      <c r="C448" s="63" t="inlineStr">
        <is>
          <t>Stock proyectado disponible</t>
        </is>
      </c>
      <c r="D448" s="67">
        <f>SUMIF(Inventario!$M$5:$M$505,"#"&amp;$A446,Inventario!$C$5:$C$505)</f>
        <v/>
      </c>
      <c r="E448" s="68">
        <f>D448+E447+E450-E446</f>
        <v/>
      </c>
      <c r="F448" s="68">
        <f>E448+F447+F450-F446</f>
        <v/>
      </c>
      <c r="G448" s="68">
        <f>F448+G447+G450-G446</f>
        <v/>
      </c>
      <c r="H448" s="68">
        <f>G448+H447+H450-H446</f>
        <v/>
      </c>
      <c r="I448" s="68">
        <f>H448+I447+I450-I446</f>
        <v/>
      </c>
      <c r="J448" s="68">
        <f>I448+J447+J450-J446</f>
        <v/>
      </c>
      <c r="K448" s="68">
        <f>J448+K447+K450-K446</f>
        <v/>
      </c>
      <c r="L448" s="68">
        <f>K448+L447+L450-L446</f>
        <v/>
      </c>
      <c r="M448" s="66" t="n"/>
    </row>
    <row r="449">
      <c r="C449" s="63" t="inlineStr">
        <is>
          <t>Necesidad neta</t>
        </is>
      </c>
      <c r="D449" s="64" t="n"/>
      <c r="E449" s="69">
        <f>MAX(0,ROUND(E446+Materiales!$H$67-D448-E447,4))</f>
        <v/>
      </c>
      <c r="F449" s="69">
        <f>MAX(0,ROUND(F446+Materiales!$H$67-E448-F447,4))</f>
        <v/>
      </c>
      <c r="G449" s="69">
        <f>MAX(0,ROUND(G446+Materiales!$H$67-F448-G447,4))</f>
        <v/>
      </c>
      <c r="H449" s="69">
        <f>MAX(0,ROUND(H446+Materiales!$H$67-G448-H447,4))</f>
        <v/>
      </c>
      <c r="I449" s="69">
        <f>MAX(0,ROUND(I446+Materiales!$H$67-H448-I447,4))</f>
        <v/>
      </c>
      <c r="J449" s="69">
        <f>MAX(0,ROUND(J446+Materiales!$H$67-I448-J447,4))</f>
        <v/>
      </c>
      <c r="K449" s="69">
        <f>MAX(0,ROUND(K446+Materiales!$H$67-J448-K447,4))</f>
        <v/>
      </c>
      <c r="L449" s="69">
        <f>MAX(0,ROUND(L446+Materiales!$H$67-K448-L447,4))</f>
        <v/>
      </c>
      <c r="M449" s="66" t="n"/>
    </row>
    <row r="450">
      <c r="C450" s="63" t="inlineStr">
        <is>
          <t>Recepcion de orden planificada</t>
        </is>
      </c>
      <c r="D450" s="64" t="n"/>
      <c r="E450" s="65">
        <f>IF(E449&lt;=0,0,IF(Materiales!$G$67&lt;=0,E449,ROUNDUP(E449/Materiales!$G$67,0)*Materiales!$G$67))</f>
        <v/>
      </c>
      <c r="F450" s="65">
        <f>IF(F449&lt;=0,0,IF(Materiales!$G$67&lt;=0,F449,ROUNDUP(F449/Materiales!$G$67,0)*Materiales!$G$67))</f>
        <v/>
      </c>
      <c r="G450" s="65">
        <f>IF(G449&lt;=0,0,IF(Materiales!$G$67&lt;=0,G449,ROUNDUP(G449/Materiales!$G$67,0)*Materiales!$G$67))</f>
        <v/>
      </c>
      <c r="H450" s="65">
        <f>IF(H449&lt;=0,0,IF(Materiales!$G$67&lt;=0,H449,ROUNDUP(H449/Materiales!$G$67,0)*Materiales!$G$67))</f>
        <v/>
      </c>
      <c r="I450" s="65">
        <f>IF(I449&lt;=0,0,IF(Materiales!$G$67&lt;=0,I449,ROUNDUP(I449/Materiales!$G$67,0)*Materiales!$G$67))</f>
        <v/>
      </c>
      <c r="J450" s="65">
        <f>IF(J449&lt;=0,0,IF(Materiales!$G$67&lt;=0,J449,ROUNDUP(J449/Materiales!$G$67,0)*Materiales!$G$67))</f>
        <v/>
      </c>
      <c r="K450" s="65">
        <f>IF(K449&lt;=0,0,IF(Materiales!$G$67&lt;=0,K449,ROUNDUP(K449/Materiales!$G$67,0)*Materiales!$G$67))</f>
        <v/>
      </c>
      <c r="L450" s="65">
        <f>IF(L449&lt;=0,0,IF(Materiales!$G$67&lt;=0,L449,ROUNDUP(L449/Materiales!$G$67,0)*Materiales!$G$67))</f>
        <v/>
      </c>
      <c r="M450" s="66" t="n"/>
    </row>
    <row r="451">
      <c r="C451" s="70" t="inlineStr">
        <is>
          <t>LANZAMIENTO DE ORDEN — pedir esta semana</t>
        </is>
      </c>
      <c r="D451" s="64" t="n"/>
      <c r="E451" s="71">
        <f>IF(1+Materiales!$F$67&gt;8,0,INDEX($E$450:$L$450,1,1+Materiales!$F$67))</f>
        <v/>
      </c>
      <c r="F451" s="71">
        <f>IF(2+Materiales!$F$67&gt;8,0,INDEX($E$450:$L$450,1,2+Materiales!$F$67))</f>
        <v/>
      </c>
      <c r="G451" s="71">
        <f>IF(3+Materiales!$F$67&gt;8,0,INDEX($E$450:$L$450,1,3+Materiales!$F$67))</f>
        <v/>
      </c>
      <c r="H451" s="71">
        <f>IF(4+Materiales!$F$67&gt;8,0,INDEX($E$450:$L$450,1,4+Materiales!$F$67))</f>
        <v/>
      </c>
      <c r="I451" s="71">
        <f>IF(5+Materiales!$F$67&gt;8,0,INDEX($E$450:$L$450,1,5+Materiales!$F$67))</f>
        <v/>
      </c>
      <c r="J451" s="71">
        <f>IF(6+Materiales!$F$67&gt;8,0,INDEX($E$450:$L$450,1,6+Materiales!$F$67))</f>
        <v/>
      </c>
      <c r="K451" s="71">
        <f>IF(7+Materiales!$F$67&gt;8,0,INDEX($E$450:$L$450,1,7+Materiales!$F$67))</f>
        <v/>
      </c>
      <c r="L451" s="71">
        <f>IF(8+Materiales!$F$67&gt;8,0,INDEX($E$450:$L$450,1,8+Materiales!$F$67))</f>
        <v/>
      </c>
      <c r="M451" s="72">
        <f>IF($A446="","",IF(SUMPRODUCT((COLUMN($E$450:$L$450)-4&lt;=Materiales!$F$67)*$E$450:$L$450)&gt;0,"PEDIR YA (atrasado)","OK"))</f>
        <v/>
      </c>
    </row>
    <row r="452" ht="6" customHeight="1"/>
    <row r="453">
      <c r="A453" s="62">
        <f>IF(Materiales!$A$68="","",Materiales!$A$68)</f>
        <v/>
      </c>
      <c r="B453" s="62">
        <f>IF(Materiales!$B$68="","",Materiales!$B$68)</f>
        <v/>
      </c>
      <c r="C453" s="63" t="inlineStr">
        <is>
          <t>Necesidad bruta</t>
        </is>
      </c>
      <c r="D453" s="64" t="n"/>
      <c r="E453" s="65">
        <f>ROUND(SUMIF(Consumo!$P$4:$P$189,"#"&amp;$A453,Consumo!H$4:H$189),4)</f>
        <v/>
      </c>
      <c r="F453" s="65">
        <f>ROUND(SUMIF(Consumo!$P$4:$P$189,"#"&amp;$A453,Consumo!I$4:I$189),4)</f>
        <v/>
      </c>
      <c r="G453" s="65">
        <f>ROUND(SUMIF(Consumo!$P$4:$P$189,"#"&amp;$A453,Consumo!J$4:J$189),4)</f>
        <v/>
      </c>
      <c r="H453" s="65">
        <f>ROUND(SUMIF(Consumo!$P$4:$P$189,"#"&amp;$A453,Consumo!K$4:K$189),4)</f>
        <v/>
      </c>
      <c r="I453" s="65">
        <f>ROUND(SUMIF(Consumo!$P$4:$P$189,"#"&amp;$A453,Consumo!L$4:L$189),4)</f>
        <v/>
      </c>
      <c r="J453" s="65">
        <f>ROUND(SUMIF(Consumo!$P$4:$P$189,"#"&amp;$A453,Consumo!M$4:M$189),4)</f>
        <v/>
      </c>
      <c r="K453" s="65">
        <f>ROUND(SUMIF(Consumo!$P$4:$P$189,"#"&amp;$A453,Consumo!N$4:N$189),4)</f>
        <v/>
      </c>
      <c r="L453" s="65">
        <f>ROUND(SUMIF(Consumo!$P$4:$P$189,"#"&amp;$A453,Consumo!O$4:O$189),4)</f>
        <v/>
      </c>
      <c r="M453" s="66" t="n"/>
    </row>
    <row r="454">
      <c r="C454" s="63" t="inlineStr">
        <is>
          <t>Recepciones programadas (ya pedido)</t>
        </is>
      </c>
      <c r="D454" s="64" t="n"/>
      <c r="E454" s="65">
        <f>SUMIF(Inventario!$M$5:$M$505,"#"&amp;$A453,Inventario!E$5:E$505)</f>
        <v/>
      </c>
      <c r="F454" s="65">
        <f>SUMIF(Inventario!$M$5:$M$505,"#"&amp;$A453,Inventario!F$5:F$505)</f>
        <v/>
      </c>
      <c r="G454" s="65">
        <f>SUMIF(Inventario!$M$5:$M$505,"#"&amp;$A453,Inventario!G$5:G$505)</f>
        <v/>
      </c>
      <c r="H454" s="65">
        <f>SUMIF(Inventario!$M$5:$M$505,"#"&amp;$A453,Inventario!H$5:H$505)</f>
        <v/>
      </c>
      <c r="I454" s="65">
        <f>SUMIF(Inventario!$M$5:$M$505,"#"&amp;$A453,Inventario!I$5:I$505)</f>
        <v/>
      </c>
      <c r="J454" s="65">
        <f>SUMIF(Inventario!$M$5:$M$505,"#"&amp;$A453,Inventario!J$5:J$505)</f>
        <v/>
      </c>
      <c r="K454" s="65">
        <f>SUMIF(Inventario!$M$5:$M$505,"#"&amp;$A453,Inventario!K$5:K$505)</f>
        <v/>
      </c>
      <c r="L454" s="65">
        <f>SUMIF(Inventario!$M$5:$M$505,"#"&amp;$A453,Inventario!L$5:L$505)</f>
        <v/>
      </c>
      <c r="M454" s="66" t="n"/>
    </row>
    <row r="455">
      <c r="C455" s="63" t="inlineStr">
        <is>
          <t>Stock proyectado disponible</t>
        </is>
      </c>
      <c r="D455" s="67">
        <f>SUMIF(Inventario!$M$5:$M$505,"#"&amp;$A453,Inventario!$C$5:$C$505)</f>
        <v/>
      </c>
      <c r="E455" s="68">
        <f>D455+E454+E457-E453</f>
        <v/>
      </c>
      <c r="F455" s="68">
        <f>E455+F454+F457-F453</f>
        <v/>
      </c>
      <c r="G455" s="68">
        <f>F455+G454+G457-G453</f>
        <v/>
      </c>
      <c r="H455" s="68">
        <f>G455+H454+H457-H453</f>
        <v/>
      </c>
      <c r="I455" s="68">
        <f>H455+I454+I457-I453</f>
        <v/>
      </c>
      <c r="J455" s="68">
        <f>I455+J454+J457-J453</f>
        <v/>
      </c>
      <c r="K455" s="68">
        <f>J455+K454+K457-K453</f>
        <v/>
      </c>
      <c r="L455" s="68">
        <f>K455+L454+L457-L453</f>
        <v/>
      </c>
      <c r="M455" s="66" t="n"/>
    </row>
    <row r="456">
      <c r="C456" s="63" t="inlineStr">
        <is>
          <t>Necesidad neta</t>
        </is>
      </c>
      <c r="D456" s="64" t="n"/>
      <c r="E456" s="69">
        <f>MAX(0,ROUND(E453+Materiales!$H$68-D455-E454,4))</f>
        <v/>
      </c>
      <c r="F456" s="69">
        <f>MAX(0,ROUND(F453+Materiales!$H$68-E455-F454,4))</f>
        <v/>
      </c>
      <c r="G456" s="69">
        <f>MAX(0,ROUND(G453+Materiales!$H$68-F455-G454,4))</f>
        <v/>
      </c>
      <c r="H456" s="69">
        <f>MAX(0,ROUND(H453+Materiales!$H$68-G455-H454,4))</f>
        <v/>
      </c>
      <c r="I456" s="69">
        <f>MAX(0,ROUND(I453+Materiales!$H$68-H455-I454,4))</f>
        <v/>
      </c>
      <c r="J456" s="69">
        <f>MAX(0,ROUND(J453+Materiales!$H$68-I455-J454,4))</f>
        <v/>
      </c>
      <c r="K456" s="69">
        <f>MAX(0,ROUND(K453+Materiales!$H$68-J455-K454,4))</f>
        <v/>
      </c>
      <c r="L456" s="69">
        <f>MAX(0,ROUND(L453+Materiales!$H$68-K455-L454,4))</f>
        <v/>
      </c>
      <c r="M456" s="66" t="n"/>
    </row>
    <row r="457">
      <c r="C457" s="63" t="inlineStr">
        <is>
          <t>Recepcion de orden planificada</t>
        </is>
      </c>
      <c r="D457" s="64" t="n"/>
      <c r="E457" s="65">
        <f>IF(E456&lt;=0,0,IF(Materiales!$G$68&lt;=0,E456,ROUNDUP(E456/Materiales!$G$68,0)*Materiales!$G$68))</f>
        <v/>
      </c>
      <c r="F457" s="65">
        <f>IF(F456&lt;=0,0,IF(Materiales!$G$68&lt;=0,F456,ROUNDUP(F456/Materiales!$G$68,0)*Materiales!$G$68))</f>
        <v/>
      </c>
      <c r="G457" s="65">
        <f>IF(G456&lt;=0,0,IF(Materiales!$G$68&lt;=0,G456,ROUNDUP(G456/Materiales!$G$68,0)*Materiales!$G$68))</f>
        <v/>
      </c>
      <c r="H457" s="65">
        <f>IF(H456&lt;=0,0,IF(Materiales!$G$68&lt;=0,H456,ROUNDUP(H456/Materiales!$G$68,0)*Materiales!$G$68))</f>
        <v/>
      </c>
      <c r="I457" s="65">
        <f>IF(I456&lt;=0,0,IF(Materiales!$G$68&lt;=0,I456,ROUNDUP(I456/Materiales!$G$68,0)*Materiales!$G$68))</f>
        <v/>
      </c>
      <c r="J457" s="65">
        <f>IF(J456&lt;=0,0,IF(Materiales!$G$68&lt;=0,J456,ROUNDUP(J456/Materiales!$G$68,0)*Materiales!$G$68))</f>
        <v/>
      </c>
      <c r="K457" s="65">
        <f>IF(K456&lt;=0,0,IF(Materiales!$G$68&lt;=0,K456,ROUNDUP(K456/Materiales!$G$68,0)*Materiales!$G$68))</f>
        <v/>
      </c>
      <c r="L457" s="65">
        <f>IF(L456&lt;=0,0,IF(Materiales!$G$68&lt;=0,L456,ROUNDUP(L456/Materiales!$G$68,0)*Materiales!$G$68))</f>
        <v/>
      </c>
      <c r="M457" s="66" t="n"/>
    </row>
    <row r="458">
      <c r="C458" s="70" t="inlineStr">
        <is>
          <t>LANZAMIENTO DE ORDEN — pedir esta semana</t>
        </is>
      </c>
      <c r="D458" s="64" t="n"/>
      <c r="E458" s="71">
        <f>IF(1+Materiales!$F$68&gt;8,0,INDEX($E$457:$L$457,1,1+Materiales!$F$68))</f>
        <v/>
      </c>
      <c r="F458" s="71">
        <f>IF(2+Materiales!$F$68&gt;8,0,INDEX($E$457:$L$457,1,2+Materiales!$F$68))</f>
        <v/>
      </c>
      <c r="G458" s="71">
        <f>IF(3+Materiales!$F$68&gt;8,0,INDEX($E$457:$L$457,1,3+Materiales!$F$68))</f>
        <v/>
      </c>
      <c r="H458" s="71">
        <f>IF(4+Materiales!$F$68&gt;8,0,INDEX($E$457:$L$457,1,4+Materiales!$F$68))</f>
        <v/>
      </c>
      <c r="I458" s="71">
        <f>IF(5+Materiales!$F$68&gt;8,0,INDEX($E$457:$L$457,1,5+Materiales!$F$68))</f>
        <v/>
      </c>
      <c r="J458" s="71">
        <f>IF(6+Materiales!$F$68&gt;8,0,INDEX($E$457:$L$457,1,6+Materiales!$F$68))</f>
        <v/>
      </c>
      <c r="K458" s="71">
        <f>IF(7+Materiales!$F$68&gt;8,0,INDEX($E$457:$L$457,1,7+Materiales!$F$68))</f>
        <v/>
      </c>
      <c r="L458" s="71">
        <f>IF(8+Materiales!$F$68&gt;8,0,INDEX($E$457:$L$457,1,8+Materiales!$F$68))</f>
        <v/>
      </c>
      <c r="M458" s="72">
        <f>IF($A453="","",IF(SUMPRODUCT((COLUMN($E$457:$L$457)-4&lt;=Materiales!$F$68)*$E$457:$L$457)&gt;0,"PEDIR YA (atrasado)","OK"))</f>
        <v/>
      </c>
    </row>
    <row r="459" ht="6" customHeight="1"/>
    <row r="460">
      <c r="A460" s="62">
        <f>IF(Materiales!$A$69="","",Materiales!$A$69)</f>
        <v/>
      </c>
      <c r="B460" s="62">
        <f>IF(Materiales!$B$69="","",Materiales!$B$69)</f>
        <v/>
      </c>
      <c r="C460" s="63" t="inlineStr">
        <is>
          <t>Necesidad bruta</t>
        </is>
      </c>
      <c r="D460" s="64" t="n"/>
      <c r="E460" s="65">
        <f>ROUND(SUMIF(Consumo!$P$4:$P$189,"#"&amp;$A460,Consumo!H$4:H$189),4)</f>
        <v/>
      </c>
      <c r="F460" s="65">
        <f>ROUND(SUMIF(Consumo!$P$4:$P$189,"#"&amp;$A460,Consumo!I$4:I$189),4)</f>
        <v/>
      </c>
      <c r="G460" s="65">
        <f>ROUND(SUMIF(Consumo!$P$4:$P$189,"#"&amp;$A460,Consumo!J$4:J$189),4)</f>
        <v/>
      </c>
      <c r="H460" s="65">
        <f>ROUND(SUMIF(Consumo!$P$4:$P$189,"#"&amp;$A460,Consumo!K$4:K$189),4)</f>
        <v/>
      </c>
      <c r="I460" s="65">
        <f>ROUND(SUMIF(Consumo!$P$4:$P$189,"#"&amp;$A460,Consumo!L$4:L$189),4)</f>
        <v/>
      </c>
      <c r="J460" s="65">
        <f>ROUND(SUMIF(Consumo!$P$4:$P$189,"#"&amp;$A460,Consumo!M$4:M$189),4)</f>
        <v/>
      </c>
      <c r="K460" s="65">
        <f>ROUND(SUMIF(Consumo!$P$4:$P$189,"#"&amp;$A460,Consumo!N$4:N$189),4)</f>
        <v/>
      </c>
      <c r="L460" s="65">
        <f>ROUND(SUMIF(Consumo!$P$4:$P$189,"#"&amp;$A460,Consumo!O$4:O$189),4)</f>
        <v/>
      </c>
      <c r="M460" s="66" t="n"/>
    </row>
    <row r="461">
      <c r="C461" s="63" t="inlineStr">
        <is>
          <t>Recepciones programadas (ya pedido)</t>
        </is>
      </c>
      <c r="D461" s="64" t="n"/>
      <c r="E461" s="65">
        <f>SUMIF(Inventario!$M$5:$M$505,"#"&amp;$A460,Inventario!E$5:E$505)</f>
        <v/>
      </c>
      <c r="F461" s="65">
        <f>SUMIF(Inventario!$M$5:$M$505,"#"&amp;$A460,Inventario!F$5:F$505)</f>
        <v/>
      </c>
      <c r="G461" s="65">
        <f>SUMIF(Inventario!$M$5:$M$505,"#"&amp;$A460,Inventario!G$5:G$505)</f>
        <v/>
      </c>
      <c r="H461" s="65">
        <f>SUMIF(Inventario!$M$5:$M$505,"#"&amp;$A460,Inventario!H$5:H$505)</f>
        <v/>
      </c>
      <c r="I461" s="65">
        <f>SUMIF(Inventario!$M$5:$M$505,"#"&amp;$A460,Inventario!I$5:I$505)</f>
        <v/>
      </c>
      <c r="J461" s="65">
        <f>SUMIF(Inventario!$M$5:$M$505,"#"&amp;$A460,Inventario!J$5:J$505)</f>
        <v/>
      </c>
      <c r="K461" s="65">
        <f>SUMIF(Inventario!$M$5:$M$505,"#"&amp;$A460,Inventario!K$5:K$505)</f>
        <v/>
      </c>
      <c r="L461" s="65">
        <f>SUMIF(Inventario!$M$5:$M$505,"#"&amp;$A460,Inventario!L$5:L$505)</f>
        <v/>
      </c>
      <c r="M461" s="66" t="n"/>
    </row>
    <row r="462">
      <c r="C462" s="63" t="inlineStr">
        <is>
          <t>Stock proyectado disponible</t>
        </is>
      </c>
      <c r="D462" s="67">
        <f>SUMIF(Inventario!$M$5:$M$505,"#"&amp;$A460,Inventario!$C$5:$C$505)</f>
        <v/>
      </c>
      <c r="E462" s="68">
        <f>D462+E461+E464-E460</f>
        <v/>
      </c>
      <c r="F462" s="68">
        <f>E462+F461+F464-F460</f>
        <v/>
      </c>
      <c r="G462" s="68">
        <f>F462+G461+G464-G460</f>
        <v/>
      </c>
      <c r="H462" s="68">
        <f>G462+H461+H464-H460</f>
        <v/>
      </c>
      <c r="I462" s="68">
        <f>H462+I461+I464-I460</f>
        <v/>
      </c>
      <c r="J462" s="68">
        <f>I462+J461+J464-J460</f>
        <v/>
      </c>
      <c r="K462" s="68">
        <f>J462+K461+K464-K460</f>
        <v/>
      </c>
      <c r="L462" s="68">
        <f>K462+L461+L464-L460</f>
        <v/>
      </c>
      <c r="M462" s="66" t="n"/>
    </row>
    <row r="463">
      <c r="C463" s="63" t="inlineStr">
        <is>
          <t>Necesidad neta</t>
        </is>
      </c>
      <c r="D463" s="64" t="n"/>
      <c r="E463" s="69">
        <f>MAX(0,ROUND(E460+Materiales!$H$69-D462-E461,4))</f>
        <v/>
      </c>
      <c r="F463" s="69">
        <f>MAX(0,ROUND(F460+Materiales!$H$69-E462-F461,4))</f>
        <v/>
      </c>
      <c r="G463" s="69">
        <f>MAX(0,ROUND(G460+Materiales!$H$69-F462-G461,4))</f>
        <v/>
      </c>
      <c r="H463" s="69">
        <f>MAX(0,ROUND(H460+Materiales!$H$69-G462-H461,4))</f>
        <v/>
      </c>
      <c r="I463" s="69">
        <f>MAX(0,ROUND(I460+Materiales!$H$69-H462-I461,4))</f>
        <v/>
      </c>
      <c r="J463" s="69">
        <f>MAX(0,ROUND(J460+Materiales!$H$69-I462-J461,4))</f>
        <v/>
      </c>
      <c r="K463" s="69">
        <f>MAX(0,ROUND(K460+Materiales!$H$69-J462-K461,4))</f>
        <v/>
      </c>
      <c r="L463" s="69">
        <f>MAX(0,ROUND(L460+Materiales!$H$69-K462-L461,4))</f>
        <v/>
      </c>
      <c r="M463" s="66" t="n"/>
    </row>
    <row r="464">
      <c r="C464" s="63" t="inlineStr">
        <is>
          <t>Recepcion de orden planificada</t>
        </is>
      </c>
      <c r="D464" s="64" t="n"/>
      <c r="E464" s="65">
        <f>IF(E463&lt;=0,0,IF(Materiales!$G$69&lt;=0,E463,ROUNDUP(E463/Materiales!$G$69,0)*Materiales!$G$69))</f>
        <v/>
      </c>
      <c r="F464" s="65">
        <f>IF(F463&lt;=0,0,IF(Materiales!$G$69&lt;=0,F463,ROUNDUP(F463/Materiales!$G$69,0)*Materiales!$G$69))</f>
        <v/>
      </c>
      <c r="G464" s="65">
        <f>IF(G463&lt;=0,0,IF(Materiales!$G$69&lt;=0,G463,ROUNDUP(G463/Materiales!$G$69,0)*Materiales!$G$69))</f>
        <v/>
      </c>
      <c r="H464" s="65">
        <f>IF(H463&lt;=0,0,IF(Materiales!$G$69&lt;=0,H463,ROUNDUP(H463/Materiales!$G$69,0)*Materiales!$G$69))</f>
        <v/>
      </c>
      <c r="I464" s="65">
        <f>IF(I463&lt;=0,0,IF(Materiales!$G$69&lt;=0,I463,ROUNDUP(I463/Materiales!$G$69,0)*Materiales!$G$69))</f>
        <v/>
      </c>
      <c r="J464" s="65">
        <f>IF(J463&lt;=0,0,IF(Materiales!$G$69&lt;=0,J463,ROUNDUP(J463/Materiales!$G$69,0)*Materiales!$G$69))</f>
        <v/>
      </c>
      <c r="K464" s="65">
        <f>IF(K463&lt;=0,0,IF(Materiales!$G$69&lt;=0,K463,ROUNDUP(K463/Materiales!$G$69,0)*Materiales!$G$69))</f>
        <v/>
      </c>
      <c r="L464" s="65">
        <f>IF(L463&lt;=0,0,IF(Materiales!$G$69&lt;=0,L463,ROUNDUP(L463/Materiales!$G$69,0)*Materiales!$G$69))</f>
        <v/>
      </c>
      <c r="M464" s="66" t="n"/>
    </row>
    <row r="465">
      <c r="C465" s="70" t="inlineStr">
        <is>
          <t>LANZAMIENTO DE ORDEN — pedir esta semana</t>
        </is>
      </c>
      <c r="D465" s="64" t="n"/>
      <c r="E465" s="71">
        <f>IF(1+Materiales!$F$69&gt;8,0,INDEX($E$464:$L$464,1,1+Materiales!$F$69))</f>
        <v/>
      </c>
      <c r="F465" s="71">
        <f>IF(2+Materiales!$F$69&gt;8,0,INDEX($E$464:$L$464,1,2+Materiales!$F$69))</f>
        <v/>
      </c>
      <c r="G465" s="71">
        <f>IF(3+Materiales!$F$69&gt;8,0,INDEX($E$464:$L$464,1,3+Materiales!$F$69))</f>
        <v/>
      </c>
      <c r="H465" s="71">
        <f>IF(4+Materiales!$F$69&gt;8,0,INDEX($E$464:$L$464,1,4+Materiales!$F$69))</f>
        <v/>
      </c>
      <c r="I465" s="71">
        <f>IF(5+Materiales!$F$69&gt;8,0,INDEX($E$464:$L$464,1,5+Materiales!$F$69))</f>
        <v/>
      </c>
      <c r="J465" s="71">
        <f>IF(6+Materiales!$F$69&gt;8,0,INDEX($E$464:$L$464,1,6+Materiales!$F$69))</f>
        <v/>
      </c>
      <c r="K465" s="71">
        <f>IF(7+Materiales!$F$69&gt;8,0,INDEX($E$464:$L$464,1,7+Materiales!$F$69))</f>
        <v/>
      </c>
      <c r="L465" s="71">
        <f>IF(8+Materiales!$F$69&gt;8,0,INDEX($E$464:$L$464,1,8+Materiales!$F$69))</f>
        <v/>
      </c>
      <c r="M465" s="72">
        <f>IF($A460="","",IF(SUMPRODUCT((COLUMN($E$464:$L$464)-4&lt;=Materiales!$F$69)*$E$464:$L$464)&gt;0,"PEDIR YA (atrasado)","OK"))</f>
        <v/>
      </c>
    </row>
    <row r="466" ht="6" customHeight="1"/>
    <row r="467">
      <c r="A467" s="62">
        <f>IF(Materiales!$A$70="","",Materiales!$A$70)</f>
        <v/>
      </c>
      <c r="B467" s="62">
        <f>IF(Materiales!$B$70="","",Materiales!$B$70)</f>
        <v/>
      </c>
      <c r="C467" s="63" t="inlineStr">
        <is>
          <t>Necesidad bruta</t>
        </is>
      </c>
      <c r="D467" s="64" t="n"/>
      <c r="E467" s="65">
        <f>ROUND(SUMIF(Consumo!$P$4:$P$189,"#"&amp;$A467,Consumo!H$4:H$189),4)</f>
        <v/>
      </c>
      <c r="F467" s="65">
        <f>ROUND(SUMIF(Consumo!$P$4:$P$189,"#"&amp;$A467,Consumo!I$4:I$189),4)</f>
        <v/>
      </c>
      <c r="G467" s="65">
        <f>ROUND(SUMIF(Consumo!$P$4:$P$189,"#"&amp;$A467,Consumo!J$4:J$189),4)</f>
        <v/>
      </c>
      <c r="H467" s="65">
        <f>ROUND(SUMIF(Consumo!$P$4:$P$189,"#"&amp;$A467,Consumo!K$4:K$189),4)</f>
        <v/>
      </c>
      <c r="I467" s="65">
        <f>ROUND(SUMIF(Consumo!$P$4:$P$189,"#"&amp;$A467,Consumo!L$4:L$189),4)</f>
        <v/>
      </c>
      <c r="J467" s="65">
        <f>ROUND(SUMIF(Consumo!$P$4:$P$189,"#"&amp;$A467,Consumo!M$4:M$189),4)</f>
        <v/>
      </c>
      <c r="K467" s="65">
        <f>ROUND(SUMIF(Consumo!$P$4:$P$189,"#"&amp;$A467,Consumo!N$4:N$189),4)</f>
        <v/>
      </c>
      <c r="L467" s="65">
        <f>ROUND(SUMIF(Consumo!$P$4:$P$189,"#"&amp;$A467,Consumo!O$4:O$189),4)</f>
        <v/>
      </c>
      <c r="M467" s="66" t="n"/>
    </row>
    <row r="468">
      <c r="C468" s="63" t="inlineStr">
        <is>
          <t>Recepciones programadas (ya pedido)</t>
        </is>
      </c>
      <c r="D468" s="64" t="n"/>
      <c r="E468" s="65">
        <f>SUMIF(Inventario!$M$5:$M$505,"#"&amp;$A467,Inventario!E$5:E$505)</f>
        <v/>
      </c>
      <c r="F468" s="65">
        <f>SUMIF(Inventario!$M$5:$M$505,"#"&amp;$A467,Inventario!F$5:F$505)</f>
        <v/>
      </c>
      <c r="G468" s="65">
        <f>SUMIF(Inventario!$M$5:$M$505,"#"&amp;$A467,Inventario!G$5:G$505)</f>
        <v/>
      </c>
      <c r="H468" s="65">
        <f>SUMIF(Inventario!$M$5:$M$505,"#"&amp;$A467,Inventario!H$5:H$505)</f>
        <v/>
      </c>
      <c r="I468" s="65">
        <f>SUMIF(Inventario!$M$5:$M$505,"#"&amp;$A467,Inventario!I$5:I$505)</f>
        <v/>
      </c>
      <c r="J468" s="65">
        <f>SUMIF(Inventario!$M$5:$M$505,"#"&amp;$A467,Inventario!J$5:J$505)</f>
        <v/>
      </c>
      <c r="K468" s="65">
        <f>SUMIF(Inventario!$M$5:$M$505,"#"&amp;$A467,Inventario!K$5:K$505)</f>
        <v/>
      </c>
      <c r="L468" s="65">
        <f>SUMIF(Inventario!$M$5:$M$505,"#"&amp;$A467,Inventario!L$5:L$505)</f>
        <v/>
      </c>
      <c r="M468" s="66" t="n"/>
    </row>
    <row r="469">
      <c r="C469" s="63" t="inlineStr">
        <is>
          <t>Stock proyectado disponible</t>
        </is>
      </c>
      <c r="D469" s="67">
        <f>SUMIF(Inventario!$M$5:$M$505,"#"&amp;$A467,Inventario!$C$5:$C$505)</f>
        <v/>
      </c>
      <c r="E469" s="68">
        <f>D469+E468+E471-E467</f>
        <v/>
      </c>
      <c r="F469" s="68">
        <f>E469+F468+F471-F467</f>
        <v/>
      </c>
      <c r="G469" s="68">
        <f>F469+G468+G471-G467</f>
        <v/>
      </c>
      <c r="H469" s="68">
        <f>G469+H468+H471-H467</f>
        <v/>
      </c>
      <c r="I469" s="68">
        <f>H469+I468+I471-I467</f>
        <v/>
      </c>
      <c r="J469" s="68">
        <f>I469+J468+J471-J467</f>
        <v/>
      </c>
      <c r="K469" s="68">
        <f>J469+K468+K471-K467</f>
        <v/>
      </c>
      <c r="L469" s="68">
        <f>K469+L468+L471-L467</f>
        <v/>
      </c>
      <c r="M469" s="66" t="n"/>
    </row>
    <row r="470">
      <c r="C470" s="63" t="inlineStr">
        <is>
          <t>Necesidad neta</t>
        </is>
      </c>
      <c r="D470" s="64" t="n"/>
      <c r="E470" s="69">
        <f>MAX(0,ROUND(E467+Materiales!$H$70-D469-E468,4))</f>
        <v/>
      </c>
      <c r="F470" s="69">
        <f>MAX(0,ROUND(F467+Materiales!$H$70-E469-F468,4))</f>
        <v/>
      </c>
      <c r="G470" s="69">
        <f>MAX(0,ROUND(G467+Materiales!$H$70-F469-G468,4))</f>
        <v/>
      </c>
      <c r="H470" s="69">
        <f>MAX(0,ROUND(H467+Materiales!$H$70-G469-H468,4))</f>
        <v/>
      </c>
      <c r="I470" s="69">
        <f>MAX(0,ROUND(I467+Materiales!$H$70-H469-I468,4))</f>
        <v/>
      </c>
      <c r="J470" s="69">
        <f>MAX(0,ROUND(J467+Materiales!$H$70-I469-J468,4))</f>
        <v/>
      </c>
      <c r="K470" s="69">
        <f>MAX(0,ROUND(K467+Materiales!$H$70-J469-K468,4))</f>
        <v/>
      </c>
      <c r="L470" s="69">
        <f>MAX(0,ROUND(L467+Materiales!$H$70-K469-L468,4))</f>
        <v/>
      </c>
      <c r="M470" s="66" t="n"/>
    </row>
    <row r="471">
      <c r="C471" s="63" t="inlineStr">
        <is>
          <t>Recepcion de orden planificada</t>
        </is>
      </c>
      <c r="D471" s="64" t="n"/>
      <c r="E471" s="65">
        <f>IF(E470&lt;=0,0,IF(Materiales!$G$70&lt;=0,E470,ROUNDUP(E470/Materiales!$G$70,0)*Materiales!$G$70))</f>
        <v/>
      </c>
      <c r="F471" s="65">
        <f>IF(F470&lt;=0,0,IF(Materiales!$G$70&lt;=0,F470,ROUNDUP(F470/Materiales!$G$70,0)*Materiales!$G$70))</f>
        <v/>
      </c>
      <c r="G471" s="65">
        <f>IF(G470&lt;=0,0,IF(Materiales!$G$70&lt;=0,G470,ROUNDUP(G470/Materiales!$G$70,0)*Materiales!$G$70))</f>
        <v/>
      </c>
      <c r="H471" s="65">
        <f>IF(H470&lt;=0,0,IF(Materiales!$G$70&lt;=0,H470,ROUNDUP(H470/Materiales!$G$70,0)*Materiales!$G$70))</f>
        <v/>
      </c>
      <c r="I471" s="65">
        <f>IF(I470&lt;=0,0,IF(Materiales!$G$70&lt;=0,I470,ROUNDUP(I470/Materiales!$G$70,0)*Materiales!$G$70))</f>
        <v/>
      </c>
      <c r="J471" s="65">
        <f>IF(J470&lt;=0,0,IF(Materiales!$G$70&lt;=0,J470,ROUNDUP(J470/Materiales!$G$70,0)*Materiales!$G$70))</f>
        <v/>
      </c>
      <c r="K471" s="65">
        <f>IF(K470&lt;=0,0,IF(Materiales!$G$70&lt;=0,K470,ROUNDUP(K470/Materiales!$G$70,0)*Materiales!$G$70))</f>
        <v/>
      </c>
      <c r="L471" s="65">
        <f>IF(L470&lt;=0,0,IF(Materiales!$G$70&lt;=0,L470,ROUNDUP(L470/Materiales!$G$70,0)*Materiales!$G$70))</f>
        <v/>
      </c>
      <c r="M471" s="66" t="n"/>
    </row>
    <row r="472">
      <c r="C472" s="70" t="inlineStr">
        <is>
          <t>LANZAMIENTO DE ORDEN — pedir esta semana</t>
        </is>
      </c>
      <c r="D472" s="64" t="n"/>
      <c r="E472" s="71">
        <f>IF(1+Materiales!$F$70&gt;8,0,INDEX($E$471:$L$471,1,1+Materiales!$F$70))</f>
        <v/>
      </c>
      <c r="F472" s="71">
        <f>IF(2+Materiales!$F$70&gt;8,0,INDEX($E$471:$L$471,1,2+Materiales!$F$70))</f>
        <v/>
      </c>
      <c r="G472" s="71">
        <f>IF(3+Materiales!$F$70&gt;8,0,INDEX($E$471:$L$471,1,3+Materiales!$F$70))</f>
        <v/>
      </c>
      <c r="H472" s="71">
        <f>IF(4+Materiales!$F$70&gt;8,0,INDEX($E$471:$L$471,1,4+Materiales!$F$70))</f>
        <v/>
      </c>
      <c r="I472" s="71">
        <f>IF(5+Materiales!$F$70&gt;8,0,INDEX($E$471:$L$471,1,5+Materiales!$F$70))</f>
        <v/>
      </c>
      <c r="J472" s="71">
        <f>IF(6+Materiales!$F$70&gt;8,0,INDEX($E$471:$L$471,1,6+Materiales!$F$70))</f>
        <v/>
      </c>
      <c r="K472" s="71">
        <f>IF(7+Materiales!$F$70&gt;8,0,INDEX($E$471:$L$471,1,7+Materiales!$F$70))</f>
        <v/>
      </c>
      <c r="L472" s="71">
        <f>IF(8+Materiales!$F$70&gt;8,0,INDEX($E$471:$L$471,1,8+Materiales!$F$70))</f>
        <v/>
      </c>
      <c r="M472" s="72">
        <f>IF($A467="","",IF(SUMPRODUCT((COLUMN($E$471:$L$471)-4&lt;=Materiales!$F$70)*$E$471:$L$471)&gt;0,"PEDIR YA (atrasado)","OK"))</f>
        <v/>
      </c>
    </row>
    <row r="473" ht="6" customHeight="1"/>
    <row r="474">
      <c r="A474" s="62">
        <f>IF(Materiales!$A$71="","",Materiales!$A$71)</f>
        <v/>
      </c>
      <c r="B474" s="62">
        <f>IF(Materiales!$B$71="","",Materiales!$B$71)</f>
        <v/>
      </c>
      <c r="C474" s="63" t="inlineStr">
        <is>
          <t>Necesidad bruta</t>
        </is>
      </c>
      <c r="D474" s="64" t="n"/>
      <c r="E474" s="65">
        <f>ROUND(SUMIF(Consumo!$P$4:$P$189,"#"&amp;$A474,Consumo!H$4:H$189),4)</f>
        <v/>
      </c>
      <c r="F474" s="65">
        <f>ROUND(SUMIF(Consumo!$P$4:$P$189,"#"&amp;$A474,Consumo!I$4:I$189),4)</f>
        <v/>
      </c>
      <c r="G474" s="65">
        <f>ROUND(SUMIF(Consumo!$P$4:$P$189,"#"&amp;$A474,Consumo!J$4:J$189),4)</f>
        <v/>
      </c>
      <c r="H474" s="65">
        <f>ROUND(SUMIF(Consumo!$P$4:$P$189,"#"&amp;$A474,Consumo!K$4:K$189),4)</f>
        <v/>
      </c>
      <c r="I474" s="65">
        <f>ROUND(SUMIF(Consumo!$P$4:$P$189,"#"&amp;$A474,Consumo!L$4:L$189),4)</f>
        <v/>
      </c>
      <c r="J474" s="65">
        <f>ROUND(SUMIF(Consumo!$P$4:$P$189,"#"&amp;$A474,Consumo!M$4:M$189),4)</f>
        <v/>
      </c>
      <c r="K474" s="65">
        <f>ROUND(SUMIF(Consumo!$P$4:$P$189,"#"&amp;$A474,Consumo!N$4:N$189),4)</f>
        <v/>
      </c>
      <c r="L474" s="65">
        <f>ROUND(SUMIF(Consumo!$P$4:$P$189,"#"&amp;$A474,Consumo!O$4:O$189),4)</f>
        <v/>
      </c>
      <c r="M474" s="66" t="n"/>
    </row>
    <row r="475">
      <c r="C475" s="63" t="inlineStr">
        <is>
          <t>Recepciones programadas (ya pedido)</t>
        </is>
      </c>
      <c r="D475" s="64" t="n"/>
      <c r="E475" s="65">
        <f>SUMIF(Inventario!$M$5:$M$505,"#"&amp;$A474,Inventario!E$5:E$505)</f>
        <v/>
      </c>
      <c r="F475" s="65">
        <f>SUMIF(Inventario!$M$5:$M$505,"#"&amp;$A474,Inventario!F$5:F$505)</f>
        <v/>
      </c>
      <c r="G475" s="65">
        <f>SUMIF(Inventario!$M$5:$M$505,"#"&amp;$A474,Inventario!G$5:G$505)</f>
        <v/>
      </c>
      <c r="H475" s="65">
        <f>SUMIF(Inventario!$M$5:$M$505,"#"&amp;$A474,Inventario!H$5:H$505)</f>
        <v/>
      </c>
      <c r="I475" s="65">
        <f>SUMIF(Inventario!$M$5:$M$505,"#"&amp;$A474,Inventario!I$5:I$505)</f>
        <v/>
      </c>
      <c r="J475" s="65">
        <f>SUMIF(Inventario!$M$5:$M$505,"#"&amp;$A474,Inventario!J$5:J$505)</f>
        <v/>
      </c>
      <c r="K475" s="65">
        <f>SUMIF(Inventario!$M$5:$M$505,"#"&amp;$A474,Inventario!K$5:K$505)</f>
        <v/>
      </c>
      <c r="L475" s="65">
        <f>SUMIF(Inventario!$M$5:$M$505,"#"&amp;$A474,Inventario!L$5:L$505)</f>
        <v/>
      </c>
      <c r="M475" s="66" t="n"/>
    </row>
    <row r="476">
      <c r="C476" s="63" t="inlineStr">
        <is>
          <t>Stock proyectado disponible</t>
        </is>
      </c>
      <c r="D476" s="67">
        <f>SUMIF(Inventario!$M$5:$M$505,"#"&amp;$A474,Inventario!$C$5:$C$505)</f>
        <v/>
      </c>
      <c r="E476" s="68">
        <f>D476+E475+E478-E474</f>
        <v/>
      </c>
      <c r="F476" s="68">
        <f>E476+F475+F478-F474</f>
        <v/>
      </c>
      <c r="G476" s="68">
        <f>F476+G475+G478-G474</f>
        <v/>
      </c>
      <c r="H476" s="68">
        <f>G476+H475+H478-H474</f>
        <v/>
      </c>
      <c r="I476" s="68">
        <f>H476+I475+I478-I474</f>
        <v/>
      </c>
      <c r="J476" s="68">
        <f>I476+J475+J478-J474</f>
        <v/>
      </c>
      <c r="K476" s="68">
        <f>J476+K475+K478-K474</f>
        <v/>
      </c>
      <c r="L476" s="68">
        <f>K476+L475+L478-L474</f>
        <v/>
      </c>
      <c r="M476" s="66" t="n"/>
    </row>
    <row r="477">
      <c r="C477" s="63" t="inlineStr">
        <is>
          <t>Necesidad neta</t>
        </is>
      </c>
      <c r="D477" s="64" t="n"/>
      <c r="E477" s="69">
        <f>MAX(0,ROUND(E474+Materiales!$H$71-D476-E475,4))</f>
        <v/>
      </c>
      <c r="F477" s="69">
        <f>MAX(0,ROUND(F474+Materiales!$H$71-E476-F475,4))</f>
        <v/>
      </c>
      <c r="G477" s="69">
        <f>MAX(0,ROUND(G474+Materiales!$H$71-F476-G475,4))</f>
        <v/>
      </c>
      <c r="H477" s="69">
        <f>MAX(0,ROUND(H474+Materiales!$H$71-G476-H475,4))</f>
        <v/>
      </c>
      <c r="I477" s="69">
        <f>MAX(0,ROUND(I474+Materiales!$H$71-H476-I475,4))</f>
        <v/>
      </c>
      <c r="J477" s="69">
        <f>MAX(0,ROUND(J474+Materiales!$H$71-I476-J475,4))</f>
        <v/>
      </c>
      <c r="K477" s="69">
        <f>MAX(0,ROUND(K474+Materiales!$H$71-J476-K475,4))</f>
        <v/>
      </c>
      <c r="L477" s="69">
        <f>MAX(0,ROUND(L474+Materiales!$H$71-K476-L475,4))</f>
        <v/>
      </c>
      <c r="M477" s="66" t="n"/>
    </row>
    <row r="478">
      <c r="C478" s="63" t="inlineStr">
        <is>
          <t>Recepcion de orden planificada</t>
        </is>
      </c>
      <c r="D478" s="64" t="n"/>
      <c r="E478" s="65">
        <f>IF(E477&lt;=0,0,IF(Materiales!$G$71&lt;=0,E477,ROUNDUP(E477/Materiales!$G$71,0)*Materiales!$G$71))</f>
        <v/>
      </c>
      <c r="F478" s="65">
        <f>IF(F477&lt;=0,0,IF(Materiales!$G$71&lt;=0,F477,ROUNDUP(F477/Materiales!$G$71,0)*Materiales!$G$71))</f>
        <v/>
      </c>
      <c r="G478" s="65">
        <f>IF(G477&lt;=0,0,IF(Materiales!$G$71&lt;=0,G477,ROUNDUP(G477/Materiales!$G$71,0)*Materiales!$G$71))</f>
        <v/>
      </c>
      <c r="H478" s="65">
        <f>IF(H477&lt;=0,0,IF(Materiales!$G$71&lt;=0,H477,ROUNDUP(H477/Materiales!$G$71,0)*Materiales!$G$71))</f>
        <v/>
      </c>
      <c r="I478" s="65">
        <f>IF(I477&lt;=0,0,IF(Materiales!$G$71&lt;=0,I477,ROUNDUP(I477/Materiales!$G$71,0)*Materiales!$G$71))</f>
        <v/>
      </c>
      <c r="J478" s="65">
        <f>IF(J477&lt;=0,0,IF(Materiales!$G$71&lt;=0,J477,ROUNDUP(J477/Materiales!$G$71,0)*Materiales!$G$71))</f>
        <v/>
      </c>
      <c r="K478" s="65">
        <f>IF(K477&lt;=0,0,IF(Materiales!$G$71&lt;=0,K477,ROUNDUP(K477/Materiales!$G$71,0)*Materiales!$G$71))</f>
        <v/>
      </c>
      <c r="L478" s="65">
        <f>IF(L477&lt;=0,0,IF(Materiales!$G$71&lt;=0,L477,ROUNDUP(L477/Materiales!$G$71,0)*Materiales!$G$71))</f>
        <v/>
      </c>
      <c r="M478" s="66" t="n"/>
    </row>
    <row r="479">
      <c r="C479" s="70" t="inlineStr">
        <is>
          <t>LANZAMIENTO DE ORDEN — pedir esta semana</t>
        </is>
      </c>
      <c r="D479" s="64" t="n"/>
      <c r="E479" s="71">
        <f>IF(1+Materiales!$F$71&gt;8,0,INDEX($E$478:$L$478,1,1+Materiales!$F$71))</f>
        <v/>
      </c>
      <c r="F479" s="71">
        <f>IF(2+Materiales!$F$71&gt;8,0,INDEX($E$478:$L$478,1,2+Materiales!$F$71))</f>
        <v/>
      </c>
      <c r="G479" s="71">
        <f>IF(3+Materiales!$F$71&gt;8,0,INDEX($E$478:$L$478,1,3+Materiales!$F$71))</f>
        <v/>
      </c>
      <c r="H479" s="71">
        <f>IF(4+Materiales!$F$71&gt;8,0,INDEX($E$478:$L$478,1,4+Materiales!$F$71))</f>
        <v/>
      </c>
      <c r="I479" s="71">
        <f>IF(5+Materiales!$F$71&gt;8,0,INDEX($E$478:$L$478,1,5+Materiales!$F$71))</f>
        <v/>
      </c>
      <c r="J479" s="71">
        <f>IF(6+Materiales!$F$71&gt;8,0,INDEX($E$478:$L$478,1,6+Materiales!$F$71))</f>
        <v/>
      </c>
      <c r="K479" s="71">
        <f>IF(7+Materiales!$F$71&gt;8,0,INDEX($E$478:$L$478,1,7+Materiales!$F$71))</f>
        <v/>
      </c>
      <c r="L479" s="71">
        <f>IF(8+Materiales!$F$71&gt;8,0,INDEX($E$478:$L$478,1,8+Materiales!$F$71))</f>
        <v/>
      </c>
      <c r="M479" s="72">
        <f>IF($A474="","",IF(SUMPRODUCT((COLUMN($E$478:$L$478)-4&lt;=Materiales!$F$71)*$E$478:$L$478)&gt;0,"PEDIR YA (atrasado)","OK"))</f>
        <v/>
      </c>
    </row>
    <row r="480" ht="6" customHeight="1"/>
    <row r="481">
      <c r="A481" s="62">
        <f>IF(Materiales!$A$72="","",Materiales!$A$72)</f>
        <v/>
      </c>
      <c r="B481" s="62">
        <f>IF(Materiales!$B$72="","",Materiales!$B$72)</f>
        <v/>
      </c>
      <c r="C481" s="63" t="inlineStr">
        <is>
          <t>Necesidad bruta</t>
        </is>
      </c>
      <c r="D481" s="64" t="n"/>
      <c r="E481" s="65">
        <f>ROUND(SUMIF(Consumo!$P$4:$P$189,"#"&amp;$A481,Consumo!H$4:H$189),4)</f>
        <v/>
      </c>
      <c r="F481" s="65">
        <f>ROUND(SUMIF(Consumo!$P$4:$P$189,"#"&amp;$A481,Consumo!I$4:I$189),4)</f>
        <v/>
      </c>
      <c r="G481" s="65">
        <f>ROUND(SUMIF(Consumo!$P$4:$P$189,"#"&amp;$A481,Consumo!J$4:J$189),4)</f>
        <v/>
      </c>
      <c r="H481" s="65">
        <f>ROUND(SUMIF(Consumo!$P$4:$P$189,"#"&amp;$A481,Consumo!K$4:K$189),4)</f>
        <v/>
      </c>
      <c r="I481" s="65">
        <f>ROUND(SUMIF(Consumo!$P$4:$P$189,"#"&amp;$A481,Consumo!L$4:L$189),4)</f>
        <v/>
      </c>
      <c r="J481" s="65">
        <f>ROUND(SUMIF(Consumo!$P$4:$P$189,"#"&amp;$A481,Consumo!M$4:M$189),4)</f>
        <v/>
      </c>
      <c r="K481" s="65">
        <f>ROUND(SUMIF(Consumo!$P$4:$P$189,"#"&amp;$A481,Consumo!N$4:N$189),4)</f>
        <v/>
      </c>
      <c r="L481" s="65">
        <f>ROUND(SUMIF(Consumo!$P$4:$P$189,"#"&amp;$A481,Consumo!O$4:O$189),4)</f>
        <v/>
      </c>
      <c r="M481" s="66" t="n"/>
    </row>
    <row r="482">
      <c r="C482" s="63" t="inlineStr">
        <is>
          <t>Recepciones programadas (ya pedido)</t>
        </is>
      </c>
      <c r="D482" s="64" t="n"/>
      <c r="E482" s="65">
        <f>SUMIF(Inventario!$M$5:$M$505,"#"&amp;$A481,Inventario!E$5:E$505)</f>
        <v/>
      </c>
      <c r="F482" s="65">
        <f>SUMIF(Inventario!$M$5:$M$505,"#"&amp;$A481,Inventario!F$5:F$505)</f>
        <v/>
      </c>
      <c r="G482" s="65">
        <f>SUMIF(Inventario!$M$5:$M$505,"#"&amp;$A481,Inventario!G$5:G$505)</f>
        <v/>
      </c>
      <c r="H482" s="65">
        <f>SUMIF(Inventario!$M$5:$M$505,"#"&amp;$A481,Inventario!H$5:H$505)</f>
        <v/>
      </c>
      <c r="I482" s="65">
        <f>SUMIF(Inventario!$M$5:$M$505,"#"&amp;$A481,Inventario!I$5:I$505)</f>
        <v/>
      </c>
      <c r="J482" s="65">
        <f>SUMIF(Inventario!$M$5:$M$505,"#"&amp;$A481,Inventario!J$5:J$505)</f>
        <v/>
      </c>
      <c r="K482" s="65">
        <f>SUMIF(Inventario!$M$5:$M$505,"#"&amp;$A481,Inventario!K$5:K$505)</f>
        <v/>
      </c>
      <c r="L482" s="65">
        <f>SUMIF(Inventario!$M$5:$M$505,"#"&amp;$A481,Inventario!L$5:L$505)</f>
        <v/>
      </c>
      <c r="M482" s="66" t="n"/>
    </row>
    <row r="483">
      <c r="C483" s="63" t="inlineStr">
        <is>
          <t>Stock proyectado disponible</t>
        </is>
      </c>
      <c r="D483" s="67">
        <f>SUMIF(Inventario!$M$5:$M$505,"#"&amp;$A481,Inventario!$C$5:$C$505)</f>
        <v/>
      </c>
      <c r="E483" s="68">
        <f>D483+E482+E485-E481</f>
        <v/>
      </c>
      <c r="F483" s="68">
        <f>E483+F482+F485-F481</f>
        <v/>
      </c>
      <c r="G483" s="68">
        <f>F483+G482+G485-G481</f>
        <v/>
      </c>
      <c r="H483" s="68">
        <f>G483+H482+H485-H481</f>
        <v/>
      </c>
      <c r="I483" s="68">
        <f>H483+I482+I485-I481</f>
        <v/>
      </c>
      <c r="J483" s="68">
        <f>I483+J482+J485-J481</f>
        <v/>
      </c>
      <c r="K483" s="68">
        <f>J483+K482+K485-K481</f>
        <v/>
      </c>
      <c r="L483" s="68">
        <f>K483+L482+L485-L481</f>
        <v/>
      </c>
      <c r="M483" s="66" t="n"/>
    </row>
    <row r="484">
      <c r="C484" s="63" t="inlineStr">
        <is>
          <t>Necesidad neta</t>
        </is>
      </c>
      <c r="D484" s="64" t="n"/>
      <c r="E484" s="69">
        <f>MAX(0,ROUND(E481+Materiales!$H$72-D483-E482,4))</f>
        <v/>
      </c>
      <c r="F484" s="69">
        <f>MAX(0,ROUND(F481+Materiales!$H$72-E483-F482,4))</f>
        <v/>
      </c>
      <c r="G484" s="69">
        <f>MAX(0,ROUND(G481+Materiales!$H$72-F483-G482,4))</f>
        <v/>
      </c>
      <c r="H484" s="69">
        <f>MAX(0,ROUND(H481+Materiales!$H$72-G483-H482,4))</f>
        <v/>
      </c>
      <c r="I484" s="69">
        <f>MAX(0,ROUND(I481+Materiales!$H$72-H483-I482,4))</f>
        <v/>
      </c>
      <c r="J484" s="69">
        <f>MAX(0,ROUND(J481+Materiales!$H$72-I483-J482,4))</f>
        <v/>
      </c>
      <c r="K484" s="69">
        <f>MAX(0,ROUND(K481+Materiales!$H$72-J483-K482,4))</f>
        <v/>
      </c>
      <c r="L484" s="69">
        <f>MAX(0,ROUND(L481+Materiales!$H$72-K483-L482,4))</f>
        <v/>
      </c>
      <c r="M484" s="66" t="n"/>
    </row>
    <row r="485">
      <c r="C485" s="63" t="inlineStr">
        <is>
          <t>Recepcion de orden planificada</t>
        </is>
      </c>
      <c r="D485" s="64" t="n"/>
      <c r="E485" s="65">
        <f>IF(E484&lt;=0,0,IF(Materiales!$G$72&lt;=0,E484,ROUNDUP(E484/Materiales!$G$72,0)*Materiales!$G$72))</f>
        <v/>
      </c>
      <c r="F485" s="65">
        <f>IF(F484&lt;=0,0,IF(Materiales!$G$72&lt;=0,F484,ROUNDUP(F484/Materiales!$G$72,0)*Materiales!$G$72))</f>
        <v/>
      </c>
      <c r="G485" s="65">
        <f>IF(G484&lt;=0,0,IF(Materiales!$G$72&lt;=0,G484,ROUNDUP(G484/Materiales!$G$72,0)*Materiales!$G$72))</f>
        <v/>
      </c>
      <c r="H485" s="65">
        <f>IF(H484&lt;=0,0,IF(Materiales!$G$72&lt;=0,H484,ROUNDUP(H484/Materiales!$G$72,0)*Materiales!$G$72))</f>
        <v/>
      </c>
      <c r="I485" s="65">
        <f>IF(I484&lt;=0,0,IF(Materiales!$G$72&lt;=0,I484,ROUNDUP(I484/Materiales!$G$72,0)*Materiales!$G$72))</f>
        <v/>
      </c>
      <c r="J485" s="65">
        <f>IF(J484&lt;=0,0,IF(Materiales!$G$72&lt;=0,J484,ROUNDUP(J484/Materiales!$G$72,0)*Materiales!$G$72))</f>
        <v/>
      </c>
      <c r="K485" s="65">
        <f>IF(K484&lt;=0,0,IF(Materiales!$G$72&lt;=0,K484,ROUNDUP(K484/Materiales!$G$72,0)*Materiales!$G$72))</f>
        <v/>
      </c>
      <c r="L485" s="65">
        <f>IF(L484&lt;=0,0,IF(Materiales!$G$72&lt;=0,L484,ROUNDUP(L484/Materiales!$G$72,0)*Materiales!$G$72))</f>
        <v/>
      </c>
      <c r="M485" s="66" t="n"/>
    </row>
    <row r="486">
      <c r="C486" s="70" t="inlineStr">
        <is>
          <t>LANZAMIENTO DE ORDEN — pedir esta semana</t>
        </is>
      </c>
      <c r="D486" s="64" t="n"/>
      <c r="E486" s="71">
        <f>IF(1+Materiales!$F$72&gt;8,0,INDEX($E$485:$L$485,1,1+Materiales!$F$72))</f>
        <v/>
      </c>
      <c r="F486" s="71">
        <f>IF(2+Materiales!$F$72&gt;8,0,INDEX($E$485:$L$485,1,2+Materiales!$F$72))</f>
        <v/>
      </c>
      <c r="G486" s="71">
        <f>IF(3+Materiales!$F$72&gt;8,0,INDEX($E$485:$L$485,1,3+Materiales!$F$72))</f>
        <v/>
      </c>
      <c r="H486" s="71">
        <f>IF(4+Materiales!$F$72&gt;8,0,INDEX($E$485:$L$485,1,4+Materiales!$F$72))</f>
        <v/>
      </c>
      <c r="I486" s="71">
        <f>IF(5+Materiales!$F$72&gt;8,0,INDEX($E$485:$L$485,1,5+Materiales!$F$72))</f>
        <v/>
      </c>
      <c r="J486" s="71">
        <f>IF(6+Materiales!$F$72&gt;8,0,INDEX($E$485:$L$485,1,6+Materiales!$F$72))</f>
        <v/>
      </c>
      <c r="K486" s="71">
        <f>IF(7+Materiales!$F$72&gt;8,0,INDEX($E$485:$L$485,1,7+Materiales!$F$72))</f>
        <v/>
      </c>
      <c r="L486" s="71">
        <f>IF(8+Materiales!$F$72&gt;8,0,INDEX($E$485:$L$485,1,8+Materiales!$F$72))</f>
        <v/>
      </c>
      <c r="M486" s="72">
        <f>IF($A481="","",IF(SUMPRODUCT((COLUMN($E$485:$L$485)-4&lt;=Materiales!$F$72)*$E$485:$L$485)&gt;0,"PEDIR YA (atrasado)","OK"))</f>
        <v/>
      </c>
    </row>
    <row r="487" ht="6" customHeight="1"/>
    <row r="488">
      <c r="A488" s="62">
        <f>IF(Materiales!$A$73="","",Materiales!$A$73)</f>
        <v/>
      </c>
      <c r="B488" s="62">
        <f>IF(Materiales!$B$73="","",Materiales!$B$73)</f>
        <v/>
      </c>
      <c r="C488" s="63" t="inlineStr">
        <is>
          <t>Necesidad bruta</t>
        </is>
      </c>
      <c r="D488" s="64" t="n"/>
      <c r="E488" s="65">
        <f>ROUND(SUMIF(Consumo!$P$4:$P$189,"#"&amp;$A488,Consumo!H$4:H$189),4)</f>
        <v/>
      </c>
      <c r="F488" s="65">
        <f>ROUND(SUMIF(Consumo!$P$4:$P$189,"#"&amp;$A488,Consumo!I$4:I$189),4)</f>
        <v/>
      </c>
      <c r="G488" s="65">
        <f>ROUND(SUMIF(Consumo!$P$4:$P$189,"#"&amp;$A488,Consumo!J$4:J$189),4)</f>
        <v/>
      </c>
      <c r="H488" s="65">
        <f>ROUND(SUMIF(Consumo!$P$4:$P$189,"#"&amp;$A488,Consumo!K$4:K$189),4)</f>
        <v/>
      </c>
      <c r="I488" s="65">
        <f>ROUND(SUMIF(Consumo!$P$4:$P$189,"#"&amp;$A488,Consumo!L$4:L$189),4)</f>
        <v/>
      </c>
      <c r="J488" s="65">
        <f>ROUND(SUMIF(Consumo!$P$4:$P$189,"#"&amp;$A488,Consumo!M$4:M$189),4)</f>
        <v/>
      </c>
      <c r="K488" s="65">
        <f>ROUND(SUMIF(Consumo!$P$4:$P$189,"#"&amp;$A488,Consumo!N$4:N$189),4)</f>
        <v/>
      </c>
      <c r="L488" s="65">
        <f>ROUND(SUMIF(Consumo!$P$4:$P$189,"#"&amp;$A488,Consumo!O$4:O$189),4)</f>
        <v/>
      </c>
      <c r="M488" s="66" t="n"/>
    </row>
    <row r="489">
      <c r="C489" s="63" t="inlineStr">
        <is>
          <t>Recepciones programadas (ya pedido)</t>
        </is>
      </c>
      <c r="D489" s="64" t="n"/>
      <c r="E489" s="65">
        <f>SUMIF(Inventario!$M$5:$M$505,"#"&amp;$A488,Inventario!E$5:E$505)</f>
        <v/>
      </c>
      <c r="F489" s="65">
        <f>SUMIF(Inventario!$M$5:$M$505,"#"&amp;$A488,Inventario!F$5:F$505)</f>
        <v/>
      </c>
      <c r="G489" s="65">
        <f>SUMIF(Inventario!$M$5:$M$505,"#"&amp;$A488,Inventario!G$5:G$505)</f>
        <v/>
      </c>
      <c r="H489" s="65">
        <f>SUMIF(Inventario!$M$5:$M$505,"#"&amp;$A488,Inventario!H$5:H$505)</f>
        <v/>
      </c>
      <c r="I489" s="65">
        <f>SUMIF(Inventario!$M$5:$M$505,"#"&amp;$A488,Inventario!I$5:I$505)</f>
        <v/>
      </c>
      <c r="J489" s="65">
        <f>SUMIF(Inventario!$M$5:$M$505,"#"&amp;$A488,Inventario!J$5:J$505)</f>
        <v/>
      </c>
      <c r="K489" s="65">
        <f>SUMIF(Inventario!$M$5:$M$505,"#"&amp;$A488,Inventario!K$5:K$505)</f>
        <v/>
      </c>
      <c r="L489" s="65">
        <f>SUMIF(Inventario!$M$5:$M$505,"#"&amp;$A488,Inventario!L$5:L$505)</f>
        <v/>
      </c>
      <c r="M489" s="66" t="n"/>
    </row>
    <row r="490">
      <c r="C490" s="63" t="inlineStr">
        <is>
          <t>Stock proyectado disponible</t>
        </is>
      </c>
      <c r="D490" s="67">
        <f>SUMIF(Inventario!$M$5:$M$505,"#"&amp;$A488,Inventario!$C$5:$C$505)</f>
        <v/>
      </c>
      <c r="E490" s="68">
        <f>D490+E489+E492-E488</f>
        <v/>
      </c>
      <c r="F490" s="68">
        <f>E490+F489+F492-F488</f>
        <v/>
      </c>
      <c r="G490" s="68">
        <f>F490+G489+G492-G488</f>
        <v/>
      </c>
      <c r="H490" s="68">
        <f>G490+H489+H492-H488</f>
        <v/>
      </c>
      <c r="I490" s="68">
        <f>H490+I489+I492-I488</f>
        <v/>
      </c>
      <c r="J490" s="68">
        <f>I490+J489+J492-J488</f>
        <v/>
      </c>
      <c r="K490" s="68">
        <f>J490+K489+K492-K488</f>
        <v/>
      </c>
      <c r="L490" s="68">
        <f>K490+L489+L492-L488</f>
        <v/>
      </c>
      <c r="M490" s="66" t="n"/>
    </row>
    <row r="491">
      <c r="C491" s="63" t="inlineStr">
        <is>
          <t>Necesidad neta</t>
        </is>
      </c>
      <c r="D491" s="64" t="n"/>
      <c r="E491" s="69">
        <f>MAX(0,ROUND(E488+Materiales!$H$73-D490-E489,4))</f>
        <v/>
      </c>
      <c r="F491" s="69">
        <f>MAX(0,ROUND(F488+Materiales!$H$73-E490-F489,4))</f>
        <v/>
      </c>
      <c r="G491" s="69">
        <f>MAX(0,ROUND(G488+Materiales!$H$73-F490-G489,4))</f>
        <v/>
      </c>
      <c r="H491" s="69">
        <f>MAX(0,ROUND(H488+Materiales!$H$73-G490-H489,4))</f>
        <v/>
      </c>
      <c r="I491" s="69">
        <f>MAX(0,ROUND(I488+Materiales!$H$73-H490-I489,4))</f>
        <v/>
      </c>
      <c r="J491" s="69">
        <f>MAX(0,ROUND(J488+Materiales!$H$73-I490-J489,4))</f>
        <v/>
      </c>
      <c r="K491" s="69">
        <f>MAX(0,ROUND(K488+Materiales!$H$73-J490-K489,4))</f>
        <v/>
      </c>
      <c r="L491" s="69">
        <f>MAX(0,ROUND(L488+Materiales!$H$73-K490-L489,4))</f>
        <v/>
      </c>
      <c r="M491" s="66" t="n"/>
    </row>
    <row r="492">
      <c r="C492" s="63" t="inlineStr">
        <is>
          <t>Recepcion de orden planificada</t>
        </is>
      </c>
      <c r="D492" s="64" t="n"/>
      <c r="E492" s="65">
        <f>IF(E491&lt;=0,0,IF(Materiales!$G$73&lt;=0,E491,ROUNDUP(E491/Materiales!$G$73,0)*Materiales!$G$73))</f>
        <v/>
      </c>
      <c r="F492" s="65">
        <f>IF(F491&lt;=0,0,IF(Materiales!$G$73&lt;=0,F491,ROUNDUP(F491/Materiales!$G$73,0)*Materiales!$G$73))</f>
        <v/>
      </c>
      <c r="G492" s="65">
        <f>IF(G491&lt;=0,0,IF(Materiales!$G$73&lt;=0,G491,ROUNDUP(G491/Materiales!$G$73,0)*Materiales!$G$73))</f>
        <v/>
      </c>
      <c r="H492" s="65">
        <f>IF(H491&lt;=0,0,IF(Materiales!$G$73&lt;=0,H491,ROUNDUP(H491/Materiales!$G$73,0)*Materiales!$G$73))</f>
        <v/>
      </c>
      <c r="I492" s="65">
        <f>IF(I491&lt;=0,0,IF(Materiales!$G$73&lt;=0,I491,ROUNDUP(I491/Materiales!$G$73,0)*Materiales!$G$73))</f>
        <v/>
      </c>
      <c r="J492" s="65">
        <f>IF(J491&lt;=0,0,IF(Materiales!$G$73&lt;=0,J491,ROUNDUP(J491/Materiales!$G$73,0)*Materiales!$G$73))</f>
        <v/>
      </c>
      <c r="K492" s="65">
        <f>IF(K491&lt;=0,0,IF(Materiales!$G$73&lt;=0,K491,ROUNDUP(K491/Materiales!$G$73,0)*Materiales!$G$73))</f>
        <v/>
      </c>
      <c r="L492" s="65">
        <f>IF(L491&lt;=0,0,IF(Materiales!$G$73&lt;=0,L491,ROUNDUP(L491/Materiales!$G$73,0)*Materiales!$G$73))</f>
        <v/>
      </c>
      <c r="M492" s="66" t="n"/>
    </row>
    <row r="493">
      <c r="C493" s="70" t="inlineStr">
        <is>
          <t>LANZAMIENTO DE ORDEN — pedir esta semana</t>
        </is>
      </c>
      <c r="D493" s="64" t="n"/>
      <c r="E493" s="71">
        <f>IF(1+Materiales!$F$73&gt;8,0,INDEX($E$492:$L$492,1,1+Materiales!$F$73))</f>
        <v/>
      </c>
      <c r="F493" s="71">
        <f>IF(2+Materiales!$F$73&gt;8,0,INDEX($E$492:$L$492,1,2+Materiales!$F$73))</f>
        <v/>
      </c>
      <c r="G493" s="71">
        <f>IF(3+Materiales!$F$73&gt;8,0,INDEX($E$492:$L$492,1,3+Materiales!$F$73))</f>
        <v/>
      </c>
      <c r="H493" s="71">
        <f>IF(4+Materiales!$F$73&gt;8,0,INDEX($E$492:$L$492,1,4+Materiales!$F$73))</f>
        <v/>
      </c>
      <c r="I493" s="71">
        <f>IF(5+Materiales!$F$73&gt;8,0,INDEX($E$492:$L$492,1,5+Materiales!$F$73))</f>
        <v/>
      </c>
      <c r="J493" s="71">
        <f>IF(6+Materiales!$F$73&gt;8,0,INDEX($E$492:$L$492,1,6+Materiales!$F$73))</f>
        <v/>
      </c>
      <c r="K493" s="71">
        <f>IF(7+Materiales!$F$73&gt;8,0,INDEX($E$492:$L$492,1,7+Materiales!$F$73))</f>
        <v/>
      </c>
      <c r="L493" s="71">
        <f>IF(8+Materiales!$F$73&gt;8,0,INDEX($E$492:$L$492,1,8+Materiales!$F$73))</f>
        <v/>
      </c>
      <c r="M493" s="72">
        <f>IF($A488="","",IF(SUMPRODUCT((COLUMN($E$492:$L$492)-4&lt;=Materiales!$F$73)*$E$492:$L$492)&gt;0,"PEDIR YA (atrasado)","OK"))</f>
        <v/>
      </c>
    </row>
    <row r="494" ht="6" customHeight="1"/>
    <row r="495">
      <c r="A495" s="62">
        <f>IF(Materiales!$A$74="","",Materiales!$A$74)</f>
        <v/>
      </c>
      <c r="B495" s="62">
        <f>IF(Materiales!$B$74="","",Materiales!$B$74)</f>
        <v/>
      </c>
      <c r="C495" s="63" t="inlineStr">
        <is>
          <t>Necesidad bruta</t>
        </is>
      </c>
      <c r="D495" s="64" t="n"/>
      <c r="E495" s="65">
        <f>ROUND(SUMIF(Consumo!$P$4:$P$189,"#"&amp;$A495,Consumo!H$4:H$189),4)</f>
        <v/>
      </c>
      <c r="F495" s="65">
        <f>ROUND(SUMIF(Consumo!$P$4:$P$189,"#"&amp;$A495,Consumo!I$4:I$189),4)</f>
        <v/>
      </c>
      <c r="G495" s="65">
        <f>ROUND(SUMIF(Consumo!$P$4:$P$189,"#"&amp;$A495,Consumo!J$4:J$189),4)</f>
        <v/>
      </c>
      <c r="H495" s="65">
        <f>ROUND(SUMIF(Consumo!$P$4:$P$189,"#"&amp;$A495,Consumo!K$4:K$189),4)</f>
        <v/>
      </c>
      <c r="I495" s="65">
        <f>ROUND(SUMIF(Consumo!$P$4:$P$189,"#"&amp;$A495,Consumo!L$4:L$189),4)</f>
        <v/>
      </c>
      <c r="J495" s="65">
        <f>ROUND(SUMIF(Consumo!$P$4:$P$189,"#"&amp;$A495,Consumo!M$4:M$189),4)</f>
        <v/>
      </c>
      <c r="K495" s="65">
        <f>ROUND(SUMIF(Consumo!$P$4:$P$189,"#"&amp;$A495,Consumo!N$4:N$189),4)</f>
        <v/>
      </c>
      <c r="L495" s="65">
        <f>ROUND(SUMIF(Consumo!$P$4:$P$189,"#"&amp;$A495,Consumo!O$4:O$189),4)</f>
        <v/>
      </c>
      <c r="M495" s="66" t="n"/>
    </row>
    <row r="496">
      <c r="C496" s="63" t="inlineStr">
        <is>
          <t>Recepciones programadas (ya pedido)</t>
        </is>
      </c>
      <c r="D496" s="64" t="n"/>
      <c r="E496" s="65">
        <f>SUMIF(Inventario!$M$5:$M$505,"#"&amp;$A495,Inventario!E$5:E$505)</f>
        <v/>
      </c>
      <c r="F496" s="65">
        <f>SUMIF(Inventario!$M$5:$M$505,"#"&amp;$A495,Inventario!F$5:F$505)</f>
        <v/>
      </c>
      <c r="G496" s="65">
        <f>SUMIF(Inventario!$M$5:$M$505,"#"&amp;$A495,Inventario!G$5:G$505)</f>
        <v/>
      </c>
      <c r="H496" s="65">
        <f>SUMIF(Inventario!$M$5:$M$505,"#"&amp;$A495,Inventario!H$5:H$505)</f>
        <v/>
      </c>
      <c r="I496" s="65">
        <f>SUMIF(Inventario!$M$5:$M$505,"#"&amp;$A495,Inventario!I$5:I$505)</f>
        <v/>
      </c>
      <c r="J496" s="65">
        <f>SUMIF(Inventario!$M$5:$M$505,"#"&amp;$A495,Inventario!J$5:J$505)</f>
        <v/>
      </c>
      <c r="K496" s="65">
        <f>SUMIF(Inventario!$M$5:$M$505,"#"&amp;$A495,Inventario!K$5:K$505)</f>
        <v/>
      </c>
      <c r="L496" s="65">
        <f>SUMIF(Inventario!$M$5:$M$505,"#"&amp;$A495,Inventario!L$5:L$505)</f>
        <v/>
      </c>
      <c r="M496" s="66" t="n"/>
    </row>
    <row r="497">
      <c r="C497" s="63" t="inlineStr">
        <is>
          <t>Stock proyectado disponible</t>
        </is>
      </c>
      <c r="D497" s="67">
        <f>SUMIF(Inventario!$M$5:$M$505,"#"&amp;$A495,Inventario!$C$5:$C$505)</f>
        <v/>
      </c>
      <c r="E497" s="68">
        <f>D497+E496+E499-E495</f>
        <v/>
      </c>
      <c r="F497" s="68">
        <f>E497+F496+F499-F495</f>
        <v/>
      </c>
      <c r="G497" s="68">
        <f>F497+G496+G499-G495</f>
        <v/>
      </c>
      <c r="H497" s="68">
        <f>G497+H496+H499-H495</f>
        <v/>
      </c>
      <c r="I497" s="68">
        <f>H497+I496+I499-I495</f>
        <v/>
      </c>
      <c r="J497" s="68">
        <f>I497+J496+J499-J495</f>
        <v/>
      </c>
      <c r="K497" s="68">
        <f>J497+K496+K499-K495</f>
        <v/>
      </c>
      <c r="L497" s="68">
        <f>K497+L496+L499-L495</f>
        <v/>
      </c>
      <c r="M497" s="66" t="n"/>
    </row>
    <row r="498">
      <c r="C498" s="63" t="inlineStr">
        <is>
          <t>Necesidad neta</t>
        </is>
      </c>
      <c r="D498" s="64" t="n"/>
      <c r="E498" s="69">
        <f>MAX(0,ROUND(E495+Materiales!$H$74-D497-E496,4))</f>
        <v/>
      </c>
      <c r="F498" s="69">
        <f>MAX(0,ROUND(F495+Materiales!$H$74-E497-F496,4))</f>
        <v/>
      </c>
      <c r="G498" s="69">
        <f>MAX(0,ROUND(G495+Materiales!$H$74-F497-G496,4))</f>
        <v/>
      </c>
      <c r="H498" s="69">
        <f>MAX(0,ROUND(H495+Materiales!$H$74-G497-H496,4))</f>
        <v/>
      </c>
      <c r="I498" s="69">
        <f>MAX(0,ROUND(I495+Materiales!$H$74-H497-I496,4))</f>
        <v/>
      </c>
      <c r="J498" s="69">
        <f>MAX(0,ROUND(J495+Materiales!$H$74-I497-J496,4))</f>
        <v/>
      </c>
      <c r="K498" s="69">
        <f>MAX(0,ROUND(K495+Materiales!$H$74-J497-K496,4))</f>
        <v/>
      </c>
      <c r="L498" s="69">
        <f>MAX(0,ROUND(L495+Materiales!$H$74-K497-L496,4))</f>
        <v/>
      </c>
      <c r="M498" s="66" t="n"/>
    </row>
    <row r="499">
      <c r="C499" s="63" t="inlineStr">
        <is>
          <t>Recepcion de orden planificada</t>
        </is>
      </c>
      <c r="D499" s="64" t="n"/>
      <c r="E499" s="65">
        <f>IF(E498&lt;=0,0,IF(Materiales!$G$74&lt;=0,E498,ROUNDUP(E498/Materiales!$G$74,0)*Materiales!$G$74))</f>
        <v/>
      </c>
      <c r="F499" s="65">
        <f>IF(F498&lt;=0,0,IF(Materiales!$G$74&lt;=0,F498,ROUNDUP(F498/Materiales!$G$74,0)*Materiales!$G$74))</f>
        <v/>
      </c>
      <c r="G499" s="65">
        <f>IF(G498&lt;=0,0,IF(Materiales!$G$74&lt;=0,G498,ROUNDUP(G498/Materiales!$G$74,0)*Materiales!$G$74))</f>
        <v/>
      </c>
      <c r="H499" s="65">
        <f>IF(H498&lt;=0,0,IF(Materiales!$G$74&lt;=0,H498,ROUNDUP(H498/Materiales!$G$74,0)*Materiales!$G$74))</f>
        <v/>
      </c>
      <c r="I499" s="65">
        <f>IF(I498&lt;=0,0,IF(Materiales!$G$74&lt;=0,I498,ROUNDUP(I498/Materiales!$G$74,0)*Materiales!$G$74))</f>
        <v/>
      </c>
      <c r="J499" s="65">
        <f>IF(J498&lt;=0,0,IF(Materiales!$G$74&lt;=0,J498,ROUNDUP(J498/Materiales!$G$74,0)*Materiales!$G$74))</f>
        <v/>
      </c>
      <c r="K499" s="65">
        <f>IF(K498&lt;=0,0,IF(Materiales!$G$74&lt;=0,K498,ROUNDUP(K498/Materiales!$G$74,0)*Materiales!$G$74))</f>
        <v/>
      </c>
      <c r="L499" s="65">
        <f>IF(L498&lt;=0,0,IF(Materiales!$G$74&lt;=0,L498,ROUNDUP(L498/Materiales!$G$74,0)*Materiales!$G$74))</f>
        <v/>
      </c>
      <c r="M499" s="66" t="n"/>
    </row>
    <row r="500">
      <c r="C500" s="70" t="inlineStr">
        <is>
          <t>LANZAMIENTO DE ORDEN — pedir esta semana</t>
        </is>
      </c>
      <c r="D500" s="64" t="n"/>
      <c r="E500" s="71">
        <f>IF(1+Materiales!$F$74&gt;8,0,INDEX($E$499:$L$499,1,1+Materiales!$F$74))</f>
        <v/>
      </c>
      <c r="F500" s="71">
        <f>IF(2+Materiales!$F$74&gt;8,0,INDEX($E$499:$L$499,1,2+Materiales!$F$74))</f>
        <v/>
      </c>
      <c r="G500" s="71">
        <f>IF(3+Materiales!$F$74&gt;8,0,INDEX($E$499:$L$499,1,3+Materiales!$F$74))</f>
        <v/>
      </c>
      <c r="H500" s="71">
        <f>IF(4+Materiales!$F$74&gt;8,0,INDEX($E$499:$L$499,1,4+Materiales!$F$74))</f>
        <v/>
      </c>
      <c r="I500" s="71">
        <f>IF(5+Materiales!$F$74&gt;8,0,INDEX($E$499:$L$499,1,5+Materiales!$F$74))</f>
        <v/>
      </c>
      <c r="J500" s="71">
        <f>IF(6+Materiales!$F$74&gt;8,0,INDEX($E$499:$L$499,1,6+Materiales!$F$74))</f>
        <v/>
      </c>
      <c r="K500" s="71">
        <f>IF(7+Materiales!$F$74&gt;8,0,INDEX($E$499:$L$499,1,7+Materiales!$F$74))</f>
        <v/>
      </c>
      <c r="L500" s="71">
        <f>IF(8+Materiales!$F$74&gt;8,0,INDEX($E$499:$L$499,1,8+Materiales!$F$74))</f>
        <v/>
      </c>
      <c r="M500" s="72">
        <f>IF($A495="","",IF(SUMPRODUCT((COLUMN($E$499:$L$499)-4&lt;=Materiales!$F$74)*$E$499:$L$499)&gt;0,"PEDIR YA (atrasado)","OK"))</f>
        <v/>
      </c>
    </row>
    <row r="501" ht="6" customHeight="1"/>
    <row r="502">
      <c r="A502" s="62">
        <f>IF(Materiales!$A$75="","",Materiales!$A$75)</f>
        <v/>
      </c>
      <c r="B502" s="62">
        <f>IF(Materiales!$B$75="","",Materiales!$B$75)</f>
        <v/>
      </c>
      <c r="C502" s="63" t="inlineStr">
        <is>
          <t>Necesidad bruta</t>
        </is>
      </c>
      <c r="D502" s="64" t="n"/>
      <c r="E502" s="65">
        <f>ROUND(SUMIF(Consumo!$P$4:$P$189,"#"&amp;$A502,Consumo!H$4:H$189),4)</f>
        <v/>
      </c>
      <c r="F502" s="65">
        <f>ROUND(SUMIF(Consumo!$P$4:$P$189,"#"&amp;$A502,Consumo!I$4:I$189),4)</f>
        <v/>
      </c>
      <c r="G502" s="65">
        <f>ROUND(SUMIF(Consumo!$P$4:$P$189,"#"&amp;$A502,Consumo!J$4:J$189),4)</f>
        <v/>
      </c>
      <c r="H502" s="65">
        <f>ROUND(SUMIF(Consumo!$P$4:$P$189,"#"&amp;$A502,Consumo!K$4:K$189),4)</f>
        <v/>
      </c>
      <c r="I502" s="65">
        <f>ROUND(SUMIF(Consumo!$P$4:$P$189,"#"&amp;$A502,Consumo!L$4:L$189),4)</f>
        <v/>
      </c>
      <c r="J502" s="65">
        <f>ROUND(SUMIF(Consumo!$P$4:$P$189,"#"&amp;$A502,Consumo!M$4:M$189),4)</f>
        <v/>
      </c>
      <c r="K502" s="65">
        <f>ROUND(SUMIF(Consumo!$P$4:$P$189,"#"&amp;$A502,Consumo!N$4:N$189),4)</f>
        <v/>
      </c>
      <c r="L502" s="65">
        <f>ROUND(SUMIF(Consumo!$P$4:$P$189,"#"&amp;$A502,Consumo!O$4:O$189),4)</f>
        <v/>
      </c>
      <c r="M502" s="66" t="n"/>
    </row>
    <row r="503">
      <c r="C503" s="63" t="inlineStr">
        <is>
          <t>Recepciones programadas (ya pedido)</t>
        </is>
      </c>
      <c r="D503" s="64" t="n"/>
      <c r="E503" s="65">
        <f>SUMIF(Inventario!$M$5:$M$505,"#"&amp;$A502,Inventario!E$5:E$505)</f>
        <v/>
      </c>
      <c r="F503" s="65">
        <f>SUMIF(Inventario!$M$5:$M$505,"#"&amp;$A502,Inventario!F$5:F$505)</f>
        <v/>
      </c>
      <c r="G503" s="65">
        <f>SUMIF(Inventario!$M$5:$M$505,"#"&amp;$A502,Inventario!G$5:G$505)</f>
        <v/>
      </c>
      <c r="H503" s="65">
        <f>SUMIF(Inventario!$M$5:$M$505,"#"&amp;$A502,Inventario!H$5:H$505)</f>
        <v/>
      </c>
      <c r="I503" s="65">
        <f>SUMIF(Inventario!$M$5:$M$505,"#"&amp;$A502,Inventario!I$5:I$505)</f>
        <v/>
      </c>
      <c r="J503" s="65">
        <f>SUMIF(Inventario!$M$5:$M$505,"#"&amp;$A502,Inventario!J$5:J$505)</f>
        <v/>
      </c>
      <c r="K503" s="65">
        <f>SUMIF(Inventario!$M$5:$M$505,"#"&amp;$A502,Inventario!K$5:K$505)</f>
        <v/>
      </c>
      <c r="L503" s="65">
        <f>SUMIF(Inventario!$M$5:$M$505,"#"&amp;$A502,Inventario!L$5:L$505)</f>
        <v/>
      </c>
      <c r="M503" s="66" t="n"/>
    </row>
    <row r="504">
      <c r="C504" s="63" t="inlineStr">
        <is>
          <t>Stock proyectado disponible</t>
        </is>
      </c>
      <c r="D504" s="67">
        <f>SUMIF(Inventario!$M$5:$M$505,"#"&amp;$A502,Inventario!$C$5:$C$505)</f>
        <v/>
      </c>
      <c r="E504" s="68">
        <f>D504+E503+E506-E502</f>
        <v/>
      </c>
      <c r="F504" s="68">
        <f>E504+F503+F506-F502</f>
        <v/>
      </c>
      <c r="G504" s="68">
        <f>F504+G503+G506-G502</f>
        <v/>
      </c>
      <c r="H504" s="68">
        <f>G504+H503+H506-H502</f>
        <v/>
      </c>
      <c r="I504" s="68">
        <f>H504+I503+I506-I502</f>
        <v/>
      </c>
      <c r="J504" s="68">
        <f>I504+J503+J506-J502</f>
        <v/>
      </c>
      <c r="K504" s="68">
        <f>J504+K503+K506-K502</f>
        <v/>
      </c>
      <c r="L504" s="68">
        <f>K504+L503+L506-L502</f>
        <v/>
      </c>
      <c r="M504" s="66" t="n"/>
    </row>
    <row r="505">
      <c r="C505" s="63" t="inlineStr">
        <is>
          <t>Necesidad neta</t>
        </is>
      </c>
      <c r="D505" s="64" t="n"/>
      <c r="E505" s="69">
        <f>MAX(0,ROUND(E502+Materiales!$H$75-D504-E503,4))</f>
        <v/>
      </c>
      <c r="F505" s="69">
        <f>MAX(0,ROUND(F502+Materiales!$H$75-E504-F503,4))</f>
        <v/>
      </c>
      <c r="G505" s="69">
        <f>MAX(0,ROUND(G502+Materiales!$H$75-F504-G503,4))</f>
        <v/>
      </c>
      <c r="H505" s="69">
        <f>MAX(0,ROUND(H502+Materiales!$H$75-G504-H503,4))</f>
        <v/>
      </c>
      <c r="I505" s="69">
        <f>MAX(0,ROUND(I502+Materiales!$H$75-H504-I503,4))</f>
        <v/>
      </c>
      <c r="J505" s="69">
        <f>MAX(0,ROUND(J502+Materiales!$H$75-I504-J503,4))</f>
        <v/>
      </c>
      <c r="K505" s="69">
        <f>MAX(0,ROUND(K502+Materiales!$H$75-J504-K503,4))</f>
        <v/>
      </c>
      <c r="L505" s="69">
        <f>MAX(0,ROUND(L502+Materiales!$H$75-K504-L503,4))</f>
        <v/>
      </c>
      <c r="M505" s="66" t="n"/>
    </row>
    <row r="506">
      <c r="C506" s="63" t="inlineStr">
        <is>
          <t>Recepcion de orden planificada</t>
        </is>
      </c>
      <c r="D506" s="64" t="n"/>
      <c r="E506" s="65">
        <f>IF(E505&lt;=0,0,IF(Materiales!$G$75&lt;=0,E505,ROUNDUP(E505/Materiales!$G$75,0)*Materiales!$G$75))</f>
        <v/>
      </c>
      <c r="F506" s="65">
        <f>IF(F505&lt;=0,0,IF(Materiales!$G$75&lt;=0,F505,ROUNDUP(F505/Materiales!$G$75,0)*Materiales!$G$75))</f>
        <v/>
      </c>
      <c r="G506" s="65">
        <f>IF(G505&lt;=0,0,IF(Materiales!$G$75&lt;=0,G505,ROUNDUP(G505/Materiales!$G$75,0)*Materiales!$G$75))</f>
        <v/>
      </c>
      <c r="H506" s="65">
        <f>IF(H505&lt;=0,0,IF(Materiales!$G$75&lt;=0,H505,ROUNDUP(H505/Materiales!$G$75,0)*Materiales!$G$75))</f>
        <v/>
      </c>
      <c r="I506" s="65">
        <f>IF(I505&lt;=0,0,IF(Materiales!$G$75&lt;=0,I505,ROUNDUP(I505/Materiales!$G$75,0)*Materiales!$G$75))</f>
        <v/>
      </c>
      <c r="J506" s="65">
        <f>IF(J505&lt;=0,0,IF(Materiales!$G$75&lt;=0,J505,ROUNDUP(J505/Materiales!$G$75,0)*Materiales!$G$75))</f>
        <v/>
      </c>
      <c r="K506" s="65">
        <f>IF(K505&lt;=0,0,IF(Materiales!$G$75&lt;=0,K505,ROUNDUP(K505/Materiales!$G$75,0)*Materiales!$G$75))</f>
        <v/>
      </c>
      <c r="L506" s="65">
        <f>IF(L505&lt;=0,0,IF(Materiales!$G$75&lt;=0,L505,ROUNDUP(L505/Materiales!$G$75,0)*Materiales!$G$75))</f>
        <v/>
      </c>
      <c r="M506" s="66" t="n"/>
    </row>
    <row r="507">
      <c r="C507" s="70" t="inlineStr">
        <is>
          <t>LANZAMIENTO DE ORDEN — pedir esta semana</t>
        </is>
      </c>
      <c r="D507" s="64" t="n"/>
      <c r="E507" s="71">
        <f>IF(1+Materiales!$F$75&gt;8,0,INDEX($E$506:$L$506,1,1+Materiales!$F$75))</f>
        <v/>
      </c>
      <c r="F507" s="71">
        <f>IF(2+Materiales!$F$75&gt;8,0,INDEX($E$506:$L$506,1,2+Materiales!$F$75))</f>
        <v/>
      </c>
      <c r="G507" s="71">
        <f>IF(3+Materiales!$F$75&gt;8,0,INDEX($E$506:$L$506,1,3+Materiales!$F$75))</f>
        <v/>
      </c>
      <c r="H507" s="71">
        <f>IF(4+Materiales!$F$75&gt;8,0,INDEX($E$506:$L$506,1,4+Materiales!$F$75))</f>
        <v/>
      </c>
      <c r="I507" s="71">
        <f>IF(5+Materiales!$F$75&gt;8,0,INDEX($E$506:$L$506,1,5+Materiales!$F$75))</f>
        <v/>
      </c>
      <c r="J507" s="71">
        <f>IF(6+Materiales!$F$75&gt;8,0,INDEX($E$506:$L$506,1,6+Materiales!$F$75))</f>
        <v/>
      </c>
      <c r="K507" s="71">
        <f>IF(7+Materiales!$F$75&gt;8,0,INDEX($E$506:$L$506,1,7+Materiales!$F$75))</f>
        <v/>
      </c>
      <c r="L507" s="71">
        <f>IF(8+Materiales!$F$75&gt;8,0,INDEX($E$506:$L$506,1,8+Materiales!$F$75))</f>
        <v/>
      </c>
      <c r="M507" s="72">
        <f>IF($A502="","",IF(SUMPRODUCT((COLUMN($E$506:$L$506)-4&lt;=Materiales!$F$75)*$E$506:$L$506)&gt;0,"PEDIR YA (atrasado)","OK"))</f>
        <v/>
      </c>
    </row>
    <row r="508" ht="6" customHeight="1"/>
    <row r="509">
      <c r="A509" s="62">
        <f>IF(Materiales!$A$76="","",Materiales!$A$76)</f>
        <v/>
      </c>
      <c r="B509" s="62">
        <f>IF(Materiales!$B$76="","",Materiales!$B$76)</f>
        <v/>
      </c>
      <c r="C509" s="63" t="inlineStr">
        <is>
          <t>Necesidad bruta</t>
        </is>
      </c>
      <c r="D509" s="64" t="n"/>
      <c r="E509" s="65">
        <f>ROUND(SUMIF(Consumo!$P$4:$P$189,"#"&amp;$A509,Consumo!H$4:H$189),4)</f>
        <v/>
      </c>
      <c r="F509" s="65">
        <f>ROUND(SUMIF(Consumo!$P$4:$P$189,"#"&amp;$A509,Consumo!I$4:I$189),4)</f>
        <v/>
      </c>
      <c r="G509" s="65">
        <f>ROUND(SUMIF(Consumo!$P$4:$P$189,"#"&amp;$A509,Consumo!J$4:J$189),4)</f>
        <v/>
      </c>
      <c r="H509" s="65">
        <f>ROUND(SUMIF(Consumo!$P$4:$P$189,"#"&amp;$A509,Consumo!K$4:K$189),4)</f>
        <v/>
      </c>
      <c r="I509" s="65">
        <f>ROUND(SUMIF(Consumo!$P$4:$P$189,"#"&amp;$A509,Consumo!L$4:L$189),4)</f>
        <v/>
      </c>
      <c r="J509" s="65">
        <f>ROUND(SUMIF(Consumo!$P$4:$P$189,"#"&amp;$A509,Consumo!M$4:M$189),4)</f>
        <v/>
      </c>
      <c r="K509" s="65">
        <f>ROUND(SUMIF(Consumo!$P$4:$P$189,"#"&amp;$A509,Consumo!N$4:N$189),4)</f>
        <v/>
      </c>
      <c r="L509" s="65">
        <f>ROUND(SUMIF(Consumo!$P$4:$P$189,"#"&amp;$A509,Consumo!O$4:O$189),4)</f>
        <v/>
      </c>
      <c r="M509" s="66" t="n"/>
    </row>
    <row r="510">
      <c r="C510" s="63" t="inlineStr">
        <is>
          <t>Recepciones programadas (ya pedido)</t>
        </is>
      </c>
      <c r="D510" s="64" t="n"/>
      <c r="E510" s="65">
        <f>SUMIF(Inventario!$M$5:$M$505,"#"&amp;$A509,Inventario!E$5:E$505)</f>
        <v/>
      </c>
      <c r="F510" s="65">
        <f>SUMIF(Inventario!$M$5:$M$505,"#"&amp;$A509,Inventario!F$5:F$505)</f>
        <v/>
      </c>
      <c r="G510" s="65">
        <f>SUMIF(Inventario!$M$5:$M$505,"#"&amp;$A509,Inventario!G$5:G$505)</f>
        <v/>
      </c>
      <c r="H510" s="65">
        <f>SUMIF(Inventario!$M$5:$M$505,"#"&amp;$A509,Inventario!H$5:H$505)</f>
        <v/>
      </c>
      <c r="I510" s="65">
        <f>SUMIF(Inventario!$M$5:$M$505,"#"&amp;$A509,Inventario!I$5:I$505)</f>
        <v/>
      </c>
      <c r="J510" s="65">
        <f>SUMIF(Inventario!$M$5:$M$505,"#"&amp;$A509,Inventario!J$5:J$505)</f>
        <v/>
      </c>
      <c r="K510" s="65">
        <f>SUMIF(Inventario!$M$5:$M$505,"#"&amp;$A509,Inventario!K$5:K$505)</f>
        <v/>
      </c>
      <c r="L510" s="65">
        <f>SUMIF(Inventario!$M$5:$M$505,"#"&amp;$A509,Inventario!L$5:L$505)</f>
        <v/>
      </c>
      <c r="M510" s="66" t="n"/>
    </row>
    <row r="511">
      <c r="C511" s="63" t="inlineStr">
        <is>
          <t>Stock proyectado disponible</t>
        </is>
      </c>
      <c r="D511" s="67">
        <f>SUMIF(Inventario!$M$5:$M$505,"#"&amp;$A509,Inventario!$C$5:$C$505)</f>
        <v/>
      </c>
      <c r="E511" s="68">
        <f>D511+E510+E513-E509</f>
        <v/>
      </c>
      <c r="F511" s="68">
        <f>E511+F510+F513-F509</f>
        <v/>
      </c>
      <c r="G511" s="68">
        <f>F511+G510+G513-G509</f>
        <v/>
      </c>
      <c r="H511" s="68">
        <f>G511+H510+H513-H509</f>
        <v/>
      </c>
      <c r="I511" s="68">
        <f>H511+I510+I513-I509</f>
        <v/>
      </c>
      <c r="J511" s="68">
        <f>I511+J510+J513-J509</f>
        <v/>
      </c>
      <c r="K511" s="68">
        <f>J511+K510+K513-K509</f>
        <v/>
      </c>
      <c r="L511" s="68">
        <f>K511+L510+L513-L509</f>
        <v/>
      </c>
      <c r="M511" s="66" t="n"/>
    </row>
    <row r="512">
      <c r="C512" s="63" t="inlineStr">
        <is>
          <t>Necesidad neta</t>
        </is>
      </c>
      <c r="D512" s="64" t="n"/>
      <c r="E512" s="69">
        <f>MAX(0,ROUND(E509+Materiales!$H$76-D511-E510,4))</f>
        <v/>
      </c>
      <c r="F512" s="69">
        <f>MAX(0,ROUND(F509+Materiales!$H$76-E511-F510,4))</f>
        <v/>
      </c>
      <c r="G512" s="69">
        <f>MAX(0,ROUND(G509+Materiales!$H$76-F511-G510,4))</f>
        <v/>
      </c>
      <c r="H512" s="69">
        <f>MAX(0,ROUND(H509+Materiales!$H$76-G511-H510,4))</f>
        <v/>
      </c>
      <c r="I512" s="69">
        <f>MAX(0,ROUND(I509+Materiales!$H$76-H511-I510,4))</f>
        <v/>
      </c>
      <c r="J512" s="69">
        <f>MAX(0,ROUND(J509+Materiales!$H$76-I511-J510,4))</f>
        <v/>
      </c>
      <c r="K512" s="69">
        <f>MAX(0,ROUND(K509+Materiales!$H$76-J511-K510,4))</f>
        <v/>
      </c>
      <c r="L512" s="69">
        <f>MAX(0,ROUND(L509+Materiales!$H$76-K511-L510,4))</f>
        <v/>
      </c>
      <c r="M512" s="66" t="n"/>
    </row>
    <row r="513">
      <c r="C513" s="63" t="inlineStr">
        <is>
          <t>Recepcion de orden planificada</t>
        </is>
      </c>
      <c r="D513" s="64" t="n"/>
      <c r="E513" s="65">
        <f>IF(E512&lt;=0,0,IF(Materiales!$G$76&lt;=0,E512,ROUNDUP(E512/Materiales!$G$76,0)*Materiales!$G$76))</f>
        <v/>
      </c>
      <c r="F513" s="65">
        <f>IF(F512&lt;=0,0,IF(Materiales!$G$76&lt;=0,F512,ROUNDUP(F512/Materiales!$G$76,0)*Materiales!$G$76))</f>
        <v/>
      </c>
      <c r="G513" s="65">
        <f>IF(G512&lt;=0,0,IF(Materiales!$G$76&lt;=0,G512,ROUNDUP(G512/Materiales!$G$76,0)*Materiales!$G$76))</f>
        <v/>
      </c>
      <c r="H513" s="65">
        <f>IF(H512&lt;=0,0,IF(Materiales!$G$76&lt;=0,H512,ROUNDUP(H512/Materiales!$G$76,0)*Materiales!$G$76))</f>
        <v/>
      </c>
      <c r="I513" s="65">
        <f>IF(I512&lt;=0,0,IF(Materiales!$G$76&lt;=0,I512,ROUNDUP(I512/Materiales!$G$76,0)*Materiales!$G$76))</f>
        <v/>
      </c>
      <c r="J513" s="65">
        <f>IF(J512&lt;=0,0,IF(Materiales!$G$76&lt;=0,J512,ROUNDUP(J512/Materiales!$G$76,0)*Materiales!$G$76))</f>
        <v/>
      </c>
      <c r="K513" s="65">
        <f>IF(K512&lt;=0,0,IF(Materiales!$G$76&lt;=0,K512,ROUNDUP(K512/Materiales!$G$76,0)*Materiales!$G$76))</f>
        <v/>
      </c>
      <c r="L513" s="65">
        <f>IF(L512&lt;=0,0,IF(Materiales!$G$76&lt;=0,L512,ROUNDUP(L512/Materiales!$G$76,0)*Materiales!$G$76))</f>
        <v/>
      </c>
      <c r="M513" s="66" t="n"/>
    </row>
    <row r="514">
      <c r="C514" s="70" t="inlineStr">
        <is>
          <t>LANZAMIENTO DE ORDEN — pedir esta semana</t>
        </is>
      </c>
      <c r="D514" s="64" t="n"/>
      <c r="E514" s="71">
        <f>IF(1+Materiales!$F$76&gt;8,0,INDEX($E$513:$L$513,1,1+Materiales!$F$76))</f>
        <v/>
      </c>
      <c r="F514" s="71">
        <f>IF(2+Materiales!$F$76&gt;8,0,INDEX($E$513:$L$513,1,2+Materiales!$F$76))</f>
        <v/>
      </c>
      <c r="G514" s="71">
        <f>IF(3+Materiales!$F$76&gt;8,0,INDEX($E$513:$L$513,1,3+Materiales!$F$76))</f>
        <v/>
      </c>
      <c r="H514" s="71">
        <f>IF(4+Materiales!$F$76&gt;8,0,INDEX($E$513:$L$513,1,4+Materiales!$F$76))</f>
        <v/>
      </c>
      <c r="I514" s="71">
        <f>IF(5+Materiales!$F$76&gt;8,0,INDEX($E$513:$L$513,1,5+Materiales!$F$76))</f>
        <v/>
      </c>
      <c r="J514" s="71">
        <f>IF(6+Materiales!$F$76&gt;8,0,INDEX($E$513:$L$513,1,6+Materiales!$F$76))</f>
        <v/>
      </c>
      <c r="K514" s="71">
        <f>IF(7+Materiales!$F$76&gt;8,0,INDEX($E$513:$L$513,1,7+Materiales!$F$76))</f>
        <v/>
      </c>
      <c r="L514" s="71">
        <f>IF(8+Materiales!$F$76&gt;8,0,INDEX($E$513:$L$513,1,8+Materiales!$F$76))</f>
        <v/>
      </c>
      <c r="M514" s="72">
        <f>IF($A509="","",IF(SUMPRODUCT((COLUMN($E$513:$L$513)-4&lt;=Materiales!$F$76)*$E$513:$L$513)&gt;0,"PEDIR YA (atrasado)","OK"))</f>
        <v/>
      </c>
    </row>
    <row r="515" ht="6" customHeight="1"/>
    <row r="516">
      <c r="A516" s="62">
        <f>IF(Materiales!$A$77="","",Materiales!$A$77)</f>
        <v/>
      </c>
      <c r="B516" s="62">
        <f>IF(Materiales!$B$77="","",Materiales!$B$77)</f>
        <v/>
      </c>
      <c r="C516" s="63" t="inlineStr">
        <is>
          <t>Necesidad bruta</t>
        </is>
      </c>
      <c r="D516" s="64" t="n"/>
      <c r="E516" s="65">
        <f>ROUND(SUMIF(Consumo!$P$4:$P$189,"#"&amp;$A516,Consumo!H$4:H$189),4)</f>
        <v/>
      </c>
      <c r="F516" s="65">
        <f>ROUND(SUMIF(Consumo!$P$4:$P$189,"#"&amp;$A516,Consumo!I$4:I$189),4)</f>
        <v/>
      </c>
      <c r="G516" s="65">
        <f>ROUND(SUMIF(Consumo!$P$4:$P$189,"#"&amp;$A516,Consumo!J$4:J$189),4)</f>
        <v/>
      </c>
      <c r="H516" s="65">
        <f>ROUND(SUMIF(Consumo!$P$4:$P$189,"#"&amp;$A516,Consumo!K$4:K$189),4)</f>
        <v/>
      </c>
      <c r="I516" s="65">
        <f>ROUND(SUMIF(Consumo!$P$4:$P$189,"#"&amp;$A516,Consumo!L$4:L$189),4)</f>
        <v/>
      </c>
      <c r="J516" s="65">
        <f>ROUND(SUMIF(Consumo!$P$4:$P$189,"#"&amp;$A516,Consumo!M$4:M$189),4)</f>
        <v/>
      </c>
      <c r="K516" s="65">
        <f>ROUND(SUMIF(Consumo!$P$4:$P$189,"#"&amp;$A516,Consumo!N$4:N$189),4)</f>
        <v/>
      </c>
      <c r="L516" s="65">
        <f>ROUND(SUMIF(Consumo!$P$4:$P$189,"#"&amp;$A516,Consumo!O$4:O$189),4)</f>
        <v/>
      </c>
      <c r="M516" s="66" t="n"/>
    </row>
    <row r="517">
      <c r="C517" s="63" t="inlineStr">
        <is>
          <t>Recepciones programadas (ya pedido)</t>
        </is>
      </c>
      <c r="D517" s="64" t="n"/>
      <c r="E517" s="65">
        <f>SUMIF(Inventario!$M$5:$M$505,"#"&amp;$A516,Inventario!E$5:E$505)</f>
        <v/>
      </c>
      <c r="F517" s="65">
        <f>SUMIF(Inventario!$M$5:$M$505,"#"&amp;$A516,Inventario!F$5:F$505)</f>
        <v/>
      </c>
      <c r="G517" s="65">
        <f>SUMIF(Inventario!$M$5:$M$505,"#"&amp;$A516,Inventario!G$5:G$505)</f>
        <v/>
      </c>
      <c r="H517" s="65">
        <f>SUMIF(Inventario!$M$5:$M$505,"#"&amp;$A516,Inventario!H$5:H$505)</f>
        <v/>
      </c>
      <c r="I517" s="65">
        <f>SUMIF(Inventario!$M$5:$M$505,"#"&amp;$A516,Inventario!I$5:I$505)</f>
        <v/>
      </c>
      <c r="J517" s="65">
        <f>SUMIF(Inventario!$M$5:$M$505,"#"&amp;$A516,Inventario!J$5:J$505)</f>
        <v/>
      </c>
      <c r="K517" s="65">
        <f>SUMIF(Inventario!$M$5:$M$505,"#"&amp;$A516,Inventario!K$5:K$505)</f>
        <v/>
      </c>
      <c r="L517" s="65">
        <f>SUMIF(Inventario!$M$5:$M$505,"#"&amp;$A516,Inventario!L$5:L$505)</f>
        <v/>
      </c>
      <c r="M517" s="66" t="n"/>
    </row>
    <row r="518">
      <c r="C518" s="63" t="inlineStr">
        <is>
          <t>Stock proyectado disponible</t>
        </is>
      </c>
      <c r="D518" s="67">
        <f>SUMIF(Inventario!$M$5:$M$505,"#"&amp;$A516,Inventario!$C$5:$C$505)</f>
        <v/>
      </c>
      <c r="E518" s="68">
        <f>D518+E517+E520-E516</f>
        <v/>
      </c>
      <c r="F518" s="68">
        <f>E518+F517+F520-F516</f>
        <v/>
      </c>
      <c r="G518" s="68">
        <f>F518+G517+G520-G516</f>
        <v/>
      </c>
      <c r="H518" s="68">
        <f>G518+H517+H520-H516</f>
        <v/>
      </c>
      <c r="I518" s="68">
        <f>H518+I517+I520-I516</f>
        <v/>
      </c>
      <c r="J518" s="68">
        <f>I518+J517+J520-J516</f>
        <v/>
      </c>
      <c r="K518" s="68">
        <f>J518+K517+K520-K516</f>
        <v/>
      </c>
      <c r="L518" s="68">
        <f>K518+L517+L520-L516</f>
        <v/>
      </c>
      <c r="M518" s="66" t="n"/>
    </row>
    <row r="519">
      <c r="C519" s="63" t="inlineStr">
        <is>
          <t>Necesidad neta</t>
        </is>
      </c>
      <c r="D519" s="64" t="n"/>
      <c r="E519" s="69">
        <f>MAX(0,ROUND(E516+Materiales!$H$77-D518-E517,4))</f>
        <v/>
      </c>
      <c r="F519" s="69">
        <f>MAX(0,ROUND(F516+Materiales!$H$77-E518-F517,4))</f>
        <v/>
      </c>
      <c r="G519" s="69">
        <f>MAX(0,ROUND(G516+Materiales!$H$77-F518-G517,4))</f>
        <v/>
      </c>
      <c r="H519" s="69">
        <f>MAX(0,ROUND(H516+Materiales!$H$77-G518-H517,4))</f>
        <v/>
      </c>
      <c r="I519" s="69">
        <f>MAX(0,ROUND(I516+Materiales!$H$77-H518-I517,4))</f>
        <v/>
      </c>
      <c r="J519" s="69">
        <f>MAX(0,ROUND(J516+Materiales!$H$77-I518-J517,4))</f>
        <v/>
      </c>
      <c r="K519" s="69">
        <f>MAX(0,ROUND(K516+Materiales!$H$77-J518-K517,4))</f>
        <v/>
      </c>
      <c r="L519" s="69">
        <f>MAX(0,ROUND(L516+Materiales!$H$77-K518-L517,4))</f>
        <v/>
      </c>
      <c r="M519" s="66" t="n"/>
    </row>
    <row r="520">
      <c r="C520" s="63" t="inlineStr">
        <is>
          <t>Recepcion de orden planificada</t>
        </is>
      </c>
      <c r="D520" s="64" t="n"/>
      <c r="E520" s="65">
        <f>IF(E519&lt;=0,0,IF(Materiales!$G$77&lt;=0,E519,ROUNDUP(E519/Materiales!$G$77,0)*Materiales!$G$77))</f>
        <v/>
      </c>
      <c r="F520" s="65">
        <f>IF(F519&lt;=0,0,IF(Materiales!$G$77&lt;=0,F519,ROUNDUP(F519/Materiales!$G$77,0)*Materiales!$G$77))</f>
        <v/>
      </c>
      <c r="G520" s="65">
        <f>IF(G519&lt;=0,0,IF(Materiales!$G$77&lt;=0,G519,ROUNDUP(G519/Materiales!$G$77,0)*Materiales!$G$77))</f>
        <v/>
      </c>
      <c r="H520" s="65">
        <f>IF(H519&lt;=0,0,IF(Materiales!$G$77&lt;=0,H519,ROUNDUP(H519/Materiales!$G$77,0)*Materiales!$G$77))</f>
        <v/>
      </c>
      <c r="I520" s="65">
        <f>IF(I519&lt;=0,0,IF(Materiales!$G$77&lt;=0,I519,ROUNDUP(I519/Materiales!$G$77,0)*Materiales!$G$77))</f>
        <v/>
      </c>
      <c r="J520" s="65">
        <f>IF(J519&lt;=0,0,IF(Materiales!$G$77&lt;=0,J519,ROUNDUP(J519/Materiales!$G$77,0)*Materiales!$G$77))</f>
        <v/>
      </c>
      <c r="K520" s="65">
        <f>IF(K519&lt;=0,0,IF(Materiales!$G$77&lt;=0,K519,ROUNDUP(K519/Materiales!$G$77,0)*Materiales!$G$77))</f>
        <v/>
      </c>
      <c r="L520" s="65">
        <f>IF(L519&lt;=0,0,IF(Materiales!$G$77&lt;=0,L519,ROUNDUP(L519/Materiales!$G$77,0)*Materiales!$G$77))</f>
        <v/>
      </c>
      <c r="M520" s="66" t="n"/>
    </row>
    <row r="521">
      <c r="C521" s="70" t="inlineStr">
        <is>
          <t>LANZAMIENTO DE ORDEN — pedir esta semana</t>
        </is>
      </c>
      <c r="D521" s="64" t="n"/>
      <c r="E521" s="71">
        <f>IF(1+Materiales!$F$77&gt;8,0,INDEX($E$520:$L$520,1,1+Materiales!$F$77))</f>
        <v/>
      </c>
      <c r="F521" s="71">
        <f>IF(2+Materiales!$F$77&gt;8,0,INDEX($E$520:$L$520,1,2+Materiales!$F$77))</f>
        <v/>
      </c>
      <c r="G521" s="71">
        <f>IF(3+Materiales!$F$77&gt;8,0,INDEX($E$520:$L$520,1,3+Materiales!$F$77))</f>
        <v/>
      </c>
      <c r="H521" s="71">
        <f>IF(4+Materiales!$F$77&gt;8,0,INDEX($E$520:$L$520,1,4+Materiales!$F$77))</f>
        <v/>
      </c>
      <c r="I521" s="71">
        <f>IF(5+Materiales!$F$77&gt;8,0,INDEX($E$520:$L$520,1,5+Materiales!$F$77))</f>
        <v/>
      </c>
      <c r="J521" s="71">
        <f>IF(6+Materiales!$F$77&gt;8,0,INDEX($E$520:$L$520,1,6+Materiales!$F$77))</f>
        <v/>
      </c>
      <c r="K521" s="71">
        <f>IF(7+Materiales!$F$77&gt;8,0,INDEX($E$520:$L$520,1,7+Materiales!$F$77))</f>
        <v/>
      </c>
      <c r="L521" s="71">
        <f>IF(8+Materiales!$F$77&gt;8,0,INDEX($E$520:$L$520,1,8+Materiales!$F$77))</f>
        <v/>
      </c>
      <c r="M521" s="72">
        <f>IF($A516="","",IF(SUMPRODUCT((COLUMN($E$520:$L$520)-4&lt;=Materiales!$F$77)*$E$520:$L$520)&gt;0,"PEDIR YA (atrasado)","OK"))</f>
        <v/>
      </c>
    </row>
    <row r="522" ht="6" customHeight="1"/>
    <row r="523">
      <c r="A523" s="62">
        <f>IF(Materiales!$A$78="","",Materiales!$A$78)</f>
        <v/>
      </c>
      <c r="B523" s="62">
        <f>IF(Materiales!$B$78="","",Materiales!$B$78)</f>
        <v/>
      </c>
      <c r="C523" s="63" t="inlineStr">
        <is>
          <t>Necesidad bruta</t>
        </is>
      </c>
      <c r="D523" s="64" t="n"/>
      <c r="E523" s="65">
        <f>ROUND(SUMIF(Consumo!$P$4:$P$189,"#"&amp;$A523,Consumo!H$4:H$189),4)</f>
        <v/>
      </c>
      <c r="F523" s="65">
        <f>ROUND(SUMIF(Consumo!$P$4:$P$189,"#"&amp;$A523,Consumo!I$4:I$189),4)</f>
        <v/>
      </c>
      <c r="G523" s="65">
        <f>ROUND(SUMIF(Consumo!$P$4:$P$189,"#"&amp;$A523,Consumo!J$4:J$189),4)</f>
        <v/>
      </c>
      <c r="H523" s="65">
        <f>ROUND(SUMIF(Consumo!$P$4:$P$189,"#"&amp;$A523,Consumo!K$4:K$189),4)</f>
        <v/>
      </c>
      <c r="I523" s="65">
        <f>ROUND(SUMIF(Consumo!$P$4:$P$189,"#"&amp;$A523,Consumo!L$4:L$189),4)</f>
        <v/>
      </c>
      <c r="J523" s="65">
        <f>ROUND(SUMIF(Consumo!$P$4:$P$189,"#"&amp;$A523,Consumo!M$4:M$189),4)</f>
        <v/>
      </c>
      <c r="K523" s="65">
        <f>ROUND(SUMIF(Consumo!$P$4:$P$189,"#"&amp;$A523,Consumo!N$4:N$189),4)</f>
        <v/>
      </c>
      <c r="L523" s="65">
        <f>ROUND(SUMIF(Consumo!$P$4:$P$189,"#"&amp;$A523,Consumo!O$4:O$189),4)</f>
        <v/>
      </c>
      <c r="M523" s="66" t="n"/>
    </row>
    <row r="524">
      <c r="C524" s="63" t="inlineStr">
        <is>
          <t>Recepciones programadas (ya pedido)</t>
        </is>
      </c>
      <c r="D524" s="64" t="n"/>
      <c r="E524" s="65">
        <f>SUMIF(Inventario!$M$5:$M$505,"#"&amp;$A523,Inventario!E$5:E$505)</f>
        <v/>
      </c>
      <c r="F524" s="65">
        <f>SUMIF(Inventario!$M$5:$M$505,"#"&amp;$A523,Inventario!F$5:F$505)</f>
        <v/>
      </c>
      <c r="G524" s="65">
        <f>SUMIF(Inventario!$M$5:$M$505,"#"&amp;$A523,Inventario!G$5:G$505)</f>
        <v/>
      </c>
      <c r="H524" s="65">
        <f>SUMIF(Inventario!$M$5:$M$505,"#"&amp;$A523,Inventario!H$5:H$505)</f>
        <v/>
      </c>
      <c r="I524" s="65">
        <f>SUMIF(Inventario!$M$5:$M$505,"#"&amp;$A523,Inventario!I$5:I$505)</f>
        <v/>
      </c>
      <c r="J524" s="65">
        <f>SUMIF(Inventario!$M$5:$M$505,"#"&amp;$A523,Inventario!J$5:J$505)</f>
        <v/>
      </c>
      <c r="K524" s="65">
        <f>SUMIF(Inventario!$M$5:$M$505,"#"&amp;$A523,Inventario!K$5:K$505)</f>
        <v/>
      </c>
      <c r="L524" s="65">
        <f>SUMIF(Inventario!$M$5:$M$505,"#"&amp;$A523,Inventario!L$5:L$505)</f>
        <v/>
      </c>
      <c r="M524" s="66" t="n"/>
    </row>
    <row r="525">
      <c r="C525" s="63" t="inlineStr">
        <is>
          <t>Stock proyectado disponible</t>
        </is>
      </c>
      <c r="D525" s="67">
        <f>SUMIF(Inventario!$M$5:$M$505,"#"&amp;$A523,Inventario!$C$5:$C$505)</f>
        <v/>
      </c>
      <c r="E525" s="68">
        <f>D525+E524+E527-E523</f>
        <v/>
      </c>
      <c r="F525" s="68">
        <f>E525+F524+F527-F523</f>
        <v/>
      </c>
      <c r="G525" s="68">
        <f>F525+G524+G527-G523</f>
        <v/>
      </c>
      <c r="H525" s="68">
        <f>G525+H524+H527-H523</f>
        <v/>
      </c>
      <c r="I525" s="68">
        <f>H525+I524+I527-I523</f>
        <v/>
      </c>
      <c r="J525" s="68">
        <f>I525+J524+J527-J523</f>
        <v/>
      </c>
      <c r="K525" s="68">
        <f>J525+K524+K527-K523</f>
        <v/>
      </c>
      <c r="L525" s="68">
        <f>K525+L524+L527-L523</f>
        <v/>
      </c>
      <c r="M525" s="66" t="n"/>
    </row>
    <row r="526">
      <c r="C526" s="63" t="inlineStr">
        <is>
          <t>Necesidad neta</t>
        </is>
      </c>
      <c r="D526" s="64" t="n"/>
      <c r="E526" s="69">
        <f>MAX(0,ROUND(E523+Materiales!$H$78-D525-E524,4))</f>
        <v/>
      </c>
      <c r="F526" s="69">
        <f>MAX(0,ROUND(F523+Materiales!$H$78-E525-F524,4))</f>
        <v/>
      </c>
      <c r="G526" s="69">
        <f>MAX(0,ROUND(G523+Materiales!$H$78-F525-G524,4))</f>
        <v/>
      </c>
      <c r="H526" s="69">
        <f>MAX(0,ROUND(H523+Materiales!$H$78-G525-H524,4))</f>
        <v/>
      </c>
      <c r="I526" s="69">
        <f>MAX(0,ROUND(I523+Materiales!$H$78-H525-I524,4))</f>
        <v/>
      </c>
      <c r="J526" s="69">
        <f>MAX(0,ROUND(J523+Materiales!$H$78-I525-J524,4))</f>
        <v/>
      </c>
      <c r="K526" s="69">
        <f>MAX(0,ROUND(K523+Materiales!$H$78-J525-K524,4))</f>
        <v/>
      </c>
      <c r="L526" s="69">
        <f>MAX(0,ROUND(L523+Materiales!$H$78-K525-L524,4))</f>
        <v/>
      </c>
      <c r="M526" s="66" t="n"/>
    </row>
    <row r="527">
      <c r="C527" s="63" t="inlineStr">
        <is>
          <t>Recepcion de orden planificada</t>
        </is>
      </c>
      <c r="D527" s="64" t="n"/>
      <c r="E527" s="65">
        <f>IF(E526&lt;=0,0,IF(Materiales!$G$78&lt;=0,E526,ROUNDUP(E526/Materiales!$G$78,0)*Materiales!$G$78))</f>
        <v/>
      </c>
      <c r="F527" s="65">
        <f>IF(F526&lt;=0,0,IF(Materiales!$G$78&lt;=0,F526,ROUNDUP(F526/Materiales!$G$78,0)*Materiales!$G$78))</f>
        <v/>
      </c>
      <c r="G527" s="65">
        <f>IF(G526&lt;=0,0,IF(Materiales!$G$78&lt;=0,G526,ROUNDUP(G526/Materiales!$G$78,0)*Materiales!$G$78))</f>
        <v/>
      </c>
      <c r="H527" s="65">
        <f>IF(H526&lt;=0,0,IF(Materiales!$G$78&lt;=0,H526,ROUNDUP(H526/Materiales!$G$78,0)*Materiales!$G$78))</f>
        <v/>
      </c>
      <c r="I527" s="65">
        <f>IF(I526&lt;=0,0,IF(Materiales!$G$78&lt;=0,I526,ROUNDUP(I526/Materiales!$G$78,0)*Materiales!$G$78))</f>
        <v/>
      </c>
      <c r="J527" s="65">
        <f>IF(J526&lt;=0,0,IF(Materiales!$G$78&lt;=0,J526,ROUNDUP(J526/Materiales!$G$78,0)*Materiales!$G$78))</f>
        <v/>
      </c>
      <c r="K527" s="65">
        <f>IF(K526&lt;=0,0,IF(Materiales!$G$78&lt;=0,K526,ROUNDUP(K526/Materiales!$G$78,0)*Materiales!$G$78))</f>
        <v/>
      </c>
      <c r="L527" s="65">
        <f>IF(L526&lt;=0,0,IF(Materiales!$G$78&lt;=0,L526,ROUNDUP(L526/Materiales!$G$78,0)*Materiales!$G$78))</f>
        <v/>
      </c>
      <c r="M527" s="66" t="n"/>
    </row>
    <row r="528">
      <c r="C528" s="70" t="inlineStr">
        <is>
          <t>LANZAMIENTO DE ORDEN — pedir esta semana</t>
        </is>
      </c>
      <c r="D528" s="64" t="n"/>
      <c r="E528" s="71">
        <f>IF(1+Materiales!$F$78&gt;8,0,INDEX($E$527:$L$527,1,1+Materiales!$F$78))</f>
        <v/>
      </c>
      <c r="F528" s="71">
        <f>IF(2+Materiales!$F$78&gt;8,0,INDEX($E$527:$L$527,1,2+Materiales!$F$78))</f>
        <v/>
      </c>
      <c r="G528" s="71">
        <f>IF(3+Materiales!$F$78&gt;8,0,INDEX($E$527:$L$527,1,3+Materiales!$F$78))</f>
        <v/>
      </c>
      <c r="H528" s="71">
        <f>IF(4+Materiales!$F$78&gt;8,0,INDEX($E$527:$L$527,1,4+Materiales!$F$78))</f>
        <v/>
      </c>
      <c r="I528" s="71">
        <f>IF(5+Materiales!$F$78&gt;8,0,INDEX($E$527:$L$527,1,5+Materiales!$F$78))</f>
        <v/>
      </c>
      <c r="J528" s="71">
        <f>IF(6+Materiales!$F$78&gt;8,0,INDEX($E$527:$L$527,1,6+Materiales!$F$78))</f>
        <v/>
      </c>
      <c r="K528" s="71">
        <f>IF(7+Materiales!$F$78&gt;8,0,INDEX($E$527:$L$527,1,7+Materiales!$F$78))</f>
        <v/>
      </c>
      <c r="L528" s="71">
        <f>IF(8+Materiales!$F$78&gt;8,0,INDEX($E$527:$L$527,1,8+Materiales!$F$78))</f>
        <v/>
      </c>
      <c r="M528" s="72">
        <f>IF($A523="","",IF(SUMPRODUCT((COLUMN($E$527:$L$527)-4&lt;=Materiales!$F$78)*$E$527:$L$527)&gt;0,"PEDIR YA (atrasado)","OK"))</f>
        <v/>
      </c>
    </row>
    <row r="529" ht="6" customHeight="1"/>
    <row r="530">
      <c r="A530" s="62">
        <f>IF(Materiales!$A$79="","",Materiales!$A$79)</f>
        <v/>
      </c>
      <c r="B530" s="62">
        <f>IF(Materiales!$B$79="","",Materiales!$B$79)</f>
        <v/>
      </c>
      <c r="C530" s="63" t="inlineStr">
        <is>
          <t>Necesidad bruta</t>
        </is>
      </c>
      <c r="D530" s="64" t="n"/>
      <c r="E530" s="65">
        <f>ROUND(SUMIF(Consumo!$P$4:$P$189,"#"&amp;$A530,Consumo!H$4:H$189),4)</f>
        <v/>
      </c>
      <c r="F530" s="65">
        <f>ROUND(SUMIF(Consumo!$P$4:$P$189,"#"&amp;$A530,Consumo!I$4:I$189),4)</f>
        <v/>
      </c>
      <c r="G530" s="65">
        <f>ROUND(SUMIF(Consumo!$P$4:$P$189,"#"&amp;$A530,Consumo!J$4:J$189),4)</f>
        <v/>
      </c>
      <c r="H530" s="65">
        <f>ROUND(SUMIF(Consumo!$P$4:$P$189,"#"&amp;$A530,Consumo!K$4:K$189),4)</f>
        <v/>
      </c>
      <c r="I530" s="65">
        <f>ROUND(SUMIF(Consumo!$P$4:$P$189,"#"&amp;$A530,Consumo!L$4:L$189),4)</f>
        <v/>
      </c>
      <c r="J530" s="65">
        <f>ROUND(SUMIF(Consumo!$P$4:$P$189,"#"&amp;$A530,Consumo!M$4:M$189),4)</f>
        <v/>
      </c>
      <c r="K530" s="65">
        <f>ROUND(SUMIF(Consumo!$P$4:$P$189,"#"&amp;$A530,Consumo!N$4:N$189),4)</f>
        <v/>
      </c>
      <c r="L530" s="65">
        <f>ROUND(SUMIF(Consumo!$P$4:$P$189,"#"&amp;$A530,Consumo!O$4:O$189),4)</f>
        <v/>
      </c>
      <c r="M530" s="66" t="n"/>
    </row>
    <row r="531">
      <c r="C531" s="63" t="inlineStr">
        <is>
          <t>Recepciones programadas (ya pedido)</t>
        </is>
      </c>
      <c r="D531" s="64" t="n"/>
      <c r="E531" s="65">
        <f>SUMIF(Inventario!$M$5:$M$505,"#"&amp;$A530,Inventario!E$5:E$505)</f>
        <v/>
      </c>
      <c r="F531" s="65">
        <f>SUMIF(Inventario!$M$5:$M$505,"#"&amp;$A530,Inventario!F$5:F$505)</f>
        <v/>
      </c>
      <c r="G531" s="65">
        <f>SUMIF(Inventario!$M$5:$M$505,"#"&amp;$A530,Inventario!G$5:G$505)</f>
        <v/>
      </c>
      <c r="H531" s="65">
        <f>SUMIF(Inventario!$M$5:$M$505,"#"&amp;$A530,Inventario!H$5:H$505)</f>
        <v/>
      </c>
      <c r="I531" s="65">
        <f>SUMIF(Inventario!$M$5:$M$505,"#"&amp;$A530,Inventario!I$5:I$505)</f>
        <v/>
      </c>
      <c r="J531" s="65">
        <f>SUMIF(Inventario!$M$5:$M$505,"#"&amp;$A530,Inventario!J$5:J$505)</f>
        <v/>
      </c>
      <c r="K531" s="65">
        <f>SUMIF(Inventario!$M$5:$M$505,"#"&amp;$A530,Inventario!K$5:K$505)</f>
        <v/>
      </c>
      <c r="L531" s="65">
        <f>SUMIF(Inventario!$M$5:$M$505,"#"&amp;$A530,Inventario!L$5:L$505)</f>
        <v/>
      </c>
      <c r="M531" s="66" t="n"/>
    </row>
    <row r="532">
      <c r="C532" s="63" t="inlineStr">
        <is>
          <t>Stock proyectado disponible</t>
        </is>
      </c>
      <c r="D532" s="67">
        <f>SUMIF(Inventario!$M$5:$M$505,"#"&amp;$A530,Inventario!$C$5:$C$505)</f>
        <v/>
      </c>
      <c r="E532" s="68">
        <f>D532+E531+E534-E530</f>
        <v/>
      </c>
      <c r="F532" s="68">
        <f>E532+F531+F534-F530</f>
        <v/>
      </c>
      <c r="G532" s="68">
        <f>F532+G531+G534-G530</f>
        <v/>
      </c>
      <c r="H532" s="68">
        <f>G532+H531+H534-H530</f>
        <v/>
      </c>
      <c r="I532" s="68">
        <f>H532+I531+I534-I530</f>
        <v/>
      </c>
      <c r="J532" s="68">
        <f>I532+J531+J534-J530</f>
        <v/>
      </c>
      <c r="K532" s="68">
        <f>J532+K531+K534-K530</f>
        <v/>
      </c>
      <c r="L532" s="68">
        <f>K532+L531+L534-L530</f>
        <v/>
      </c>
      <c r="M532" s="66" t="n"/>
    </row>
    <row r="533">
      <c r="C533" s="63" t="inlineStr">
        <is>
          <t>Necesidad neta</t>
        </is>
      </c>
      <c r="D533" s="64" t="n"/>
      <c r="E533" s="69">
        <f>MAX(0,ROUND(E530+Materiales!$H$79-D532-E531,4))</f>
        <v/>
      </c>
      <c r="F533" s="69">
        <f>MAX(0,ROUND(F530+Materiales!$H$79-E532-F531,4))</f>
        <v/>
      </c>
      <c r="G533" s="69">
        <f>MAX(0,ROUND(G530+Materiales!$H$79-F532-G531,4))</f>
        <v/>
      </c>
      <c r="H533" s="69">
        <f>MAX(0,ROUND(H530+Materiales!$H$79-G532-H531,4))</f>
        <v/>
      </c>
      <c r="I533" s="69">
        <f>MAX(0,ROUND(I530+Materiales!$H$79-H532-I531,4))</f>
        <v/>
      </c>
      <c r="J533" s="69">
        <f>MAX(0,ROUND(J530+Materiales!$H$79-I532-J531,4))</f>
        <v/>
      </c>
      <c r="K533" s="69">
        <f>MAX(0,ROUND(K530+Materiales!$H$79-J532-K531,4))</f>
        <v/>
      </c>
      <c r="L533" s="69">
        <f>MAX(0,ROUND(L530+Materiales!$H$79-K532-L531,4))</f>
        <v/>
      </c>
      <c r="M533" s="66" t="n"/>
    </row>
    <row r="534">
      <c r="C534" s="63" t="inlineStr">
        <is>
          <t>Recepcion de orden planificada</t>
        </is>
      </c>
      <c r="D534" s="64" t="n"/>
      <c r="E534" s="65">
        <f>IF(E533&lt;=0,0,IF(Materiales!$G$79&lt;=0,E533,ROUNDUP(E533/Materiales!$G$79,0)*Materiales!$G$79))</f>
        <v/>
      </c>
      <c r="F534" s="65">
        <f>IF(F533&lt;=0,0,IF(Materiales!$G$79&lt;=0,F533,ROUNDUP(F533/Materiales!$G$79,0)*Materiales!$G$79))</f>
        <v/>
      </c>
      <c r="G534" s="65">
        <f>IF(G533&lt;=0,0,IF(Materiales!$G$79&lt;=0,G533,ROUNDUP(G533/Materiales!$G$79,0)*Materiales!$G$79))</f>
        <v/>
      </c>
      <c r="H534" s="65">
        <f>IF(H533&lt;=0,0,IF(Materiales!$G$79&lt;=0,H533,ROUNDUP(H533/Materiales!$G$79,0)*Materiales!$G$79))</f>
        <v/>
      </c>
      <c r="I534" s="65">
        <f>IF(I533&lt;=0,0,IF(Materiales!$G$79&lt;=0,I533,ROUNDUP(I533/Materiales!$G$79,0)*Materiales!$G$79))</f>
        <v/>
      </c>
      <c r="J534" s="65">
        <f>IF(J533&lt;=0,0,IF(Materiales!$G$79&lt;=0,J533,ROUNDUP(J533/Materiales!$G$79,0)*Materiales!$G$79))</f>
        <v/>
      </c>
      <c r="K534" s="65">
        <f>IF(K533&lt;=0,0,IF(Materiales!$G$79&lt;=0,K533,ROUNDUP(K533/Materiales!$G$79,0)*Materiales!$G$79))</f>
        <v/>
      </c>
      <c r="L534" s="65">
        <f>IF(L533&lt;=0,0,IF(Materiales!$G$79&lt;=0,L533,ROUNDUP(L533/Materiales!$G$79,0)*Materiales!$G$79))</f>
        <v/>
      </c>
      <c r="M534" s="66" t="n"/>
    </row>
    <row r="535">
      <c r="C535" s="70" t="inlineStr">
        <is>
          <t>LANZAMIENTO DE ORDEN — pedir esta semana</t>
        </is>
      </c>
      <c r="D535" s="64" t="n"/>
      <c r="E535" s="71">
        <f>IF(1+Materiales!$F$79&gt;8,0,INDEX($E$534:$L$534,1,1+Materiales!$F$79))</f>
        <v/>
      </c>
      <c r="F535" s="71">
        <f>IF(2+Materiales!$F$79&gt;8,0,INDEX($E$534:$L$534,1,2+Materiales!$F$79))</f>
        <v/>
      </c>
      <c r="G535" s="71">
        <f>IF(3+Materiales!$F$79&gt;8,0,INDEX($E$534:$L$534,1,3+Materiales!$F$79))</f>
        <v/>
      </c>
      <c r="H535" s="71">
        <f>IF(4+Materiales!$F$79&gt;8,0,INDEX($E$534:$L$534,1,4+Materiales!$F$79))</f>
        <v/>
      </c>
      <c r="I535" s="71">
        <f>IF(5+Materiales!$F$79&gt;8,0,INDEX($E$534:$L$534,1,5+Materiales!$F$79))</f>
        <v/>
      </c>
      <c r="J535" s="71">
        <f>IF(6+Materiales!$F$79&gt;8,0,INDEX($E$534:$L$534,1,6+Materiales!$F$79))</f>
        <v/>
      </c>
      <c r="K535" s="71">
        <f>IF(7+Materiales!$F$79&gt;8,0,INDEX($E$534:$L$534,1,7+Materiales!$F$79))</f>
        <v/>
      </c>
      <c r="L535" s="71">
        <f>IF(8+Materiales!$F$79&gt;8,0,INDEX($E$534:$L$534,1,8+Materiales!$F$79))</f>
        <v/>
      </c>
      <c r="M535" s="72">
        <f>IF($A530="","",IF(SUMPRODUCT((COLUMN($E$534:$L$534)-4&lt;=Materiales!$F$79)*$E$534:$L$534)&gt;0,"PEDIR YA (atrasado)","OK"))</f>
        <v/>
      </c>
    </row>
    <row r="536" ht="6" customHeight="1"/>
    <row r="537">
      <c r="A537" s="62">
        <f>IF(Materiales!$A$80="","",Materiales!$A$80)</f>
        <v/>
      </c>
      <c r="B537" s="62">
        <f>IF(Materiales!$B$80="","",Materiales!$B$80)</f>
        <v/>
      </c>
      <c r="C537" s="63" t="inlineStr">
        <is>
          <t>Necesidad bruta</t>
        </is>
      </c>
      <c r="D537" s="64" t="n"/>
      <c r="E537" s="65">
        <f>ROUND(SUMIF(Consumo!$P$4:$P$189,"#"&amp;$A537,Consumo!H$4:H$189),4)</f>
        <v/>
      </c>
      <c r="F537" s="65">
        <f>ROUND(SUMIF(Consumo!$P$4:$P$189,"#"&amp;$A537,Consumo!I$4:I$189),4)</f>
        <v/>
      </c>
      <c r="G537" s="65">
        <f>ROUND(SUMIF(Consumo!$P$4:$P$189,"#"&amp;$A537,Consumo!J$4:J$189),4)</f>
        <v/>
      </c>
      <c r="H537" s="65">
        <f>ROUND(SUMIF(Consumo!$P$4:$P$189,"#"&amp;$A537,Consumo!K$4:K$189),4)</f>
        <v/>
      </c>
      <c r="I537" s="65">
        <f>ROUND(SUMIF(Consumo!$P$4:$P$189,"#"&amp;$A537,Consumo!L$4:L$189),4)</f>
        <v/>
      </c>
      <c r="J537" s="65">
        <f>ROUND(SUMIF(Consumo!$P$4:$P$189,"#"&amp;$A537,Consumo!M$4:M$189),4)</f>
        <v/>
      </c>
      <c r="K537" s="65">
        <f>ROUND(SUMIF(Consumo!$P$4:$P$189,"#"&amp;$A537,Consumo!N$4:N$189),4)</f>
        <v/>
      </c>
      <c r="L537" s="65">
        <f>ROUND(SUMIF(Consumo!$P$4:$P$189,"#"&amp;$A537,Consumo!O$4:O$189),4)</f>
        <v/>
      </c>
      <c r="M537" s="66" t="n"/>
    </row>
    <row r="538">
      <c r="C538" s="63" t="inlineStr">
        <is>
          <t>Recepciones programadas (ya pedido)</t>
        </is>
      </c>
      <c r="D538" s="64" t="n"/>
      <c r="E538" s="65">
        <f>SUMIF(Inventario!$M$5:$M$505,"#"&amp;$A537,Inventario!E$5:E$505)</f>
        <v/>
      </c>
      <c r="F538" s="65">
        <f>SUMIF(Inventario!$M$5:$M$505,"#"&amp;$A537,Inventario!F$5:F$505)</f>
        <v/>
      </c>
      <c r="G538" s="65">
        <f>SUMIF(Inventario!$M$5:$M$505,"#"&amp;$A537,Inventario!G$5:G$505)</f>
        <v/>
      </c>
      <c r="H538" s="65">
        <f>SUMIF(Inventario!$M$5:$M$505,"#"&amp;$A537,Inventario!H$5:H$505)</f>
        <v/>
      </c>
      <c r="I538" s="65">
        <f>SUMIF(Inventario!$M$5:$M$505,"#"&amp;$A537,Inventario!I$5:I$505)</f>
        <v/>
      </c>
      <c r="J538" s="65">
        <f>SUMIF(Inventario!$M$5:$M$505,"#"&amp;$A537,Inventario!J$5:J$505)</f>
        <v/>
      </c>
      <c r="K538" s="65">
        <f>SUMIF(Inventario!$M$5:$M$505,"#"&amp;$A537,Inventario!K$5:K$505)</f>
        <v/>
      </c>
      <c r="L538" s="65">
        <f>SUMIF(Inventario!$M$5:$M$505,"#"&amp;$A537,Inventario!L$5:L$505)</f>
        <v/>
      </c>
      <c r="M538" s="66" t="n"/>
    </row>
    <row r="539">
      <c r="C539" s="63" t="inlineStr">
        <is>
          <t>Stock proyectado disponible</t>
        </is>
      </c>
      <c r="D539" s="67">
        <f>SUMIF(Inventario!$M$5:$M$505,"#"&amp;$A537,Inventario!$C$5:$C$505)</f>
        <v/>
      </c>
      <c r="E539" s="68">
        <f>D539+E538+E541-E537</f>
        <v/>
      </c>
      <c r="F539" s="68">
        <f>E539+F538+F541-F537</f>
        <v/>
      </c>
      <c r="G539" s="68">
        <f>F539+G538+G541-G537</f>
        <v/>
      </c>
      <c r="H539" s="68">
        <f>G539+H538+H541-H537</f>
        <v/>
      </c>
      <c r="I539" s="68">
        <f>H539+I538+I541-I537</f>
        <v/>
      </c>
      <c r="J539" s="68">
        <f>I539+J538+J541-J537</f>
        <v/>
      </c>
      <c r="K539" s="68">
        <f>J539+K538+K541-K537</f>
        <v/>
      </c>
      <c r="L539" s="68">
        <f>K539+L538+L541-L537</f>
        <v/>
      </c>
      <c r="M539" s="66" t="n"/>
    </row>
    <row r="540">
      <c r="C540" s="63" t="inlineStr">
        <is>
          <t>Necesidad neta</t>
        </is>
      </c>
      <c r="D540" s="64" t="n"/>
      <c r="E540" s="69">
        <f>MAX(0,ROUND(E537+Materiales!$H$80-D539-E538,4))</f>
        <v/>
      </c>
      <c r="F540" s="69">
        <f>MAX(0,ROUND(F537+Materiales!$H$80-E539-F538,4))</f>
        <v/>
      </c>
      <c r="G540" s="69">
        <f>MAX(0,ROUND(G537+Materiales!$H$80-F539-G538,4))</f>
        <v/>
      </c>
      <c r="H540" s="69">
        <f>MAX(0,ROUND(H537+Materiales!$H$80-G539-H538,4))</f>
        <v/>
      </c>
      <c r="I540" s="69">
        <f>MAX(0,ROUND(I537+Materiales!$H$80-H539-I538,4))</f>
        <v/>
      </c>
      <c r="J540" s="69">
        <f>MAX(0,ROUND(J537+Materiales!$H$80-I539-J538,4))</f>
        <v/>
      </c>
      <c r="K540" s="69">
        <f>MAX(0,ROUND(K537+Materiales!$H$80-J539-K538,4))</f>
        <v/>
      </c>
      <c r="L540" s="69">
        <f>MAX(0,ROUND(L537+Materiales!$H$80-K539-L538,4))</f>
        <v/>
      </c>
      <c r="M540" s="66" t="n"/>
    </row>
    <row r="541">
      <c r="C541" s="63" t="inlineStr">
        <is>
          <t>Recepcion de orden planificada</t>
        </is>
      </c>
      <c r="D541" s="64" t="n"/>
      <c r="E541" s="65">
        <f>IF(E540&lt;=0,0,IF(Materiales!$G$80&lt;=0,E540,ROUNDUP(E540/Materiales!$G$80,0)*Materiales!$G$80))</f>
        <v/>
      </c>
      <c r="F541" s="65">
        <f>IF(F540&lt;=0,0,IF(Materiales!$G$80&lt;=0,F540,ROUNDUP(F540/Materiales!$G$80,0)*Materiales!$G$80))</f>
        <v/>
      </c>
      <c r="G541" s="65">
        <f>IF(G540&lt;=0,0,IF(Materiales!$G$80&lt;=0,G540,ROUNDUP(G540/Materiales!$G$80,0)*Materiales!$G$80))</f>
        <v/>
      </c>
      <c r="H541" s="65">
        <f>IF(H540&lt;=0,0,IF(Materiales!$G$80&lt;=0,H540,ROUNDUP(H540/Materiales!$G$80,0)*Materiales!$G$80))</f>
        <v/>
      </c>
      <c r="I541" s="65">
        <f>IF(I540&lt;=0,0,IF(Materiales!$G$80&lt;=0,I540,ROUNDUP(I540/Materiales!$G$80,0)*Materiales!$G$80))</f>
        <v/>
      </c>
      <c r="J541" s="65">
        <f>IF(J540&lt;=0,0,IF(Materiales!$G$80&lt;=0,J540,ROUNDUP(J540/Materiales!$G$80,0)*Materiales!$G$80))</f>
        <v/>
      </c>
      <c r="K541" s="65">
        <f>IF(K540&lt;=0,0,IF(Materiales!$G$80&lt;=0,K540,ROUNDUP(K540/Materiales!$G$80,0)*Materiales!$G$80))</f>
        <v/>
      </c>
      <c r="L541" s="65">
        <f>IF(L540&lt;=0,0,IF(Materiales!$G$80&lt;=0,L540,ROUNDUP(L540/Materiales!$G$80,0)*Materiales!$G$80))</f>
        <v/>
      </c>
      <c r="M541" s="66" t="n"/>
    </row>
    <row r="542">
      <c r="C542" s="70" t="inlineStr">
        <is>
          <t>LANZAMIENTO DE ORDEN — pedir esta semana</t>
        </is>
      </c>
      <c r="D542" s="64" t="n"/>
      <c r="E542" s="71">
        <f>IF(1+Materiales!$F$80&gt;8,0,INDEX($E$541:$L$541,1,1+Materiales!$F$80))</f>
        <v/>
      </c>
      <c r="F542" s="71">
        <f>IF(2+Materiales!$F$80&gt;8,0,INDEX($E$541:$L$541,1,2+Materiales!$F$80))</f>
        <v/>
      </c>
      <c r="G542" s="71">
        <f>IF(3+Materiales!$F$80&gt;8,0,INDEX($E$541:$L$541,1,3+Materiales!$F$80))</f>
        <v/>
      </c>
      <c r="H542" s="71">
        <f>IF(4+Materiales!$F$80&gt;8,0,INDEX($E$541:$L$541,1,4+Materiales!$F$80))</f>
        <v/>
      </c>
      <c r="I542" s="71">
        <f>IF(5+Materiales!$F$80&gt;8,0,INDEX($E$541:$L$541,1,5+Materiales!$F$80))</f>
        <v/>
      </c>
      <c r="J542" s="71">
        <f>IF(6+Materiales!$F$80&gt;8,0,INDEX($E$541:$L$541,1,6+Materiales!$F$80))</f>
        <v/>
      </c>
      <c r="K542" s="71">
        <f>IF(7+Materiales!$F$80&gt;8,0,INDEX($E$541:$L$541,1,7+Materiales!$F$80))</f>
        <v/>
      </c>
      <c r="L542" s="71">
        <f>IF(8+Materiales!$F$80&gt;8,0,INDEX($E$541:$L$541,1,8+Materiales!$F$80))</f>
        <v/>
      </c>
      <c r="M542" s="72">
        <f>IF($A537="","",IF(SUMPRODUCT((COLUMN($E$541:$L$541)-4&lt;=Materiales!$F$80)*$E$541:$L$541)&gt;0,"PEDIR YA (atrasado)","OK"))</f>
        <v/>
      </c>
    </row>
    <row r="543" ht="6" customHeight="1"/>
    <row r="544">
      <c r="A544" s="62">
        <f>IF(Materiales!$A$81="","",Materiales!$A$81)</f>
        <v/>
      </c>
      <c r="B544" s="62">
        <f>IF(Materiales!$B$81="","",Materiales!$B$81)</f>
        <v/>
      </c>
      <c r="C544" s="63" t="inlineStr">
        <is>
          <t>Necesidad bruta</t>
        </is>
      </c>
      <c r="D544" s="64" t="n"/>
      <c r="E544" s="65">
        <f>ROUND(SUMIF(Consumo!$P$4:$P$189,"#"&amp;$A544,Consumo!H$4:H$189),4)</f>
        <v/>
      </c>
      <c r="F544" s="65">
        <f>ROUND(SUMIF(Consumo!$P$4:$P$189,"#"&amp;$A544,Consumo!I$4:I$189),4)</f>
        <v/>
      </c>
      <c r="G544" s="65">
        <f>ROUND(SUMIF(Consumo!$P$4:$P$189,"#"&amp;$A544,Consumo!J$4:J$189),4)</f>
        <v/>
      </c>
      <c r="H544" s="65">
        <f>ROUND(SUMIF(Consumo!$P$4:$P$189,"#"&amp;$A544,Consumo!K$4:K$189),4)</f>
        <v/>
      </c>
      <c r="I544" s="65">
        <f>ROUND(SUMIF(Consumo!$P$4:$P$189,"#"&amp;$A544,Consumo!L$4:L$189),4)</f>
        <v/>
      </c>
      <c r="J544" s="65">
        <f>ROUND(SUMIF(Consumo!$P$4:$P$189,"#"&amp;$A544,Consumo!M$4:M$189),4)</f>
        <v/>
      </c>
      <c r="K544" s="65">
        <f>ROUND(SUMIF(Consumo!$P$4:$P$189,"#"&amp;$A544,Consumo!N$4:N$189),4)</f>
        <v/>
      </c>
      <c r="L544" s="65">
        <f>ROUND(SUMIF(Consumo!$P$4:$P$189,"#"&amp;$A544,Consumo!O$4:O$189),4)</f>
        <v/>
      </c>
      <c r="M544" s="66" t="n"/>
    </row>
    <row r="545">
      <c r="C545" s="63" t="inlineStr">
        <is>
          <t>Recepciones programadas (ya pedido)</t>
        </is>
      </c>
      <c r="D545" s="64" t="n"/>
      <c r="E545" s="65">
        <f>SUMIF(Inventario!$M$5:$M$505,"#"&amp;$A544,Inventario!E$5:E$505)</f>
        <v/>
      </c>
      <c r="F545" s="65">
        <f>SUMIF(Inventario!$M$5:$M$505,"#"&amp;$A544,Inventario!F$5:F$505)</f>
        <v/>
      </c>
      <c r="G545" s="65">
        <f>SUMIF(Inventario!$M$5:$M$505,"#"&amp;$A544,Inventario!G$5:G$505)</f>
        <v/>
      </c>
      <c r="H545" s="65">
        <f>SUMIF(Inventario!$M$5:$M$505,"#"&amp;$A544,Inventario!H$5:H$505)</f>
        <v/>
      </c>
      <c r="I545" s="65">
        <f>SUMIF(Inventario!$M$5:$M$505,"#"&amp;$A544,Inventario!I$5:I$505)</f>
        <v/>
      </c>
      <c r="J545" s="65">
        <f>SUMIF(Inventario!$M$5:$M$505,"#"&amp;$A544,Inventario!J$5:J$505)</f>
        <v/>
      </c>
      <c r="K545" s="65">
        <f>SUMIF(Inventario!$M$5:$M$505,"#"&amp;$A544,Inventario!K$5:K$505)</f>
        <v/>
      </c>
      <c r="L545" s="65">
        <f>SUMIF(Inventario!$M$5:$M$505,"#"&amp;$A544,Inventario!L$5:L$505)</f>
        <v/>
      </c>
      <c r="M545" s="66" t="n"/>
    </row>
    <row r="546">
      <c r="C546" s="63" t="inlineStr">
        <is>
          <t>Stock proyectado disponible</t>
        </is>
      </c>
      <c r="D546" s="67">
        <f>SUMIF(Inventario!$M$5:$M$505,"#"&amp;$A544,Inventario!$C$5:$C$505)</f>
        <v/>
      </c>
      <c r="E546" s="68">
        <f>D546+E545+E548-E544</f>
        <v/>
      </c>
      <c r="F546" s="68">
        <f>E546+F545+F548-F544</f>
        <v/>
      </c>
      <c r="G546" s="68">
        <f>F546+G545+G548-G544</f>
        <v/>
      </c>
      <c r="H546" s="68">
        <f>G546+H545+H548-H544</f>
        <v/>
      </c>
      <c r="I546" s="68">
        <f>H546+I545+I548-I544</f>
        <v/>
      </c>
      <c r="J546" s="68">
        <f>I546+J545+J548-J544</f>
        <v/>
      </c>
      <c r="K546" s="68">
        <f>J546+K545+K548-K544</f>
        <v/>
      </c>
      <c r="L546" s="68">
        <f>K546+L545+L548-L544</f>
        <v/>
      </c>
      <c r="M546" s="66" t="n"/>
    </row>
    <row r="547">
      <c r="C547" s="63" t="inlineStr">
        <is>
          <t>Necesidad neta</t>
        </is>
      </c>
      <c r="D547" s="64" t="n"/>
      <c r="E547" s="69">
        <f>MAX(0,ROUND(E544+Materiales!$H$81-D546-E545,4))</f>
        <v/>
      </c>
      <c r="F547" s="69">
        <f>MAX(0,ROUND(F544+Materiales!$H$81-E546-F545,4))</f>
        <v/>
      </c>
      <c r="G547" s="69">
        <f>MAX(0,ROUND(G544+Materiales!$H$81-F546-G545,4))</f>
        <v/>
      </c>
      <c r="H547" s="69">
        <f>MAX(0,ROUND(H544+Materiales!$H$81-G546-H545,4))</f>
        <v/>
      </c>
      <c r="I547" s="69">
        <f>MAX(0,ROUND(I544+Materiales!$H$81-H546-I545,4))</f>
        <v/>
      </c>
      <c r="J547" s="69">
        <f>MAX(0,ROUND(J544+Materiales!$H$81-I546-J545,4))</f>
        <v/>
      </c>
      <c r="K547" s="69">
        <f>MAX(0,ROUND(K544+Materiales!$H$81-J546-K545,4))</f>
        <v/>
      </c>
      <c r="L547" s="69">
        <f>MAX(0,ROUND(L544+Materiales!$H$81-K546-L545,4))</f>
        <v/>
      </c>
      <c r="M547" s="66" t="n"/>
    </row>
    <row r="548">
      <c r="C548" s="63" t="inlineStr">
        <is>
          <t>Recepcion de orden planificada</t>
        </is>
      </c>
      <c r="D548" s="64" t="n"/>
      <c r="E548" s="65">
        <f>IF(E547&lt;=0,0,IF(Materiales!$G$81&lt;=0,E547,ROUNDUP(E547/Materiales!$G$81,0)*Materiales!$G$81))</f>
        <v/>
      </c>
      <c r="F548" s="65">
        <f>IF(F547&lt;=0,0,IF(Materiales!$G$81&lt;=0,F547,ROUNDUP(F547/Materiales!$G$81,0)*Materiales!$G$81))</f>
        <v/>
      </c>
      <c r="G548" s="65">
        <f>IF(G547&lt;=0,0,IF(Materiales!$G$81&lt;=0,G547,ROUNDUP(G547/Materiales!$G$81,0)*Materiales!$G$81))</f>
        <v/>
      </c>
      <c r="H548" s="65">
        <f>IF(H547&lt;=0,0,IF(Materiales!$G$81&lt;=0,H547,ROUNDUP(H547/Materiales!$G$81,0)*Materiales!$G$81))</f>
        <v/>
      </c>
      <c r="I548" s="65">
        <f>IF(I547&lt;=0,0,IF(Materiales!$G$81&lt;=0,I547,ROUNDUP(I547/Materiales!$G$81,0)*Materiales!$G$81))</f>
        <v/>
      </c>
      <c r="J548" s="65">
        <f>IF(J547&lt;=0,0,IF(Materiales!$G$81&lt;=0,J547,ROUNDUP(J547/Materiales!$G$81,0)*Materiales!$G$81))</f>
        <v/>
      </c>
      <c r="K548" s="65">
        <f>IF(K547&lt;=0,0,IF(Materiales!$G$81&lt;=0,K547,ROUNDUP(K547/Materiales!$G$81,0)*Materiales!$G$81))</f>
        <v/>
      </c>
      <c r="L548" s="65">
        <f>IF(L547&lt;=0,0,IF(Materiales!$G$81&lt;=0,L547,ROUNDUP(L547/Materiales!$G$81,0)*Materiales!$G$81))</f>
        <v/>
      </c>
      <c r="M548" s="66" t="n"/>
    </row>
    <row r="549">
      <c r="C549" s="70" t="inlineStr">
        <is>
          <t>LANZAMIENTO DE ORDEN — pedir esta semana</t>
        </is>
      </c>
      <c r="D549" s="64" t="n"/>
      <c r="E549" s="71">
        <f>IF(1+Materiales!$F$81&gt;8,0,INDEX($E$548:$L$548,1,1+Materiales!$F$81))</f>
        <v/>
      </c>
      <c r="F549" s="71">
        <f>IF(2+Materiales!$F$81&gt;8,0,INDEX($E$548:$L$548,1,2+Materiales!$F$81))</f>
        <v/>
      </c>
      <c r="G549" s="71">
        <f>IF(3+Materiales!$F$81&gt;8,0,INDEX($E$548:$L$548,1,3+Materiales!$F$81))</f>
        <v/>
      </c>
      <c r="H549" s="71">
        <f>IF(4+Materiales!$F$81&gt;8,0,INDEX($E$548:$L$548,1,4+Materiales!$F$81))</f>
        <v/>
      </c>
      <c r="I549" s="71">
        <f>IF(5+Materiales!$F$81&gt;8,0,INDEX($E$548:$L$548,1,5+Materiales!$F$81))</f>
        <v/>
      </c>
      <c r="J549" s="71">
        <f>IF(6+Materiales!$F$81&gt;8,0,INDEX($E$548:$L$548,1,6+Materiales!$F$81))</f>
        <v/>
      </c>
      <c r="K549" s="71">
        <f>IF(7+Materiales!$F$81&gt;8,0,INDEX($E$548:$L$548,1,7+Materiales!$F$81))</f>
        <v/>
      </c>
      <c r="L549" s="71">
        <f>IF(8+Materiales!$F$81&gt;8,0,INDEX($E$548:$L$548,1,8+Materiales!$F$81))</f>
        <v/>
      </c>
      <c r="M549" s="72">
        <f>IF($A544="","",IF(SUMPRODUCT((COLUMN($E$548:$L$548)-4&lt;=Materiales!$F$81)*$E$548:$L$548)&gt;0,"PEDIR YA (atrasado)","OK"))</f>
        <v/>
      </c>
    </row>
    <row r="550" ht="6" customHeight="1"/>
    <row r="551">
      <c r="A551" s="62">
        <f>IF(Materiales!$A$82="","",Materiales!$A$82)</f>
        <v/>
      </c>
      <c r="B551" s="62">
        <f>IF(Materiales!$B$82="","",Materiales!$B$82)</f>
        <v/>
      </c>
      <c r="C551" s="63" t="inlineStr">
        <is>
          <t>Necesidad bruta</t>
        </is>
      </c>
      <c r="D551" s="64" t="n"/>
      <c r="E551" s="65">
        <f>ROUND(SUMIF(Consumo!$P$4:$P$189,"#"&amp;$A551,Consumo!H$4:H$189),4)</f>
        <v/>
      </c>
      <c r="F551" s="65">
        <f>ROUND(SUMIF(Consumo!$P$4:$P$189,"#"&amp;$A551,Consumo!I$4:I$189),4)</f>
        <v/>
      </c>
      <c r="G551" s="65">
        <f>ROUND(SUMIF(Consumo!$P$4:$P$189,"#"&amp;$A551,Consumo!J$4:J$189),4)</f>
        <v/>
      </c>
      <c r="H551" s="65">
        <f>ROUND(SUMIF(Consumo!$P$4:$P$189,"#"&amp;$A551,Consumo!K$4:K$189),4)</f>
        <v/>
      </c>
      <c r="I551" s="65">
        <f>ROUND(SUMIF(Consumo!$P$4:$P$189,"#"&amp;$A551,Consumo!L$4:L$189),4)</f>
        <v/>
      </c>
      <c r="J551" s="65">
        <f>ROUND(SUMIF(Consumo!$P$4:$P$189,"#"&amp;$A551,Consumo!M$4:M$189),4)</f>
        <v/>
      </c>
      <c r="K551" s="65">
        <f>ROUND(SUMIF(Consumo!$P$4:$P$189,"#"&amp;$A551,Consumo!N$4:N$189),4)</f>
        <v/>
      </c>
      <c r="L551" s="65">
        <f>ROUND(SUMIF(Consumo!$P$4:$P$189,"#"&amp;$A551,Consumo!O$4:O$189),4)</f>
        <v/>
      </c>
      <c r="M551" s="66" t="n"/>
    </row>
    <row r="552">
      <c r="C552" s="63" t="inlineStr">
        <is>
          <t>Recepciones programadas (ya pedido)</t>
        </is>
      </c>
      <c r="D552" s="64" t="n"/>
      <c r="E552" s="65">
        <f>SUMIF(Inventario!$M$5:$M$505,"#"&amp;$A551,Inventario!E$5:E$505)</f>
        <v/>
      </c>
      <c r="F552" s="65">
        <f>SUMIF(Inventario!$M$5:$M$505,"#"&amp;$A551,Inventario!F$5:F$505)</f>
        <v/>
      </c>
      <c r="G552" s="65">
        <f>SUMIF(Inventario!$M$5:$M$505,"#"&amp;$A551,Inventario!G$5:G$505)</f>
        <v/>
      </c>
      <c r="H552" s="65">
        <f>SUMIF(Inventario!$M$5:$M$505,"#"&amp;$A551,Inventario!H$5:H$505)</f>
        <v/>
      </c>
      <c r="I552" s="65">
        <f>SUMIF(Inventario!$M$5:$M$505,"#"&amp;$A551,Inventario!I$5:I$505)</f>
        <v/>
      </c>
      <c r="J552" s="65">
        <f>SUMIF(Inventario!$M$5:$M$505,"#"&amp;$A551,Inventario!J$5:J$505)</f>
        <v/>
      </c>
      <c r="K552" s="65">
        <f>SUMIF(Inventario!$M$5:$M$505,"#"&amp;$A551,Inventario!K$5:K$505)</f>
        <v/>
      </c>
      <c r="L552" s="65">
        <f>SUMIF(Inventario!$M$5:$M$505,"#"&amp;$A551,Inventario!L$5:L$505)</f>
        <v/>
      </c>
      <c r="M552" s="66" t="n"/>
    </row>
    <row r="553">
      <c r="C553" s="63" t="inlineStr">
        <is>
          <t>Stock proyectado disponible</t>
        </is>
      </c>
      <c r="D553" s="67">
        <f>SUMIF(Inventario!$M$5:$M$505,"#"&amp;$A551,Inventario!$C$5:$C$505)</f>
        <v/>
      </c>
      <c r="E553" s="68">
        <f>D553+E552+E555-E551</f>
        <v/>
      </c>
      <c r="F553" s="68">
        <f>E553+F552+F555-F551</f>
        <v/>
      </c>
      <c r="G553" s="68">
        <f>F553+G552+G555-G551</f>
        <v/>
      </c>
      <c r="H553" s="68">
        <f>G553+H552+H555-H551</f>
        <v/>
      </c>
      <c r="I553" s="68">
        <f>H553+I552+I555-I551</f>
        <v/>
      </c>
      <c r="J553" s="68">
        <f>I553+J552+J555-J551</f>
        <v/>
      </c>
      <c r="K553" s="68">
        <f>J553+K552+K555-K551</f>
        <v/>
      </c>
      <c r="L553" s="68">
        <f>K553+L552+L555-L551</f>
        <v/>
      </c>
      <c r="M553" s="66" t="n"/>
    </row>
    <row r="554">
      <c r="C554" s="63" t="inlineStr">
        <is>
          <t>Necesidad neta</t>
        </is>
      </c>
      <c r="D554" s="64" t="n"/>
      <c r="E554" s="69">
        <f>MAX(0,ROUND(E551+Materiales!$H$82-D553-E552,4))</f>
        <v/>
      </c>
      <c r="F554" s="69">
        <f>MAX(0,ROUND(F551+Materiales!$H$82-E553-F552,4))</f>
        <v/>
      </c>
      <c r="G554" s="69">
        <f>MAX(0,ROUND(G551+Materiales!$H$82-F553-G552,4))</f>
        <v/>
      </c>
      <c r="H554" s="69">
        <f>MAX(0,ROUND(H551+Materiales!$H$82-G553-H552,4))</f>
        <v/>
      </c>
      <c r="I554" s="69">
        <f>MAX(0,ROUND(I551+Materiales!$H$82-H553-I552,4))</f>
        <v/>
      </c>
      <c r="J554" s="69">
        <f>MAX(0,ROUND(J551+Materiales!$H$82-I553-J552,4))</f>
        <v/>
      </c>
      <c r="K554" s="69">
        <f>MAX(0,ROUND(K551+Materiales!$H$82-J553-K552,4))</f>
        <v/>
      </c>
      <c r="L554" s="69">
        <f>MAX(0,ROUND(L551+Materiales!$H$82-K553-L552,4))</f>
        <v/>
      </c>
      <c r="M554" s="66" t="n"/>
    </row>
    <row r="555">
      <c r="C555" s="63" t="inlineStr">
        <is>
          <t>Recepcion de orden planificada</t>
        </is>
      </c>
      <c r="D555" s="64" t="n"/>
      <c r="E555" s="65">
        <f>IF(E554&lt;=0,0,IF(Materiales!$G$82&lt;=0,E554,ROUNDUP(E554/Materiales!$G$82,0)*Materiales!$G$82))</f>
        <v/>
      </c>
      <c r="F555" s="65">
        <f>IF(F554&lt;=0,0,IF(Materiales!$G$82&lt;=0,F554,ROUNDUP(F554/Materiales!$G$82,0)*Materiales!$G$82))</f>
        <v/>
      </c>
      <c r="G555" s="65">
        <f>IF(G554&lt;=0,0,IF(Materiales!$G$82&lt;=0,G554,ROUNDUP(G554/Materiales!$G$82,0)*Materiales!$G$82))</f>
        <v/>
      </c>
      <c r="H555" s="65">
        <f>IF(H554&lt;=0,0,IF(Materiales!$G$82&lt;=0,H554,ROUNDUP(H554/Materiales!$G$82,0)*Materiales!$G$82))</f>
        <v/>
      </c>
      <c r="I555" s="65">
        <f>IF(I554&lt;=0,0,IF(Materiales!$G$82&lt;=0,I554,ROUNDUP(I554/Materiales!$G$82,0)*Materiales!$G$82))</f>
        <v/>
      </c>
      <c r="J555" s="65">
        <f>IF(J554&lt;=0,0,IF(Materiales!$G$82&lt;=0,J554,ROUNDUP(J554/Materiales!$G$82,0)*Materiales!$G$82))</f>
        <v/>
      </c>
      <c r="K555" s="65">
        <f>IF(K554&lt;=0,0,IF(Materiales!$G$82&lt;=0,K554,ROUNDUP(K554/Materiales!$G$82,0)*Materiales!$G$82))</f>
        <v/>
      </c>
      <c r="L555" s="65">
        <f>IF(L554&lt;=0,0,IF(Materiales!$G$82&lt;=0,L554,ROUNDUP(L554/Materiales!$G$82,0)*Materiales!$G$82))</f>
        <v/>
      </c>
      <c r="M555" s="66" t="n"/>
    </row>
    <row r="556">
      <c r="C556" s="70" t="inlineStr">
        <is>
          <t>LANZAMIENTO DE ORDEN — pedir esta semana</t>
        </is>
      </c>
      <c r="D556" s="64" t="n"/>
      <c r="E556" s="71">
        <f>IF(1+Materiales!$F$82&gt;8,0,INDEX($E$555:$L$555,1,1+Materiales!$F$82))</f>
        <v/>
      </c>
      <c r="F556" s="71">
        <f>IF(2+Materiales!$F$82&gt;8,0,INDEX($E$555:$L$555,1,2+Materiales!$F$82))</f>
        <v/>
      </c>
      <c r="G556" s="71">
        <f>IF(3+Materiales!$F$82&gt;8,0,INDEX($E$555:$L$555,1,3+Materiales!$F$82))</f>
        <v/>
      </c>
      <c r="H556" s="71">
        <f>IF(4+Materiales!$F$82&gt;8,0,INDEX($E$555:$L$555,1,4+Materiales!$F$82))</f>
        <v/>
      </c>
      <c r="I556" s="71">
        <f>IF(5+Materiales!$F$82&gt;8,0,INDEX($E$555:$L$555,1,5+Materiales!$F$82))</f>
        <v/>
      </c>
      <c r="J556" s="71">
        <f>IF(6+Materiales!$F$82&gt;8,0,INDEX($E$555:$L$555,1,6+Materiales!$F$82))</f>
        <v/>
      </c>
      <c r="K556" s="71">
        <f>IF(7+Materiales!$F$82&gt;8,0,INDEX($E$555:$L$555,1,7+Materiales!$F$82))</f>
        <v/>
      </c>
      <c r="L556" s="71">
        <f>IF(8+Materiales!$F$82&gt;8,0,INDEX($E$555:$L$555,1,8+Materiales!$F$82))</f>
        <v/>
      </c>
      <c r="M556" s="72">
        <f>IF($A551="","",IF(SUMPRODUCT((COLUMN($E$555:$L$555)-4&lt;=Materiales!$F$82)*$E$555:$L$555)&gt;0,"PEDIR YA (atrasado)","OK"))</f>
        <v/>
      </c>
    </row>
    <row r="557" ht="6" customHeight="1"/>
    <row r="558">
      <c r="A558" s="62">
        <f>IF(Materiales!$A$83="","",Materiales!$A$83)</f>
        <v/>
      </c>
      <c r="B558" s="62">
        <f>IF(Materiales!$B$83="","",Materiales!$B$83)</f>
        <v/>
      </c>
      <c r="C558" s="63" t="inlineStr">
        <is>
          <t>Necesidad bruta</t>
        </is>
      </c>
      <c r="D558" s="64" t="n"/>
      <c r="E558" s="65">
        <f>ROUND(SUMIF(Consumo!$P$4:$P$189,"#"&amp;$A558,Consumo!H$4:H$189),4)</f>
        <v/>
      </c>
      <c r="F558" s="65">
        <f>ROUND(SUMIF(Consumo!$P$4:$P$189,"#"&amp;$A558,Consumo!I$4:I$189),4)</f>
        <v/>
      </c>
      <c r="G558" s="65">
        <f>ROUND(SUMIF(Consumo!$P$4:$P$189,"#"&amp;$A558,Consumo!J$4:J$189),4)</f>
        <v/>
      </c>
      <c r="H558" s="65">
        <f>ROUND(SUMIF(Consumo!$P$4:$P$189,"#"&amp;$A558,Consumo!K$4:K$189),4)</f>
        <v/>
      </c>
      <c r="I558" s="65">
        <f>ROUND(SUMIF(Consumo!$P$4:$P$189,"#"&amp;$A558,Consumo!L$4:L$189),4)</f>
        <v/>
      </c>
      <c r="J558" s="65">
        <f>ROUND(SUMIF(Consumo!$P$4:$P$189,"#"&amp;$A558,Consumo!M$4:M$189),4)</f>
        <v/>
      </c>
      <c r="K558" s="65">
        <f>ROUND(SUMIF(Consumo!$P$4:$P$189,"#"&amp;$A558,Consumo!N$4:N$189),4)</f>
        <v/>
      </c>
      <c r="L558" s="65">
        <f>ROUND(SUMIF(Consumo!$P$4:$P$189,"#"&amp;$A558,Consumo!O$4:O$189),4)</f>
        <v/>
      </c>
      <c r="M558" s="66" t="n"/>
    </row>
    <row r="559">
      <c r="C559" s="63" t="inlineStr">
        <is>
          <t>Recepciones programadas (ya pedido)</t>
        </is>
      </c>
      <c r="D559" s="64" t="n"/>
      <c r="E559" s="65">
        <f>SUMIF(Inventario!$M$5:$M$505,"#"&amp;$A558,Inventario!E$5:E$505)</f>
        <v/>
      </c>
      <c r="F559" s="65">
        <f>SUMIF(Inventario!$M$5:$M$505,"#"&amp;$A558,Inventario!F$5:F$505)</f>
        <v/>
      </c>
      <c r="G559" s="65">
        <f>SUMIF(Inventario!$M$5:$M$505,"#"&amp;$A558,Inventario!G$5:G$505)</f>
        <v/>
      </c>
      <c r="H559" s="65">
        <f>SUMIF(Inventario!$M$5:$M$505,"#"&amp;$A558,Inventario!H$5:H$505)</f>
        <v/>
      </c>
      <c r="I559" s="65">
        <f>SUMIF(Inventario!$M$5:$M$505,"#"&amp;$A558,Inventario!I$5:I$505)</f>
        <v/>
      </c>
      <c r="J559" s="65">
        <f>SUMIF(Inventario!$M$5:$M$505,"#"&amp;$A558,Inventario!J$5:J$505)</f>
        <v/>
      </c>
      <c r="K559" s="65">
        <f>SUMIF(Inventario!$M$5:$M$505,"#"&amp;$A558,Inventario!K$5:K$505)</f>
        <v/>
      </c>
      <c r="L559" s="65">
        <f>SUMIF(Inventario!$M$5:$M$505,"#"&amp;$A558,Inventario!L$5:L$505)</f>
        <v/>
      </c>
      <c r="M559" s="66" t="n"/>
    </row>
    <row r="560">
      <c r="C560" s="63" t="inlineStr">
        <is>
          <t>Stock proyectado disponible</t>
        </is>
      </c>
      <c r="D560" s="67">
        <f>SUMIF(Inventario!$M$5:$M$505,"#"&amp;$A558,Inventario!$C$5:$C$505)</f>
        <v/>
      </c>
      <c r="E560" s="68">
        <f>D560+E559+E562-E558</f>
        <v/>
      </c>
      <c r="F560" s="68">
        <f>E560+F559+F562-F558</f>
        <v/>
      </c>
      <c r="G560" s="68">
        <f>F560+G559+G562-G558</f>
        <v/>
      </c>
      <c r="H560" s="68">
        <f>G560+H559+H562-H558</f>
        <v/>
      </c>
      <c r="I560" s="68">
        <f>H560+I559+I562-I558</f>
        <v/>
      </c>
      <c r="J560" s="68">
        <f>I560+J559+J562-J558</f>
        <v/>
      </c>
      <c r="K560" s="68">
        <f>J560+K559+K562-K558</f>
        <v/>
      </c>
      <c r="L560" s="68">
        <f>K560+L559+L562-L558</f>
        <v/>
      </c>
      <c r="M560" s="66" t="n"/>
    </row>
    <row r="561">
      <c r="C561" s="63" t="inlineStr">
        <is>
          <t>Necesidad neta</t>
        </is>
      </c>
      <c r="D561" s="64" t="n"/>
      <c r="E561" s="69">
        <f>MAX(0,ROUND(E558+Materiales!$H$83-D560-E559,4))</f>
        <v/>
      </c>
      <c r="F561" s="69">
        <f>MAX(0,ROUND(F558+Materiales!$H$83-E560-F559,4))</f>
        <v/>
      </c>
      <c r="G561" s="69">
        <f>MAX(0,ROUND(G558+Materiales!$H$83-F560-G559,4))</f>
        <v/>
      </c>
      <c r="H561" s="69">
        <f>MAX(0,ROUND(H558+Materiales!$H$83-G560-H559,4))</f>
        <v/>
      </c>
      <c r="I561" s="69">
        <f>MAX(0,ROUND(I558+Materiales!$H$83-H560-I559,4))</f>
        <v/>
      </c>
      <c r="J561" s="69">
        <f>MAX(0,ROUND(J558+Materiales!$H$83-I560-J559,4))</f>
        <v/>
      </c>
      <c r="K561" s="69">
        <f>MAX(0,ROUND(K558+Materiales!$H$83-J560-K559,4))</f>
        <v/>
      </c>
      <c r="L561" s="69">
        <f>MAX(0,ROUND(L558+Materiales!$H$83-K560-L559,4))</f>
        <v/>
      </c>
      <c r="M561" s="66" t="n"/>
    </row>
    <row r="562">
      <c r="C562" s="63" t="inlineStr">
        <is>
          <t>Recepcion de orden planificada</t>
        </is>
      </c>
      <c r="D562" s="64" t="n"/>
      <c r="E562" s="65">
        <f>IF(E561&lt;=0,0,IF(Materiales!$G$83&lt;=0,E561,ROUNDUP(E561/Materiales!$G$83,0)*Materiales!$G$83))</f>
        <v/>
      </c>
      <c r="F562" s="65">
        <f>IF(F561&lt;=0,0,IF(Materiales!$G$83&lt;=0,F561,ROUNDUP(F561/Materiales!$G$83,0)*Materiales!$G$83))</f>
        <v/>
      </c>
      <c r="G562" s="65">
        <f>IF(G561&lt;=0,0,IF(Materiales!$G$83&lt;=0,G561,ROUNDUP(G561/Materiales!$G$83,0)*Materiales!$G$83))</f>
        <v/>
      </c>
      <c r="H562" s="65">
        <f>IF(H561&lt;=0,0,IF(Materiales!$G$83&lt;=0,H561,ROUNDUP(H561/Materiales!$G$83,0)*Materiales!$G$83))</f>
        <v/>
      </c>
      <c r="I562" s="65">
        <f>IF(I561&lt;=0,0,IF(Materiales!$G$83&lt;=0,I561,ROUNDUP(I561/Materiales!$G$83,0)*Materiales!$G$83))</f>
        <v/>
      </c>
      <c r="J562" s="65">
        <f>IF(J561&lt;=0,0,IF(Materiales!$G$83&lt;=0,J561,ROUNDUP(J561/Materiales!$G$83,0)*Materiales!$G$83))</f>
        <v/>
      </c>
      <c r="K562" s="65">
        <f>IF(K561&lt;=0,0,IF(Materiales!$G$83&lt;=0,K561,ROUNDUP(K561/Materiales!$G$83,0)*Materiales!$G$83))</f>
        <v/>
      </c>
      <c r="L562" s="65">
        <f>IF(L561&lt;=0,0,IF(Materiales!$G$83&lt;=0,L561,ROUNDUP(L561/Materiales!$G$83,0)*Materiales!$G$83))</f>
        <v/>
      </c>
      <c r="M562" s="66" t="n"/>
    </row>
    <row r="563">
      <c r="C563" s="70" t="inlineStr">
        <is>
          <t>LANZAMIENTO DE ORDEN — pedir esta semana</t>
        </is>
      </c>
      <c r="D563" s="64" t="n"/>
      <c r="E563" s="71">
        <f>IF(1+Materiales!$F$83&gt;8,0,INDEX($E$562:$L$562,1,1+Materiales!$F$83))</f>
        <v/>
      </c>
      <c r="F563" s="71">
        <f>IF(2+Materiales!$F$83&gt;8,0,INDEX($E$562:$L$562,1,2+Materiales!$F$83))</f>
        <v/>
      </c>
      <c r="G563" s="71">
        <f>IF(3+Materiales!$F$83&gt;8,0,INDEX($E$562:$L$562,1,3+Materiales!$F$83))</f>
        <v/>
      </c>
      <c r="H563" s="71">
        <f>IF(4+Materiales!$F$83&gt;8,0,INDEX($E$562:$L$562,1,4+Materiales!$F$83))</f>
        <v/>
      </c>
      <c r="I563" s="71">
        <f>IF(5+Materiales!$F$83&gt;8,0,INDEX($E$562:$L$562,1,5+Materiales!$F$83))</f>
        <v/>
      </c>
      <c r="J563" s="71">
        <f>IF(6+Materiales!$F$83&gt;8,0,INDEX($E$562:$L$562,1,6+Materiales!$F$83))</f>
        <v/>
      </c>
      <c r="K563" s="71">
        <f>IF(7+Materiales!$F$83&gt;8,0,INDEX($E$562:$L$562,1,7+Materiales!$F$83))</f>
        <v/>
      </c>
      <c r="L563" s="71">
        <f>IF(8+Materiales!$F$83&gt;8,0,INDEX($E$562:$L$562,1,8+Materiales!$F$83))</f>
        <v/>
      </c>
      <c r="M563" s="72">
        <f>IF($A558="","",IF(SUMPRODUCT((COLUMN($E$562:$L$562)-4&lt;=Materiales!$F$83)*$E$562:$L$562)&gt;0,"PEDIR YA (atrasado)","OK"))</f>
        <v/>
      </c>
    </row>
    <row r="564" ht="6" customHeight="1"/>
    <row r="565">
      <c r="A565" s="62">
        <f>IF(Materiales!$A$84="","",Materiales!$A$84)</f>
        <v/>
      </c>
      <c r="B565" s="62">
        <f>IF(Materiales!$B$84="","",Materiales!$B$84)</f>
        <v/>
      </c>
      <c r="C565" s="63" t="inlineStr">
        <is>
          <t>Necesidad bruta</t>
        </is>
      </c>
      <c r="D565" s="64" t="n"/>
      <c r="E565" s="65">
        <f>ROUND(SUMIF(Consumo!$P$4:$P$189,"#"&amp;$A565,Consumo!H$4:H$189),4)</f>
        <v/>
      </c>
      <c r="F565" s="65">
        <f>ROUND(SUMIF(Consumo!$P$4:$P$189,"#"&amp;$A565,Consumo!I$4:I$189),4)</f>
        <v/>
      </c>
      <c r="G565" s="65">
        <f>ROUND(SUMIF(Consumo!$P$4:$P$189,"#"&amp;$A565,Consumo!J$4:J$189),4)</f>
        <v/>
      </c>
      <c r="H565" s="65">
        <f>ROUND(SUMIF(Consumo!$P$4:$P$189,"#"&amp;$A565,Consumo!K$4:K$189),4)</f>
        <v/>
      </c>
      <c r="I565" s="65">
        <f>ROUND(SUMIF(Consumo!$P$4:$P$189,"#"&amp;$A565,Consumo!L$4:L$189),4)</f>
        <v/>
      </c>
      <c r="J565" s="65">
        <f>ROUND(SUMIF(Consumo!$P$4:$P$189,"#"&amp;$A565,Consumo!M$4:M$189),4)</f>
        <v/>
      </c>
      <c r="K565" s="65">
        <f>ROUND(SUMIF(Consumo!$P$4:$P$189,"#"&amp;$A565,Consumo!N$4:N$189),4)</f>
        <v/>
      </c>
      <c r="L565" s="65">
        <f>ROUND(SUMIF(Consumo!$P$4:$P$189,"#"&amp;$A565,Consumo!O$4:O$189),4)</f>
        <v/>
      </c>
      <c r="M565" s="66" t="n"/>
    </row>
    <row r="566">
      <c r="C566" s="63" t="inlineStr">
        <is>
          <t>Recepciones programadas (ya pedido)</t>
        </is>
      </c>
      <c r="D566" s="64" t="n"/>
      <c r="E566" s="65">
        <f>SUMIF(Inventario!$M$5:$M$505,"#"&amp;$A565,Inventario!E$5:E$505)</f>
        <v/>
      </c>
      <c r="F566" s="65">
        <f>SUMIF(Inventario!$M$5:$M$505,"#"&amp;$A565,Inventario!F$5:F$505)</f>
        <v/>
      </c>
      <c r="G566" s="65">
        <f>SUMIF(Inventario!$M$5:$M$505,"#"&amp;$A565,Inventario!G$5:G$505)</f>
        <v/>
      </c>
      <c r="H566" s="65">
        <f>SUMIF(Inventario!$M$5:$M$505,"#"&amp;$A565,Inventario!H$5:H$505)</f>
        <v/>
      </c>
      <c r="I566" s="65">
        <f>SUMIF(Inventario!$M$5:$M$505,"#"&amp;$A565,Inventario!I$5:I$505)</f>
        <v/>
      </c>
      <c r="J566" s="65">
        <f>SUMIF(Inventario!$M$5:$M$505,"#"&amp;$A565,Inventario!J$5:J$505)</f>
        <v/>
      </c>
      <c r="K566" s="65">
        <f>SUMIF(Inventario!$M$5:$M$505,"#"&amp;$A565,Inventario!K$5:K$505)</f>
        <v/>
      </c>
      <c r="L566" s="65">
        <f>SUMIF(Inventario!$M$5:$M$505,"#"&amp;$A565,Inventario!L$5:L$505)</f>
        <v/>
      </c>
      <c r="M566" s="66" t="n"/>
    </row>
    <row r="567">
      <c r="C567" s="63" t="inlineStr">
        <is>
          <t>Stock proyectado disponible</t>
        </is>
      </c>
      <c r="D567" s="67">
        <f>SUMIF(Inventario!$M$5:$M$505,"#"&amp;$A565,Inventario!$C$5:$C$505)</f>
        <v/>
      </c>
      <c r="E567" s="68">
        <f>D567+E566+E569-E565</f>
        <v/>
      </c>
      <c r="F567" s="68">
        <f>E567+F566+F569-F565</f>
        <v/>
      </c>
      <c r="G567" s="68">
        <f>F567+G566+G569-G565</f>
        <v/>
      </c>
      <c r="H567" s="68">
        <f>G567+H566+H569-H565</f>
        <v/>
      </c>
      <c r="I567" s="68">
        <f>H567+I566+I569-I565</f>
        <v/>
      </c>
      <c r="J567" s="68">
        <f>I567+J566+J569-J565</f>
        <v/>
      </c>
      <c r="K567" s="68">
        <f>J567+K566+K569-K565</f>
        <v/>
      </c>
      <c r="L567" s="68">
        <f>K567+L566+L569-L565</f>
        <v/>
      </c>
      <c r="M567" s="66" t="n"/>
    </row>
    <row r="568">
      <c r="C568" s="63" t="inlineStr">
        <is>
          <t>Necesidad neta</t>
        </is>
      </c>
      <c r="D568" s="64" t="n"/>
      <c r="E568" s="69">
        <f>MAX(0,ROUND(E565+Materiales!$H$84-D567-E566,4))</f>
        <v/>
      </c>
      <c r="F568" s="69">
        <f>MAX(0,ROUND(F565+Materiales!$H$84-E567-F566,4))</f>
        <v/>
      </c>
      <c r="G568" s="69">
        <f>MAX(0,ROUND(G565+Materiales!$H$84-F567-G566,4))</f>
        <v/>
      </c>
      <c r="H568" s="69">
        <f>MAX(0,ROUND(H565+Materiales!$H$84-G567-H566,4))</f>
        <v/>
      </c>
      <c r="I568" s="69">
        <f>MAX(0,ROUND(I565+Materiales!$H$84-H567-I566,4))</f>
        <v/>
      </c>
      <c r="J568" s="69">
        <f>MAX(0,ROUND(J565+Materiales!$H$84-I567-J566,4))</f>
        <v/>
      </c>
      <c r="K568" s="69">
        <f>MAX(0,ROUND(K565+Materiales!$H$84-J567-K566,4))</f>
        <v/>
      </c>
      <c r="L568" s="69">
        <f>MAX(0,ROUND(L565+Materiales!$H$84-K567-L566,4))</f>
        <v/>
      </c>
      <c r="M568" s="66" t="n"/>
    </row>
    <row r="569">
      <c r="C569" s="63" t="inlineStr">
        <is>
          <t>Recepcion de orden planificada</t>
        </is>
      </c>
      <c r="D569" s="64" t="n"/>
      <c r="E569" s="65">
        <f>IF(E568&lt;=0,0,IF(Materiales!$G$84&lt;=0,E568,ROUNDUP(E568/Materiales!$G$84,0)*Materiales!$G$84))</f>
        <v/>
      </c>
      <c r="F569" s="65">
        <f>IF(F568&lt;=0,0,IF(Materiales!$G$84&lt;=0,F568,ROUNDUP(F568/Materiales!$G$84,0)*Materiales!$G$84))</f>
        <v/>
      </c>
      <c r="G569" s="65">
        <f>IF(G568&lt;=0,0,IF(Materiales!$G$84&lt;=0,G568,ROUNDUP(G568/Materiales!$G$84,0)*Materiales!$G$84))</f>
        <v/>
      </c>
      <c r="H569" s="65">
        <f>IF(H568&lt;=0,0,IF(Materiales!$G$84&lt;=0,H568,ROUNDUP(H568/Materiales!$G$84,0)*Materiales!$G$84))</f>
        <v/>
      </c>
      <c r="I569" s="65">
        <f>IF(I568&lt;=0,0,IF(Materiales!$G$84&lt;=0,I568,ROUNDUP(I568/Materiales!$G$84,0)*Materiales!$G$84))</f>
        <v/>
      </c>
      <c r="J569" s="65">
        <f>IF(J568&lt;=0,0,IF(Materiales!$G$84&lt;=0,J568,ROUNDUP(J568/Materiales!$G$84,0)*Materiales!$G$84))</f>
        <v/>
      </c>
      <c r="K569" s="65">
        <f>IF(K568&lt;=0,0,IF(Materiales!$G$84&lt;=0,K568,ROUNDUP(K568/Materiales!$G$84,0)*Materiales!$G$84))</f>
        <v/>
      </c>
      <c r="L569" s="65">
        <f>IF(L568&lt;=0,0,IF(Materiales!$G$84&lt;=0,L568,ROUNDUP(L568/Materiales!$G$84,0)*Materiales!$G$84))</f>
        <v/>
      </c>
      <c r="M569" s="66" t="n"/>
    </row>
    <row r="570">
      <c r="C570" s="70" t="inlineStr">
        <is>
          <t>LANZAMIENTO DE ORDEN — pedir esta semana</t>
        </is>
      </c>
      <c r="D570" s="64" t="n"/>
      <c r="E570" s="71">
        <f>IF(1+Materiales!$F$84&gt;8,0,INDEX($E$569:$L$569,1,1+Materiales!$F$84))</f>
        <v/>
      </c>
      <c r="F570" s="71">
        <f>IF(2+Materiales!$F$84&gt;8,0,INDEX($E$569:$L$569,1,2+Materiales!$F$84))</f>
        <v/>
      </c>
      <c r="G570" s="71">
        <f>IF(3+Materiales!$F$84&gt;8,0,INDEX($E$569:$L$569,1,3+Materiales!$F$84))</f>
        <v/>
      </c>
      <c r="H570" s="71">
        <f>IF(4+Materiales!$F$84&gt;8,0,INDEX($E$569:$L$569,1,4+Materiales!$F$84))</f>
        <v/>
      </c>
      <c r="I570" s="71">
        <f>IF(5+Materiales!$F$84&gt;8,0,INDEX($E$569:$L$569,1,5+Materiales!$F$84))</f>
        <v/>
      </c>
      <c r="J570" s="71">
        <f>IF(6+Materiales!$F$84&gt;8,0,INDEX($E$569:$L$569,1,6+Materiales!$F$84))</f>
        <v/>
      </c>
      <c r="K570" s="71">
        <f>IF(7+Materiales!$F$84&gt;8,0,INDEX($E$569:$L$569,1,7+Materiales!$F$84))</f>
        <v/>
      </c>
      <c r="L570" s="71">
        <f>IF(8+Materiales!$F$84&gt;8,0,INDEX($E$569:$L$569,1,8+Materiales!$F$84))</f>
        <v/>
      </c>
      <c r="M570" s="72">
        <f>IF($A565="","",IF(SUMPRODUCT((COLUMN($E$569:$L$569)-4&lt;=Materiales!$F$84)*$E$569:$L$569)&gt;0,"PEDIR YA (atrasado)","OK"))</f>
        <v/>
      </c>
    </row>
    <row r="571" ht="6" customHeight="1"/>
    <row r="572">
      <c r="A572" s="62">
        <f>IF(Materiales!$A$85="","",Materiales!$A$85)</f>
        <v/>
      </c>
      <c r="B572" s="62">
        <f>IF(Materiales!$B$85="","",Materiales!$B$85)</f>
        <v/>
      </c>
      <c r="C572" s="63" t="inlineStr">
        <is>
          <t>Necesidad bruta</t>
        </is>
      </c>
      <c r="D572" s="64" t="n"/>
      <c r="E572" s="65">
        <f>ROUND(SUMIF(Consumo!$P$4:$P$189,"#"&amp;$A572,Consumo!H$4:H$189),4)</f>
        <v/>
      </c>
      <c r="F572" s="65">
        <f>ROUND(SUMIF(Consumo!$P$4:$P$189,"#"&amp;$A572,Consumo!I$4:I$189),4)</f>
        <v/>
      </c>
      <c r="G572" s="65">
        <f>ROUND(SUMIF(Consumo!$P$4:$P$189,"#"&amp;$A572,Consumo!J$4:J$189),4)</f>
        <v/>
      </c>
      <c r="H572" s="65">
        <f>ROUND(SUMIF(Consumo!$P$4:$P$189,"#"&amp;$A572,Consumo!K$4:K$189),4)</f>
        <v/>
      </c>
      <c r="I572" s="65">
        <f>ROUND(SUMIF(Consumo!$P$4:$P$189,"#"&amp;$A572,Consumo!L$4:L$189),4)</f>
        <v/>
      </c>
      <c r="J572" s="65">
        <f>ROUND(SUMIF(Consumo!$P$4:$P$189,"#"&amp;$A572,Consumo!M$4:M$189),4)</f>
        <v/>
      </c>
      <c r="K572" s="65">
        <f>ROUND(SUMIF(Consumo!$P$4:$P$189,"#"&amp;$A572,Consumo!N$4:N$189),4)</f>
        <v/>
      </c>
      <c r="L572" s="65">
        <f>ROUND(SUMIF(Consumo!$P$4:$P$189,"#"&amp;$A572,Consumo!O$4:O$189),4)</f>
        <v/>
      </c>
      <c r="M572" s="66" t="n"/>
    </row>
    <row r="573">
      <c r="C573" s="63" t="inlineStr">
        <is>
          <t>Recepciones programadas (ya pedido)</t>
        </is>
      </c>
      <c r="D573" s="64" t="n"/>
      <c r="E573" s="65">
        <f>SUMIF(Inventario!$M$5:$M$505,"#"&amp;$A572,Inventario!E$5:E$505)</f>
        <v/>
      </c>
      <c r="F573" s="65">
        <f>SUMIF(Inventario!$M$5:$M$505,"#"&amp;$A572,Inventario!F$5:F$505)</f>
        <v/>
      </c>
      <c r="G573" s="65">
        <f>SUMIF(Inventario!$M$5:$M$505,"#"&amp;$A572,Inventario!G$5:G$505)</f>
        <v/>
      </c>
      <c r="H573" s="65">
        <f>SUMIF(Inventario!$M$5:$M$505,"#"&amp;$A572,Inventario!H$5:H$505)</f>
        <v/>
      </c>
      <c r="I573" s="65">
        <f>SUMIF(Inventario!$M$5:$M$505,"#"&amp;$A572,Inventario!I$5:I$505)</f>
        <v/>
      </c>
      <c r="J573" s="65">
        <f>SUMIF(Inventario!$M$5:$M$505,"#"&amp;$A572,Inventario!J$5:J$505)</f>
        <v/>
      </c>
      <c r="K573" s="65">
        <f>SUMIF(Inventario!$M$5:$M$505,"#"&amp;$A572,Inventario!K$5:K$505)</f>
        <v/>
      </c>
      <c r="L573" s="65">
        <f>SUMIF(Inventario!$M$5:$M$505,"#"&amp;$A572,Inventario!L$5:L$505)</f>
        <v/>
      </c>
      <c r="M573" s="66" t="n"/>
    </row>
    <row r="574">
      <c r="C574" s="63" t="inlineStr">
        <is>
          <t>Stock proyectado disponible</t>
        </is>
      </c>
      <c r="D574" s="67">
        <f>SUMIF(Inventario!$M$5:$M$505,"#"&amp;$A572,Inventario!$C$5:$C$505)</f>
        <v/>
      </c>
      <c r="E574" s="68">
        <f>D574+E573+E576-E572</f>
        <v/>
      </c>
      <c r="F574" s="68">
        <f>E574+F573+F576-F572</f>
        <v/>
      </c>
      <c r="G574" s="68">
        <f>F574+G573+G576-G572</f>
        <v/>
      </c>
      <c r="H574" s="68">
        <f>G574+H573+H576-H572</f>
        <v/>
      </c>
      <c r="I574" s="68">
        <f>H574+I573+I576-I572</f>
        <v/>
      </c>
      <c r="J574" s="68">
        <f>I574+J573+J576-J572</f>
        <v/>
      </c>
      <c r="K574" s="68">
        <f>J574+K573+K576-K572</f>
        <v/>
      </c>
      <c r="L574" s="68">
        <f>K574+L573+L576-L572</f>
        <v/>
      </c>
      <c r="M574" s="66" t="n"/>
    </row>
    <row r="575">
      <c r="C575" s="63" t="inlineStr">
        <is>
          <t>Necesidad neta</t>
        </is>
      </c>
      <c r="D575" s="64" t="n"/>
      <c r="E575" s="69">
        <f>MAX(0,ROUND(E572+Materiales!$H$85-D574-E573,4))</f>
        <v/>
      </c>
      <c r="F575" s="69">
        <f>MAX(0,ROUND(F572+Materiales!$H$85-E574-F573,4))</f>
        <v/>
      </c>
      <c r="G575" s="69">
        <f>MAX(0,ROUND(G572+Materiales!$H$85-F574-G573,4))</f>
        <v/>
      </c>
      <c r="H575" s="69">
        <f>MAX(0,ROUND(H572+Materiales!$H$85-G574-H573,4))</f>
        <v/>
      </c>
      <c r="I575" s="69">
        <f>MAX(0,ROUND(I572+Materiales!$H$85-H574-I573,4))</f>
        <v/>
      </c>
      <c r="J575" s="69">
        <f>MAX(0,ROUND(J572+Materiales!$H$85-I574-J573,4))</f>
        <v/>
      </c>
      <c r="K575" s="69">
        <f>MAX(0,ROUND(K572+Materiales!$H$85-J574-K573,4))</f>
        <v/>
      </c>
      <c r="L575" s="69">
        <f>MAX(0,ROUND(L572+Materiales!$H$85-K574-L573,4))</f>
        <v/>
      </c>
      <c r="M575" s="66" t="n"/>
    </row>
    <row r="576">
      <c r="C576" s="63" t="inlineStr">
        <is>
          <t>Recepcion de orden planificada</t>
        </is>
      </c>
      <c r="D576" s="64" t="n"/>
      <c r="E576" s="65">
        <f>IF(E575&lt;=0,0,IF(Materiales!$G$85&lt;=0,E575,ROUNDUP(E575/Materiales!$G$85,0)*Materiales!$G$85))</f>
        <v/>
      </c>
      <c r="F576" s="65">
        <f>IF(F575&lt;=0,0,IF(Materiales!$G$85&lt;=0,F575,ROUNDUP(F575/Materiales!$G$85,0)*Materiales!$G$85))</f>
        <v/>
      </c>
      <c r="G576" s="65">
        <f>IF(G575&lt;=0,0,IF(Materiales!$G$85&lt;=0,G575,ROUNDUP(G575/Materiales!$G$85,0)*Materiales!$G$85))</f>
        <v/>
      </c>
      <c r="H576" s="65">
        <f>IF(H575&lt;=0,0,IF(Materiales!$G$85&lt;=0,H575,ROUNDUP(H575/Materiales!$G$85,0)*Materiales!$G$85))</f>
        <v/>
      </c>
      <c r="I576" s="65">
        <f>IF(I575&lt;=0,0,IF(Materiales!$G$85&lt;=0,I575,ROUNDUP(I575/Materiales!$G$85,0)*Materiales!$G$85))</f>
        <v/>
      </c>
      <c r="J576" s="65">
        <f>IF(J575&lt;=0,0,IF(Materiales!$G$85&lt;=0,J575,ROUNDUP(J575/Materiales!$G$85,0)*Materiales!$G$85))</f>
        <v/>
      </c>
      <c r="K576" s="65">
        <f>IF(K575&lt;=0,0,IF(Materiales!$G$85&lt;=0,K575,ROUNDUP(K575/Materiales!$G$85,0)*Materiales!$G$85))</f>
        <v/>
      </c>
      <c r="L576" s="65">
        <f>IF(L575&lt;=0,0,IF(Materiales!$G$85&lt;=0,L575,ROUNDUP(L575/Materiales!$G$85,0)*Materiales!$G$85))</f>
        <v/>
      </c>
      <c r="M576" s="66" t="n"/>
    </row>
    <row r="577">
      <c r="C577" s="70" t="inlineStr">
        <is>
          <t>LANZAMIENTO DE ORDEN — pedir esta semana</t>
        </is>
      </c>
      <c r="D577" s="64" t="n"/>
      <c r="E577" s="71">
        <f>IF(1+Materiales!$F$85&gt;8,0,INDEX($E$576:$L$576,1,1+Materiales!$F$85))</f>
        <v/>
      </c>
      <c r="F577" s="71">
        <f>IF(2+Materiales!$F$85&gt;8,0,INDEX($E$576:$L$576,1,2+Materiales!$F$85))</f>
        <v/>
      </c>
      <c r="G577" s="71">
        <f>IF(3+Materiales!$F$85&gt;8,0,INDEX($E$576:$L$576,1,3+Materiales!$F$85))</f>
        <v/>
      </c>
      <c r="H577" s="71">
        <f>IF(4+Materiales!$F$85&gt;8,0,INDEX($E$576:$L$576,1,4+Materiales!$F$85))</f>
        <v/>
      </c>
      <c r="I577" s="71">
        <f>IF(5+Materiales!$F$85&gt;8,0,INDEX($E$576:$L$576,1,5+Materiales!$F$85))</f>
        <v/>
      </c>
      <c r="J577" s="71">
        <f>IF(6+Materiales!$F$85&gt;8,0,INDEX($E$576:$L$576,1,6+Materiales!$F$85))</f>
        <v/>
      </c>
      <c r="K577" s="71">
        <f>IF(7+Materiales!$F$85&gt;8,0,INDEX($E$576:$L$576,1,7+Materiales!$F$85))</f>
        <v/>
      </c>
      <c r="L577" s="71">
        <f>IF(8+Materiales!$F$85&gt;8,0,INDEX($E$576:$L$576,1,8+Materiales!$F$85))</f>
        <v/>
      </c>
      <c r="M577" s="72">
        <f>IF($A572="","",IF(SUMPRODUCT((COLUMN($E$576:$L$576)-4&lt;=Materiales!$F$85)*$E$576:$L$576)&gt;0,"PEDIR YA (atrasado)","OK"))</f>
        <v/>
      </c>
    </row>
    <row r="578" ht="6" customHeight="1"/>
    <row r="579">
      <c r="A579" s="62">
        <f>IF(Materiales!$A$86="","",Materiales!$A$86)</f>
        <v/>
      </c>
      <c r="B579" s="62">
        <f>IF(Materiales!$B$86="","",Materiales!$B$86)</f>
        <v/>
      </c>
      <c r="C579" s="63" t="inlineStr">
        <is>
          <t>Necesidad bruta</t>
        </is>
      </c>
      <c r="D579" s="64" t="n"/>
      <c r="E579" s="65">
        <f>ROUND(SUMIF(Consumo!$P$4:$P$189,"#"&amp;$A579,Consumo!H$4:H$189),4)</f>
        <v/>
      </c>
      <c r="F579" s="65">
        <f>ROUND(SUMIF(Consumo!$P$4:$P$189,"#"&amp;$A579,Consumo!I$4:I$189),4)</f>
        <v/>
      </c>
      <c r="G579" s="65">
        <f>ROUND(SUMIF(Consumo!$P$4:$P$189,"#"&amp;$A579,Consumo!J$4:J$189),4)</f>
        <v/>
      </c>
      <c r="H579" s="65">
        <f>ROUND(SUMIF(Consumo!$P$4:$P$189,"#"&amp;$A579,Consumo!K$4:K$189),4)</f>
        <v/>
      </c>
      <c r="I579" s="65">
        <f>ROUND(SUMIF(Consumo!$P$4:$P$189,"#"&amp;$A579,Consumo!L$4:L$189),4)</f>
        <v/>
      </c>
      <c r="J579" s="65">
        <f>ROUND(SUMIF(Consumo!$P$4:$P$189,"#"&amp;$A579,Consumo!M$4:M$189),4)</f>
        <v/>
      </c>
      <c r="K579" s="65">
        <f>ROUND(SUMIF(Consumo!$P$4:$P$189,"#"&amp;$A579,Consumo!N$4:N$189),4)</f>
        <v/>
      </c>
      <c r="L579" s="65">
        <f>ROUND(SUMIF(Consumo!$P$4:$P$189,"#"&amp;$A579,Consumo!O$4:O$189),4)</f>
        <v/>
      </c>
      <c r="M579" s="66" t="n"/>
    </row>
    <row r="580">
      <c r="C580" s="63" t="inlineStr">
        <is>
          <t>Recepciones programadas (ya pedido)</t>
        </is>
      </c>
      <c r="D580" s="64" t="n"/>
      <c r="E580" s="65">
        <f>SUMIF(Inventario!$M$5:$M$505,"#"&amp;$A579,Inventario!E$5:E$505)</f>
        <v/>
      </c>
      <c r="F580" s="65">
        <f>SUMIF(Inventario!$M$5:$M$505,"#"&amp;$A579,Inventario!F$5:F$505)</f>
        <v/>
      </c>
      <c r="G580" s="65">
        <f>SUMIF(Inventario!$M$5:$M$505,"#"&amp;$A579,Inventario!G$5:G$505)</f>
        <v/>
      </c>
      <c r="H580" s="65">
        <f>SUMIF(Inventario!$M$5:$M$505,"#"&amp;$A579,Inventario!H$5:H$505)</f>
        <v/>
      </c>
      <c r="I580" s="65">
        <f>SUMIF(Inventario!$M$5:$M$505,"#"&amp;$A579,Inventario!I$5:I$505)</f>
        <v/>
      </c>
      <c r="J580" s="65">
        <f>SUMIF(Inventario!$M$5:$M$505,"#"&amp;$A579,Inventario!J$5:J$505)</f>
        <v/>
      </c>
      <c r="K580" s="65">
        <f>SUMIF(Inventario!$M$5:$M$505,"#"&amp;$A579,Inventario!K$5:K$505)</f>
        <v/>
      </c>
      <c r="L580" s="65">
        <f>SUMIF(Inventario!$M$5:$M$505,"#"&amp;$A579,Inventario!L$5:L$505)</f>
        <v/>
      </c>
      <c r="M580" s="66" t="n"/>
    </row>
    <row r="581">
      <c r="C581" s="63" t="inlineStr">
        <is>
          <t>Stock proyectado disponible</t>
        </is>
      </c>
      <c r="D581" s="67">
        <f>SUMIF(Inventario!$M$5:$M$505,"#"&amp;$A579,Inventario!$C$5:$C$505)</f>
        <v/>
      </c>
      <c r="E581" s="68">
        <f>D581+E580+E583-E579</f>
        <v/>
      </c>
      <c r="F581" s="68">
        <f>E581+F580+F583-F579</f>
        <v/>
      </c>
      <c r="G581" s="68">
        <f>F581+G580+G583-G579</f>
        <v/>
      </c>
      <c r="H581" s="68">
        <f>G581+H580+H583-H579</f>
        <v/>
      </c>
      <c r="I581" s="68">
        <f>H581+I580+I583-I579</f>
        <v/>
      </c>
      <c r="J581" s="68">
        <f>I581+J580+J583-J579</f>
        <v/>
      </c>
      <c r="K581" s="68">
        <f>J581+K580+K583-K579</f>
        <v/>
      </c>
      <c r="L581" s="68">
        <f>K581+L580+L583-L579</f>
        <v/>
      </c>
      <c r="M581" s="66" t="n"/>
    </row>
    <row r="582">
      <c r="C582" s="63" t="inlineStr">
        <is>
          <t>Necesidad neta</t>
        </is>
      </c>
      <c r="D582" s="64" t="n"/>
      <c r="E582" s="69">
        <f>MAX(0,ROUND(E579+Materiales!$H$86-D581-E580,4))</f>
        <v/>
      </c>
      <c r="F582" s="69">
        <f>MAX(0,ROUND(F579+Materiales!$H$86-E581-F580,4))</f>
        <v/>
      </c>
      <c r="G582" s="69">
        <f>MAX(0,ROUND(G579+Materiales!$H$86-F581-G580,4))</f>
        <v/>
      </c>
      <c r="H582" s="69">
        <f>MAX(0,ROUND(H579+Materiales!$H$86-G581-H580,4))</f>
        <v/>
      </c>
      <c r="I582" s="69">
        <f>MAX(0,ROUND(I579+Materiales!$H$86-H581-I580,4))</f>
        <v/>
      </c>
      <c r="J582" s="69">
        <f>MAX(0,ROUND(J579+Materiales!$H$86-I581-J580,4))</f>
        <v/>
      </c>
      <c r="K582" s="69">
        <f>MAX(0,ROUND(K579+Materiales!$H$86-J581-K580,4))</f>
        <v/>
      </c>
      <c r="L582" s="69">
        <f>MAX(0,ROUND(L579+Materiales!$H$86-K581-L580,4))</f>
        <v/>
      </c>
      <c r="M582" s="66" t="n"/>
    </row>
    <row r="583">
      <c r="C583" s="63" t="inlineStr">
        <is>
          <t>Recepcion de orden planificada</t>
        </is>
      </c>
      <c r="D583" s="64" t="n"/>
      <c r="E583" s="65">
        <f>IF(E582&lt;=0,0,IF(Materiales!$G$86&lt;=0,E582,ROUNDUP(E582/Materiales!$G$86,0)*Materiales!$G$86))</f>
        <v/>
      </c>
      <c r="F583" s="65">
        <f>IF(F582&lt;=0,0,IF(Materiales!$G$86&lt;=0,F582,ROUNDUP(F582/Materiales!$G$86,0)*Materiales!$G$86))</f>
        <v/>
      </c>
      <c r="G583" s="65">
        <f>IF(G582&lt;=0,0,IF(Materiales!$G$86&lt;=0,G582,ROUNDUP(G582/Materiales!$G$86,0)*Materiales!$G$86))</f>
        <v/>
      </c>
      <c r="H583" s="65">
        <f>IF(H582&lt;=0,0,IF(Materiales!$G$86&lt;=0,H582,ROUNDUP(H582/Materiales!$G$86,0)*Materiales!$G$86))</f>
        <v/>
      </c>
      <c r="I583" s="65">
        <f>IF(I582&lt;=0,0,IF(Materiales!$G$86&lt;=0,I582,ROUNDUP(I582/Materiales!$G$86,0)*Materiales!$G$86))</f>
        <v/>
      </c>
      <c r="J583" s="65">
        <f>IF(J582&lt;=0,0,IF(Materiales!$G$86&lt;=0,J582,ROUNDUP(J582/Materiales!$G$86,0)*Materiales!$G$86))</f>
        <v/>
      </c>
      <c r="K583" s="65">
        <f>IF(K582&lt;=0,0,IF(Materiales!$G$86&lt;=0,K582,ROUNDUP(K582/Materiales!$G$86,0)*Materiales!$G$86))</f>
        <v/>
      </c>
      <c r="L583" s="65">
        <f>IF(L582&lt;=0,0,IF(Materiales!$G$86&lt;=0,L582,ROUNDUP(L582/Materiales!$G$86,0)*Materiales!$G$86))</f>
        <v/>
      </c>
      <c r="M583" s="66" t="n"/>
    </row>
    <row r="584">
      <c r="C584" s="70" t="inlineStr">
        <is>
          <t>LANZAMIENTO DE ORDEN — pedir esta semana</t>
        </is>
      </c>
      <c r="D584" s="64" t="n"/>
      <c r="E584" s="71">
        <f>IF(1+Materiales!$F$86&gt;8,0,INDEX($E$583:$L$583,1,1+Materiales!$F$86))</f>
        <v/>
      </c>
      <c r="F584" s="71">
        <f>IF(2+Materiales!$F$86&gt;8,0,INDEX($E$583:$L$583,1,2+Materiales!$F$86))</f>
        <v/>
      </c>
      <c r="G584" s="71">
        <f>IF(3+Materiales!$F$86&gt;8,0,INDEX($E$583:$L$583,1,3+Materiales!$F$86))</f>
        <v/>
      </c>
      <c r="H584" s="71">
        <f>IF(4+Materiales!$F$86&gt;8,0,INDEX($E$583:$L$583,1,4+Materiales!$F$86))</f>
        <v/>
      </c>
      <c r="I584" s="71">
        <f>IF(5+Materiales!$F$86&gt;8,0,INDEX($E$583:$L$583,1,5+Materiales!$F$86))</f>
        <v/>
      </c>
      <c r="J584" s="71">
        <f>IF(6+Materiales!$F$86&gt;8,0,INDEX($E$583:$L$583,1,6+Materiales!$F$86))</f>
        <v/>
      </c>
      <c r="K584" s="71">
        <f>IF(7+Materiales!$F$86&gt;8,0,INDEX($E$583:$L$583,1,7+Materiales!$F$86))</f>
        <v/>
      </c>
      <c r="L584" s="71">
        <f>IF(8+Materiales!$F$86&gt;8,0,INDEX($E$583:$L$583,1,8+Materiales!$F$86))</f>
        <v/>
      </c>
      <c r="M584" s="72">
        <f>IF($A579="","",IF(SUMPRODUCT((COLUMN($E$583:$L$583)-4&lt;=Materiales!$F$86)*$E$583:$L$583)&gt;0,"PEDIR YA (atrasado)","OK"))</f>
        <v/>
      </c>
    </row>
    <row r="585" ht="6" customHeight="1"/>
    <row r="586">
      <c r="A586" s="62">
        <f>IF(Materiales!$A$87="","",Materiales!$A$87)</f>
        <v/>
      </c>
      <c r="B586" s="62">
        <f>IF(Materiales!$B$87="","",Materiales!$B$87)</f>
        <v/>
      </c>
      <c r="C586" s="63" t="inlineStr">
        <is>
          <t>Necesidad bruta</t>
        </is>
      </c>
      <c r="D586" s="64" t="n"/>
      <c r="E586" s="65">
        <f>ROUND(SUMIF(Consumo!$P$4:$P$189,"#"&amp;$A586,Consumo!H$4:H$189),4)</f>
        <v/>
      </c>
      <c r="F586" s="65">
        <f>ROUND(SUMIF(Consumo!$P$4:$P$189,"#"&amp;$A586,Consumo!I$4:I$189),4)</f>
        <v/>
      </c>
      <c r="G586" s="65">
        <f>ROUND(SUMIF(Consumo!$P$4:$P$189,"#"&amp;$A586,Consumo!J$4:J$189),4)</f>
        <v/>
      </c>
      <c r="H586" s="65">
        <f>ROUND(SUMIF(Consumo!$P$4:$P$189,"#"&amp;$A586,Consumo!K$4:K$189),4)</f>
        <v/>
      </c>
      <c r="I586" s="65">
        <f>ROUND(SUMIF(Consumo!$P$4:$P$189,"#"&amp;$A586,Consumo!L$4:L$189),4)</f>
        <v/>
      </c>
      <c r="J586" s="65">
        <f>ROUND(SUMIF(Consumo!$P$4:$P$189,"#"&amp;$A586,Consumo!M$4:M$189),4)</f>
        <v/>
      </c>
      <c r="K586" s="65">
        <f>ROUND(SUMIF(Consumo!$P$4:$P$189,"#"&amp;$A586,Consumo!N$4:N$189),4)</f>
        <v/>
      </c>
      <c r="L586" s="65">
        <f>ROUND(SUMIF(Consumo!$P$4:$P$189,"#"&amp;$A586,Consumo!O$4:O$189),4)</f>
        <v/>
      </c>
      <c r="M586" s="66" t="n"/>
    </row>
    <row r="587">
      <c r="C587" s="63" t="inlineStr">
        <is>
          <t>Recepciones programadas (ya pedido)</t>
        </is>
      </c>
      <c r="D587" s="64" t="n"/>
      <c r="E587" s="65">
        <f>SUMIF(Inventario!$M$5:$M$505,"#"&amp;$A586,Inventario!E$5:E$505)</f>
        <v/>
      </c>
      <c r="F587" s="65">
        <f>SUMIF(Inventario!$M$5:$M$505,"#"&amp;$A586,Inventario!F$5:F$505)</f>
        <v/>
      </c>
      <c r="G587" s="65">
        <f>SUMIF(Inventario!$M$5:$M$505,"#"&amp;$A586,Inventario!G$5:G$505)</f>
        <v/>
      </c>
      <c r="H587" s="65">
        <f>SUMIF(Inventario!$M$5:$M$505,"#"&amp;$A586,Inventario!H$5:H$505)</f>
        <v/>
      </c>
      <c r="I587" s="65">
        <f>SUMIF(Inventario!$M$5:$M$505,"#"&amp;$A586,Inventario!I$5:I$505)</f>
        <v/>
      </c>
      <c r="J587" s="65">
        <f>SUMIF(Inventario!$M$5:$M$505,"#"&amp;$A586,Inventario!J$5:J$505)</f>
        <v/>
      </c>
      <c r="K587" s="65">
        <f>SUMIF(Inventario!$M$5:$M$505,"#"&amp;$A586,Inventario!K$5:K$505)</f>
        <v/>
      </c>
      <c r="L587" s="65">
        <f>SUMIF(Inventario!$M$5:$M$505,"#"&amp;$A586,Inventario!L$5:L$505)</f>
        <v/>
      </c>
      <c r="M587" s="66" t="n"/>
    </row>
    <row r="588">
      <c r="C588" s="63" t="inlineStr">
        <is>
          <t>Stock proyectado disponible</t>
        </is>
      </c>
      <c r="D588" s="67">
        <f>SUMIF(Inventario!$M$5:$M$505,"#"&amp;$A586,Inventario!$C$5:$C$505)</f>
        <v/>
      </c>
      <c r="E588" s="68">
        <f>D588+E587+E590-E586</f>
        <v/>
      </c>
      <c r="F588" s="68">
        <f>E588+F587+F590-F586</f>
        <v/>
      </c>
      <c r="G588" s="68">
        <f>F588+G587+G590-G586</f>
        <v/>
      </c>
      <c r="H588" s="68">
        <f>G588+H587+H590-H586</f>
        <v/>
      </c>
      <c r="I588" s="68">
        <f>H588+I587+I590-I586</f>
        <v/>
      </c>
      <c r="J588" s="68">
        <f>I588+J587+J590-J586</f>
        <v/>
      </c>
      <c r="K588" s="68">
        <f>J588+K587+K590-K586</f>
        <v/>
      </c>
      <c r="L588" s="68">
        <f>K588+L587+L590-L586</f>
        <v/>
      </c>
      <c r="M588" s="66" t="n"/>
    </row>
    <row r="589">
      <c r="C589" s="63" t="inlineStr">
        <is>
          <t>Necesidad neta</t>
        </is>
      </c>
      <c r="D589" s="64" t="n"/>
      <c r="E589" s="69">
        <f>MAX(0,ROUND(E586+Materiales!$H$87-D588-E587,4))</f>
        <v/>
      </c>
      <c r="F589" s="69">
        <f>MAX(0,ROUND(F586+Materiales!$H$87-E588-F587,4))</f>
        <v/>
      </c>
      <c r="G589" s="69">
        <f>MAX(0,ROUND(G586+Materiales!$H$87-F588-G587,4))</f>
        <v/>
      </c>
      <c r="H589" s="69">
        <f>MAX(0,ROUND(H586+Materiales!$H$87-G588-H587,4))</f>
        <v/>
      </c>
      <c r="I589" s="69">
        <f>MAX(0,ROUND(I586+Materiales!$H$87-H588-I587,4))</f>
        <v/>
      </c>
      <c r="J589" s="69">
        <f>MAX(0,ROUND(J586+Materiales!$H$87-I588-J587,4))</f>
        <v/>
      </c>
      <c r="K589" s="69">
        <f>MAX(0,ROUND(K586+Materiales!$H$87-J588-K587,4))</f>
        <v/>
      </c>
      <c r="L589" s="69">
        <f>MAX(0,ROUND(L586+Materiales!$H$87-K588-L587,4))</f>
        <v/>
      </c>
      <c r="M589" s="66" t="n"/>
    </row>
    <row r="590">
      <c r="C590" s="63" t="inlineStr">
        <is>
          <t>Recepcion de orden planificada</t>
        </is>
      </c>
      <c r="D590" s="64" t="n"/>
      <c r="E590" s="65">
        <f>IF(E589&lt;=0,0,IF(Materiales!$G$87&lt;=0,E589,ROUNDUP(E589/Materiales!$G$87,0)*Materiales!$G$87))</f>
        <v/>
      </c>
      <c r="F590" s="65">
        <f>IF(F589&lt;=0,0,IF(Materiales!$G$87&lt;=0,F589,ROUNDUP(F589/Materiales!$G$87,0)*Materiales!$G$87))</f>
        <v/>
      </c>
      <c r="G590" s="65">
        <f>IF(G589&lt;=0,0,IF(Materiales!$G$87&lt;=0,G589,ROUNDUP(G589/Materiales!$G$87,0)*Materiales!$G$87))</f>
        <v/>
      </c>
      <c r="H590" s="65">
        <f>IF(H589&lt;=0,0,IF(Materiales!$G$87&lt;=0,H589,ROUNDUP(H589/Materiales!$G$87,0)*Materiales!$G$87))</f>
        <v/>
      </c>
      <c r="I590" s="65">
        <f>IF(I589&lt;=0,0,IF(Materiales!$G$87&lt;=0,I589,ROUNDUP(I589/Materiales!$G$87,0)*Materiales!$G$87))</f>
        <v/>
      </c>
      <c r="J590" s="65">
        <f>IF(J589&lt;=0,0,IF(Materiales!$G$87&lt;=0,J589,ROUNDUP(J589/Materiales!$G$87,0)*Materiales!$G$87))</f>
        <v/>
      </c>
      <c r="K590" s="65">
        <f>IF(K589&lt;=0,0,IF(Materiales!$G$87&lt;=0,K589,ROUNDUP(K589/Materiales!$G$87,0)*Materiales!$G$87))</f>
        <v/>
      </c>
      <c r="L590" s="65">
        <f>IF(L589&lt;=0,0,IF(Materiales!$G$87&lt;=0,L589,ROUNDUP(L589/Materiales!$G$87,0)*Materiales!$G$87))</f>
        <v/>
      </c>
      <c r="M590" s="66" t="n"/>
    </row>
    <row r="591">
      <c r="C591" s="70" t="inlineStr">
        <is>
          <t>LANZAMIENTO DE ORDEN — pedir esta semana</t>
        </is>
      </c>
      <c r="D591" s="64" t="n"/>
      <c r="E591" s="71">
        <f>IF(1+Materiales!$F$87&gt;8,0,INDEX($E$590:$L$590,1,1+Materiales!$F$87))</f>
        <v/>
      </c>
      <c r="F591" s="71">
        <f>IF(2+Materiales!$F$87&gt;8,0,INDEX($E$590:$L$590,1,2+Materiales!$F$87))</f>
        <v/>
      </c>
      <c r="G591" s="71">
        <f>IF(3+Materiales!$F$87&gt;8,0,INDEX($E$590:$L$590,1,3+Materiales!$F$87))</f>
        <v/>
      </c>
      <c r="H591" s="71">
        <f>IF(4+Materiales!$F$87&gt;8,0,INDEX($E$590:$L$590,1,4+Materiales!$F$87))</f>
        <v/>
      </c>
      <c r="I591" s="71">
        <f>IF(5+Materiales!$F$87&gt;8,0,INDEX($E$590:$L$590,1,5+Materiales!$F$87))</f>
        <v/>
      </c>
      <c r="J591" s="71">
        <f>IF(6+Materiales!$F$87&gt;8,0,INDEX($E$590:$L$590,1,6+Materiales!$F$87))</f>
        <v/>
      </c>
      <c r="K591" s="71">
        <f>IF(7+Materiales!$F$87&gt;8,0,INDEX($E$590:$L$590,1,7+Materiales!$F$87))</f>
        <v/>
      </c>
      <c r="L591" s="71">
        <f>IF(8+Materiales!$F$87&gt;8,0,INDEX($E$590:$L$590,1,8+Materiales!$F$87))</f>
        <v/>
      </c>
      <c r="M591" s="72">
        <f>IF($A586="","",IF(SUMPRODUCT((COLUMN($E$590:$L$590)-4&lt;=Materiales!$F$87)*$E$590:$L$590)&gt;0,"PEDIR YA (atrasado)","OK"))</f>
        <v/>
      </c>
    </row>
    <row r="592" ht="6" customHeight="1"/>
    <row r="593">
      <c r="A593" s="62">
        <f>IF(Materiales!$A$88="","",Materiales!$A$88)</f>
        <v/>
      </c>
      <c r="B593" s="62">
        <f>IF(Materiales!$B$88="","",Materiales!$B$88)</f>
        <v/>
      </c>
      <c r="C593" s="63" t="inlineStr">
        <is>
          <t>Necesidad bruta</t>
        </is>
      </c>
      <c r="D593" s="64" t="n"/>
      <c r="E593" s="65">
        <f>ROUND(SUMIF(Consumo!$P$4:$P$189,"#"&amp;$A593,Consumo!H$4:H$189),4)</f>
        <v/>
      </c>
      <c r="F593" s="65">
        <f>ROUND(SUMIF(Consumo!$P$4:$P$189,"#"&amp;$A593,Consumo!I$4:I$189),4)</f>
        <v/>
      </c>
      <c r="G593" s="65">
        <f>ROUND(SUMIF(Consumo!$P$4:$P$189,"#"&amp;$A593,Consumo!J$4:J$189),4)</f>
        <v/>
      </c>
      <c r="H593" s="65">
        <f>ROUND(SUMIF(Consumo!$P$4:$P$189,"#"&amp;$A593,Consumo!K$4:K$189),4)</f>
        <v/>
      </c>
      <c r="I593" s="65">
        <f>ROUND(SUMIF(Consumo!$P$4:$P$189,"#"&amp;$A593,Consumo!L$4:L$189),4)</f>
        <v/>
      </c>
      <c r="J593" s="65">
        <f>ROUND(SUMIF(Consumo!$P$4:$P$189,"#"&amp;$A593,Consumo!M$4:M$189),4)</f>
        <v/>
      </c>
      <c r="K593" s="65">
        <f>ROUND(SUMIF(Consumo!$P$4:$P$189,"#"&amp;$A593,Consumo!N$4:N$189),4)</f>
        <v/>
      </c>
      <c r="L593" s="65">
        <f>ROUND(SUMIF(Consumo!$P$4:$P$189,"#"&amp;$A593,Consumo!O$4:O$189),4)</f>
        <v/>
      </c>
      <c r="M593" s="66" t="n"/>
    </row>
    <row r="594">
      <c r="C594" s="63" t="inlineStr">
        <is>
          <t>Recepciones programadas (ya pedido)</t>
        </is>
      </c>
      <c r="D594" s="64" t="n"/>
      <c r="E594" s="65">
        <f>SUMIF(Inventario!$M$5:$M$505,"#"&amp;$A593,Inventario!E$5:E$505)</f>
        <v/>
      </c>
      <c r="F594" s="65">
        <f>SUMIF(Inventario!$M$5:$M$505,"#"&amp;$A593,Inventario!F$5:F$505)</f>
        <v/>
      </c>
      <c r="G594" s="65">
        <f>SUMIF(Inventario!$M$5:$M$505,"#"&amp;$A593,Inventario!G$5:G$505)</f>
        <v/>
      </c>
      <c r="H594" s="65">
        <f>SUMIF(Inventario!$M$5:$M$505,"#"&amp;$A593,Inventario!H$5:H$505)</f>
        <v/>
      </c>
      <c r="I594" s="65">
        <f>SUMIF(Inventario!$M$5:$M$505,"#"&amp;$A593,Inventario!I$5:I$505)</f>
        <v/>
      </c>
      <c r="J594" s="65">
        <f>SUMIF(Inventario!$M$5:$M$505,"#"&amp;$A593,Inventario!J$5:J$505)</f>
        <v/>
      </c>
      <c r="K594" s="65">
        <f>SUMIF(Inventario!$M$5:$M$505,"#"&amp;$A593,Inventario!K$5:K$505)</f>
        <v/>
      </c>
      <c r="L594" s="65">
        <f>SUMIF(Inventario!$M$5:$M$505,"#"&amp;$A593,Inventario!L$5:L$505)</f>
        <v/>
      </c>
      <c r="M594" s="66" t="n"/>
    </row>
    <row r="595">
      <c r="C595" s="63" t="inlineStr">
        <is>
          <t>Stock proyectado disponible</t>
        </is>
      </c>
      <c r="D595" s="67">
        <f>SUMIF(Inventario!$M$5:$M$505,"#"&amp;$A593,Inventario!$C$5:$C$505)</f>
        <v/>
      </c>
      <c r="E595" s="68">
        <f>D595+E594+E597-E593</f>
        <v/>
      </c>
      <c r="F595" s="68">
        <f>E595+F594+F597-F593</f>
        <v/>
      </c>
      <c r="G595" s="68">
        <f>F595+G594+G597-G593</f>
        <v/>
      </c>
      <c r="H595" s="68">
        <f>G595+H594+H597-H593</f>
        <v/>
      </c>
      <c r="I595" s="68">
        <f>H595+I594+I597-I593</f>
        <v/>
      </c>
      <c r="J595" s="68">
        <f>I595+J594+J597-J593</f>
        <v/>
      </c>
      <c r="K595" s="68">
        <f>J595+K594+K597-K593</f>
        <v/>
      </c>
      <c r="L595" s="68">
        <f>K595+L594+L597-L593</f>
        <v/>
      </c>
      <c r="M595" s="66" t="n"/>
    </row>
    <row r="596">
      <c r="C596" s="63" t="inlineStr">
        <is>
          <t>Necesidad neta</t>
        </is>
      </c>
      <c r="D596" s="64" t="n"/>
      <c r="E596" s="69">
        <f>MAX(0,ROUND(E593+Materiales!$H$88-D595-E594,4))</f>
        <v/>
      </c>
      <c r="F596" s="69">
        <f>MAX(0,ROUND(F593+Materiales!$H$88-E595-F594,4))</f>
        <v/>
      </c>
      <c r="G596" s="69">
        <f>MAX(0,ROUND(G593+Materiales!$H$88-F595-G594,4))</f>
        <v/>
      </c>
      <c r="H596" s="69">
        <f>MAX(0,ROUND(H593+Materiales!$H$88-G595-H594,4))</f>
        <v/>
      </c>
      <c r="I596" s="69">
        <f>MAX(0,ROUND(I593+Materiales!$H$88-H595-I594,4))</f>
        <v/>
      </c>
      <c r="J596" s="69">
        <f>MAX(0,ROUND(J593+Materiales!$H$88-I595-J594,4))</f>
        <v/>
      </c>
      <c r="K596" s="69">
        <f>MAX(0,ROUND(K593+Materiales!$H$88-J595-K594,4))</f>
        <v/>
      </c>
      <c r="L596" s="69">
        <f>MAX(0,ROUND(L593+Materiales!$H$88-K595-L594,4))</f>
        <v/>
      </c>
      <c r="M596" s="66" t="n"/>
    </row>
    <row r="597">
      <c r="C597" s="63" t="inlineStr">
        <is>
          <t>Recepcion de orden planificada</t>
        </is>
      </c>
      <c r="D597" s="64" t="n"/>
      <c r="E597" s="65">
        <f>IF(E596&lt;=0,0,IF(Materiales!$G$88&lt;=0,E596,ROUNDUP(E596/Materiales!$G$88,0)*Materiales!$G$88))</f>
        <v/>
      </c>
      <c r="F597" s="65">
        <f>IF(F596&lt;=0,0,IF(Materiales!$G$88&lt;=0,F596,ROUNDUP(F596/Materiales!$G$88,0)*Materiales!$G$88))</f>
        <v/>
      </c>
      <c r="G597" s="65">
        <f>IF(G596&lt;=0,0,IF(Materiales!$G$88&lt;=0,G596,ROUNDUP(G596/Materiales!$G$88,0)*Materiales!$G$88))</f>
        <v/>
      </c>
      <c r="H597" s="65">
        <f>IF(H596&lt;=0,0,IF(Materiales!$G$88&lt;=0,H596,ROUNDUP(H596/Materiales!$G$88,0)*Materiales!$G$88))</f>
        <v/>
      </c>
      <c r="I597" s="65">
        <f>IF(I596&lt;=0,0,IF(Materiales!$G$88&lt;=0,I596,ROUNDUP(I596/Materiales!$G$88,0)*Materiales!$G$88))</f>
        <v/>
      </c>
      <c r="J597" s="65">
        <f>IF(J596&lt;=0,0,IF(Materiales!$G$88&lt;=0,J596,ROUNDUP(J596/Materiales!$G$88,0)*Materiales!$G$88))</f>
        <v/>
      </c>
      <c r="K597" s="65">
        <f>IF(K596&lt;=0,0,IF(Materiales!$G$88&lt;=0,K596,ROUNDUP(K596/Materiales!$G$88,0)*Materiales!$G$88))</f>
        <v/>
      </c>
      <c r="L597" s="65">
        <f>IF(L596&lt;=0,0,IF(Materiales!$G$88&lt;=0,L596,ROUNDUP(L596/Materiales!$G$88,0)*Materiales!$G$88))</f>
        <v/>
      </c>
      <c r="M597" s="66" t="n"/>
    </row>
    <row r="598">
      <c r="C598" s="70" t="inlineStr">
        <is>
          <t>LANZAMIENTO DE ORDEN — pedir esta semana</t>
        </is>
      </c>
      <c r="D598" s="64" t="n"/>
      <c r="E598" s="71">
        <f>IF(1+Materiales!$F$88&gt;8,0,INDEX($E$597:$L$597,1,1+Materiales!$F$88))</f>
        <v/>
      </c>
      <c r="F598" s="71">
        <f>IF(2+Materiales!$F$88&gt;8,0,INDEX($E$597:$L$597,1,2+Materiales!$F$88))</f>
        <v/>
      </c>
      <c r="G598" s="71">
        <f>IF(3+Materiales!$F$88&gt;8,0,INDEX($E$597:$L$597,1,3+Materiales!$F$88))</f>
        <v/>
      </c>
      <c r="H598" s="71">
        <f>IF(4+Materiales!$F$88&gt;8,0,INDEX($E$597:$L$597,1,4+Materiales!$F$88))</f>
        <v/>
      </c>
      <c r="I598" s="71">
        <f>IF(5+Materiales!$F$88&gt;8,0,INDEX($E$597:$L$597,1,5+Materiales!$F$88))</f>
        <v/>
      </c>
      <c r="J598" s="71">
        <f>IF(6+Materiales!$F$88&gt;8,0,INDEX($E$597:$L$597,1,6+Materiales!$F$88))</f>
        <v/>
      </c>
      <c r="K598" s="71">
        <f>IF(7+Materiales!$F$88&gt;8,0,INDEX($E$597:$L$597,1,7+Materiales!$F$88))</f>
        <v/>
      </c>
      <c r="L598" s="71">
        <f>IF(8+Materiales!$F$88&gt;8,0,INDEX($E$597:$L$597,1,8+Materiales!$F$88))</f>
        <v/>
      </c>
      <c r="M598" s="72">
        <f>IF($A593="","",IF(SUMPRODUCT((COLUMN($E$597:$L$597)-4&lt;=Materiales!$F$88)*$E$597:$L$597)&gt;0,"PEDIR YA (atrasado)","OK"))</f>
        <v/>
      </c>
    </row>
    <row r="599" ht="6" customHeight="1"/>
    <row r="600">
      <c r="A600" s="62">
        <f>IF(Materiales!$A$89="","",Materiales!$A$89)</f>
        <v/>
      </c>
      <c r="B600" s="62">
        <f>IF(Materiales!$B$89="","",Materiales!$B$89)</f>
        <v/>
      </c>
      <c r="C600" s="63" t="inlineStr">
        <is>
          <t>Necesidad bruta</t>
        </is>
      </c>
      <c r="D600" s="64" t="n"/>
      <c r="E600" s="65">
        <f>ROUND(SUMIF(Consumo!$P$4:$P$189,"#"&amp;$A600,Consumo!H$4:H$189),4)</f>
        <v/>
      </c>
      <c r="F600" s="65">
        <f>ROUND(SUMIF(Consumo!$P$4:$P$189,"#"&amp;$A600,Consumo!I$4:I$189),4)</f>
        <v/>
      </c>
      <c r="G600" s="65">
        <f>ROUND(SUMIF(Consumo!$P$4:$P$189,"#"&amp;$A600,Consumo!J$4:J$189),4)</f>
        <v/>
      </c>
      <c r="H600" s="65">
        <f>ROUND(SUMIF(Consumo!$P$4:$P$189,"#"&amp;$A600,Consumo!K$4:K$189),4)</f>
        <v/>
      </c>
      <c r="I600" s="65">
        <f>ROUND(SUMIF(Consumo!$P$4:$P$189,"#"&amp;$A600,Consumo!L$4:L$189),4)</f>
        <v/>
      </c>
      <c r="J600" s="65">
        <f>ROUND(SUMIF(Consumo!$P$4:$P$189,"#"&amp;$A600,Consumo!M$4:M$189),4)</f>
        <v/>
      </c>
      <c r="K600" s="65">
        <f>ROUND(SUMIF(Consumo!$P$4:$P$189,"#"&amp;$A600,Consumo!N$4:N$189),4)</f>
        <v/>
      </c>
      <c r="L600" s="65">
        <f>ROUND(SUMIF(Consumo!$P$4:$P$189,"#"&amp;$A600,Consumo!O$4:O$189),4)</f>
        <v/>
      </c>
      <c r="M600" s="66" t="n"/>
    </row>
    <row r="601">
      <c r="C601" s="63" t="inlineStr">
        <is>
          <t>Recepciones programadas (ya pedido)</t>
        </is>
      </c>
      <c r="D601" s="64" t="n"/>
      <c r="E601" s="65">
        <f>SUMIF(Inventario!$M$5:$M$505,"#"&amp;$A600,Inventario!E$5:E$505)</f>
        <v/>
      </c>
      <c r="F601" s="65">
        <f>SUMIF(Inventario!$M$5:$M$505,"#"&amp;$A600,Inventario!F$5:F$505)</f>
        <v/>
      </c>
      <c r="G601" s="65">
        <f>SUMIF(Inventario!$M$5:$M$505,"#"&amp;$A600,Inventario!G$5:G$505)</f>
        <v/>
      </c>
      <c r="H601" s="65">
        <f>SUMIF(Inventario!$M$5:$M$505,"#"&amp;$A600,Inventario!H$5:H$505)</f>
        <v/>
      </c>
      <c r="I601" s="65">
        <f>SUMIF(Inventario!$M$5:$M$505,"#"&amp;$A600,Inventario!I$5:I$505)</f>
        <v/>
      </c>
      <c r="J601" s="65">
        <f>SUMIF(Inventario!$M$5:$M$505,"#"&amp;$A600,Inventario!J$5:J$505)</f>
        <v/>
      </c>
      <c r="K601" s="65">
        <f>SUMIF(Inventario!$M$5:$M$505,"#"&amp;$A600,Inventario!K$5:K$505)</f>
        <v/>
      </c>
      <c r="L601" s="65">
        <f>SUMIF(Inventario!$M$5:$M$505,"#"&amp;$A600,Inventario!L$5:L$505)</f>
        <v/>
      </c>
      <c r="M601" s="66" t="n"/>
    </row>
    <row r="602">
      <c r="C602" s="63" t="inlineStr">
        <is>
          <t>Stock proyectado disponible</t>
        </is>
      </c>
      <c r="D602" s="67">
        <f>SUMIF(Inventario!$M$5:$M$505,"#"&amp;$A600,Inventario!$C$5:$C$505)</f>
        <v/>
      </c>
      <c r="E602" s="68">
        <f>D602+E601+E604-E600</f>
        <v/>
      </c>
      <c r="F602" s="68">
        <f>E602+F601+F604-F600</f>
        <v/>
      </c>
      <c r="G602" s="68">
        <f>F602+G601+G604-G600</f>
        <v/>
      </c>
      <c r="H602" s="68">
        <f>G602+H601+H604-H600</f>
        <v/>
      </c>
      <c r="I602" s="68">
        <f>H602+I601+I604-I600</f>
        <v/>
      </c>
      <c r="J602" s="68">
        <f>I602+J601+J604-J600</f>
        <v/>
      </c>
      <c r="K602" s="68">
        <f>J602+K601+K604-K600</f>
        <v/>
      </c>
      <c r="L602" s="68">
        <f>K602+L601+L604-L600</f>
        <v/>
      </c>
      <c r="M602" s="66" t="n"/>
    </row>
    <row r="603">
      <c r="C603" s="63" t="inlineStr">
        <is>
          <t>Necesidad neta</t>
        </is>
      </c>
      <c r="D603" s="64" t="n"/>
      <c r="E603" s="69">
        <f>MAX(0,ROUND(E600+Materiales!$H$89-D602-E601,4))</f>
        <v/>
      </c>
      <c r="F603" s="69">
        <f>MAX(0,ROUND(F600+Materiales!$H$89-E602-F601,4))</f>
        <v/>
      </c>
      <c r="G603" s="69">
        <f>MAX(0,ROUND(G600+Materiales!$H$89-F602-G601,4))</f>
        <v/>
      </c>
      <c r="H603" s="69">
        <f>MAX(0,ROUND(H600+Materiales!$H$89-G602-H601,4))</f>
        <v/>
      </c>
      <c r="I603" s="69">
        <f>MAX(0,ROUND(I600+Materiales!$H$89-H602-I601,4))</f>
        <v/>
      </c>
      <c r="J603" s="69">
        <f>MAX(0,ROUND(J600+Materiales!$H$89-I602-J601,4))</f>
        <v/>
      </c>
      <c r="K603" s="69">
        <f>MAX(0,ROUND(K600+Materiales!$H$89-J602-K601,4))</f>
        <v/>
      </c>
      <c r="L603" s="69">
        <f>MAX(0,ROUND(L600+Materiales!$H$89-K602-L601,4))</f>
        <v/>
      </c>
      <c r="M603" s="66" t="n"/>
    </row>
    <row r="604">
      <c r="C604" s="63" t="inlineStr">
        <is>
          <t>Recepcion de orden planificada</t>
        </is>
      </c>
      <c r="D604" s="64" t="n"/>
      <c r="E604" s="65">
        <f>IF(E603&lt;=0,0,IF(Materiales!$G$89&lt;=0,E603,ROUNDUP(E603/Materiales!$G$89,0)*Materiales!$G$89))</f>
        <v/>
      </c>
      <c r="F604" s="65">
        <f>IF(F603&lt;=0,0,IF(Materiales!$G$89&lt;=0,F603,ROUNDUP(F603/Materiales!$G$89,0)*Materiales!$G$89))</f>
        <v/>
      </c>
      <c r="G604" s="65">
        <f>IF(G603&lt;=0,0,IF(Materiales!$G$89&lt;=0,G603,ROUNDUP(G603/Materiales!$G$89,0)*Materiales!$G$89))</f>
        <v/>
      </c>
      <c r="H604" s="65">
        <f>IF(H603&lt;=0,0,IF(Materiales!$G$89&lt;=0,H603,ROUNDUP(H603/Materiales!$G$89,0)*Materiales!$G$89))</f>
        <v/>
      </c>
      <c r="I604" s="65">
        <f>IF(I603&lt;=0,0,IF(Materiales!$G$89&lt;=0,I603,ROUNDUP(I603/Materiales!$G$89,0)*Materiales!$G$89))</f>
        <v/>
      </c>
      <c r="J604" s="65">
        <f>IF(J603&lt;=0,0,IF(Materiales!$G$89&lt;=0,J603,ROUNDUP(J603/Materiales!$G$89,0)*Materiales!$G$89))</f>
        <v/>
      </c>
      <c r="K604" s="65">
        <f>IF(K603&lt;=0,0,IF(Materiales!$G$89&lt;=0,K603,ROUNDUP(K603/Materiales!$G$89,0)*Materiales!$G$89))</f>
        <v/>
      </c>
      <c r="L604" s="65">
        <f>IF(L603&lt;=0,0,IF(Materiales!$G$89&lt;=0,L603,ROUNDUP(L603/Materiales!$G$89,0)*Materiales!$G$89))</f>
        <v/>
      </c>
      <c r="M604" s="66" t="n"/>
    </row>
    <row r="605">
      <c r="C605" s="70" t="inlineStr">
        <is>
          <t>LANZAMIENTO DE ORDEN — pedir esta semana</t>
        </is>
      </c>
      <c r="D605" s="64" t="n"/>
      <c r="E605" s="71">
        <f>IF(1+Materiales!$F$89&gt;8,0,INDEX($E$604:$L$604,1,1+Materiales!$F$89))</f>
        <v/>
      </c>
      <c r="F605" s="71">
        <f>IF(2+Materiales!$F$89&gt;8,0,INDEX($E$604:$L$604,1,2+Materiales!$F$89))</f>
        <v/>
      </c>
      <c r="G605" s="71">
        <f>IF(3+Materiales!$F$89&gt;8,0,INDEX($E$604:$L$604,1,3+Materiales!$F$89))</f>
        <v/>
      </c>
      <c r="H605" s="71">
        <f>IF(4+Materiales!$F$89&gt;8,0,INDEX($E$604:$L$604,1,4+Materiales!$F$89))</f>
        <v/>
      </c>
      <c r="I605" s="71">
        <f>IF(5+Materiales!$F$89&gt;8,0,INDEX($E$604:$L$604,1,5+Materiales!$F$89))</f>
        <v/>
      </c>
      <c r="J605" s="71">
        <f>IF(6+Materiales!$F$89&gt;8,0,INDEX($E$604:$L$604,1,6+Materiales!$F$89))</f>
        <v/>
      </c>
      <c r="K605" s="71">
        <f>IF(7+Materiales!$F$89&gt;8,0,INDEX($E$604:$L$604,1,7+Materiales!$F$89))</f>
        <v/>
      </c>
      <c r="L605" s="71">
        <f>IF(8+Materiales!$F$89&gt;8,0,INDEX($E$604:$L$604,1,8+Materiales!$F$89))</f>
        <v/>
      </c>
      <c r="M605" s="72">
        <f>IF($A600="","",IF(SUMPRODUCT((COLUMN($E$604:$L$604)-4&lt;=Materiales!$F$89)*$E$604:$L$604)&gt;0,"PEDIR YA (atrasado)","OK"))</f>
        <v/>
      </c>
    </row>
    <row r="606" ht="6" customHeight="1"/>
    <row r="607">
      <c r="A607" s="62">
        <f>IF(Materiales!$A$90="","",Materiales!$A$90)</f>
        <v/>
      </c>
      <c r="B607" s="62">
        <f>IF(Materiales!$B$90="","",Materiales!$B$90)</f>
        <v/>
      </c>
      <c r="C607" s="63" t="inlineStr">
        <is>
          <t>Necesidad bruta</t>
        </is>
      </c>
      <c r="D607" s="64" t="n"/>
      <c r="E607" s="65">
        <f>ROUND(SUMIF(Consumo!$P$4:$P$189,"#"&amp;$A607,Consumo!H$4:H$189),4)</f>
        <v/>
      </c>
      <c r="F607" s="65">
        <f>ROUND(SUMIF(Consumo!$P$4:$P$189,"#"&amp;$A607,Consumo!I$4:I$189),4)</f>
        <v/>
      </c>
      <c r="G607" s="65">
        <f>ROUND(SUMIF(Consumo!$P$4:$P$189,"#"&amp;$A607,Consumo!J$4:J$189),4)</f>
        <v/>
      </c>
      <c r="H607" s="65">
        <f>ROUND(SUMIF(Consumo!$P$4:$P$189,"#"&amp;$A607,Consumo!K$4:K$189),4)</f>
        <v/>
      </c>
      <c r="I607" s="65">
        <f>ROUND(SUMIF(Consumo!$P$4:$P$189,"#"&amp;$A607,Consumo!L$4:L$189),4)</f>
        <v/>
      </c>
      <c r="J607" s="65">
        <f>ROUND(SUMIF(Consumo!$P$4:$P$189,"#"&amp;$A607,Consumo!M$4:M$189),4)</f>
        <v/>
      </c>
      <c r="K607" s="65">
        <f>ROUND(SUMIF(Consumo!$P$4:$P$189,"#"&amp;$A607,Consumo!N$4:N$189),4)</f>
        <v/>
      </c>
      <c r="L607" s="65">
        <f>ROUND(SUMIF(Consumo!$P$4:$P$189,"#"&amp;$A607,Consumo!O$4:O$189),4)</f>
        <v/>
      </c>
      <c r="M607" s="66" t="n"/>
    </row>
    <row r="608">
      <c r="C608" s="63" t="inlineStr">
        <is>
          <t>Recepciones programadas (ya pedido)</t>
        </is>
      </c>
      <c r="D608" s="64" t="n"/>
      <c r="E608" s="65">
        <f>SUMIF(Inventario!$M$5:$M$505,"#"&amp;$A607,Inventario!E$5:E$505)</f>
        <v/>
      </c>
      <c r="F608" s="65">
        <f>SUMIF(Inventario!$M$5:$M$505,"#"&amp;$A607,Inventario!F$5:F$505)</f>
        <v/>
      </c>
      <c r="G608" s="65">
        <f>SUMIF(Inventario!$M$5:$M$505,"#"&amp;$A607,Inventario!G$5:G$505)</f>
        <v/>
      </c>
      <c r="H608" s="65">
        <f>SUMIF(Inventario!$M$5:$M$505,"#"&amp;$A607,Inventario!H$5:H$505)</f>
        <v/>
      </c>
      <c r="I608" s="65">
        <f>SUMIF(Inventario!$M$5:$M$505,"#"&amp;$A607,Inventario!I$5:I$505)</f>
        <v/>
      </c>
      <c r="J608" s="65">
        <f>SUMIF(Inventario!$M$5:$M$505,"#"&amp;$A607,Inventario!J$5:J$505)</f>
        <v/>
      </c>
      <c r="K608" s="65">
        <f>SUMIF(Inventario!$M$5:$M$505,"#"&amp;$A607,Inventario!K$5:K$505)</f>
        <v/>
      </c>
      <c r="L608" s="65">
        <f>SUMIF(Inventario!$M$5:$M$505,"#"&amp;$A607,Inventario!L$5:L$505)</f>
        <v/>
      </c>
      <c r="M608" s="66" t="n"/>
    </row>
    <row r="609">
      <c r="C609" s="63" t="inlineStr">
        <is>
          <t>Stock proyectado disponible</t>
        </is>
      </c>
      <c r="D609" s="67">
        <f>SUMIF(Inventario!$M$5:$M$505,"#"&amp;$A607,Inventario!$C$5:$C$505)</f>
        <v/>
      </c>
      <c r="E609" s="68">
        <f>D609+E608+E611-E607</f>
        <v/>
      </c>
      <c r="F609" s="68">
        <f>E609+F608+F611-F607</f>
        <v/>
      </c>
      <c r="G609" s="68">
        <f>F609+G608+G611-G607</f>
        <v/>
      </c>
      <c r="H609" s="68">
        <f>G609+H608+H611-H607</f>
        <v/>
      </c>
      <c r="I609" s="68">
        <f>H609+I608+I611-I607</f>
        <v/>
      </c>
      <c r="J609" s="68">
        <f>I609+J608+J611-J607</f>
        <v/>
      </c>
      <c r="K609" s="68">
        <f>J609+K608+K611-K607</f>
        <v/>
      </c>
      <c r="L609" s="68">
        <f>K609+L608+L611-L607</f>
        <v/>
      </c>
      <c r="M609" s="66" t="n"/>
    </row>
    <row r="610">
      <c r="C610" s="63" t="inlineStr">
        <is>
          <t>Necesidad neta</t>
        </is>
      </c>
      <c r="D610" s="64" t="n"/>
      <c r="E610" s="69">
        <f>MAX(0,ROUND(E607+Materiales!$H$90-D609-E608,4))</f>
        <v/>
      </c>
      <c r="F610" s="69">
        <f>MAX(0,ROUND(F607+Materiales!$H$90-E609-F608,4))</f>
        <v/>
      </c>
      <c r="G610" s="69">
        <f>MAX(0,ROUND(G607+Materiales!$H$90-F609-G608,4))</f>
        <v/>
      </c>
      <c r="H610" s="69">
        <f>MAX(0,ROUND(H607+Materiales!$H$90-G609-H608,4))</f>
        <v/>
      </c>
      <c r="I610" s="69">
        <f>MAX(0,ROUND(I607+Materiales!$H$90-H609-I608,4))</f>
        <v/>
      </c>
      <c r="J610" s="69">
        <f>MAX(0,ROUND(J607+Materiales!$H$90-I609-J608,4))</f>
        <v/>
      </c>
      <c r="K610" s="69">
        <f>MAX(0,ROUND(K607+Materiales!$H$90-J609-K608,4))</f>
        <v/>
      </c>
      <c r="L610" s="69">
        <f>MAX(0,ROUND(L607+Materiales!$H$90-K609-L608,4))</f>
        <v/>
      </c>
      <c r="M610" s="66" t="n"/>
    </row>
    <row r="611">
      <c r="C611" s="63" t="inlineStr">
        <is>
          <t>Recepcion de orden planificada</t>
        </is>
      </c>
      <c r="D611" s="64" t="n"/>
      <c r="E611" s="65">
        <f>IF(E610&lt;=0,0,IF(Materiales!$G$90&lt;=0,E610,ROUNDUP(E610/Materiales!$G$90,0)*Materiales!$G$90))</f>
        <v/>
      </c>
      <c r="F611" s="65">
        <f>IF(F610&lt;=0,0,IF(Materiales!$G$90&lt;=0,F610,ROUNDUP(F610/Materiales!$G$90,0)*Materiales!$G$90))</f>
        <v/>
      </c>
      <c r="G611" s="65">
        <f>IF(G610&lt;=0,0,IF(Materiales!$G$90&lt;=0,G610,ROUNDUP(G610/Materiales!$G$90,0)*Materiales!$G$90))</f>
        <v/>
      </c>
      <c r="H611" s="65">
        <f>IF(H610&lt;=0,0,IF(Materiales!$G$90&lt;=0,H610,ROUNDUP(H610/Materiales!$G$90,0)*Materiales!$G$90))</f>
        <v/>
      </c>
      <c r="I611" s="65">
        <f>IF(I610&lt;=0,0,IF(Materiales!$G$90&lt;=0,I610,ROUNDUP(I610/Materiales!$G$90,0)*Materiales!$G$90))</f>
        <v/>
      </c>
      <c r="J611" s="65">
        <f>IF(J610&lt;=0,0,IF(Materiales!$G$90&lt;=0,J610,ROUNDUP(J610/Materiales!$G$90,0)*Materiales!$G$90))</f>
        <v/>
      </c>
      <c r="K611" s="65">
        <f>IF(K610&lt;=0,0,IF(Materiales!$G$90&lt;=0,K610,ROUNDUP(K610/Materiales!$G$90,0)*Materiales!$G$90))</f>
        <v/>
      </c>
      <c r="L611" s="65">
        <f>IF(L610&lt;=0,0,IF(Materiales!$G$90&lt;=0,L610,ROUNDUP(L610/Materiales!$G$90,0)*Materiales!$G$90))</f>
        <v/>
      </c>
      <c r="M611" s="66" t="n"/>
    </row>
    <row r="612">
      <c r="C612" s="70" t="inlineStr">
        <is>
          <t>LANZAMIENTO DE ORDEN — pedir esta semana</t>
        </is>
      </c>
      <c r="D612" s="64" t="n"/>
      <c r="E612" s="71">
        <f>IF(1+Materiales!$F$90&gt;8,0,INDEX($E$611:$L$611,1,1+Materiales!$F$90))</f>
        <v/>
      </c>
      <c r="F612" s="71">
        <f>IF(2+Materiales!$F$90&gt;8,0,INDEX($E$611:$L$611,1,2+Materiales!$F$90))</f>
        <v/>
      </c>
      <c r="G612" s="71">
        <f>IF(3+Materiales!$F$90&gt;8,0,INDEX($E$611:$L$611,1,3+Materiales!$F$90))</f>
        <v/>
      </c>
      <c r="H612" s="71">
        <f>IF(4+Materiales!$F$90&gt;8,0,INDEX($E$611:$L$611,1,4+Materiales!$F$90))</f>
        <v/>
      </c>
      <c r="I612" s="71">
        <f>IF(5+Materiales!$F$90&gt;8,0,INDEX($E$611:$L$611,1,5+Materiales!$F$90))</f>
        <v/>
      </c>
      <c r="J612" s="71">
        <f>IF(6+Materiales!$F$90&gt;8,0,INDEX($E$611:$L$611,1,6+Materiales!$F$90))</f>
        <v/>
      </c>
      <c r="K612" s="71">
        <f>IF(7+Materiales!$F$90&gt;8,0,INDEX($E$611:$L$611,1,7+Materiales!$F$90))</f>
        <v/>
      </c>
      <c r="L612" s="71">
        <f>IF(8+Materiales!$F$90&gt;8,0,INDEX($E$611:$L$611,1,8+Materiales!$F$90))</f>
        <v/>
      </c>
      <c r="M612" s="72">
        <f>IF($A607="","",IF(SUMPRODUCT((COLUMN($E$611:$L$611)-4&lt;=Materiales!$F$90)*$E$611:$L$611)&gt;0,"PEDIR YA (atrasado)","OK"))</f>
        <v/>
      </c>
    </row>
    <row r="613" ht="6" customHeight="1"/>
    <row r="614">
      <c r="A614" s="62">
        <f>IF(Materiales!$A$91="","",Materiales!$A$91)</f>
        <v/>
      </c>
      <c r="B614" s="62">
        <f>IF(Materiales!$B$91="","",Materiales!$B$91)</f>
        <v/>
      </c>
      <c r="C614" s="63" t="inlineStr">
        <is>
          <t>Necesidad bruta</t>
        </is>
      </c>
      <c r="D614" s="64" t="n"/>
      <c r="E614" s="65">
        <f>ROUND(SUMIF(Consumo!$P$4:$P$189,"#"&amp;$A614,Consumo!H$4:H$189),4)</f>
        <v/>
      </c>
      <c r="F614" s="65">
        <f>ROUND(SUMIF(Consumo!$P$4:$P$189,"#"&amp;$A614,Consumo!I$4:I$189),4)</f>
        <v/>
      </c>
      <c r="G614" s="65">
        <f>ROUND(SUMIF(Consumo!$P$4:$P$189,"#"&amp;$A614,Consumo!J$4:J$189),4)</f>
        <v/>
      </c>
      <c r="H614" s="65">
        <f>ROUND(SUMIF(Consumo!$P$4:$P$189,"#"&amp;$A614,Consumo!K$4:K$189),4)</f>
        <v/>
      </c>
      <c r="I614" s="65">
        <f>ROUND(SUMIF(Consumo!$P$4:$P$189,"#"&amp;$A614,Consumo!L$4:L$189),4)</f>
        <v/>
      </c>
      <c r="J614" s="65">
        <f>ROUND(SUMIF(Consumo!$P$4:$P$189,"#"&amp;$A614,Consumo!M$4:M$189),4)</f>
        <v/>
      </c>
      <c r="K614" s="65">
        <f>ROUND(SUMIF(Consumo!$P$4:$P$189,"#"&amp;$A614,Consumo!N$4:N$189),4)</f>
        <v/>
      </c>
      <c r="L614" s="65">
        <f>ROUND(SUMIF(Consumo!$P$4:$P$189,"#"&amp;$A614,Consumo!O$4:O$189),4)</f>
        <v/>
      </c>
      <c r="M614" s="66" t="n"/>
    </row>
    <row r="615">
      <c r="C615" s="63" t="inlineStr">
        <is>
          <t>Recepciones programadas (ya pedido)</t>
        </is>
      </c>
      <c r="D615" s="64" t="n"/>
      <c r="E615" s="65">
        <f>SUMIF(Inventario!$M$5:$M$505,"#"&amp;$A614,Inventario!E$5:E$505)</f>
        <v/>
      </c>
      <c r="F615" s="65">
        <f>SUMIF(Inventario!$M$5:$M$505,"#"&amp;$A614,Inventario!F$5:F$505)</f>
        <v/>
      </c>
      <c r="G615" s="65">
        <f>SUMIF(Inventario!$M$5:$M$505,"#"&amp;$A614,Inventario!G$5:G$505)</f>
        <v/>
      </c>
      <c r="H615" s="65">
        <f>SUMIF(Inventario!$M$5:$M$505,"#"&amp;$A614,Inventario!H$5:H$505)</f>
        <v/>
      </c>
      <c r="I615" s="65">
        <f>SUMIF(Inventario!$M$5:$M$505,"#"&amp;$A614,Inventario!I$5:I$505)</f>
        <v/>
      </c>
      <c r="J615" s="65">
        <f>SUMIF(Inventario!$M$5:$M$505,"#"&amp;$A614,Inventario!J$5:J$505)</f>
        <v/>
      </c>
      <c r="K615" s="65">
        <f>SUMIF(Inventario!$M$5:$M$505,"#"&amp;$A614,Inventario!K$5:K$505)</f>
        <v/>
      </c>
      <c r="L615" s="65">
        <f>SUMIF(Inventario!$M$5:$M$505,"#"&amp;$A614,Inventario!L$5:L$505)</f>
        <v/>
      </c>
      <c r="M615" s="66" t="n"/>
    </row>
    <row r="616">
      <c r="C616" s="63" t="inlineStr">
        <is>
          <t>Stock proyectado disponible</t>
        </is>
      </c>
      <c r="D616" s="67">
        <f>SUMIF(Inventario!$M$5:$M$505,"#"&amp;$A614,Inventario!$C$5:$C$505)</f>
        <v/>
      </c>
      <c r="E616" s="68">
        <f>D616+E615+E618-E614</f>
        <v/>
      </c>
      <c r="F616" s="68">
        <f>E616+F615+F618-F614</f>
        <v/>
      </c>
      <c r="G616" s="68">
        <f>F616+G615+G618-G614</f>
        <v/>
      </c>
      <c r="H616" s="68">
        <f>G616+H615+H618-H614</f>
        <v/>
      </c>
      <c r="I616" s="68">
        <f>H616+I615+I618-I614</f>
        <v/>
      </c>
      <c r="J616" s="68">
        <f>I616+J615+J618-J614</f>
        <v/>
      </c>
      <c r="K616" s="68">
        <f>J616+K615+K618-K614</f>
        <v/>
      </c>
      <c r="L616" s="68">
        <f>K616+L615+L618-L614</f>
        <v/>
      </c>
      <c r="M616" s="66" t="n"/>
    </row>
    <row r="617">
      <c r="C617" s="63" t="inlineStr">
        <is>
          <t>Necesidad neta</t>
        </is>
      </c>
      <c r="D617" s="64" t="n"/>
      <c r="E617" s="69">
        <f>MAX(0,ROUND(E614+Materiales!$H$91-D616-E615,4))</f>
        <v/>
      </c>
      <c r="F617" s="69">
        <f>MAX(0,ROUND(F614+Materiales!$H$91-E616-F615,4))</f>
        <v/>
      </c>
      <c r="G617" s="69">
        <f>MAX(0,ROUND(G614+Materiales!$H$91-F616-G615,4))</f>
        <v/>
      </c>
      <c r="H617" s="69">
        <f>MAX(0,ROUND(H614+Materiales!$H$91-G616-H615,4))</f>
        <v/>
      </c>
      <c r="I617" s="69">
        <f>MAX(0,ROUND(I614+Materiales!$H$91-H616-I615,4))</f>
        <v/>
      </c>
      <c r="J617" s="69">
        <f>MAX(0,ROUND(J614+Materiales!$H$91-I616-J615,4))</f>
        <v/>
      </c>
      <c r="K617" s="69">
        <f>MAX(0,ROUND(K614+Materiales!$H$91-J616-K615,4))</f>
        <v/>
      </c>
      <c r="L617" s="69">
        <f>MAX(0,ROUND(L614+Materiales!$H$91-K616-L615,4))</f>
        <v/>
      </c>
      <c r="M617" s="66" t="n"/>
    </row>
    <row r="618">
      <c r="C618" s="63" t="inlineStr">
        <is>
          <t>Recepcion de orden planificada</t>
        </is>
      </c>
      <c r="D618" s="64" t="n"/>
      <c r="E618" s="65">
        <f>IF(E617&lt;=0,0,IF(Materiales!$G$91&lt;=0,E617,ROUNDUP(E617/Materiales!$G$91,0)*Materiales!$G$91))</f>
        <v/>
      </c>
      <c r="F618" s="65">
        <f>IF(F617&lt;=0,0,IF(Materiales!$G$91&lt;=0,F617,ROUNDUP(F617/Materiales!$G$91,0)*Materiales!$G$91))</f>
        <v/>
      </c>
      <c r="G618" s="65">
        <f>IF(G617&lt;=0,0,IF(Materiales!$G$91&lt;=0,G617,ROUNDUP(G617/Materiales!$G$91,0)*Materiales!$G$91))</f>
        <v/>
      </c>
      <c r="H618" s="65">
        <f>IF(H617&lt;=0,0,IF(Materiales!$G$91&lt;=0,H617,ROUNDUP(H617/Materiales!$G$91,0)*Materiales!$G$91))</f>
        <v/>
      </c>
      <c r="I618" s="65">
        <f>IF(I617&lt;=0,0,IF(Materiales!$G$91&lt;=0,I617,ROUNDUP(I617/Materiales!$G$91,0)*Materiales!$G$91))</f>
        <v/>
      </c>
      <c r="J618" s="65">
        <f>IF(J617&lt;=0,0,IF(Materiales!$G$91&lt;=0,J617,ROUNDUP(J617/Materiales!$G$91,0)*Materiales!$G$91))</f>
        <v/>
      </c>
      <c r="K618" s="65">
        <f>IF(K617&lt;=0,0,IF(Materiales!$G$91&lt;=0,K617,ROUNDUP(K617/Materiales!$G$91,0)*Materiales!$G$91))</f>
        <v/>
      </c>
      <c r="L618" s="65">
        <f>IF(L617&lt;=0,0,IF(Materiales!$G$91&lt;=0,L617,ROUNDUP(L617/Materiales!$G$91,0)*Materiales!$G$91))</f>
        <v/>
      </c>
      <c r="M618" s="66" t="n"/>
    </row>
    <row r="619">
      <c r="C619" s="70" t="inlineStr">
        <is>
          <t>LANZAMIENTO DE ORDEN — pedir esta semana</t>
        </is>
      </c>
      <c r="D619" s="64" t="n"/>
      <c r="E619" s="71">
        <f>IF(1+Materiales!$F$91&gt;8,0,INDEX($E$618:$L$618,1,1+Materiales!$F$91))</f>
        <v/>
      </c>
      <c r="F619" s="71">
        <f>IF(2+Materiales!$F$91&gt;8,0,INDEX($E$618:$L$618,1,2+Materiales!$F$91))</f>
        <v/>
      </c>
      <c r="G619" s="71">
        <f>IF(3+Materiales!$F$91&gt;8,0,INDEX($E$618:$L$618,1,3+Materiales!$F$91))</f>
        <v/>
      </c>
      <c r="H619" s="71">
        <f>IF(4+Materiales!$F$91&gt;8,0,INDEX($E$618:$L$618,1,4+Materiales!$F$91))</f>
        <v/>
      </c>
      <c r="I619" s="71">
        <f>IF(5+Materiales!$F$91&gt;8,0,INDEX($E$618:$L$618,1,5+Materiales!$F$91))</f>
        <v/>
      </c>
      <c r="J619" s="71">
        <f>IF(6+Materiales!$F$91&gt;8,0,INDEX($E$618:$L$618,1,6+Materiales!$F$91))</f>
        <v/>
      </c>
      <c r="K619" s="71">
        <f>IF(7+Materiales!$F$91&gt;8,0,INDEX($E$618:$L$618,1,7+Materiales!$F$91))</f>
        <v/>
      </c>
      <c r="L619" s="71">
        <f>IF(8+Materiales!$F$91&gt;8,0,INDEX($E$618:$L$618,1,8+Materiales!$F$91))</f>
        <v/>
      </c>
      <c r="M619" s="72">
        <f>IF($A614="","",IF(SUMPRODUCT((COLUMN($E$618:$L$618)-4&lt;=Materiales!$F$91)*$E$618:$L$618)&gt;0,"PEDIR YA (atrasado)","OK"))</f>
        <v/>
      </c>
    </row>
    <row r="620" ht="6" customHeight="1"/>
    <row r="621">
      <c r="A621" s="62">
        <f>IF(Materiales!$A$92="","",Materiales!$A$92)</f>
        <v/>
      </c>
      <c r="B621" s="62">
        <f>IF(Materiales!$B$92="","",Materiales!$B$92)</f>
        <v/>
      </c>
      <c r="C621" s="63" t="inlineStr">
        <is>
          <t>Necesidad bruta</t>
        </is>
      </c>
      <c r="D621" s="64" t="n"/>
      <c r="E621" s="65">
        <f>ROUND(SUMIF(Consumo!$P$4:$P$189,"#"&amp;$A621,Consumo!H$4:H$189),4)</f>
        <v/>
      </c>
      <c r="F621" s="65">
        <f>ROUND(SUMIF(Consumo!$P$4:$P$189,"#"&amp;$A621,Consumo!I$4:I$189),4)</f>
        <v/>
      </c>
      <c r="G621" s="65">
        <f>ROUND(SUMIF(Consumo!$P$4:$P$189,"#"&amp;$A621,Consumo!J$4:J$189),4)</f>
        <v/>
      </c>
      <c r="H621" s="65">
        <f>ROUND(SUMIF(Consumo!$P$4:$P$189,"#"&amp;$A621,Consumo!K$4:K$189),4)</f>
        <v/>
      </c>
      <c r="I621" s="65">
        <f>ROUND(SUMIF(Consumo!$P$4:$P$189,"#"&amp;$A621,Consumo!L$4:L$189),4)</f>
        <v/>
      </c>
      <c r="J621" s="65">
        <f>ROUND(SUMIF(Consumo!$P$4:$P$189,"#"&amp;$A621,Consumo!M$4:M$189),4)</f>
        <v/>
      </c>
      <c r="K621" s="65">
        <f>ROUND(SUMIF(Consumo!$P$4:$P$189,"#"&amp;$A621,Consumo!N$4:N$189),4)</f>
        <v/>
      </c>
      <c r="L621" s="65">
        <f>ROUND(SUMIF(Consumo!$P$4:$P$189,"#"&amp;$A621,Consumo!O$4:O$189),4)</f>
        <v/>
      </c>
      <c r="M621" s="66" t="n"/>
    </row>
    <row r="622">
      <c r="C622" s="63" t="inlineStr">
        <is>
          <t>Recepciones programadas (ya pedido)</t>
        </is>
      </c>
      <c r="D622" s="64" t="n"/>
      <c r="E622" s="65">
        <f>SUMIF(Inventario!$M$5:$M$505,"#"&amp;$A621,Inventario!E$5:E$505)</f>
        <v/>
      </c>
      <c r="F622" s="65">
        <f>SUMIF(Inventario!$M$5:$M$505,"#"&amp;$A621,Inventario!F$5:F$505)</f>
        <v/>
      </c>
      <c r="G622" s="65">
        <f>SUMIF(Inventario!$M$5:$M$505,"#"&amp;$A621,Inventario!G$5:G$505)</f>
        <v/>
      </c>
      <c r="H622" s="65">
        <f>SUMIF(Inventario!$M$5:$M$505,"#"&amp;$A621,Inventario!H$5:H$505)</f>
        <v/>
      </c>
      <c r="I622" s="65">
        <f>SUMIF(Inventario!$M$5:$M$505,"#"&amp;$A621,Inventario!I$5:I$505)</f>
        <v/>
      </c>
      <c r="J622" s="65">
        <f>SUMIF(Inventario!$M$5:$M$505,"#"&amp;$A621,Inventario!J$5:J$505)</f>
        <v/>
      </c>
      <c r="K622" s="65">
        <f>SUMIF(Inventario!$M$5:$M$505,"#"&amp;$A621,Inventario!K$5:K$505)</f>
        <v/>
      </c>
      <c r="L622" s="65">
        <f>SUMIF(Inventario!$M$5:$M$505,"#"&amp;$A621,Inventario!L$5:L$505)</f>
        <v/>
      </c>
      <c r="M622" s="66" t="n"/>
    </row>
    <row r="623">
      <c r="C623" s="63" t="inlineStr">
        <is>
          <t>Stock proyectado disponible</t>
        </is>
      </c>
      <c r="D623" s="67">
        <f>SUMIF(Inventario!$M$5:$M$505,"#"&amp;$A621,Inventario!$C$5:$C$505)</f>
        <v/>
      </c>
      <c r="E623" s="68">
        <f>D623+E622+E625-E621</f>
        <v/>
      </c>
      <c r="F623" s="68">
        <f>E623+F622+F625-F621</f>
        <v/>
      </c>
      <c r="G623" s="68">
        <f>F623+G622+G625-G621</f>
        <v/>
      </c>
      <c r="H623" s="68">
        <f>G623+H622+H625-H621</f>
        <v/>
      </c>
      <c r="I623" s="68">
        <f>H623+I622+I625-I621</f>
        <v/>
      </c>
      <c r="J623" s="68">
        <f>I623+J622+J625-J621</f>
        <v/>
      </c>
      <c r="K623" s="68">
        <f>J623+K622+K625-K621</f>
        <v/>
      </c>
      <c r="L623" s="68">
        <f>K623+L622+L625-L621</f>
        <v/>
      </c>
      <c r="M623" s="66" t="n"/>
    </row>
    <row r="624">
      <c r="C624" s="63" t="inlineStr">
        <is>
          <t>Necesidad neta</t>
        </is>
      </c>
      <c r="D624" s="64" t="n"/>
      <c r="E624" s="69">
        <f>MAX(0,ROUND(E621+Materiales!$H$92-D623-E622,4))</f>
        <v/>
      </c>
      <c r="F624" s="69">
        <f>MAX(0,ROUND(F621+Materiales!$H$92-E623-F622,4))</f>
        <v/>
      </c>
      <c r="G624" s="69">
        <f>MAX(0,ROUND(G621+Materiales!$H$92-F623-G622,4))</f>
        <v/>
      </c>
      <c r="H624" s="69">
        <f>MAX(0,ROUND(H621+Materiales!$H$92-G623-H622,4))</f>
        <v/>
      </c>
      <c r="I624" s="69">
        <f>MAX(0,ROUND(I621+Materiales!$H$92-H623-I622,4))</f>
        <v/>
      </c>
      <c r="J624" s="69">
        <f>MAX(0,ROUND(J621+Materiales!$H$92-I623-J622,4))</f>
        <v/>
      </c>
      <c r="K624" s="69">
        <f>MAX(0,ROUND(K621+Materiales!$H$92-J623-K622,4))</f>
        <v/>
      </c>
      <c r="L624" s="69">
        <f>MAX(0,ROUND(L621+Materiales!$H$92-K623-L622,4))</f>
        <v/>
      </c>
      <c r="M624" s="66" t="n"/>
    </row>
    <row r="625">
      <c r="C625" s="63" t="inlineStr">
        <is>
          <t>Recepcion de orden planificada</t>
        </is>
      </c>
      <c r="D625" s="64" t="n"/>
      <c r="E625" s="65">
        <f>IF(E624&lt;=0,0,IF(Materiales!$G$92&lt;=0,E624,ROUNDUP(E624/Materiales!$G$92,0)*Materiales!$G$92))</f>
        <v/>
      </c>
      <c r="F625" s="65">
        <f>IF(F624&lt;=0,0,IF(Materiales!$G$92&lt;=0,F624,ROUNDUP(F624/Materiales!$G$92,0)*Materiales!$G$92))</f>
        <v/>
      </c>
      <c r="G625" s="65">
        <f>IF(G624&lt;=0,0,IF(Materiales!$G$92&lt;=0,G624,ROUNDUP(G624/Materiales!$G$92,0)*Materiales!$G$92))</f>
        <v/>
      </c>
      <c r="H625" s="65">
        <f>IF(H624&lt;=0,0,IF(Materiales!$G$92&lt;=0,H624,ROUNDUP(H624/Materiales!$G$92,0)*Materiales!$G$92))</f>
        <v/>
      </c>
      <c r="I625" s="65">
        <f>IF(I624&lt;=0,0,IF(Materiales!$G$92&lt;=0,I624,ROUNDUP(I624/Materiales!$G$92,0)*Materiales!$G$92))</f>
        <v/>
      </c>
      <c r="J625" s="65">
        <f>IF(J624&lt;=0,0,IF(Materiales!$G$92&lt;=0,J624,ROUNDUP(J624/Materiales!$G$92,0)*Materiales!$G$92))</f>
        <v/>
      </c>
      <c r="K625" s="65">
        <f>IF(K624&lt;=0,0,IF(Materiales!$G$92&lt;=0,K624,ROUNDUP(K624/Materiales!$G$92,0)*Materiales!$G$92))</f>
        <v/>
      </c>
      <c r="L625" s="65">
        <f>IF(L624&lt;=0,0,IF(Materiales!$G$92&lt;=0,L624,ROUNDUP(L624/Materiales!$G$92,0)*Materiales!$G$92))</f>
        <v/>
      </c>
      <c r="M625" s="66" t="n"/>
    </row>
    <row r="626">
      <c r="C626" s="70" t="inlineStr">
        <is>
          <t>LANZAMIENTO DE ORDEN — pedir esta semana</t>
        </is>
      </c>
      <c r="D626" s="64" t="n"/>
      <c r="E626" s="71">
        <f>IF(1+Materiales!$F$92&gt;8,0,INDEX($E$625:$L$625,1,1+Materiales!$F$92))</f>
        <v/>
      </c>
      <c r="F626" s="71">
        <f>IF(2+Materiales!$F$92&gt;8,0,INDEX($E$625:$L$625,1,2+Materiales!$F$92))</f>
        <v/>
      </c>
      <c r="G626" s="71">
        <f>IF(3+Materiales!$F$92&gt;8,0,INDEX($E$625:$L$625,1,3+Materiales!$F$92))</f>
        <v/>
      </c>
      <c r="H626" s="71">
        <f>IF(4+Materiales!$F$92&gt;8,0,INDEX($E$625:$L$625,1,4+Materiales!$F$92))</f>
        <v/>
      </c>
      <c r="I626" s="71">
        <f>IF(5+Materiales!$F$92&gt;8,0,INDEX($E$625:$L$625,1,5+Materiales!$F$92))</f>
        <v/>
      </c>
      <c r="J626" s="71">
        <f>IF(6+Materiales!$F$92&gt;8,0,INDEX($E$625:$L$625,1,6+Materiales!$F$92))</f>
        <v/>
      </c>
      <c r="K626" s="71">
        <f>IF(7+Materiales!$F$92&gt;8,0,INDEX($E$625:$L$625,1,7+Materiales!$F$92))</f>
        <v/>
      </c>
      <c r="L626" s="71">
        <f>IF(8+Materiales!$F$92&gt;8,0,INDEX($E$625:$L$625,1,8+Materiales!$F$92))</f>
        <v/>
      </c>
      <c r="M626" s="72">
        <f>IF($A621="","",IF(SUMPRODUCT((COLUMN($E$625:$L$625)-4&lt;=Materiales!$F$92)*$E$625:$L$625)&gt;0,"PEDIR YA (atrasado)","OK"))</f>
        <v/>
      </c>
    </row>
    <row r="627" ht="6" customHeight="1"/>
    <row r="628">
      <c r="A628" s="62">
        <f>IF(Materiales!$A$93="","",Materiales!$A$93)</f>
        <v/>
      </c>
      <c r="B628" s="62">
        <f>IF(Materiales!$B$93="","",Materiales!$B$93)</f>
        <v/>
      </c>
      <c r="C628" s="63" t="inlineStr">
        <is>
          <t>Necesidad bruta</t>
        </is>
      </c>
      <c r="D628" s="64" t="n"/>
      <c r="E628" s="65">
        <f>ROUND(SUMIF(Consumo!$P$4:$P$189,"#"&amp;$A628,Consumo!H$4:H$189),4)</f>
        <v/>
      </c>
      <c r="F628" s="65">
        <f>ROUND(SUMIF(Consumo!$P$4:$P$189,"#"&amp;$A628,Consumo!I$4:I$189),4)</f>
        <v/>
      </c>
      <c r="G628" s="65">
        <f>ROUND(SUMIF(Consumo!$P$4:$P$189,"#"&amp;$A628,Consumo!J$4:J$189),4)</f>
        <v/>
      </c>
      <c r="H628" s="65">
        <f>ROUND(SUMIF(Consumo!$P$4:$P$189,"#"&amp;$A628,Consumo!K$4:K$189),4)</f>
        <v/>
      </c>
      <c r="I628" s="65">
        <f>ROUND(SUMIF(Consumo!$P$4:$P$189,"#"&amp;$A628,Consumo!L$4:L$189),4)</f>
        <v/>
      </c>
      <c r="J628" s="65">
        <f>ROUND(SUMIF(Consumo!$P$4:$P$189,"#"&amp;$A628,Consumo!M$4:M$189),4)</f>
        <v/>
      </c>
      <c r="K628" s="65">
        <f>ROUND(SUMIF(Consumo!$P$4:$P$189,"#"&amp;$A628,Consumo!N$4:N$189),4)</f>
        <v/>
      </c>
      <c r="L628" s="65">
        <f>ROUND(SUMIF(Consumo!$P$4:$P$189,"#"&amp;$A628,Consumo!O$4:O$189),4)</f>
        <v/>
      </c>
      <c r="M628" s="66" t="n"/>
    </row>
    <row r="629">
      <c r="C629" s="63" t="inlineStr">
        <is>
          <t>Recepciones programadas (ya pedido)</t>
        </is>
      </c>
      <c r="D629" s="64" t="n"/>
      <c r="E629" s="65">
        <f>SUMIF(Inventario!$M$5:$M$505,"#"&amp;$A628,Inventario!E$5:E$505)</f>
        <v/>
      </c>
      <c r="F629" s="65">
        <f>SUMIF(Inventario!$M$5:$M$505,"#"&amp;$A628,Inventario!F$5:F$505)</f>
        <v/>
      </c>
      <c r="G629" s="65">
        <f>SUMIF(Inventario!$M$5:$M$505,"#"&amp;$A628,Inventario!G$5:G$505)</f>
        <v/>
      </c>
      <c r="H629" s="65">
        <f>SUMIF(Inventario!$M$5:$M$505,"#"&amp;$A628,Inventario!H$5:H$505)</f>
        <v/>
      </c>
      <c r="I629" s="65">
        <f>SUMIF(Inventario!$M$5:$M$505,"#"&amp;$A628,Inventario!I$5:I$505)</f>
        <v/>
      </c>
      <c r="J629" s="65">
        <f>SUMIF(Inventario!$M$5:$M$505,"#"&amp;$A628,Inventario!J$5:J$505)</f>
        <v/>
      </c>
      <c r="K629" s="65">
        <f>SUMIF(Inventario!$M$5:$M$505,"#"&amp;$A628,Inventario!K$5:K$505)</f>
        <v/>
      </c>
      <c r="L629" s="65">
        <f>SUMIF(Inventario!$M$5:$M$505,"#"&amp;$A628,Inventario!L$5:L$505)</f>
        <v/>
      </c>
      <c r="M629" s="66" t="n"/>
    </row>
    <row r="630">
      <c r="C630" s="63" t="inlineStr">
        <is>
          <t>Stock proyectado disponible</t>
        </is>
      </c>
      <c r="D630" s="67">
        <f>SUMIF(Inventario!$M$5:$M$505,"#"&amp;$A628,Inventario!$C$5:$C$505)</f>
        <v/>
      </c>
      <c r="E630" s="68">
        <f>D630+E629+E632-E628</f>
        <v/>
      </c>
      <c r="F630" s="68">
        <f>E630+F629+F632-F628</f>
        <v/>
      </c>
      <c r="G630" s="68">
        <f>F630+G629+G632-G628</f>
        <v/>
      </c>
      <c r="H630" s="68">
        <f>G630+H629+H632-H628</f>
        <v/>
      </c>
      <c r="I630" s="68">
        <f>H630+I629+I632-I628</f>
        <v/>
      </c>
      <c r="J630" s="68">
        <f>I630+J629+J632-J628</f>
        <v/>
      </c>
      <c r="K630" s="68">
        <f>J630+K629+K632-K628</f>
        <v/>
      </c>
      <c r="L630" s="68">
        <f>K630+L629+L632-L628</f>
        <v/>
      </c>
      <c r="M630" s="66" t="n"/>
    </row>
    <row r="631">
      <c r="C631" s="63" t="inlineStr">
        <is>
          <t>Necesidad neta</t>
        </is>
      </c>
      <c r="D631" s="64" t="n"/>
      <c r="E631" s="69">
        <f>MAX(0,ROUND(E628+Materiales!$H$93-D630-E629,4))</f>
        <v/>
      </c>
      <c r="F631" s="69">
        <f>MAX(0,ROUND(F628+Materiales!$H$93-E630-F629,4))</f>
        <v/>
      </c>
      <c r="G631" s="69">
        <f>MAX(0,ROUND(G628+Materiales!$H$93-F630-G629,4))</f>
        <v/>
      </c>
      <c r="H631" s="69">
        <f>MAX(0,ROUND(H628+Materiales!$H$93-G630-H629,4))</f>
        <v/>
      </c>
      <c r="I631" s="69">
        <f>MAX(0,ROUND(I628+Materiales!$H$93-H630-I629,4))</f>
        <v/>
      </c>
      <c r="J631" s="69">
        <f>MAX(0,ROUND(J628+Materiales!$H$93-I630-J629,4))</f>
        <v/>
      </c>
      <c r="K631" s="69">
        <f>MAX(0,ROUND(K628+Materiales!$H$93-J630-K629,4))</f>
        <v/>
      </c>
      <c r="L631" s="69">
        <f>MAX(0,ROUND(L628+Materiales!$H$93-K630-L629,4))</f>
        <v/>
      </c>
      <c r="M631" s="66" t="n"/>
    </row>
    <row r="632">
      <c r="C632" s="63" t="inlineStr">
        <is>
          <t>Recepcion de orden planificada</t>
        </is>
      </c>
      <c r="D632" s="64" t="n"/>
      <c r="E632" s="65">
        <f>IF(E631&lt;=0,0,IF(Materiales!$G$93&lt;=0,E631,ROUNDUP(E631/Materiales!$G$93,0)*Materiales!$G$93))</f>
        <v/>
      </c>
      <c r="F632" s="65">
        <f>IF(F631&lt;=0,0,IF(Materiales!$G$93&lt;=0,F631,ROUNDUP(F631/Materiales!$G$93,0)*Materiales!$G$93))</f>
        <v/>
      </c>
      <c r="G632" s="65">
        <f>IF(G631&lt;=0,0,IF(Materiales!$G$93&lt;=0,G631,ROUNDUP(G631/Materiales!$G$93,0)*Materiales!$G$93))</f>
        <v/>
      </c>
      <c r="H632" s="65">
        <f>IF(H631&lt;=0,0,IF(Materiales!$G$93&lt;=0,H631,ROUNDUP(H631/Materiales!$G$93,0)*Materiales!$G$93))</f>
        <v/>
      </c>
      <c r="I632" s="65">
        <f>IF(I631&lt;=0,0,IF(Materiales!$G$93&lt;=0,I631,ROUNDUP(I631/Materiales!$G$93,0)*Materiales!$G$93))</f>
        <v/>
      </c>
      <c r="J632" s="65">
        <f>IF(J631&lt;=0,0,IF(Materiales!$G$93&lt;=0,J631,ROUNDUP(J631/Materiales!$G$93,0)*Materiales!$G$93))</f>
        <v/>
      </c>
      <c r="K632" s="65">
        <f>IF(K631&lt;=0,0,IF(Materiales!$G$93&lt;=0,K631,ROUNDUP(K631/Materiales!$G$93,0)*Materiales!$G$93))</f>
        <v/>
      </c>
      <c r="L632" s="65">
        <f>IF(L631&lt;=0,0,IF(Materiales!$G$93&lt;=0,L631,ROUNDUP(L631/Materiales!$G$93,0)*Materiales!$G$93))</f>
        <v/>
      </c>
      <c r="M632" s="66" t="n"/>
    </row>
    <row r="633">
      <c r="C633" s="70" t="inlineStr">
        <is>
          <t>LANZAMIENTO DE ORDEN — pedir esta semana</t>
        </is>
      </c>
      <c r="D633" s="64" t="n"/>
      <c r="E633" s="71">
        <f>IF(1+Materiales!$F$93&gt;8,0,INDEX($E$632:$L$632,1,1+Materiales!$F$93))</f>
        <v/>
      </c>
      <c r="F633" s="71">
        <f>IF(2+Materiales!$F$93&gt;8,0,INDEX($E$632:$L$632,1,2+Materiales!$F$93))</f>
        <v/>
      </c>
      <c r="G633" s="71">
        <f>IF(3+Materiales!$F$93&gt;8,0,INDEX($E$632:$L$632,1,3+Materiales!$F$93))</f>
        <v/>
      </c>
      <c r="H633" s="71">
        <f>IF(4+Materiales!$F$93&gt;8,0,INDEX($E$632:$L$632,1,4+Materiales!$F$93))</f>
        <v/>
      </c>
      <c r="I633" s="71">
        <f>IF(5+Materiales!$F$93&gt;8,0,INDEX($E$632:$L$632,1,5+Materiales!$F$93))</f>
        <v/>
      </c>
      <c r="J633" s="71">
        <f>IF(6+Materiales!$F$93&gt;8,0,INDEX($E$632:$L$632,1,6+Materiales!$F$93))</f>
        <v/>
      </c>
      <c r="K633" s="71">
        <f>IF(7+Materiales!$F$93&gt;8,0,INDEX($E$632:$L$632,1,7+Materiales!$F$93))</f>
        <v/>
      </c>
      <c r="L633" s="71">
        <f>IF(8+Materiales!$F$93&gt;8,0,INDEX($E$632:$L$632,1,8+Materiales!$F$93))</f>
        <v/>
      </c>
      <c r="M633" s="72">
        <f>IF($A628="","",IF(SUMPRODUCT((COLUMN($E$632:$L$632)-4&lt;=Materiales!$F$93)*$E$632:$L$632)&gt;0,"PEDIR YA (atrasado)","OK"))</f>
        <v/>
      </c>
    </row>
    <row r="634" ht="6" customHeight="1"/>
    <row r="635">
      <c r="A635" s="62">
        <f>IF(Materiales!$A$94="","",Materiales!$A$94)</f>
        <v/>
      </c>
      <c r="B635" s="62">
        <f>IF(Materiales!$B$94="","",Materiales!$B$94)</f>
        <v/>
      </c>
      <c r="C635" s="63" t="inlineStr">
        <is>
          <t>Necesidad bruta</t>
        </is>
      </c>
      <c r="D635" s="64" t="n"/>
      <c r="E635" s="65">
        <f>ROUND(SUMIF(Consumo!$P$4:$P$189,"#"&amp;$A635,Consumo!H$4:H$189),4)</f>
        <v/>
      </c>
      <c r="F635" s="65">
        <f>ROUND(SUMIF(Consumo!$P$4:$P$189,"#"&amp;$A635,Consumo!I$4:I$189),4)</f>
        <v/>
      </c>
      <c r="G635" s="65">
        <f>ROUND(SUMIF(Consumo!$P$4:$P$189,"#"&amp;$A635,Consumo!J$4:J$189),4)</f>
        <v/>
      </c>
      <c r="H635" s="65">
        <f>ROUND(SUMIF(Consumo!$P$4:$P$189,"#"&amp;$A635,Consumo!K$4:K$189),4)</f>
        <v/>
      </c>
      <c r="I635" s="65">
        <f>ROUND(SUMIF(Consumo!$P$4:$P$189,"#"&amp;$A635,Consumo!L$4:L$189),4)</f>
        <v/>
      </c>
      <c r="J635" s="65">
        <f>ROUND(SUMIF(Consumo!$P$4:$P$189,"#"&amp;$A635,Consumo!M$4:M$189),4)</f>
        <v/>
      </c>
      <c r="K635" s="65">
        <f>ROUND(SUMIF(Consumo!$P$4:$P$189,"#"&amp;$A635,Consumo!N$4:N$189),4)</f>
        <v/>
      </c>
      <c r="L635" s="65">
        <f>ROUND(SUMIF(Consumo!$P$4:$P$189,"#"&amp;$A635,Consumo!O$4:O$189),4)</f>
        <v/>
      </c>
      <c r="M635" s="66" t="n"/>
    </row>
    <row r="636">
      <c r="C636" s="63" t="inlineStr">
        <is>
          <t>Recepciones programadas (ya pedido)</t>
        </is>
      </c>
      <c r="D636" s="64" t="n"/>
      <c r="E636" s="65">
        <f>SUMIF(Inventario!$M$5:$M$505,"#"&amp;$A635,Inventario!E$5:E$505)</f>
        <v/>
      </c>
      <c r="F636" s="65">
        <f>SUMIF(Inventario!$M$5:$M$505,"#"&amp;$A635,Inventario!F$5:F$505)</f>
        <v/>
      </c>
      <c r="G636" s="65">
        <f>SUMIF(Inventario!$M$5:$M$505,"#"&amp;$A635,Inventario!G$5:G$505)</f>
        <v/>
      </c>
      <c r="H636" s="65">
        <f>SUMIF(Inventario!$M$5:$M$505,"#"&amp;$A635,Inventario!H$5:H$505)</f>
        <v/>
      </c>
      <c r="I636" s="65">
        <f>SUMIF(Inventario!$M$5:$M$505,"#"&amp;$A635,Inventario!I$5:I$505)</f>
        <v/>
      </c>
      <c r="J636" s="65">
        <f>SUMIF(Inventario!$M$5:$M$505,"#"&amp;$A635,Inventario!J$5:J$505)</f>
        <v/>
      </c>
      <c r="K636" s="65">
        <f>SUMIF(Inventario!$M$5:$M$505,"#"&amp;$A635,Inventario!K$5:K$505)</f>
        <v/>
      </c>
      <c r="L636" s="65">
        <f>SUMIF(Inventario!$M$5:$M$505,"#"&amp;$A635,Inventario!L$5:L$505)</f>
        <v/>
      </c>
      <c r="M636" s="66" t="n"/>
    </row>
    <row r="637">
      <c r="C637" s="63" t="inlineStr">
        <is>
          <t>Stock proyectado disponible</t>
        </is>
      </c>
      <c r="D637" s="67">
        <f>SUMIF(Inventario!$M$5:$M$505,"#"&amp;$A635,Inventario!$C$5:$C$505)</f>
        <v/>
      </c>
      <c r="E637" s="68">
        <f>D637+E636+E639-E635</f>
        <v/>
      </c>
      <c r="F637" s="68">
        <f>E637+F636+F639-F635</f>
        <v/>
      </c>
      <c r="G637" s="68">
        <f>F637+G636+G639-G635</f>
        <v/>
      </c>
      <c r="H637" s="68">
        <f>G637+H636+H639-H635</f>
        <v/>
      </c>
      <c r="I637" s="68">
        <f>H637+I636+I639-I635</f>
        <v/>
      </c>
      <c r="J637" s="68">
        <f>I637+J636+J639-J635</f>
        <v/>
      </c>
      <c r="K637" s="68">
        <f>J637+K636+K639-K635</f>
        <v/>
      </c>
      <c r="L637" s="68">
        <f>K637+L636+L639-L635</f>
        <v/>
      </c>
      <c r="M637" s="66" t="n"/>
    </row>
    <row r="638">
      <c r="C638" s="63" t="inlineStr">
        <is>
          <t>Necesidad neta</t>
        </is>
      </c>
      <c r="D638" s="64" t="n"/>
      <c r="E638" s="69">
        <f>MAX(0,ROUND(E635+Materiales!$H$94-D637-E636,4))</f>
        <v/>
      </c>
      <c r="F638" s="69">
        <f>MAX(0,ROUND(F635+Materiales!$H$94-E637-F636,4))</f>
        <v/>
      </c>
      <c r="G638" s="69">
        <f>MAX(0,ROUND(G635+Materiales!$H$94-F637-G636,4))</f>
        <v/>
      </c>
      <c r="H638" s="69">
        <f>MAX(0,ROUND(H635+Materiales!$H$94-G637-H636,4))</f>
        <v/>
      </c>
      <c r="I638" s="69">
        <f>MAX(0,ROUND(I635+Materiales!$H$94-H637-I636,4))</f>
        <v/>
      </c>
      <c r="J638" s="69">
        <f>MAX(0,ROUND(J635+Materiales!$H$94-I637-J636,4))</f>
        <v/>
      </c>
      <c r="K638" s="69">
        <f>MAX(0,ROUND(K635+Materiales!$H$94-J637-K636,4))</f>
        <v/>
      </c>
      <c r="L638" s="69">
        <f>MAX(0,ROUND(L635+Materiales!$H$94-K637-L636,4))</f>
        <v/>
      </c>
      <c r="M638" s="66" t="n"/>
    </row>
    <row r="639">
      <c r="C639" s="63" t="inlineStr">
        <is>
          <t>Recepcion de orden planificada</t>
        </is>
      </c>
      <c r="D639" s="64" t="n"/>
      <c r="E639" s="65">
        <f>IF(E638&lt;=0,0,IF(Materiales!$G$94&lt;=0,E638,ROUNDUP(E638/Materiales!$G$94,0)*Materiales!$G$94))</f>
        <v/>
      </c>
      <c r="F639" s="65">
        <f>IF(F638&lt;=0,0,IF(Materiales!$G$94&lt;=0,F638,ROUNDUP(F638/Materiales!$G$94,0)*Materiales!$G$94))</f>
        <v/>
      </c>
      <c r="G639" s="65">
        <f>IF(G638&lt;=0,0,IF(Materiales!$G$94&lt;=0,G638,ROUNDUP(G638/Materiales!$G$94,0)*Materiales!$G$94))</f>
        <v/>
      </c>
      <c r="H639" s="65">
        <f>IF(H638&lt;=0,0,IF(Materiales!$G$94&lt;=0,H638,ROUNDUP(H638/Materiales!$G$94,0)*Materiales!$G$94))</f>
        <v/>
      </c>
      <c r="I639" s="65">
        <f>IF(I638&lt;=0,0,IF(Materiales!$G$94&lt;=0,I638,ROUNDUP(I638/Materiales!$G$94,0)*Materiales!$G$94))</f>
        <v/>
      </c>
      <c r="J639" s="65">
        <f>IF(J638&lt;=0,0,IF(Materiales!$G$94&lt;=0,J638,ROUNDUP(J638/Materiales!$G$94,0)*Materiales!$G$94))</f>
        <v/>
      </c>
      <c r="K639" s="65">
        <f>IF(K638&lt;=0,0,IF(Materiales!$G$94&lt;=0,K638,ROUNDUP(K638/Materiales!$G$94,0)*Materiales!$G$94))</f>
        <v/>
      </c>
      <c r="L639" s="65">
        <f>IF(L638&lt;=0,0,IF(Materiales!$G$94&lt;=0,L638,ROUNDUP(L638/Materiales!$G$94,0)*Materiales!$G$94))</f>
        <v/>
      </c>
      <c r="M639" s="66" t="n"/>
    </row>
    <row r="640">
      <c r="C640" s="70" t="inlineStr">
        <is>
          <t>LANZAMIENTO DE ORDEN — pedir esta semana</t>
        </is>
      </c>
      <c r="D640" s="64" t="n"/>
      <c r="E640" s="71">
        <f>IF(1+Materiales!$F$94&gt;8,0,INDEX($E$639:$L$639,1,1+Materiales!$F$94))</f>
        <v/>
      </c>
      <c r="F640" s="71">
        <f>IF(2+Materiales!$F$94&gt;8,0,INDEX($E$639:$L$639,1,2+Materiales!$F$94))</f>
        <v/>
      </c>
      <c r="G640" s="71">
        <f>IF(3+Materiales!$F$94&gt;8,0,INDEX($E$639:$L$639,1,3+Materiales!$F$94))</f>
        <v/>
      </c>
      <c r="H640" s="71">
        <f>IF(4+Materiales!$F$94&gt;8,0,INDEX($E$639:$L$639,1,4+Materiales!$F$94))</f>
        <v/>
      </c>
      <c r="I640" s="71">
        <f>IF(5+Materiales!$F$94&gt;8,0,INDEX($E$639:$L$639,1,5+Materiales!$F$94))</f>
        <v/>
      </c>
      <c r="J640" s="71">
        <f>IF(6+Materiales!$F$94&gt;8,0,INDEX($E$639:$L$639,1,6+Materiales!$F$94))</f>
        <v/>
      </c>
      <c r="K640" s="71">
        <f>IF(7+Materiales!$F$94&gt;8,0,INDEX($E$639:$L$639,1,7+Materiales!$F$94))</f>
        <v/>
      </c>
      <c r="L640" s="71">
        <f>IF(8+Materiales!$F$94&gt;8,0,INDEX($E$639:$L$639,1,8+Materiales!$F$94))</f>
        <v/>
      </c>
      <c r="M640" s="72">
        <f>IF($A635="","",IF(SUMPRODUCT((COLUMN($E$639:$L$639)-4&lt;=Materiales!$F$94)*$E$639:$L$639)&gt;0,"PEDIR YA (atrasado)","OK"))</f>
        <v/>
      </c>
    </row>
    <row r="641" ht="6" customHeight="1"/>
    <row r="642">
      <c r="A642" s="62">
        <f>IF(Materiales!$A$95="","",Materiales!$A$95)</f>
        <v/>
      </c>
      <c r="B642" s="62">
        <f>IF(Materiales!$B$95="","",Materiales!$B$95)</f>
        <v/>
      </c>
      <c r="C642" s="63" t="inlineStr">
        <is>
          <t>Necesidad bruta</t>
        </is>
      </c>
      <c r="D642" s="64" t="n"/>
      <c r="E642" s="65">
        <f>ROUND(SUMIF(Consumo!$P$4:$P$189,"#"&amp;$A642,Consumo!H$4:H$189),4)</f>
        <v/>
      </c>
      <c r="F642" s="65">
        <f>ROUND(SUMIF(Consumo!$P$4:$P$189,"#"&amp;$A642,Consumo!I$4:I$189),4)</f>
        <v/>
      </c>
      <c r="G642" s="65">
        <f>ROUND(SUMIF(Consumo!$P$4:$P$189,"#"&amp;$A642,Consumo!J$4:J$189),4)</f>
        <v/>
      </c>
      <c r="H642" s="65">
        <f>ROUND(SUMIF(Consumo!$P$4:$P$189,"#"&amp;$A642,Consumo!K$4:K$189),4)</f>
        <v/>
      </c>
      <c r="I642" s="65">
        <f>ROUND(SUMIF(Consumo!$P$4:$P$189,"#"&amp;$A642,Consumo!L$4:L$189),4)</f>
        <v/>
      </c>
      <c r="J642" s="65">
        <f>ROUND(SUMIF(Consumo!$P$4:$P$189,"#"&amp;$A642,Consumo!M$4:M$189),4)</f>
        <v/>
      </c>
      <c r="K642" s="65">
        <f>ROUND(SUMIF(Consumo!$P$4:$P$189,"#"&amp;$A642,Consumo!N$4:N$189),4)</f>
        <v/>
      </c>
      <c r="L642" s="65">
        <f>ROUND(SUMIF(Consumo!$P$4:$P$189,"#"&amp;$A642,Consumo!O$4:O$189),4)</f>
        <v/>
      </c>
      <c r="M642" s="66" t="n"/>
    </row>
    <row r="643">
      <c r="C643" s="63" t="inlineStr">
        <is>
          <t>Recepciones programadas (ya pedido)</t>
        </is>
      </c>
      <c r="D643" s="64" t="n"/>
      <c r="E643" s="65">
        <f>SUMIF(Inventario!$M$5:$M$505,"#"&amp;$A642,Inventario!E$5:E$505)</f>
        <v/>
      </c>
      <c r="F643" s="65">
        <f>SUMIF(Inventario!$M$5:$M$505,"#"&amp;$A642,Inventario!F$5:F$505)</f>
        <v/>
      </c>
      <c r="G643" s="65">
        <f>SUMIF(Inventario!$M$5:$M$505,"#"&amp;$A642,Inventario!G$5:G$505)</f>
        <v/>
      </c>
      <c r="H643" s="65">
        <f>SUMIF(Inventario!$M$5:$M$505,"#"&amp;$A642,Inventario!H$5:H$505)</f>
        <v/>
      </c>
      <c r="I643" s="65">
        <f>SUMIF(Inventario!$M$5:$M$505,"#"&amp;$A642,Inventario!I$5:I$505)</f>
        <v/>
      </c>
      <c r="J643" s="65">
        <f>SUMIF(Inventario!$M$5:$M$505,"#"&amp;$A642,Inventario!J$5:J$505)</f>
        <v/>
      </c>
      <c r="K643" s="65">
        <f>SUMIF(Inventario!$M$5:$M$505,"#"&amp;$A642,Inventario!K$5:K$505)</f>
        <v/>
      </c>
      <c r="L643" s="65">
        <f>SUMIF(Inventario!$M$5:$M$505,"#"&amp;$A642,Inventario!L$5:L$505)</f>
        <v/>
      </c>
      <c r="M643" s="66" t="n"/>
    </row>
    <row r="644">
      <c r="C644" s="63" t="inlineStr">
        <is>
          <t>Stock proyectado disponible</t>
        </is>
      </c>
      <c r="D644" s="67">
        <f>SUMIF(Inventario!$M$5:$M$505,"#"&amp;$A642,Inventario!$C$5:$C$505)</f>
        <v/>
      </c>
      <c r="E644" s="68">
        <f>D644+E643+E646-E642</f>
        <v/>
      </c>
      <c r="F644" s="68">
        <f>E644+F643+F646-F642</f>
        <v/>
      </c>
      <c r="G644" s="68">
        <f>F644+G643+G646-G642</f>
        <v/>
      </c>
      <c r="H644" s="68">
        <f>G644+H643+H646-H642</f>
        <v/>
      </c>
      <c r="I644" s="68">
        <f>H644+I643+I646-I642</f>
        <v/>
      </c>
      <c r="J644" s="68">
        <f>I644+J643+J646-J642</f>
        <v/>
      </c>
      <c r="K644" s="68">
        <f>J644+K643+K646-K642</f>
        <v/>
      </c>
      <c r="L644" s="68">
        <f>K644+L643+L646-L642</f>
        <v/>
      </c>
      <c r="M644" s="66" t="n"/>
    </row>
    <row r="645">
      <c r="C645" s="63" t="inlineStr">
        <is>
          <t>Necesidad neta</t>
        </is>
      </c>
      <c r="D645" s="64" t="n"/>
      <c r="E645" s="69">
        <f>MAX(0,ROUND(E642+Materiales!$H$95-D644-E643,4))</f>
        <v/>
      </c>
      <c r="F645" s="69">
        <f>MAX(0,ROUND(F642+Materiales!$H$95-E644-F643,4))</f>
        <v/>
      </c>
      <c r="G645" s="69">
        <f>MAX(0,ROUND(G642+Materiales!$H$95-F644-G643,4))</f>
        <v/>
      </c>
      <c r="H645" s="69">
        <f>MAX(0,ROUND(H642+Materiales!$H$95-G644-H643,4))</f>
        <v/>
      </c>
      <c r="I645" s="69">
        <f>MAX(0,ROUND(I642+Materiales!$H$95-H644-I643,4))</f>
        <v/>
      </c>
      <c r="J645" s="69">
        <f>MAX(0,ROUND(J642+Materiales!$H$95-I644-J643,4))</f>
        <v/>
      </c>
      <c r="K645" s="69">
        <f>MAX(0,ROUND(K642+Materiales!$H$95-J644-K643,4))</f>
        <v/>
      </c>
      <c r="L645" s="69">
        <f>MAX(0,ROUND(L642+Materiales!$H$95-K644-L643,4))</f>
        <v/>
      </c>
      <c r="M645" s="66" t="n"/>
    </row>
    <row r="646">
      <c r="C646" s="63" t="inlineStr">
        <is>
          <t>Recepcion de orden planificada</t>
        </is>
      </c>
      <c r="D646" s="64" t="n"/>
      <c r="E646" s="65">
        <f>IF(E645&lt;=0,0,IF(Materiales!$G$95&lt;=0,E645,ROUNDUP(E645/Materiales!$G$95,0)*Materiales!$G$95))</f>
        <v/>
      </c>
      <c r="F646" s="65">
        <f>IF(F645&lt;=0,0,IF(Materiales!$G$95&lt;=0,F645,ROUNDUP(F645/Materiales!$G$95,0)*Materiales!$G$95))</f>
        <v/>
      </c>
      <c r="G646" s="65">
        <f>IF(G645&lt;=0,0,IF(Materiales!$G$95&lt;=0,G645,ROUNDUP(G645/Materiales!$G$95,0)*Materiales!$G$95))</f>
        <v/>
      </c>
      <c r="H646" s="65">
        <f>IF(H645&lt;=0,0,IF(Materiales!$G$95&lt;=0,H645,ROUNDUP(H645/Materiales!$G$95,0)*Materiales!$G$95))</f>
        <v/>
      </c>
      <c r="I646" s="65">
        <f>IF(I645&lt;=0,0,IF(Materiales!$G$95&lt;=0,I645,ROUNDUP(I645/Materiales!$G$95,0)*Materiales!$G$95))</f>
        <v/>
      </c>
      <c r="J646" s="65">
        <f>IF(J645&lt;=0,0,IF(Materiales!$G$95&lt;=0,J645,ROUNDUP(J645/Materiales!$G$95,0)*Materiales!$G$95))</f>
        <v/>
      </c>
      <c r="K646" s="65">
        <f>IF(K645&lt;=0,0,IF(Materiales!$G$95&lt;=0,K645,ROUNDUP(K645/Materiales!$G$95,0)*Materiales!$G$95))</f>
        <v/>
      </c>
      <c r="L646" s="65">
        <f>IF(L645&lt;=0,0,IF(Materiales!$G$95&lt;=0,L645,ROUNDUP(L645/Materiales!$G$95,0)*Materiales!$G$95))</f>
        <v/>
      </c>
      <c r="M646" s="66" t="n"/>
    </row>
    <row r="647">
      <c r="C647" s="70" t="inlineStr">
        <is>
          <t>LANZAMIENTO DE ORDEN — pedir esta semana</t>
        </is>
      </c>
      <c r="D647" s="64" t="n"/>
      <c r="E647" s="71">
        <f>IF(1+Materiales!$F$95&gt;8,0,INDEX($E$646:$L$646,1,1+Materiales!$F$95))</f>
        <v/>
      </c>
      <c r="F647" s="71">
        <f>IF(2+Materiales!$F$95&gt;8,0,INDEX($E$646:$L$646,1,2+Materiales!$F$95))</f>
        <v/>
      </c>
      <c r="G647" s="71">
        <f>IF(3+Materiales!$F$95&gt;8,0,INDEX($E$646:$L$646,1,3+Materiales!$F$95))</f>
        <v/>
      </c>
      <c r="H647" s="71">
        <f>IF(4+Materiales!$F$95&gt;8,0,INDEX($E$646:$L$646,1,4+Materiales!$F$95))</f>
        <v/>
      </c>
      <c r="I647" s="71">
        <f>IF(5+Materiales!$F$95&gt;8,0,INDEX($E$646:$L$646,1,5+Materiales!$F$95))</f>
        <v/>
      </c>
      <c r="J647" s="71">
        <f>IF(6+Materiales!$F$95&gt;8,0,INDEX($E$646:$L$646,1,6+Materiales!$F$95))</f>
        <v/>
      </c>
      <c r="K647" s="71">
        <f>IF(7+Materiales!$F$95&gt;8,0,INDEX($E$646:$L$646,1,7+Materiales!$F$95))</f>
        <v/>
      </c>
      <c r="L647" s="71">
        <f>IF(8+Materiales!$F$95&gt;8,0,INDEX($E$646:$L$646,1,8+Materiales!$F$95))</f>
        <v/>
      </c>
      <c r="M647" s="72">
        <f>IF($A642="","",IF(SUMPRODUCT((COLUMN($E$646:$L$646)-4&lt;=Materiales!$F$95)*$E$646:$L$646)&gt;0,"PEDIR YA (atrasado)","OK"))</f>
        <v/>
      </c>
    </row>
    <row r="648" ht="6" customHeight="1"/>
    <row r="649">
      <c r="A649" s="62">
        <f>IF(Materiales!$A$96="","",Materiales!$A$96)</f>
        <v/>
      </c>
      <c r="B649" s="62">
        <f>IF(Materiales!$B$96="","",Materiales!$B$96)</f>
        <v/>
      </c>
      <c r="C649" s="63" t="inlineStr">
        <is>
          <t>Necesidad bruta</t>
        </is>
      </c>
      <c r="D649" s="64" t="n"/>
      <c r="E649" s="65">
        <f>ROUND(SUMIF(Consumo!$P$4:$P$189,"#"&amp;$A649,Consumo!H$4:H$189),4)</f>
        <v/>
      </c>
      <c r="F649" s="65">
        <f>ROUND(SUMIF(Consumo!$P$4:$P$189,"#"&amp;$A649,Consumo!I$4:I$189),4)</f>
        <v/>
      </c>
      <c r="G649" s="65">
        <f>ROUND(SUMIF(Consumo!$P$4:$P$189,"#"&amp;$A649,Consumo!J$4:J$189),4)</f>
        <v/>
      </c>
      <c r="H649" s="65">
        <f>ROUND(SUMIF(Consumo!$P$4:$P$189,"#"&amp;$A649,Consumo!K$4:K$189),4)</f>
        <v/>
      </c>
      <c r="I649" s="65">
        <f>ROUND(SUMIF(Consumo!$P$4:$P$189,"#"&amp;$A649,Consumo!L$4:L$189),4)</f>
        <v/>
      </c>
      <c r="J649" s="65">
        <f>ROUND(SUMIF(Consumo!$P$4:$P$189,"#"&amp;$A649,Consumo!M$4:M$189),4)</f>
        <v/>
      </c>
      <c r="K649" s="65">
        <f>ROUND(SUMIF(Consumo!$P$4:$P$189,"#"&amp;$A649,Consumo!N$4:N$189),4)</f>
        <v/>
      </c>
      <c r="L649" s="65">
        <f>ROUND(SUMIF(Consumo!$P$4:$P$189,"#"&amp;$A649,Consumo!O$4:O$189),4)</f>
        <v/>
      </c>
      <c r="M649" s="66" t="n"/>
    </row>
    <row r="650">
      <c r="C650" s="63" t="inlineStr">
        <is>
          <t>Recepciones programadas (ya pedido)</t>
        </is>
      </c>
      <c r="D650" s="64" t="n"/>
      <c r="E650" s="65">
        <f>SUMIF(Inventario!$M$5:$M$505,"#"&amp;$A649,Inventario!E$5:E$505)</f>
        <v/>
      </c>
      <c r="F650" s="65">
        <f>SUMIF(Inventario!$M$5:$M$505,"#"&amp;$A649,Inventario!F$5:F$505)</f>
        <v/>
      </c>
      <c r="G650" s="65">
        <f>SUMIF(Inventario!$M$5:$M$505,"#"&amp;$A649,Inventario!G$5:G$505)</f>
        <v/>
      </c>
      <c r="H650" s="65">
        <f>SUMIF(Inventario!$M$5:$M$505,"#"&amp;$A649,Inventario!H$5:H$505)</f>
        <v/>
      </c>
      <c r="I650" s="65">
        <f>SUMIF(Inventario!$M$5:$M$505,"#"&amp;$A649,Inventario!I$5:I$505)</f>
        <v/>
      </c>
      <c r="J650" s="65">
        <f>SUMIF(Inventario!$M$5:$M$505,"#"&amp;$A649,Inventario!J$5:J$505)</f>
        <v/>
      </c>
      <c r="K650" s="65">
        <f>SUMIF(Inventario!$M$5:$M$505,"#"&amp;$A649,Inventario!K$5:K$505)</f>
        <v/>
      </c>
      <c r="L650" s="65">
        <f>SUMIF(Inventario!$M$5:$M$505,"#"&amp;$A649,Inventario!L$5:L$505)</f>
        <v/>
      </c>
      <c r="M650" s="66" t="n"/>
    </row>
    <row r="651">
      <c r="C651" s="63" t="inlineStr">
        <is>
          <t>Stock proyectado disponible</t>
        </is>
      </c>
      <c r="D651" s="67">
        <f>SUMIF(Inventario!$M$5:$M$505,"#"&amp;$A649,Inventario!$C$5:$C$505)</f>
        <v/>
      </c>
      <c r="E651" s="68">
        <f>D651+E650+E653-E649</f>
        <v/>
      </c>
      <c r="F651" s="68">
        <f>E651+F650+F653-F649</f>
        <v/>
      </c>
      <c r="G651" s="68">
        <f>F651+G650+G653-G649</f>
        <v/>
      </c>
      <c r="H651" s="68">
        <f>G651+H650+H653-H649</f>
        <v/>
      </c>
      <c r="I651" s="68">
        <f>H651+I650+I653-I649</f>
        <v/>
      </c>
      <c r="J651" s="68">
        <f>I651+J650+J653-J649</f>
        <v/>
      </c>
      <c r="K651" s="68">
        <f>J651+K650+K653-K649</f>
        <v/>
      </c>
      <c r="L651" s="68">
        <f>K651+L650+L653-L649</f>
        <v/>
      </c>
      <c r="M651" s="66" t="n"/>
    </row>
    <row r="652">
      <c r="C652" s="63" t="inlineStr">
        <is>
          <t>Necesidad neta</t>
        </is>
      </c>
      <c r="D652" s="64" t="n"/>
      <c r="E652" s="69">
        <f>MAX(0,ROUND(E649+Materiales!$H$96-D651-E650,4))</f>
        <v/>
      </c>
      <c r="F652" s="69">
        <f>MAX(0,ROUND(F649+Materiales!$H$96-E651-F650,4))</f>
        <v/>
      </c>
      <c r="G652" s="69">
        <f>MAX(0,ROUND(G649+Materiales!$H$96-F651-G650,4))</f>
        <v/>
      </c>
      <c r="H652" s="69">
        <f>MAX(0,ROUND(H649+Materiales!$H$96-G651-H650,4))</f>
        <v/>
      </c>
      <c r="I652" s="69">
        <f>MAX(0,ROUND(I649+Materiales!$H$96-H651-I650,4))</f>
        <v/>
      </c>
      <c r="J652" s="69">
        <f>MAX(0,ROUND(J649+Materiales!$H$96-I651-J650,4))</f>
        <v/>
      </c>
      <c r="K652" s="69">
        <f>MAX(0,ROUND(K649+Materiales!$H$96-J651-K650,4))</f>
        <v/>
      </c>
      <c r="L652" s="69">
        <f>MAX(0,ROUND(L649+Materiales!$H$96-K651-L650,4))</f>
        <v/>
      </c>
      <c r="M652" s="66" t="n"/>
    </row>
    <row r="653">
      <c r="C653" s="63" t="inlineStr">
        <is>
          <t>Recepcion de orden planificada</t>
        </is>
      </c>
      <c r="D653" s="64" t="n"/>
      <c r="E653" s="65">
        <f>IF(E652&lt;=0,0,IF(Materiales!$G$96&lt;=0,E652,ROUNDUP(E652/Materiales!$G$96,0)*Materiales!$G$96))</f>
        <v/>
      </c>
      <c r="F653" s="65">
        <f>IF(F652&lt;=0,0,IF(Materiales!$G$96&lt;=0,F652,ROUNDUP(F652/Materiales!$G$96,0)*Materiales!$G$96))</f>
        <v/>
      </c>
      <c r="G653" s="65">
        <f>IF(G652&lt;=0,0,IF(Materiales!$G$96&lt;=0,G652,ROUNDUP(G652/Materiales!$G$96,0)*Materiales!$G$96))</f>
        <v/>
      </c>
      <c r="H653" s="65">
        <f>IF(H652&lt;=0,0,IF(Materiales!$G$96&lt;=0,H652,ROUNDUP(H652/Materiales!$G$96,0)*Materiales!$G$96))</f>
        <v/>
      </c>
      <c r="I653" s="65">
        <f>IF(I652&lt;=0,0,IF(Materiales!$G$96&lt;=0,I652,ROUNDUP(I652/Materiales!$G$96,0)*Materiales!$G$96))</f>
        <v/>
      </c>
      <c r="J653" s="65">
        <f>IF(J652&lt;=0,0,IF(Materiales!$G$96&lt;=0,J652,ROUNDUP(J652/Materiales!$G$96,0)*Materiales!$G$96))</f>
        <v/>
      </c>
      <c r="K653" s="65">
        <f>IF(K652&lt;=0,0,IF(Materiales!$G$96&lt;=0,K652,ROUNDUP(K652/Materiales!$G$96,0)*Materiales!$G$96))</f>
        <v/>
      </c>
      <c r="L653" s="65">
        <f>IF(L652&lt;=0,0,IF(Materiales!$G$96&lt;=0,L652,ROUNDUP(L652/Materiales!$G$96,0)*Materiales!$G$96))</f>
        <v/>
      </c>
      <c r="M653" s="66" t="n"/>
    </row>
    <row r="654">
      <c r="C654" s="70" t="inlineStr">
        <is>
          <t>LANZAMIENTO DE ORDEN — pedir esta semana</t>
        </is>
      </c>
      <c r="D654" s="64" t="n"/>
      <c r="E654" s="71">
        <f>IF(1+Materiales!$F$96&gt;8,0,INDEX($E$653:$L$653,1,1+Materiales!$F$96))</f>
        <v/>
      </c>
      <c r="F654" s="71">
        <f>IF(2+Materiales!$F$96&gt;8,0,INDEX($E$653:$L$653,1,2+Materiales!$F$96))</f>
        <v/>
      </c>
      <c r="G654" s="71">
        <f>IF(3+Materiales!$F$96&gt;8,0,INDEX($E$653:$L$653,1,3+Materiales!$F$96))</f>
        <v/>
      </c>
      <c r="H654" s="71">
        <f>IF(4+Materiales!$F$96&gt;8,0,INDEX($E$653:$L$653,1,4+Materiales!$F$96))</f>
        <v/>
      </c>
      <c r="I654" s="71">
        <f>IF(5+Materiales!$F$96&gt;8,0,INDEX($E$653:$L$653,1,5+Materiales!$F$96))</f>
        <v/>
      </c>
      <c r="J654" s="71">
        <f>IF(6+Materiales!$F$96&gt;8,0,INDEX($E$653:$L$653,1,6+Materiales!$F$96))</f>
        <v/>
      </c>
      <c r="K654" s="71">
        <f>IF(7+Materiales!$F$96&gt;8,0,INDEX($E$653:$L$653,1,7+Materiales!$F$96))</f>
        <v/>
      </c>
      <c r="L654" s="71">
        <f>IF(8+Materiales!$F$96&gt;8,0,INDEX($E$653:$L$653,1,8+Materiales!$F$96))</f>
        <v/>
      </c>
      <c r="M654" s="72">
        <f>IF($A649="","",IF(SUMPRODUCT((COLUMN($E$653:$L$653)-4&lt;=Materiales!$F$96)*$E$653:$L$653)&gt;0,"PEDIR YA (atrasado)","OK"))</f>
        <v/>
      </c>
    </row>
    <row r="655" ht="6" customHeight="1"/>
    <row r="656">
      <c r="A656" s="62">
        <f>IF(Materiales!$A$97="","",Materiales!$A$97)</f>
        <v/>
      </c>
      <c r="B656" s="62">
        <f>IF(Materiales!$B$97="","",Materiales!$B$97)</f>
        <v/>
      </c>
      <c r="C656" s="63" t="inlineStr">
        <is>
          <t>Necesidad bruta</t>
        </is>
      </c>
      <c r="D656" s="64" t="n"/>
      <c r="E656" s="65">
        <f>ROUND(SUMIF(Consumo!$P$4:$P$189,"#"&amp;$A656,Consumo!H$4:H$189),4)</f>
        <v/>
      </c>
      <c r="F656" s="65">
        <f>ROUND(SUMIF(Consumo!$P$4:$P$189,"#"&amp;$A656,Consumo!I$4:I$189),4)</f>
        <v/>
      </c>
      <c r="G656" s="65">
        <f>ROUND(SUMIF(Consumo!$P$4:$P$189,"#"&amp;$A656,Consumo!J$4:J$189),4)</f>
        <v/>
      </c>
      <c r="H656" s="65">
        <f>ROUND(SUMIF(Consumo!$P$4:$P$189,"#"&amp;$A656,Consumo!K$4:K$189),4)</f>
        <v/>
      </c>
      <c r="I656" s="65">
        <f>ROUND(SUMIF(Consumo!$P$4:$P$189,"#"&amp;$A656,Consumo!L$4:L$189),4)</f>
        <v/>
      </c>
      <c r="J656" s="65">
        <f>ROUND(SUMIF(Consumo!$P$4:$P$189,"#"&amp;$A656,Consumo!M$4:M$189),4)</f>
        <v/>
      </c>
      <c r="K656" s="65">
        <f>ROUND(SUMIF(Consumo!$P$4:$P$189,"#"&amp;$A656,Consumo!N$4:N$189),4)</f>
        <v/>
      </c>
      <c r="L656" s="65">
        <f>ROUND(SUMIF(Consumo!$P$4:$P$189,"#"&amp;$A656,Consumo!O$4:O$189),4)</f>
        <v/>
      </c>
      <c r="M656" s="66" t="n"/>
    </row>
    <row r="657">
      <c r="C657" s="63" t="inlineStr">
        <is>
          <t>Recepciones programadas (ya pedido)</t>
        </is>
      </c>
      <c r="D657" s="64" t="n"/>
      <c r="E657" s="65">
        <f>SUMIF(Inventario!$M$5:$M$505,"#"&amp;$A656,Inventario!E$5:E$505)</f>
        <v/>
      </c>
      <c r="F657" s="65">
        <f>SUMIF(Inventario!$M$5:$M$505,"#"&amp;$A656,Inventario!F$5:F$505)</f>
        <v/>
      </c>
      <c r="G657" s="65">
        <f>SUMIF(Inventario!$M$5:$M$505,"#"&amp;$A656,Inventario!G$5:G$505)</f>
        <v/>
      </c>
      <c r="H657" s="65">
        <f>SUMIF(Inventario!$M$5:$M$505,"#"&amp;$A656,Inventario!H$5:H$505)</f>
        <v/>
      </c>
      <c r="I657" s="65">
        <f>SUMIF(Inventario!$M$5:$M$505,"#"&amp;$A656,Inventario!I$5:I$505)</f>
        <v/>
      </c>
      <c r="J657" s="65">
        <f>SUMIF(Inventario!$M$5:$M$505,"#"&amp;$A656,Inventario!J$5:J$505)</f>
        <v/>
      </c>
      <c r="K657" s="65">
        <f>SUMIF(Inventario!$M$5:$M$505,"#"&amp;$A656,Inventario!K$5:K$505)</f>
        <v/>
      </c>
      <c r="L657" s="65">
        <f>SUMIF(Inventario!$M$5:$M$505,"#"&amp;$A656,Inventario!L$5:L$505)</f>
        <v/>
      </c>
      <c r="M657" s="66" t="n"/>
    </row>
    <row r="658">
      <c r="C658" s="63" t="inlineStr">
        <is>
          <t>Stock proyectado disponible</t>
        </is>
      </c>
      <c r="D658" s="67">
        <f>SUMIF(Inventario!$M$5:$M$505,"#"&amp;$A656,Inventario!$C$5:$C$505)</f>
        <v/>
      </c>
      <c r="E658" s="68">
        <f>D658+E657+E660-E656</f>
        <v/>
      </c>
      <c r="F658" s="68">
        <f>E658+F657+F660-F656</f>
        <v/>
      </c>
      <c r="G658" s="68">
        <f>F658+G657+G660-G656</f>
        <v/>
      </c>
      <c r="H658" s="68">
        <f>G658+H657+H660-H656</f>
        <v/>
      </c>
      <c r="I658" s="68">
        <f>H658+I657+I660-I656</f>
        <v/>
      </c>
      <c r="J658" s="68">
        <f>I658+J657+J660-J656</f>
        <v/>
      </c>
      <c r="K658" s="68">
        <f>J658+K657+K660-K656</f>
        <v/>
      </c>
      <c r="L658" s="68">
        <f>K658+L657+L660-L656</f>
        <v/>
      </c>
      <c r="M658" s="66" t="n"/>
    </row>
    <row r="659">
      <c r="C659" s="63" t="inlineStr">
        <is>
          <t>Necesidad neta</t>
        </is>
      </c>
      <c r="D659" s="64" t="n"/>
      <c r="E659" s="69">
        <f>MAX(0,ROUND(E656+Materiales!$H$97-D658-E657,4))</f>
        <v/>
      </c>
      <c r="F659" s="69">
        <f>MAX(0,ROUND(F656+Materiales!$H$97-E658-F657,4))</f>
        <v/>
      </c>
      <c r="G659" s="69">
        <f>MAX(0,ROUND(G656+Materiales!$H$97-F658-G657,4))</f>
        <v/>
      </c>
      <c r="H659" s="69">
        <f>MAX(0,ROUND(H656+Materiales!$H$97-G658-H657,4))</f>
        <v/>
      </c>
      <c r="I659" s="69">
        <f>MAX(0,ROUND(I656+Materiales!$H$97-H658-I657,4))</f>
        <v/>
      </c>
      <c r="J659" s="69">
        <f>MAX(0,ROUND(J656+Materiales!$H$97-I658-J657,4))</f>
        <v/>
      </c>
      <c r="K659" s="69">
        <f>MAX(0,ROUND(K656+Materiales!$H$97-J658-K657,4))</f>
        <v/>
      </c>
      <c r="L659" s="69">
        <f>MAX(0,ROUND(L656+Materiales!$H$97-K658-L657,4))</f>
        <v/>
      </c>
      <c r="M659" s="66" t="n"/>
    </row>
    <row r="660">
      <c r="C660" s="63" t="inlineStr">
        <is>
          <t>Recepcion de orden planificada</t>
        </is>
      </c>
      <c r="D660" s="64" t="n"/>
      <c r="E660" s="65">
        <f>IF(E659&lt;=0,0,IF(Materiales!$G$97&lt;=0,E659,ROUNDUP(E659/Materiales!$G$97,0)*Materiales!$G$97))</f>
        <v/>
      </c>
      <c r="F660" s="65">
        <f>IF(F659&lt;=0,0,IF(Materiales!$G$97&lt;=0,F659,ROUNDUP(F659/Materiales!$G$97,0)*Materiales!$G$97))</f>
        <v/>
      </c>
      <c r="G660" s="65">
        <f>IF(G659&lt;=0,0,IF(Materiales!$G$97&lt;=0,G659,ROUNDUP(G659/Materiales!$G$97,0)*Materiales!$G$97))</f>
        <v/>
      </c>
      <c r="H660" s="65">
        <f>IF(H659&lt;=0,0,IF(Materiales!$G$97&lt;=0,H659,ROUNDUP(H659/Materiales!$G$97,0)*Materiales!$G$97))</f>
        <v/>
      </c>
      <c r="I660" s="65">
        <f>IF(I659&lt;=0,0,IF(Materiales!$G$97&lt;=0,I659,ROUNDUP(I659/Materiales!$G$97,0)*Materiales!$G$97))</f>
        <v/>
      </c>
      <c r="J660" s="65">
        <f>IF(J659&lt;=0,0,IF(Materiales!$G$97&lt;=0,J659,ROUNDUP(J659/Materiales!$G$97,0)*Materiales!$G$97))</f>
        <v/>
      </c>
      <c r="K660" s="65">
        <f>IF(K659&lt;=0,0,IF(Materiales!$G$97&lt;=0,K659,ROUNDUP(K659/Materiales!$G$97,0)*Materiales!$G$97))</f>
        <v/>
      </c>
      <c r="L660" s="65">
        <f>IF(L659&lt;=0,0,IF(Materiales!$G$97&lt;=0,L659,ROUNDUP(L659/Materiales!$G$97,0)*Materiales!$G$97))</f>
        <v/>
      </c>
      <c r="M660" s="66" t="n"/>
    </row>
    <row r="661">
      <c r="C661" s="70" t="inlineStr">
        <is>
          <t>LANZAMIENTO DE ORDEN — pedir esta semana</t>
        </is>
      </c>
      <c r="D661" s="64" t="n"/>
      <c r="E661" s="71">
        <f>IF(1+Materiales!$F$97&gt;8,0,INDEX($E$660:$L$660,1,1+Materiales!$F$97))</f>
        <v/>
      </c>
      <c r="F661" s="71">
        <f>IF(2+Materiales!$F$97&gt;8,0,INDEX($E$660:$L$660,1,2+Materiales!$F$97))</f>
        <v/>
      </c>
      <c r="G661" s="71">
        <f>IF(3+Materiales!$F$97&gt;8,0,INDEX($E$660:$L$660,1,3+Materiales!$F$97))</f>
        <v/>
      </c>
      <c r="H661" s="71">
        <f>IF(4+Materiales!$F$97&gt;8,0,INDEX($E$660:$L$660,1,4+Materiales!$F$97))</f>
        <v/>
      </c>
      <c r="I661" s="71">
        <f>IF(5+Materiales!$F$97&gt;8,0,INDEX($E$660:$L$660,1,5+Materiales!$F$97))</f>
        <v/>
      </c>
      <c r="J661" s="71">
        <f>IF(6+Materiales!$F$97&gt;8,0,INDEX($E$660:$L$660,1,6+Materiales!$F$97))</f>
        <v/>
      </c>
      <c r="K661" s="71">
        <f>IF(7+Materiales!$F$97&gt;8,0,INDEX($E$660:$L$660,1,7+Materiales!$F$97))</f>
        <v/>
      </c>
      <c r="L661" s="71">
        <f>IF(8+Materiales!$F$97&gt;8,0,INDEX($E$660:$L$660,1,8+Materiales!$F$97))</f>
        <v/>
      </c>
      <c r="M661" s="72">
        <f>IF($A656="","",IF(SUMPRODUCT((COLUMN($E$660:$L$660)-4&lt;=Materiales!$F$97)*$E$660:$L$660)&gt;0,"PEDIR YA (atrasado)","OK"))</f>
        <v/>
      </c>
    </row>
    <row r="662" ht="6" customHeight="1"/>
    <row r="663">
      <c r="A663" s="62">
        <f>IF(Materiales!$A$98="","",Materiales!$A$98)</f>
        <v/>
      </c>
      <c r="B663" s="62">
        <f>IF(Materiales!$B$98="","",Materiales!$B$98)</f>
        <v/>
      </c>
      <c r="C663" s="63" t="inlineStr">
        <is>
          <t>Necesidad bruta</t>
        </is>
      </c>
      <c r="D663" s="64" t="n"/>
      <c r="E663" s="65">
        <f>ROUND(SUMIF(Consumo!$P$4:$P$189,"#"&amp;$A663,Consumo!H$4:H$189),4)</f>
        <v/>
      </c>
      <c r="F663" s="65">
        <f>ROUND(SUMIF(Consumo!$P$4:$P$189,"#"&amp;$A663,Consumo!I$4:I$189),4)</f>
        <v/>
      </c>
      <c r="G663" s="65">
        <f>ROUND(SUMIF(Consumo!$P$4:$P$189,"#"&amp;$A663,Consumo!J$4:J$189),4)</f>
        <v/>
      </c>
      <c r="H663" s="65">
        <f>ROUND(SUMIF(Consumo!$P$4:$P$189,"#"&amp;$A663,Consumo!K$4:K$189),4)</f>
        <v/>
      </c>
      <c r="I663" s="65">
        <f>ROUND(SUMIF(Consumo!$P$4:$P$189,"#"&amp;$A663,Consumo!L$4:L$189),4)</f>
        <v/>
      </c>
      <c r="J663" s="65">
        <f>ROUND(SUMIF(Consumo!$P$4:$P$189,"#"&amp;$A663,Consumo!M$4:M$189),4)</f>
        <v/>
      </c>
      <c r="K663" s="65">
        <f>ROUND(SUMIF(Consumo!$P$4:$P$189,"#"&amp;$A663,Consumo!N$4:N$189),4)</f>
        <v/>
      </c>
      <c r="L663" s="65">
        <f>ROUND(SUMIF(Consumo!$P$4:$P$189,"#"&amp;$A663,Consumo!O$4:O$189),4)</f>
        <v/>
      </c>
      <c r="M663" s="66" t="n"/>
    </row>
    <row r="664">
      <c r="C664" s="63" t="inlineStr">
        <is>
          <t>Recepciones programadas (ya pedido)</t>
        </is>
      </c>
      <c r="D664" s="64" t="n"/>
      <c r="E664" s="65">
        <f>SUMIF(Inventario!$M$5:$M$505,"#"&amp;$A663,Inventario!E$5:E$505)</f>
        <v/>
      </c>
      <c r="F664" s="65">
        <f>SUMIF(Inventario!$M$5:$M$505,"#"&amp;$A663,Inventario!F$5:F$505)</f>
        <v/>
      </c>
      <c r="G664" s="65">
        <f>SUMIF(Inventario!$M$5:$M$505,"#"&amp;$A663,Inventario!G$5:G$505)</f>
        <v/>
      </c>
      <c r="H664" s="65">
        <f>SUMIF(Inventario!$M$5:$M$505,"#"&amp;$A663,Inventario!H$5:H$505)</f>
        <v/>
      </c>
      <c r="I664" s="65">
        <f>SUMIF(Inventario!$M$5:$M$505,"#"&amp;$A663,Inventario!I$5:I$505)</f>
        <v/>
      </c>
      <c r="J664" s="65">
        <f>SUMIF(Inventario!$M$5:$M$505,"#"&amp;$A663,Inventario!J$5:J$505)</f>
        <v/>
      </c>
      <c r="K664" s="65">
        <f>SUMIF(Inventario!$M$5:$M$505,"#"&amp;$A663,Inventario!K$5:K$505)</f>
        <v/>
      </c>
      <c r="L664" s="65">
        <f>SUMIF(Inventario!$M$5:$M$505,"#"&amp;$A663,Inventario!L$5:L$505)</f>
        <v/>
      </c>
      <c r="M664" s="66" t="n"/>
    </row>
    <row r="665">
      <c r="C665" s="63" t="inlineStr">
        <is>
          <t>Stock proyectado disponible</t>
        </is>
      </c>
      <c r="D665" s="67">
        <f>SUMIF(Inventario!$M$5:$M$505,"#"&amp;$A663,Inventario!$C$5:$C$505)</f>
        <v/>
      </c>
      <c r="E665" s="68">
        <f>D665+E664+E667-E663</f>
        <v/>
      </c>
      <c r="F665" s="68">
        <f>E665+F664+F667-F663</f>
        <v/>
      </c>
      <c r="G665" s="68">
        <f>F665+G664+G667-G663</f>
        <v/>
      </c>
      <c r="H665" s="68">
        <f>G665+H664+H667-H663</f>
        <v/>
      </c>
      <c r="I665" s="68">
        <f>H665+I664+I667-I663</f>
        <v/>
      </c>
      <c r="J665" s="68">
        <f>I665+J664+J667-J663</f>
        <v/>
      </c>
      <c r="K665" s="68">
        <f>J665+K664+K667-K663</f>
        <v/>
      </c>
      <c r="L665" s="68">
        <f>K665+L664+L667-L663</f>
        <v/>
      </c>
      <c r="M665" s="66" t="n"/>
    </row>
    <row r="666">
      <c r="C666" s="63" t="inlineStr">
        <is>
          <t>Necesidad neta</t>
        </is>
      </c>
      <c r="D666" s="64" t="n"/>
      <c r="E666" s="69">
        <f>MAX(0,ROUND(E663+Materiales!$H$98-D665-E664,4))</f>
        <v/>
      </c>
      <c r="F666" s="69">
        <f>MAX(0,ROUND(F663+Materiales!$H$98-E665-F664,4))</f>
        <v/>
      </c>
      <c r="G666" s="69">
        <f>MAX(0,ROUND(G663+Materiales!$H$98-F665-G664,4))</f>
        <v/>
      </c>
      <c r="H666" s="69">
        <f>MAX(0,ROUND(H663+Materiales!$H$98-G665-H664,4))</f>
        <v/>
      </c>
      <c r="I666" s="69">
        <f>MAX(0,ROUND(I663+Materiales!$H$98-H665-I664,4))</f>
        <v/>
      </c>
      <c r="J666" s="69">
        <f>MAX(0,ROUND(J663+Materiales!$H$98-I665-J664,4))</f>
        <v/>
      </c>
      <c r="K666" s="69">
        <f>MAX(0,ROUND(K663+Materiales!$H$98-J665-K664,4))</f>
        <v/>
      </c>
      <c r="L666" s="69">
        <f>MAX(0,ROUND(L663+Materiales!$H$98-K665-L664,4))</f>
        <v/>
      </c>
      <c r="M666" s="66" t="n"/>
    </row>
    <row r="667">
      <c r="C667" s="63" t="inlineStr">
        <is>
          <t>Recepcion de orden planificada</t>
        </is>
      </c>
      <c r="D667" s="64" t="n"/>
      <c r="E667" s="65">
        <f>IF(E666&lt;=0,0,IF(Materiales!$G$98&lt;=0,E666,ROUNDUP(E666/Materiales!$G$98,0)*Materiales!$G$98))</f>
        <v/>
      </c>
      <c r="F667" s="65">
        <f>IF(F666&lt;=0,0,IF(Materiales!$G$98&lt;=0,F666,ROUNDUP(F666/Materiales!$G$98,0)*Materiales!$G$98))</f>
        <v/>
      </c>
      <c r="G667" s="65">
        <f>IF(G666&lt;=0,0,IF(Materiales!$G$98&lt;=0,G666,ROUNDUP(G666/Materiales!$G$98,0)*Materiales!$G$98))</f>
        <v/>
      </c>
      <c r="H667" s="65">
        <f>IF(H666&lt;=0,0,IF(Materiales!$G$98&lt;=0,H666,ROUNDUP(H666/Materiales!$G$98,0)*Materiales!$G$98))</f>
        <v/>
      </c>
      <c r="I667" s="65">
        <f>IF(I666&lt;=0,0,IF(Materiales!$G$98&lt;=0,I666,ROUNDUP(I666/Materiales!$G$98,0)*Materiales!$G$98))</f>
        <v/>
      </c>
      <c r="J667" s="65">
        <f>IF(J666&lt;=0,0,IF(Materiales!$G$98&lt;=0,J666,ROUNDUP(J666/Materiales!$G$98,0)*Materiales!$G$98))</f>
        <v/>
      </c>
      <c r="K667" s="65">
        <f>IF(K666&lt;=0,0,IF(Materiales!$G$98&lt;=0,K666,ROUNDUP(K666/Materiales!$G$98,0)*Materiales!$G$98))</f>
        <v/>
      </c>
      <c r="L667" s="65">
        <f>IF(L666&lt;=0,0,IF(Materiales!$G$98&lt;=0,L666,ROUNDUP(L666/Materiales!$G$98,0)*Materiales!$G$98))</f>
        <v/>
      </c>
      <c r="M667" s="66" t="n"/>
    </row>
    <row r="668">
      <c r="C668" s="70" t="inlineStr">
        <is>
          <t>LANZAMIENTO DE ORDEN — pedir esta semana</t>
        </is>
      </c>
      <c r="D668" s="64" t="n"/>
      <c r="E668" s="71">
        <f>IF(1+Materiales!$F$98&gt;8,0,INDEX($E$667:$L$667,1,1+Materiales!$F$98))</f>
        <v/>
      </c>
      <c r="F668" s="71">
        <f>IF(2+Materiales!$F$98&gt;8,0,INDEX($E$667:$L$667,1,2+Materiales!$F$98))</f>
        <v/>
      </c>
      <c r="G668" s="71">
        <f>IF(3+Materiales!$F$98&gt;8,0,INDEX($E$667:$L$667,1,3+Materiales!$F$98))</f>
        <v/>
      </c>
      <c r="H668" s="71">
        <f>IF(4+Materiales!$F$98&gt;8,0,INDEX($E$667:$L$667,1,4+Materiales!$F$98))</f>
        <v/>
      </c>
      <c r="I668" s="71">
        <f>IF(5+Materiales!$F$98&gt;8,0,INDEX($E$667:$L$667,1,5+Materiales!$F$98))</f>
        <v/>
      </c>
      <c r="J668" s="71">
        <f>IF(6+Materiales!$F$98&gt;8,0,INDEX($E$667:$L$667,1,6+Materiales!$F$98))</f>
        <v/>
      </c>
      <c r="K668" s="71">
        <f>IF(7+Materiales!$F$98&gt;8,0,INDEX($E$667:$L$667,1,7+Materiales!$F$98))</f>
        <v/>
      </c>
      <c r="L668" s="71">
        <f>IF(8+Materiales!$F$98&gt;8,0,INDEX($E$667:$L$667,1,8+Materiales!$F$98))</f>
        <v/>
      </c>
      <c r="M668" s="72">
        <f>IF($A663="","",IF(SUMPRODUCT((COLUMN($E$667:$L$667)-4&lt;=Materiales!$F$98)*$E$667:$L$667)&gt;0,"PEDIR YA (atrasado)","OK"))</f>
        <v/>
      </c>
    </row>
    <row r="669" ht="6" customHeight="1"/>
    <row r="670">
      <c r="A670" s="62">
        <f>IF(Materiales!$A$99="","",Materiales!$A$99)</f>
        <v/>
      </c>
      <c r="B670" s="62">
        <f>IF(Materiales!$B$99="","",Materiales!$B$99)</f>
        <v/>
      </c>
      <c r="C670" s="63" t="inlineStr">
        <is>
          <t>Necesidad bruta</t>
        </is>
      </c>
      <c r="D670" s="64" t="n"/>
      <c r="E670" s="65">
        <f>ROUND(SUMIF(Consumo!$P$4:$P$189,"#"&amp;$A670,Consumo!H$4:H$189),4)</f>
        <v/>
      </c>
      <c r="F670" s="65">
        <f>ROUND(SUMIF(Consumo!$P$4:$P$189,"#"&amp;$A670,Consumo!I$4:I$189),4)</f>
        <v/>
      </c>
      <c r="G670" s="65">
        <f>ROUND(SUMIF(Consumo!$P$4:$P$189,"#"&amp;$A670,Consumo!J$4:J$189),4)</f>
        <v/>
      </c>
      <c r="H670" s="65">
        <f>ROUND(SUMIF(Consumo!$P$4:$P$189,"#"&amp;$A670,Consumo!K$4:K$189),4)</f>
        <v/>
      </c>
      <c r="I670" s="65">
        <f>ROUND(SUMIF(Consumo!$P$4:$P$189,"#"&amp;$A670,Consumo!L$4:L$189),4)</f>
        <v/>
      </c>
      <c r="J670" s="65">
        <f>ROUND(SUMIF(Consumo!$P$4:$P$189,"#"&amp;$A670,Consumo!M$4:M$189),4)</f>
        <v/>
      </c>
      <c r="K670" s="65">
        <f>ROUND(SUMIF(Consumo!$P$4:$P$189,"#"&amp;$A670,Consumo!N$4:N$189),4)</f>
        <v/>
      </c>
      <c r="L670" s="65">
        <f>ROUND(SUMIF(Consumo!$P$4:$P$189,"#"&amp;$A670,Consumo!O$4:O$189),4)</f>
        <v/>
      </c>
      <c r="M670" s="66" t="n"/>
    </row>
    <row r="671">
      <c r="C671" s="63" t="inlineStr">
        <is>
          <t>Recepciones programadas (ya pedido)</t>
        </is>
      </c>
      <c r="D671" s="64" t="n"/>
      <c r="E671" s="65">
        <f>SUMIF(Inventario!$M$5:$M$505,"#"&amp;$A670,Inventario!E$5:E$505)</f>
        <v/>
      </c>
      <c r="F671" s="65">
        <f>SUMIF(Inventario!$M$5:$M$505,"#"&amp;$A670,Inventario!F$5:F$505)</f>
        <v/>
      </c>
      <c r="G671" s="65">
        <f>SUMIF(Inventario!$M$5:$M$505,"#"&amp;$A670,Inventario!G$5:G$505)</f>
        <v/>
      </c>
      <c r="H671" s="65">
        <f>SUMIF(Inventario!$M$5:$M$505,"#"&amp;$A670,Inventario!H$5:H$505)</f>
        <v/>
      </c>
      <c r="I671" s="65">
        <f>SUMIF(Inventario!$M$5:$M$505,"#"&amp;$A670,Inventario!I$5:I$505)</f>
        <v/>
      </c>
      <c r="J671" s="65">
        <f>SUMIF(Inventario!$M$5:$M$505,"#"&amp;$A670,Inventario!J$5:J$505)</f>
        <v/>
      </c>
      <c r="K671" s="65">
        <f>SUMIF(Inventario!$M$5:$M$505,"#"&amp;$A670,Inventario!K$5:K$505)</f>
        <v/>
      </c>
      <c r="L671" s="65">
        <f>SUMIF(Inventario!$M$5:$M$505,"#"&amp;$A670,Inventario!L$5:L$505)</f>
        <v/>
      </c>
      <c r="M671" s="66" t="n"/>
    </row>
    <row r="672">
      <c r="C672" s="63" t="inlineStr">
        <is>
          <t>Stock proyectado disponible</t>
        </is>
      </c>
      <c r="D672" s="67">
        <f>SUMIF(Inventario!$M$5:$M$505,"#"&amp;$A670,Inventario!$C$5:$C$505)</f>
        <v/>
      </c>
      <c r="E672" s="68">
        <f>D672+E671+E674-E670</f>
        <v/>
      </c>
      <c r="F672" s="68">
        <f>E672+F671+F674-F670</f>
        <v/>
      </c>
      <c r="G672" s="68">
        <f>F672+G671+G674-G670</f>
        <v/>
      </c>
      <c r="H672" s="68">
        <f>G672+H671+H674-H670</f>
        <v/>
      </c>
      <c r="I672" s="68">
        <f>H672+I671+I674-I670</f>
        <v/>
      </c>
      <c r="J672" s="68">
        <f>I672+J671+J674-J670</f>
        <v/>
      </c>
      <c r="K672" s="68">
        <f>J672+K671+K674-K670</f>
        <v/>
      </c>
      <c r="L672" s="68">
        <f>K672+L671+L674-L670</f>
        <v/>
      </c>
      <c r="M672" s="66" t="n"/>
    </row>
    <row r="673">
      <c r="C673" s="63" t="inlineStr">
        <is>
          <t>Necesidad neta</t>
        </is>
      </c>
      <c r="D673" s="64" t="n"/>
      <c r="E673" s="69">
        <f>MAX(0,ROUND(E670+Materiales!$H$99-D672-E671,4))</f>
        <v/>
      </c>
      <c r="F673" s="69">
        <f>MAX(0,ROUND(F670+Materiales!$H$99-E672-F671,4))</f>
        <v/>
      </c>
      <c r="G673" s="69">
        <f>MAX(0,ROUND(G670+Materiales!$H$99-F672-G671,4))</f>
        <v/>
      </c>
      <c r="H673" s="69">
        <f>MAX(0,ROUND(H670+Materiales!$H$99-G672-H671,4))</f>
        <v/>
      </c>
      <c r="I673" s="69">
        <f>MAX(0,ROUND(I670+Materiales!$H$99-H672-I671,4))</f>
        <v/>
      </c>
      <c r="J673" s="69">
        <f>MAX(0,ROUND(J670+Materiales!$H$99-I672-J671,4))</f>
        <v/>
      </c>
      <c r="K673" s="69">
        <f>MAX(0,ROUND(K670+Materiales!$H$99-J672-K671,4))</f>
        <v/>
      </c>
      <c r="L673" s="69">
        <f>MAX(0,ROUND(L670+Materiales!$H$99-K672-L671,4))</f>
        <v/>
      </c>
      <c r="M673" s="66" t="n"/>
    </row>
    <row r="674">
      <c r="C674" s="63" t="inlineStr">
        <is>
          <t>Recepcion de orden planificada</t>
        </is>
      </c>
      <c r="D674" s="64" t="n"/>
      <c r="E674" s="65">
        <f>IF(E673&lt;=0,0,IF(Materiales!$G$99&lt;=0,E673,ROUNDUP(E673/Materiales!$G$99,0)*Materiales!$G$99))</f>
        <v/>
      </c>
      <c r="F674" s="65">
        <f>IF(F673&lt;=0,0,IF(Materiales!$G$99&lt;=0,F673,ROUNDUP(F673/Materiales!$G$99,0)*Materiales!$G$99))</f>
        <v/>
      </c>
      <c r="G674" s="65">
        <f>IF(G673&lt;=0,0,IF(Materiales!$G$99&lt;=0,G673,ROUNDUP(G673/Materiales!$G$99,0)*Materiales!$G$99))</f>
        <v/>
      </c>
      <c r="H674" s="65">
        <f>IF(H673&lt;=0,0,IF(Materiales!$G$99&lt;=0,H673,ROUNDUP(H673/Materiales!$G$99,0)*Materiales!$G$99))</f>
        <v/>
      </c>
      <c r="I674" s="65">
        <f>IF(I673&lt;=0,0,IF(Materiales!$G$99&lt;=0,I673,ROUNDUP(I673/Materiales!$G$99,0)*Materiales!$G$99))</f>
        <v/>
      </c>
      <c r="J674" s="65">
        <f>IF(J673&lt;=0,0,IF(Materiales!$G$99&lt;=0,J673,ROUNDUP(J673/Materiales!$G$99,0)*Materiales!$G$99))</f>
        <v/>
      </c>
      <c r="K674" s="65">
        <f>IF(K673&lt;=0,0,IF(Materiales!$G$99&lt;=0,K673,ROUNDUP(K673/Materiales!$G$99,0)*Materiales!$G$99))</f>
        <v/>
      </c>
      <c r="L674" s="65">
        <f>IF(L673&lt;=0,0,IF(Materiales!$G$99&lt;=0,L673,ROUNDUP(L673/Materiales!$G$99,0)*Materiales!$G$99))</f>
        <v/>
      </c>
      <c r="M674" s="66" t="n"/>
    </row>
    <row r="675">
      <c r="C675" s="70" t="inlineStr">
        <is>
          <t>LANZAMIENTO DE ORDEN — pedir esta semana</t>
        </is>
      </c>
      <c r="D675" s="64" t="n"/>
      <c r="E675" s="71">
        <f>IF(1+Materiales!$F$99&gt;8,0,INDEX($E$674:$L$674,1,1+Materiales!$F$99))</f>
        <v/>
      </c>
      <c r="F675" s="71">
        <f>IF(2+Materiales!$F$99&gt;8,0,INDEX($E$674:$L$674,1,2+Materiales!$F$99))</f>
        <v/>
      </c>
      <c r="G675" s="71">
        <f>IF(3+Materiales!$F$99&gt;8,0,INDEX($E$674:$L$674,1,3+Materiales!$F$99))</f>
        <v/>
      </c>
      <c r="H675" s="71">
        <f>IF(4+Materiales!$F$99&gt;8,0,INDEX($E$674:$L$674,1,4+Materiales!$F$99))</f>
        <v/>
      </c>
      <c r="I675" s="71">
        <f>IF(5+Materiales!$F$99&gt;8,0,INDEX($E$674:$L$674,1,5+Materiales!$F$99))</f>
        <v/>
      </c>
      <c r="J675" s="71">
        <f>IF(6+Materiales!$F$99&gt;8,0,INDEX($E$674:$L$674,1,6+Materiales!$F$99))</f>
        <v/>
      </c>
      <c r="K675" s="71">
        <f>IF(7+Materiales!$F$99&gt;8,0,INDEX($E$674:$L$674,1,7+Materiales!$F$99))</f>
        <v/>
      </c>
      <c r="L675" s="71">
        <f>IF(8+Materiales!$F$99&gt;8,0,INDEX($E$674:$L$674,1,8+Materiales!$F$99))</f>
        <v/>
      </c>
      <c r="M675" s="72">
        <f>IF($A670="","",IF(SUMPRODUCT((COLUMN($E$674:$L$674)-4&lt;=Materiales!$F$99)*$E$674:$L$674)&gt;0,"PEDIR YA (atrasado)","OK"))</f>
        <v/>
      </c>
    </row>
    <row r="676" ht="6" customHeight="1"/>
    <row r="677">
      <c r="A677" s="62">
        <f>IF(Materiales!$A$100="","",Materiales!$A$100)</f>
        <v/>
      </c>
      <c r="B677" s="62">
        <f>IF(Materiales!$B$100="","",Materiales!$B$100)</f>
        <v/>
      </c>
      <c r="C677" s="63" t="inlineStr">
        <is>
          <t>Necesidad bruta</t>
        </is>
      </c>
      <c r="D677" s="64" t="n"/>
      <c r="E677" s="65">
        <f>ROUND(SUMIF(Consumo!$P$4:$P$189,"#"&amp;$A677,Consumo!H$4:H$189),4)</f>
        <v/>
      </c>
      <c r="F677" s="65">
        <f>ROUND(SUMIF(Consumo!$P$4:$P$189,"#"&amp;$A677,Consumo!I$4:I$189),4)</f>
        <v/>
      </c>
      <c r="G677" s="65">
        <f>ROUND(SUMIF(Consumo!$P$4:$P$189,"#"&amp;$A677,Consumo!J$4:J$189),4)</f>
        <v/>
      </c>
      <c r="H677" s="65">
        <f>ROUND(SUMIF(Consumo!$P$4:$P$189,"#"&amp;$A677,Consumo!K$4:K$189),4)</f>
        <v/>
      </c>
      <c r="I677" s="65">
        <f>ROUND(SUMIF(Consumo!$P$4:$P$189,"#"&amp;$A677,Consumo!L$4:L$189),4)</f>
        <v/>
      </c>
      <c r="J677" s="65">
        <f>ROUND(SUMIF(Consumo!$P$4:$P$189,"#"&amp;$A677,Consumo!M$4:M$189),4)</f>
        <v/>
      </c>
      <c r="K677" s="65">
        <f>ROUND(SUMIF(Consumo!$P$4:$P$189,"#"&amp;$A677,Consumo!N$4:N$189),4)</f>
        <v/>
      </c>
      <c r="L677" s="65">
        <f>ROUND(SUMIF(Consumo!$P$4:$P$189,"#"&amp;$A677,Consumo!O$4:O$189),4)</f>
        <v/>
      </c>
      <c r="M677" s="66" t="n"/>
    </row>
    <row r="678">
      <c r="C678" s="63" t="inlineStr">
        <is>
          <t>Recepciones programadas (ya pedido)</t>
        </is>
      </c>
      <c r="D678" s="64" t="n"/>
      <c r="E678" s="65">
        <f>SUMIF(Inventario!$M$5:$M$505,"#"&amp;$A677,Inventario!E$5:E$505)</f>
        <v/>
      </c>
      <c r="F678" s="65">
        <f>SUMIF(Inventario!$M$5:$M$505,"#"&amp;$A677,Inventario!F$5:F$505)</f>
        <v/>
      </c>
      <c r="G678" s="65">
        <f>SUMIF(Inventario!$M$5:$M$505,"#"&amp;$A677,Inventario!G$5:G$505)</f>
        <v/>
      </c>
      <c r="H678" s="65">
        <f>SUMIF(Inventario!$M$5:$M$505,"#"&amp;$A677,Inventario!H$5:H$505)</f>
        <v/>
      </c>
      <c r="I678" s="65">
        <f>SUMIF(Inventario!$M$5:$M$505,"#"&amp;$A677,Inventario!I$5:I$505)</f>
        <v/>
      </c>
      <c r="J678" s="65">
        <f>SUMIF(Inventario!$M$5:$M$505,"#"&amp;$A677,Inventario!J$5:J$505)</f>
        <v/>
      </c>
      <c r="K678" s="65">
        <f>SUMIF(Inventario!$M$5:$M$505,"#"&amp;$A677,Inventario!K$5:K$505)</f>
        <v/>
      </c>
      <c r="L678" s="65">
        <f>SUMIF(Inventario!$M$5:$M$505,"#"&amp;$A677,Inventario!L$5:L$505)</f>
        <v/>
      </c>
      <c r="M678" s="66" t="n"/>
    </row>
    <row r="679">
      <c r="C679" s="63" t="inlineStr">
        <is>
          <t>Stock proyectado disponible</t>
        </is>
      </c>
      <c r="D679" s="67">
        <f>SUMIF(Inventario!$M$5:$M$505,"#"&amp;$A677,Inventario!$C$5:$C$505)</f>
        <v/>
      </c>
      <c r="E679" s="68">
        <f>D679+E678+E681-E677</f>
        <v/>
      </c>
      <c r="F679" s="68">
        <f>E679+F678+F681-F677</f>
        <v/>
      </c>
      <c r="G679" s="68">
        <f>F679+G678+G681-G677</f>
        <v/>
      </c>
      <c r="H679" s="68">
        <f>G679+H678+H681-H677</f>
        <v/>
      </c>
      <c r="I679" s="68">
        <f>H679+I678+I681-I677</f>
        <v/>
      </c>
      <c r="J679" s="68">
        <f>I679+J678+J681-J677</f>
        <v/>
      </c>
      <c r="K679" s="68">
        <f>J679+K678+K681-K677</f>
        <v/>
      </c>
      <c r="L679" s="68">
        <f>K679+L678+L681-L677</f>
        <v/>
      </c>
      <c r="M679" s="66" t="n"/>
    </row>
    <row r="680">
      <c r="C680" s="63" t="inlineStr">
        <is>
          <t>Necesidad neta</t>
        </is>
      </c>
      <c r="D680" s="64" t="n"/>
      <c r="E680" s="69">
        <f>MAX(0,ROUND(E677+Materiales!$H$100-D679-E678,4))</f>
        <v/>
      </c>
      <c r="F680" s="69">
        <f>MAX(0,ROUND(F677+Materiales!$H$100-E679-F678,4))</f>
        <v/>
      </c>
      <c r="G680" s="69">
        <f>MAX(0,ROUND(G677+Materiales!$H$100-F679-G678,4))</f>
        <v/>
      </c>
      <c r="H680" s="69">
        <f>MAX(0,ROUND(H677+Materiales!$H$100-G679-H678,4))</f>
        <v/>
      </c>
      <c r="I680" s="69">
        <f>MAX(0,ROUND(I677+Materiales!$H$100-H679-I678,4))</f>
        <v/>
      </c>
      <c r="J680" s="69">
        <f>MAX(0,ROUND(J677+Materiales!$H$100-I679-J678,4))</f>
        <v/>
      </c>
      <c r="K680" s="69">
        <f>MAX(0,ROUND(K677+Materiales!$H$100-J679-K678,4))</f>
        <v/>
      </c>
      <c r="L680" s="69">
        <f>MAX(0,ROUND(L677+Materiales!$H$100-K679-L678,4))</f>
        <v/>
      </c>
      <c r="M680" s="66" t="n"/>
    </row>
    <row r="681">
      <c r="C681" s="63" t="inlineStr">
        <is>
          <t>Recepcion de orden planificada</t>
        </is>
      </c>
      <c r="D681" s="64" t="n"/>
      <c r="E681" s="65">
        <f>IF(E680&lt;=0,0,IF(Materiales!$G$100&lt;=0,E680,ROUNDUP(E680/Materiales!$G$100,0)*Materiales!$G$100))</f>
        <v/>
      </c>
      <c r="F681" s="65">
        <f>IF(F680&lt;=0,0,IF(Materiales!$G$100&lt;=0,F680,ROUNDUP(F680/Materiales!$G$100,0)*Materiales!$G$100))</f>
        <v/>
      </c>
      <c r="G681" s="65">
        <f>IF(G680&lt;=0,0,IF(Materiales!$G$100&lt;=0,G680,ROUNDUP(G680/Materiales!$G$100,0)*Materiales!$G$100))</f>
        <v/>
      </c>
      <c r="H681" s="65">
        <f>IF(H680&lt;=0,0,IF(Materiales!$G$100&lt;=0,H680,ROUNDUP(H680/Materiales!$G$100,0)*Materiales!$G$100))</f>
        <v/>
      </c>
      <c r="I681" s="65">
        <f>IF(I680&lt;=0,0,IF(Materiales!$G$100&lt;=0,I680,ROUNDUP(I680/Materiales!$G$100,0)*Materiales!$G$100))</f>
        <v/>
      </c>
      <c r="J681" s="65">
        <f>IF(J680&lt;=0,0,IF(Materiales!$G$100&lt;=0,J680,ROUNDUP(J680/Materiales!$G$100,0)*Materiales!$G$100))</f>
        <v/>
      </c>
      <c r="K681" s="65">
        <f>IF(K680&lt;=0,0,IF(Materiales!$G$100&lt;=0,K680,ROUNDUP(K680/Materiales!$G$100,0)*Materiales!$G$100))</f>
        <v/>
      </c>
      <c r="L681" s="65">
        <f>IF(L680&lt;=0,0,IF(Materiales!$G$100&lt;=0,L680,ROUNDUP(L680/Materiales!$G$100,0)*Materiales!$G$100))</f>
        <v/>
      </c>
      <c r="M681" s="66" t="n"/>
    </row>
    <row r="682">
      <c r="C682" s="70" t="inlineStr">
        <is>
          <t>LANZAMIENTO DE ORDEN — pedir esta semana</t>
        </is>
      </c>
      <c r="D682" s="64" t="n"/>
      <c r="E682" s="71">
        <f>IF(1+Materiales!$F$100&gt;8,0,INDEX($E$681:$L$681,1,1+Materiales!$F$100))</f>
        <v/>
      </c>
      <c r="F682" s="71">
        <f>IF(2+Materiales!$F$100&gt;8,0,INDEX($E$681:$L$681,1,2+Materiales!$F$100))</f>
        <v/>
      </c>
      <c r="G682" s="71">
        <f>IF(3+Materiales!$F$100&gt;8,0,INDEX($E$681:$L$681,1,3+Materiales!$F$100))</f>
        <v/>
      </c>
      <c r="H682" s="71">
        <f>IF(4+Materiales!$F$100&gt;8,0,INDEX($E$681:$L$681,1,4+Materiales!$F$100))</f>
        <v/>
      </c>
      <c r="I682" s="71">
        <f>IF(5+Materiales!$F$100&gt;8,0,INDEX($E$681:$L$681,1,5+Materiales!$F$100))</f>
        <v/>
      </c>
      <c r="J682" s="71">
        <f>IF(6+Materiales!$F$100&gt;8,0,INDEX($E$681:$L$681,1,6+Materiales!$F$100))</f>
        <v/>
      </c>
      <c r="K682" s="71">
        <f>IF(7+Materiales!$F$100&gt;8,0,INDEX($E$681:$L$681,1,7+Materiales!$F$100))</f>
        <v/>
      </c>
      <c r="L682" s="71">
        <f>IF(8+Materiales!$F$100&gt;8,0,INDEX($E$681:$L$681,1,8+Materiales!$F$100))</f>
        <v/>
      </c>
      <c r="M682" s="72">
        <f>IF($A677="","",IF(SUMPRODUCT((COLUMN($E$681:$L$681)-4&lt;=Materiales!$F$100)*$E$681:$L$681)&gt;0,"PEDIR YA (atrasado)","OK"))</f>
        <v/>
      </c>
    </row>
    <row r="683" ht="6" customHeight="1"/>
    <row r="684">
      <c r="A684" s="62">
        <f>IF(Materiales!$A$101="","",Materiales!$A$101)</f>
        <v/>
      </c>
      <c r="B684" s="62">
        <f>IF(Materiales!$B$101="","",Materiales!$B$101)</f>
        <v/>
      </c>
      <c r="C684" s="63" t="inlineStr">
        <is>
          <t>Necesidad bruta</t>
        </is>
      </c>
      <c r="D684" s="64" t="n"/>
      <c r="E684" s="65">
        <f>ROUND(SUMIF(Consumo!$P$4:$P$189,"#"&amp;$A684,Consumo!H$4:H$189),4)</f>
        <v/>
      </c>
      <c r="F684" s="65">
        <f>ROUND(SUMIF(Consumo!$P$4:$P$189,"#"&amp;$A684,Consumo!I$4:I$189),4)</f>
        <v/>
      </c>
      <c r="G684" s="65">
        <f>ROUND(SUMIF(Consumo!$P$4:$P$189,"#"&amp;$A684,Consumo!J$4:J$189),4)</f>
        <v/>
      </c>
      <c r="H684" s="65">
        <f>ROUND(SUMIF(Consumo!$P$4:$P$189,"#"&amp;$A684,Consumo!K$4:K$189),4)</f>
        <v/>
      </c>
      <c r="I684" s="65">
        <f>ROUND(SUMIF(Consumo!$P$4:$P$189,"#"&amp;$A684,Consumo!L$4:L$189),4)</f>
        <v/>
      </c>
      <c r="J684" s="65">
        <f>ROUND(SUMIF(Consumo!$P$4:$P$189,"#"&amp;$A684,Consumo!M$4:M$189),4)</f>
        <v/>
      </c>
      <c r="K684" s="65">
        <f>ROUND(SUMIF(Consumo!$P$4:$P$189,"#"&amp;$A684,Consumo!N$4:N$189),4)</f>
        <v/>
      </c>
      <c r="L684" s="65">
        <f>ROUND(SUMIF(Consumo!$P$4:$P$189,"#"&amp;$A684,Consumo!O$4:O$189),4)</f>
        <v/>
      </c>
      <c r="M684" s="66" t="n"/>
    </row>
    <row r="685">
      <c r="C685" s="63" t="inlineStr">
        <is>
          <t>Recepciones programadas (ya pedido)</t>
        </is>
      </c>
      <c r="D685" s="64" t="n"/>
      <c r="E685" s="65">
        <f>SUMIF(Inventario!$M$5:$M$505,"#"&amp;$A684,Inventario!E$5:E$505)</f>
        <v/>
      </c>
      <c r="F685" s="65">
        <f>SUMIF(Inventario!$M$5:$M$505,"#"&amp;$A684,Inventario!F$5:F$505)</f>
        <v/>
      </c>
      <c r="G685" s="65">
        <f>SUMIF(Inventario!$M$5:$M$505,"#"&amp;$A684,Inventario!G$5:G$505)</f>
        <v/>
      </c>
      <c r="H685" s="65">
        <f>SUMIF(Inventario!$M$5:$M$505,"#"&amp;$A684,Inventario!H$5:H$505)</f>
        <v/>
      </c>
      <c r="I685" s="65">
        <f>SUMIF(Inventario!$M$5:$M$505,"#"&amp;$A684,Inventario!I$5:I$505)</f>
        <v/>
      </c>
      <c r="J685" s="65">
        <f>SUMIF(Inventario!$M$5:$M$505,"#"&amp;$A684,Inventario!J$5:J$505)</f>
        <v/>
      </c>
      <c r="K685" s="65">
        <f>SUMIF(Inventario!$M$5:$M$505,"#"&amp;$A684,Inventario!K$5:K$505)</f>
        <v/>
      </c>
      <c r="L685" s="65">
        <f>SUMIF(Inventario!$M$5:$M$505,"#"&amp;$A684,Inventario!L$5:L$505)</f>
        <v/>
      </c>
      <c r="M685" s="66" t="n"/>
    </row>
    <row r="686">
      <c r="C686" s="63" t="inlineStr">
        <is>
          <t>Stock proyectado disponible</t>
        </is>
      </c>
      <c r="D686" s="67">
        <f>SUMIF(Inventario!$M$5:$M$505,"#"&amp;$A684,Inventario!$C$5:$C$505)</f>
        <v/>
      </c>
      <c r="E686" s="68">
        <f>D686+E685+E688-E684</f>
        <v/>
      </c>
      <c r="F686" s="68">
        <f>E686+F685+F688-F684</f>
        <v/>
      </c>
      <c r="G686" s="68">
        <f>F686+G685+G688-G684</f>
        <v/>
      </c>
      <c r="H686" s="68">
        <f>G686+H685+H688-H684</f>
        <v/>
      </c>
      <c r="I686" s="68">
        <f>H686+I685+I688-I684</f>
        <v/>
      </c>
      <c r="J686" s="68">
        <f>I686+J685+J688-J684</f>
        <v/>
      </c>
      <c r="K686" s="68">
        <f>J686+K685+K688-K684</f>
        <v/>
      </c>
      <c r="L686" s="68">
        <f>K686+L685+L688-L684</f>
        <v/>
      </c>
      <c r="M686" s="66" t="n"/>
    </row>
    <row r="687">
      <c r="C687" s="63" t="inlineStr">
        <is>
          <t>Necesidad neta</t>
        </is>
      </c>
      <c r="D687" s="64" t="n"/>
      <c r="E687" s="69">
        <f>MAX(0,ROUND(E684+Materiales!$H$101-D686-E685,4))</f>
        <v/>
      </c>
      <c r="F687" s="69">
        <f>MAX(0,ROUND(F684+Materiales!$H$101-E686-F685,4))</f>
        <v/>
      </c>
      <c r="G687" s="69">
        <f>MAX(0,ROUND(G684+Materiales!$H$101-F686-G685,4))</f>
        <v/>
      </c>
      <c r="H687" s="69">
        <f>MAX(0,ROUND(H684+Materiales!$H$101-G686-H685,4))</f>
        <v/>
      </c>
      <c r="I687" s="69">
        <f>MAX(0,ROUND(I684+Materiales!$H$101-H686-I685,4))</f>
        <v/>
      </c>
      <c r="J687" s="69">
        <f>MAX(0,ROUND(J684+Materiales!$H$101-I686-J685,4))</f>
        <v/>
      </c>
      <c r="K687" s="69">
        <f>MAX(0,ROUND(K684+Materiales!$H$101-J686-K685,4))</f>
        <v/>
      </c>
      <c r="L687" s="69">
        <f>MAX(0,ROUND(L684+Materiales!$H$101-K686-L685,4))</f>
        <v/>
      </c>
      <c r="M687" s="66" t="n"/>
    </row>
    <row r="688">
      <c r="C688" s="63" t="inlineStr">
        <is>
          <t>Recepcion de orden planificada</t>
        </is>
      </c>
      <c r="D688" s="64" t="n"/>
      <c r="E688" s="65">
        <f>IF(E687&lt;=0,0,IF(Materiales!$G$101&lt;=0,E687,ROUNDUP(E687/Materiales!$G$101,0)*Materiales!$G$101))</f>
        <v/>
      </c>
      <c r="F688" s="65">
        <f>IF(F687&lt;=0,0,IF(Materiales!$G$101&lt;=0,F687,ROUNDUP(F687/Materiales!$G$101,0)*Materiales!$G$101))</f>
        <v/>
      </c>
      <c r="G688" s="65">
        <f>IF(G687&lt;=0,0,IF(Materiales!$G$101&lt;=0,G687,ROUNDUP(G687/Materiales!$G$101,0)*Materiales!$G$101))</f>
        <v/>
      </c>
      <c r="H688" s="65">
        <f>IF(H687&lt;=0,0,IF(Materiales!$G$101&lt;=0,H687,ROUNDUP(H687/Materiales!$G$101,0)*Materiales!$G$101))</f>
        <v/>
      </c>
      <c r="I688" s="65">
        <f>IF(I687&lt;=0,0,IF(Materiales!$G$101&lt;=0,I687,ROUNDUP(I687/Materiales!$G$101,0)*Materiales!$G$101))</f>
        <v/>
      </c>
      <c r="J688" s="65">
        <f>IF(J687&lt;=0,0,IF(Materiales!$G$101&lt;=0,J687,ROUNDUP(J687/Materiales!$G$101,0)*Materiales!$G$101))</f>
        <v/>
      </c>
      <c r="K688" s="65">
        <f>IF(K687&lt;=0,0,IF(Materiales!$G$101&lt;=0,K687,ROUNDUP(K687/Materiales!$G$101,0)*Materiales!$G$101))</f>
        <v/>
      </c>
      <c r="L688" s="65">
        <f>IF(L687&lt;=0,0,IF(Materiales!$G$101&lt;=0,L687,ROUNDUP(L687/Materiales!$G$101,0)*Materiales!$G$101))</f>
        <v/>
      </c>
      <c r="M688" s="66" t="n"/>
    </row>
    <row r="689">
      <c r="C689" s="70" t="inlineStr">
        <is>
          <t>LANZAMIENTO DE ORDEN — pedir esta semana</t>
        </is>
      </c>
      <c r="D689" s="64" t="n"/>
      <c r="E689" s="71">
        <f>IF(1+Materiales!$F$101&gt;8,0,INDEX($E$688:$L$688,1,1+Materiales!$F$101))</f>
        <v/>
      </c>
      <c r="F689" s="71">
        <f>IF(2+Materiales!$F$101&gt;8,0,INDEX($E$688:$L$688,1,2+Materiales!$F$101))</f>
        <v/>
      </c>
      <c r="G689" s="71">
        <f>IF(3+Materiales!$F$101&gt;8,0,INDEX($E$688:$L$688,1,3+Materiales!$F$101))</f>
        <v/>
      </c>
      <c r="H689" s="71">
        <f>IF(4+Materiales!$F$101&gt;8,0,INDEX($E$688:$L$688,1,4+Materiales!$F$101))</f>
        <v/>
      </c>
      <c r="I689" s="71">
        <f>IF(5+Materiales!$F$101&gt;8,0,INDEX($E$688:$L$688,1,5+Materiales!$F$101))</f>
        <v/>
      </c>
      <c r="J689" s="71">
        <f>IF(6+Materiales!$F$101&gt;8,0,INDEX($E$688:$L$688,1,6+Materiales!$F$101))</f>
        <v/>
      </c>
      <c r="K689" s="71">
        <f>IF(7+Materiales!$F$101&gt;8,0,INDEX($E$688:$L$688,1,7+Materiales!$F$101))</f>
        <v/>
      </c>
      <c r="L689" s="71">
        <f>IF(8+Materiales!$F$101&gt;8,0,INDEX($E$688:$L$688,1,8+Materiales!$F$101))</f>
        <v/>
      </c>
      <c r="M689" s="72">
        <f>IF($A684="","",IF(SUMPRODUCT((COLUMN($E$688:$L$688)-4&lt;=Materiales!$F$101)*$E$688:$L$688)&gt;0,"PEDIR YA (atrasado)","OK"))</f>
        <v/>
      </c>
    </row>
    <row r="690" ht="6" customHeight="1"/>
    <row r="691">
      <c r="A691" s="62">
        <f>IF(Materiales!$A$102="","",Materiales!$A$102)</f>
        <v/>
      </c>
      <c r="B691" s="62">
        <f>IF(Materiales!$B$102="","",Materiales!$B$102)</f>
        <v/>
      </c>
      <c r="C691" s="63" t="inlineStr">
        <is>
          <t>Necesidad bruta</t>
        </is>
      </c>
      <c r="D691" s="64" t="n"/>
      <c r="E691" s="65">
        <f>ROUND(SUMIF(Consumo!$P$4:$P$189,"#"&amp;$A691,Consumo!H$4:H$189),4)</f>
        <v/>
      </c>
      <c r="F691" s="65">
        <f>ROUND(SUMIF(Consumo!$P$4:$P$189,"#"&amp;$A691,Consumo!I$4:I$189),4)</f>
        <v/>
      </c>
      <c r="G691" s="65">
        <f>ROUND(SUMIF(Consumo!$P$4:$P$189,"#"&amp;$A691,Consumo!J$4:J$189),4)</f>
        <v/>
      </c>
      <c r="H691" s="65">
        <f>ROUND(SUMIF(Consumo!$P$4:$P$189,"#"&amp;$A691,Consumo!K$4:K$189),4)</f>
        <v/>
      </c>
      <c r="I691" s="65">
        <f>ROUND(SUMIF(Consumo!$P$4:$P$189,"#"&amp;$A691,Consumo!L$4:L$189),4)</f>
        <v/>
      </c>
      <c r="J691" s="65">
        <f>ROUND(SUMIF(Consumo!$P$4:$P$189,"#"&amp;$A691,Consumo!M$4:M$189),4)</f>
        <v/>
      </c>
      <c r="K691" s="65">
        <f>ROUND(SUMIF(Consumo!$P$4:$P$189,"#"&amp;$A691,Consumo!N$4:N$189),4)</f>
        <v/>
      </c>
      <c r="L691" s="65">
        <f>ROUND(SUMIF(Consumo!$P$4:$P$189,"#"&amp;$A691,Consumo!O$4:O$189),4)</f>
        <v/>
      </c>
      <c r="M691" s="66" t="n"/>
    </row>
    <row r="692">
      <c r="C692" s="63" t="inlineStr">
        <is>
          <t>Recepciones programadas (ya pedido)</t>
        </is>
      </c>
      <c r="D692" s="64" t="n"/>
      <c r="E692" s="65">
        <f>SUMIF(Inventario!$M$5:$M$505,"#"&amp;$A691,Inventario!E$5:E$505)</f>
        <v/>
      </c>
      <c r="F692" s="65">
        <f>SUMIF(Inventario!$M$5:$M$505,"#"&amp;$A691,Inventario!F$5:F$505)</f>
        <v/>
      </c>
      <c r="G692" s="65">
        <f>SUMIF(Inventario!$M$5:$M$505,"#"&amp;$A691,Inventario!G$5:G$505)</f>
        <v/>
      </c>
      <c r="H692" s="65">
        <f>SUMIF(Inventario!$M$5:$M$505,"#"&amp;$A691,Inventario!H$5:H$505)</f>
        <v/>
      </c>
      <c r="I692" s="65">
        <f>SUMIF(Inventario!$M$5:$M$505,"#"&amp;$A691,Inventario!I$5:I$505)</f>
        <v/>
      </c>
      <c r="J692" s="65">
        <f>SUMIF(Inventario!$M$5:$M$505,"#"&amp;$A691,Inventario!J$5:J$505)</f>
        <v/>
      </c>
      <c r="K692" s="65">
        <f>SUMIF(Inventario!$M$5:$M$505,"#"&amp;$A691,Inventario!K$5:K$505)</f>
        <v/>
      </c>
      <c r="L692" s="65">
        <f>SUMIF(Inventario!$M$5:$M$505,"#"&amp;$A691,Inventario!L$5:L$505)</f>
        <v/>
      </c>
      <c r="M692" s="66" t="n"/>
    </row>
    <row r="693">
      <c r="C693" s="63" t="inlineStr">
        <is>
          <t>Stock proyectado disponible</t>
        </is>
      </c>
      <c r="D693" s="67">
        <f>SUMIF(Inventario!$M$5:$M$505,"#"&amp;$A691,Inventario!$C$5:$C$505)</f>
        <v/>
      </c>
      <c r="E693" s="68">
        <f>D693+E692+E695-E691</f>
        <v/>
      </c>
      <c r="F693" s="68">
        <f>E693+F692+F695-F691</f>
        <v/>
      </c>
      <c r="G693" s="68">
        <f>F693+G692+G695-G691</f>
        <v/>
      </c>
      <c r="H693" s="68">
        <f>G693+H692+H695-H691</f>
        <v/>
      </c>
      <c r="I693" s="68">
        <f>H693+I692+I695-I691</f>
        <v/>
      </c>
      <c r="J693" s="68">
        <f>I693+J692+J695-J691</f>
        <v/>
      </c>
      <c r="K693" s="68">
        <f>J693+K692+K695-K691</f>
        <v/>
      </c>
      <c r="L693" s="68">
        <f>K693+L692+L695-L691</f>
        <v/>
      </c>
      <c r="M693" s="66" t="n"/>
    </row>
    <row r="694">
      <c r="C694" s="63" t="inlineStr">
        <is>
          <t>Necesidad neta</t>
        </is>
      </c>
      <c r="D694" s="64" t="n"/>
      <c r="E694" s="69">
        <f>MAX(0,ROUND(E691+Materiales!$H$102-D693-E692,4))</f>
        <v/>
      </c>
      <c r="F694" s="69">
        <f>MAX(0,ROUND(F691+Materiales!$H$102-E693-F692,4))</f>
        <v/>
      </c>
      <c r="G694" s="69">
        <f>MAX(0,ROUND(G691+Materiales!$H$102-F693-G692,4))</f>
        <v/>
      </c>
      <c r="H694" s="69">
        <f>MAX(0,ROUND(H691+Materiales!$H$102-G693-H692,4))</f>
        <v/>
      </c>
      <c r="I694" s="69">
        <f>MAX(0,ROUND(I691+Materiales!$H$102-H693-I692,4))</f>
        <v/>
      </c>
      <c r="J694" s="69">
        <f>MAX(0,ROUND(J691+Materiales!$H$102-I693-J692,4))</f>
        <v/>
      </c>
      <c r="K694" s="69">
        <f>MAX(0,ROUND(K691+Materiales!$H$102-J693-K692,4))</f>
        <v/>
      </c>
      <c r="L694" s="69">
        <f>MAX(0,ROUND(L691+Materiales!$H$102-K693-L692,4))</f>
        <v/>
      </c>
      <c r="M694" s="66" t="n"/>
    </row>
    <row r="695">
      <c r="C695" s="63" t="inlineStr">
        <is>
          <t>Recepcion de orden planificada</t>
        </is>
      </c>
      <c r="D695" s="64" t="n"/>
      <c r="E695" s="65">
        <f>IF(E694&lt;=0,0,IF(Materiales!$G$102&lt;=0,E694,ROUNDUP(E694/Materiales!$G$102,0)*Materiales!$G$102))</f>
        <v/>
      </c>
      <c r="F695" s="65">
        <f>IF(F694&lt;=0,0,IF(Materiales!$G$102&lt;=0,F694,ROUNDUP(F694/Materiales!$G$102,0)*Materiales!$G$102))</f>
        <v/>
      </c>
      <c r="G695" s="65">
        <f>IF(G694&lt;=0,0,IF(Materiales!$G$102&lt;=0,G694,ROUNDUP(G694/Materiales!$G$102,0)*Materiales!$G$102))</f>
        <v/>
      </c>
      <c r="H695" s="65">
        <f>IF(H694&lt;=0,0,IF(Materiales!$G$102&lt;=0,H694,ROUNDUP(H694/Materiales!$G$102,0)*Materiales!$G$102))</f>
        <v/>
      </c>
      <c r="I695" s="65">
        <f>IF(I694&lt;=0,0,IF(Materiales!$G$102&lt;=0,I694,ROUNDUP(I694/Materiales!$G$102,0)*Materiales!$G$102))</f>
        <v/>
      </c>
      <c r="J695" s="65">
        <f>IF(J694&lt;=0,0,IF(Materiales!$G$102&lt;=0,J694,ROUNDUP(J694/Materiales!$G$102,0)*Materiales!$G$102))</f>
        <v/>
      </c>
      <c r="K695" s="65">
        <f>IF(K694&lt;=0,0,IF(Materiales!$G$102&lt;=0,K694,ROUNDUP(K694/Materiales!$G$102,0)*Materiales!$G$102))</f>
        <v/>
      </c>
      <c r="L695" s="65">
        <f>IF(L694&lt;=0,0,IF(Materiales!$G$102&lt;=0,L694,ROUNDUP(L694/Materiales!$G$102,0)*Materiales!$G$102))</f>
        <v/>
      </c>
      <c r="M695" s="66" t="n"/>
    </row>
    <row r="696">
      <c r="C696" s="70" t="inlineStr">
        <is>
          <t>LANZAMIENTO DE ORDEN — pedir esta semana</t>
        </is>
      </c>
      <c r="D696" s="64" t="n"/>
      <c r="E696" s="71">
        <f>IF(1+Materiales!$F$102&gt;8,0,INDEX($E$695:$L$695,1,1+Materiales!$F$102))</f>
        <v/>
      </c>
      <c r="F696" s="71">
        <f>IF(2+Materiales!$F$102&gt;8,0,INDEX($E$695:$L$695,1,2+Materiales!$F$102))</f>
        <v/>
      </c>
      <c r="G696" s="71">
        <f>IF(3+Materiales!$F$102&gt;8,0,INDEX($E$695:$L$695,1,3+Materiales!$F$102))</f>
        <v/>
      </c>
      <c r="H696" s="71">
        <f>IF(4+Materiales!$F$102&gt;8,0,INDEX($E$695:$L$695,1,4+Materiales!$F$102))</f>
        <v/>
      </c>
      <c r="I696" s="71">
        <f>IF(5+Materiales!$F$102&gt;8,0,INDEX($E$695:$L$695,1,5+Materiales!$F$102))</f>
        <v/>
      </c>
      <c r="J696" s="71">
        <f>IF(6+Materiales!$F$102&gt;8,0,INDEX($E$695:$L$695,1,6+Materiales!$F$102))</f>
        <v/>
      </c>
      <c r="K696" s="71">
        <f>IF(7+Materiales!$F$102&gt;8,0,INDEX($E$695:$L$695,1,7+Materiales!$F$102))</f>
        <v/>
      </c>
      <c r="L696" s="71">
        <f>IF(8+Materiales!$F$102&gt;8,0,INDEX($E$695:$L$695,1,8+Materiales!$F$102))</f>
        <v/>
      </c>
      <c r="M696" s="72">
        <f>IF($A691="","",IF(SUMPRODUCT((COLUMN($E$695:$L$695)-4&lt;=Materiales!$F$102)*$E$695:$L$695)&gt;0,"PEDIR YA (atrasado)","OK"))</f>
        <v/>
      </c>
    </row>
    <row r="697" ht="6" customHeight="1"/>
    <row r="698">
      <c r="A698" s="62">
        <f>IF(Materiales!$A$103="","",Materiales!$A$103)</f>
        <v/>
      </c>
      <c r="B698" s="62">
        <f>IF(Materiales!$B$103="","",Materiales!$B$103)</f>
        <v/>
      </c>
      <c r="C698" s="63" t="inlineStr">
        <is>
          <t>Necesidad bruta</t>
        </is>
      </c>
      <c r="D698" s="64" t="n"/>
      <c r="E698" s="65">
        <f>ROUND(SUMIF(Consumo!$P$4:$P$189,"#"&amp;$A698,Consumo!H$4:H$189),4)</f>
        <v/>
      </c>
      <c r="F698" s="65">
        <f>ROUND(SUMIF(Consumo!$P$4:$P$189,"#"&amp;$A698,Consumo!I$4:I$189),4)</f>
        <v/>
      </c>
      <c r="G698" s="65">
        <f>ROUND(SUMIF(Consumo!$P$4:$P$189,"#"&amp;$A698,Consumo!J$4:J$189),4)</f>
        <v/>
      </c>
      <c r="H698" s="65">
        <f>ROUND(SUMIF(Consumo!$P$4:$P$189,"#"&amp;$A698,Consumo!K$4:K$189),4)</f>
        <v/>
      </c>
      <c r="I698" s="65">
        <f>ROUND(SUMIF(Consumo!$P$4:$P$189,"#"&amp;$A698,Consumo!L$4:L$189),4)</f>
        <v/>
      </c>
      <c r="J698" s="65">
        <f>ROUND(SUMIF(Consumo!$P$4:$P$189,"#"&amp;$A698,Consumo!M$4:M$189),4)</f>
        <v/>
      </c>
      <c r="K698" s="65">
        <f>ROUND(SUMIF(Consumo!$P$4:$P$189,"#"&amp;$A698,Consumo!N$4:N$189),4)</f>
        <v/>
      </c>
      <c r="L698" s="65">
        <f>ROUND(SUMIF(Consumo!$P$4:$P$189,"#"&amp;$A698,Consumo!O$4:O$189),4)</f>
        <v/>
      </c>
      <c r="M698" s="66" t="n"/>
    </row>
    <row r="699">
      <c r="C699" s="63" t="inlineStr">
        <is>
          <t>Recepciones programadas (ya pedido)</t>
        </is>
      </c>
      <c r="D699" s="64" t="n"/>
      <c r="E699" s="65">
        <f>SUMIF(Inventario!$M$5:$M$505,"#"&amp;$A698,Inventario!E$5:E$505)</f>
        <v/>
      </c>
      <c r="F699" s="65">
        <f>SUMIF(Inventario!$M$5:$M$505,"#"&amp;$A698,Inventario!F$5:F$505)</f>
        <v/>
      </c>
      <c r="G699" s="65">
        <f>SUMIF(Inventario!$M$5:$M$505,"#"&amp;$A698,Inventario!G$5:G$505)</f>
        <v/>
      </c>
      <c r="H699" s="65">
        <f>SUMIF(Inventario!$M$5:$M$505,"#"&amp;$A698,Inventario!H$5:H$505)</f>
        <v/>
      </c>
      <c r="I699" s="65">
        <f>SUMIF(Inventario!$M$5:$M$505,"#"&amp;$A698,Inventario!I$5:I$505)</f>
        <v/>
      </c>
      <c r="J699" s="65">
        <f>SUMIF(Inventario!$M$5:$M$505,"#"&amp;$A698,Inventario!J$5:J$505)</f>
        <v/>
      </c>
      <c r="K699" s="65">
        <f>SUMIF(Inventario!$M$5:$M$505,"#"&amp;$A698,Inventario!K$5:K$505)</f>
        <v/>
      </c>
      <c r="L699" s="65">
        <f>SUMIF(Inventario!$M$5:$M$505,"#"&amp;$A698,Inventario!L$5:L$505)</f>
        <v/>
      </c>
      <c r="M699" s="66" t="n"/>
    </row>
    <row r="700">
      <c r="C700" s="63" t="inlineStr">
        <is>
          <t>Stock proyectado disponible</t>
        </is>
      </c>
      <c r="D700" s="67">
        <f>SUMIF(Inventario!$M$5:$M$505,"#"&amp;$A698,Inventario!$C$5:$C$505)</f>
        <v/>
      </c>
      <c r="E700" s="68">
        <f>D700+E699+E702-E698</f>
        <v/>
      </c>
      <c r="F700" s="68">
        <f>E700+F699+F702-F698</f>
        <v/>
      </c>
      <c r="G700" s="68">
        <f>F700+G699+G702-G698</f>
        <v/>
      </c>
      <c r="H700" s="68">
        <f>G700+H699+H702-H698</f>
        <v/>
      </c>
      <c r="I700" s="68">
        <f>H700+I699+I702-I698</f>
        <v/>
      </c>
      <c r="J700" s="68">
        <f>I700+J699+J702-J698</f>
        <v/>
      </c>
      <c r="K700" s="68">
        <f>J700+K699+K702-K698</f>
        <v/>
      </c>
      <c r="L700" s="68">
        <f>K700+L699+L702-L698</f>
        <v/>
      </c>
      <c r="M700" s="66" t="n"/>
    </row>
    <row r="701">
      <c r="C701" s="63" t="inlineStr">
        <is>
          <t>Necesidad neta</t>
        </is>
      </c>
      <c r="D701" s="64" t="n"/>
      <c r="E701" s="69">
        <f>MAX(0,ROUND(E698+Materiales!$H$103-D700-E699,4))</f>
        <v/>
      </c>
      <c r="F701" s="69">
        <f>MAX(0,ROUND(F698+Materiales!$H$103-E700-F699,4))</f>
        <v/>
      </c>
      <c r="G701" s="69">
        <f>MAX(0,ROUND(G698+Materiales!$H$103-F700-G699,4))</f>
        <v/>
      </c>
      <c r="H701" s="69">
        <f>MAX(0,ROUND(H698+Materiales!$H$103-G700-H699,4))</f>
        <v/>
      </c>
      <c r="I701" s="69">
        <f>MAX(0,ROUND(I698+Materiales!$H$103-H700-I699,4))</f>
        <v/>
      </c>
      <c r="J701" s="69">
        <f>MAX(0,ROUND(J698+Materiales!$H$103-I700-J699,4))</f>
        <v/>
      </c>
      <c r="K701" s="69">
        <f>MAX(0,ROUND(K698+Materiales!$H$103-J700-K699,4))</f>
        <v/>
      </c>
      <c r="L701" s="69">
        <f>MAX(0,ROUND(L698+Materiales!$H$103-K700-L699,4))</f>
        <v/>
      </c>
      <c r="M701" s="66" t="n"/>
    </row>
    <row r="702">
      <c r="C702" s="63" t="inlineStr">
        <is>
          <t>Recepcion de orden planificada</t>
        </is>
      </c>
      <c r="D702" s="64" t="n"/>
      <c r="E702" s="65">
        <f>IF(E701&lt;=0,0,IF(Materiales!$G$103&lt;=0,E701,ROUNDUP(E701/Materiales!$G$103,0)*Materiales!$G$103))</f>
        <v/>
      </c>
      <c r="F702" s="65">
        <f>IF(F701&lt;=0,0,IF(Materiales!$G$103&lt;=0,F701,ROUNDUP(F701/Materiales!$G$103,0)*Materiales!$G$103))</f>
        <v/>
      </c>
      <c r="G702" s="65">
        <f>IF(G701&lt;=0,0,IF(Materiales!$G$103&lt;=0,G701,ROUNDUP(G701/Materiales!$G$103,0)*Materiales!$G$103))</f>
        <v/>
      </c>
      <c r="H702" s="65">
        <f>IF(H701&lt;=0,0,IF(Materiales!$G$103&lt;=0,H701,ROUNDUP(H701/Materiales!$G$103,0)*Materiales!$G$103))</f>
        <v/>
      </c>
      <c r="I702" s="65">
        <f>IF(I701&lt;=0,0,IF(Materiales!$G$103&lt;=0,I701,ROUNDUP(I701/Materiales!$G$103,0)*Materiales!$G$103))</f>
        <v/>
      </c>
      <c r="J702" s="65">
        <f>IF(J701&lt;=0,0,IF(Materiales!$G$103&lt;=0,J701,ROUNDUP(J701/Materiales!$G$103,0)*Materiales!$G$103))</f>
        <v/>
      </c>
      <c r="K702" s="65">
        <f>IF(K701&lt;=0,0,IF(Materiales!$G$103&lt;=0,K701,ROUNDUP(K701/Materiales!$G$103,0)*Materiales!$G$103))</f>
        <v/>
      </c>
      <c r="L702" s="65">
        <f>IF(L701&lt;=0,0,IF(Materiales!$G$103&lt;=0,L701,ROUNDUP(L701/Materiales!$G$103,0)*Materiales!$G$103))</f>
        <v/>
      </c>
      <c r="M702" s="66" t="n"/>
    </row>
    <row r="703">
      <c r="C703" s="70" t="inlineStr">
        <is>
          <t>LANZAMIENTO DE ORDEN — pedir esta semana</t>
        </is>
      </c>
      <c r="D703" s="64" t="n"/>
      <c r="E703" s="71">
        <f>IF(1+Materiales!$F$103&gt;8,0,INDEX($E$702:$L$702,1,1+Materiales!$F$103))</f>
        <v/>
      </c>
      <c r="F703" s="71">
        <f>IF(2+Materiales!$F$103&gt;8,0,INDEX($E$702:$L$702,1,2+Materiales!$F$103))</f>
        <v/>
      </c>
      <c r="G703" s="71">
        <f>IF(3+Materiales!$F$103&gt;8,0,INDEX($E$702:$L$702,1,3+Materiales!$F$103))</f>
        <v/>
      </c>
      <c r="H703" s="71">
        <f>IF(4+Materiales!$F$103&gt;8,0,INDEX($E$702:$L$702,1,4+Materiales!$F$103))</f>
        <v/>
      </c>
      <c r="I703" s="71">
        <f>IF(5+Materiales!$F$103&gt;8,0,INDEX($E$702:$L$702,1,5+Materiales!$F$103))</f>
        <v/>
      </c>
      <c r="J703" s="71">
        <f>IF(6+Materiales!$F$103&gt;8,0,INDEX($E$702:$L$702,1,6+Materiales!$F$103))</f>
        <v/>
      </c>
      <c r="K703" s="71">
        <f>IF(7+Materiales!$F$103&gt;8,0,INDEX($E$702:$L$702,1,7+Materiales!$F$103))</f>
        <v/>
      </c>
      <c r="L703" s="71">
        <f>IF(8+Materiales!$F$103&gt;8,0,INDEX($E$702:$L$702,1,8+Materiales!$F$103))</f>
        <v/>
      </c>
      <c r="M703" s="72">
        <f>IF($A698="","",IF(SUMPRODUCT((COLUMN($E$702:$L$702)-4&lt;=Materiales!$F$103)*$E$702:$L$702)&gt;0,"PEDIR YA (atrasado)","OK"))</f>
        <v/>
      </c>
    </row>
    <row r="704" ht="6" customHeight="1"/>
    <row r="705">
      <c r="A705" s="62">
        <f>IF(Materiales!$A$104="","",Materiales!$A$104)</f>
        <v/>
      </c>
      <c r="B705" s="62">
        <f>IF(Materiales!$B$104="","",Materiales!$B$104)</f>
        <v/>
      </c>
      <c r="C705" s="63" t="inlineStr">
        <is>
          <t>Necesidad bruta</t>
        </is>
      </c>
      <c r="D705" s="64" t="n"/>
      <c r="E705" s="65">
        <f>ROUND(SUMIF(Consumo!$P$4:$P$189,"#"&amp;$A705,Consumo!H$4:H$189),4)</f>
        <v/>
      </c>
      <c r="F705" s="65">
        <f>ROUND(SUMIF(Consumo!$P$4:$P$189,"#"&amp;$A705,Consumo!I$4:I$189),4)</f>
        <v/>
      </c>
      <c r="G705" s="65">
        <f>ROUND(SUMIF(Consumo!$P$4:$P$189,"#"&amp;$A705,Consumo!J$4:J$189),4)</f>
        <v/>
      </c>
      <c r="H705" s="65">
        <f>ROUND(SUMIF(Consumo!$P$4:$P$189,"#"&amp;$A705,Consumo!K$4:K$189),4)</f>
        <v/>
      </c>
      <c r="I705" s="65">
        <f>ROUND(SUMIF(Consumo!$P$4:$P$189,"#"&amp;$A705,Consumo!L$4:L$189),4)</f>
        <v/>
      </c>
      <c r="J705" s="65">
        <f>ROUND(SUMIF(Consumo!$P$4:$P$189,"#"&amp;$A705,Consumo!M$4:M$189),4)</f>
        <v/>
      </c>
      <c r="K705" s="65">
        <f>ROUND(SUMIF(Consumo!$P$4:$P$189,"#"&amp;$A705,Consumo!N$4:N$189),4)</f>
        <v/>
      </c>
      <c r="L705" s="65">
        <f>ROUND(SUMIF(Consumo!$P$4:$P$189,"#"&amp;$A705,Consumo!O$4:O$189),4)</f>
        <v/>
      </c>
      <c r="M705" s="66" t="n"/>
    </row>
    <row r="706">
      <c r="C706" s="63" t="inlineStr">
        <is>
          <t>Recepciones programadas (ya pedido)</t>
        </is>
      </c>
      <c r="D706" s="64" t="n"/>
      <c r="E706" s="65">
        <f>SUMIF(Inventario!$M$5:$M$505,"#"&amp;$A705,Inventario!E$5:E$505)</f>
        <v/>
      </c>
      <c r="F706" s="65">
        <f>SUMIF(Inventario!$M$5:$M$505,"#"&amp;$A705,Inventario!F$5:F$505)</f>
        <v/>
      </c>
      <c r="G706" s="65">
        <f>SUMIF(Inventario!$M$5:$M$505,"#"&amp;$A705,Inventario!G$5:G$505)</f>
        <v/>
      </c>
      <c r="H706" s="65">
        <f>SUMIF(Inventario!$M$5:$M$505,"#"&amp;$A705,Inventario!H$5:H$505)</f>
        <v/>
      </c>
      <c r="I706" s="65">
        <f>SUMIF(Inventario!$M$5:$M$505,"#"&amp;$A705,Inventario!I$5:I$505)</f>
        <v/>
      </c>
      <c r="J706" s="65">
        <f>SUMIF(Inventario!$M$5:$M$505,"#"&amp;$A705,Inventario!J$5:J$505)</f>
        <v/>
      </c>
      <c r="K706" s="65">
        <f>SUMIF(Inventario!$M$5:$M$505,"#"&amp;$A705,Inventario!K$5:K$505)</f>
        <v/>
      </c>
      <c r="L706" s="65">
        <f>SUMIF(Inventario!$M$5:$M$505,"#"&amp;$A705,Inventario!L$5:L$505)</f>
        <v/>
      </c>
      <c r="M706" s="66" t="n"/>
    </row>
    <row r="707">
      <c r="C707" s="63" t="inlineStr">
        <is>
          <t>Stock proyectado disponible</t>
        </is>
      </c>
      <c r="D707" s="67">
        <f>SUMIF(Inventario!$M$5:$M$505,"#"&amp;$A705,Inventario!$C$5:$C$505)</f>
        <v/>
      </c>
      <c r="E707" s="68">
        <f>D707+E706+E709-E705</f>
        <v/>
      </c>
      <c r="F707" s="68">
        <f>E707+F706+F709-F705</f>
        <v/>
      </c>
      <c r="G707" s="68">
        <f>F707+G706+G709-G705</f>
        <v/>
      </c>
      <c r="H707" s="68">
        <f>G707+H706+H709-H705</f>
        <v/>
      </c>
      <c r="I707" s="68">
        <f>H707+I706+I709-I705</f>
        <v/>
      </c>
      <c r="J707" s="68">
        <f>I707+J706+J709-J705</f>
        <v/>
      </c>
      <c r="K707" s="68">
        <f>J707+K706+K709-K705</f>
        <v/>
      </c>
      <c r="L707" s="68">
        <f>K707+L706+L709-L705</f>
        <v/>
      </c>
      <c r="M707" s="66" t="n"/>
    </row>
    <row r="708">
      <c r="C708" s="63" t="inlineStr">
        <is>
          <t>Necesidad neta</t>
        </is>
      </c>
      <c r="D708" s="64" t="n"/>
      <c r="E708" s="69">
        <f>MAX(0,ROUND(E705+Materiales!$H$104-D707-E706,4))</f>
        <v/>
      </c>
      <c r="F708" s="69">
        <f>MAX(0,ROUND(F705+Materiales!$H$104-E707-F706,4))</f>
        <v/>
      </c>
      <c r="G708" s="69">
        <f>MAX(0,ROUND(G705+Materiales!$H$104-F707-G706,4))</f>
        <v/>
      </c>
      <c r="H708" s="69">
        <f>MAX(0,ROUND(H705+Materiales!$H$104-G707-H706,4))</f>
        <v/>
      </c>
      <c r="I708" s="69">
        <f>MAX(0,ROUND(I705+Materiales!$H$104-H707-I706,4))</f>
        <v/>
      </c>
      <c r="J708" s="69">
        <f>MAX(0,ROUND(J705+Materiales!$H$104-I707-J706,4))</f>
        <v/>
      </c>
      <c r="K708" s="69">
        <f>MAX(0,ROUND(K705+Materiales!$H$104-J707-K706,4))</f>
        <v/>
      </c>
      <c r="L708" s="69">
        <f>MAX(0,ROUND(L705+Materiales!$H$104-K707-L706,4))</f>
        <v/>
      </c>
      <c r="M708" s="66" t="n"/>
    </row>
    <row r="709">
      <c r="C709" s="63" t="inlineStr">
        <is>
          <t>Recepcion de orden planificada</t>
        </is>
      </c>
      <c r="D709" s="64" t="n"/>
      <c r="E709" s="65">
        <f>IF(E708&lt;=0,0,IF(Materiales!$G$104&lt;=0,E708,ROUNDUP(E708/Materiales!$G$104,0)*Materiales!$G$104))</f>
        <v/>
      </c>
      <c r="F709" s="65">
        <f>IF(F708&lt;=0,0,IF(Materiales!$G$104&lt;=0,F708,ROUNDUP(F708/Materiales!$G$104,0)*Materiales!$G$104))</f>
        <v/>
      </c>
      <c r="G709" s="65">
        <f>IF(G708&lt;=0,0,IF(Materiales!$G$104&lt;=0,G708,ROUNDUP(G708/Materiales!$G$104,0)*Materiales!$G$104))</f>
        <v/>
      </c>
      <c r="H709" s="65">
        <f>IF(H708&lt;=0,0,IF(Materiales!$G$104&lt;=0,H708,ROUNDUP(H708/Materiales!$G$104,0)*Materiales!$G$104))</f>
        <v/>
      </c>
      <c r="I709" s="65">
        <f>IF(I708&lt;=0,0,IF(Materiales!$G$104&lt;=0,I708,ROUNDUP(I708/Materiales!$G$104,0)*Materiales!$G$104))</f>
        <v/>
      </c>
      <c r="J709" s="65">
        <f>IF(J708&lt;=0,0,IF(Materiales!$G$104&lt;=0,J708,ROUNDUP(J708/Materiales!$G$104,0)*Materiales!$G$104))</f>
        <v/>
      </c>
      <c r="K709" s="65">
        <f>IF(K708&lt;=0,0,IF(Materiales!$G$104&lt;=0,K708,ROUNDUP(K708/Materiales!$G$104,0)*Materiales!$G$104))</f>
        <v/>
      </c>
      <c r="L709" s="65">
        <f>IF(L708&lt;=0,0,IF(Materiales!$G$104&lt;=0,L708,ROUNDUP(L708/Materiales!$G$104,0)*Materiales!$G$104))</f>
        <v/>
      </c>
      <c r="M709" s="66" t="n"/>
    </row>
    <row r="710">
      <c r="C710" s="70" t="inlineStr">
        <is>
          <t>LANZAMIENTO DE ORDEN — pedir esta semana</t>
        </is>
      </c>
      <c r="D710" s="64" t="n"/>
      <c r="E710" s="71">
        <f>IF(1+Materiales!$F$104&gt;8,0,INDEX($E$709:$L$709,1,1+Materiales!$F$104))</f>
        <v/>
      </c>
      <c r="F710" s="71">
        <f>IF(2+Materiales!$F$104&gt;8,0,INDEX($E$709:$L$709,1,2+Materiales!$F$104))</f>
        <v/>
      </c>
      <c r="G710" s="71">
        <f>IF(3+Materiales!$F$104&gt;8,0,INDEX($E$709:$L$709,1,3+Materiales!$F$104))</f>
        <v/>
      </c>
      <c r="H710" s="71">
        <f>IF(4+Materiales!$F$104&gt;8,0,INDEX($E$709:$L$709,1,4+Materiales!$F$104))</f>
        <v/>
      </c>
      <c r="I710" s="71">
        <f>IF(5+Materiales!$F$104&gt;8,0,INDEX($E$709:$L$709,1,5+Materiales!$F$104))</f>
        <v/>
      </c>
      <c r="J710" s="71">
        <f>IF(6+Materiales!$F$104&gt;8,0,INDEX($E$709:$L$709,1,6+Materiales!$F$104))</f>
        <v/>
      </c>
      <c r="K710" s="71">
        <f>IF(7+Materiales!$F$104&gt;8,0,INDEX($E$709:$L$709,1,7+Materiales!$F$104))</f>
        <v/>
      </c>
      <c r="L710" s="71">
        <f>IF(8+Materiales!$F$104&gt;8,0,INDEX($E$709:$L$709,1,8+Materiales!$F$104))</f>
        <v/>
      </c>
      <c r="M710" s="72">
        <f>IF($A705="","",IF(SUMPRODUCT((COLUMN($E$709:$L$709)-4&lt;=Materiales!$F$104)*$E$709:$L$709)&gt;0,"PEDIR YA (atrasado)","OK"))</f>
        <v/>
      </c>
    </row>
    <row r="711" ht="6" customHeight="1"/>
    <row r="712">
      <c r="A712" s="62">
        <f>IF(Materiales!$A$105="","",Materiales!$A$105)</f>
        <v/>
      </c>
      <c r="B712" s="62">
        <f>IF(Materiales!$B$105="","",Materiales!$B$105)</f>
        <v/>
      </c>
      <c r="C712" s="63" t="inlineStr">
        <is>
          <t>Necesidad bruta</t>
        </is>
      </c>
      <c r="D712" s="64" t="n"/>
      <c r="E712" s="65">
        <f>ROUND(SUMIF(Consumo!$P$4:$P$189,"#"&amp;$A712,Consumo!H$4:H$189),4)</f>
        <v/>
      </c>
      <c r="F712" s="65">
        <f>ROUND(SUMIF(Consumo!$P$4:$P$189,"#"&amp;$A712,Consumo!I$4:I$189),4)</f>
        <v/>
      </c>
      <c r="G712" s="65">
        <f>ROUND(SUMIF(Consumo!$P$4:$P$189,"#"&amp;$A712,Consumo!J$4:J$189),4)</f>
        <v/>
      </c>
      <c r="H712" s="65">
        <f>ROUND(SUMIF(Consumo!$P$4:$P$189,"#"&amp;$A712,Consumo!K$4:K$189),4)</f>
        <v/>
      </c>
      <c r="I712" s="65">
        <f>ROUND(SUMIF(Consumo!$P$4:$P$189,"#"&amp;$A712,Consumo!L$4:L$189),4)</f>
        <v/>
      </c>
      <c r="J712" s="65">
        <f>ROUND(SUMIF(Consumo!$P$4:$P$189,"#"&amp;$A712,Consumo!M$4:M$189),4)</f>
        <v/>
      </c>
      <c r="K712" s="65">
        <f>ROUND(SUMIF(Consumo!$P$4:$P$189,"#"&amp;$A712,Consumo!N$4:N$189),4)</f>
        <v/>
      </c>
      <c r="L712" s="65">
        <f>ROUND(SUMIF(Consumo!$P$4:$P$189,"#"&amp;$A712,Consumo!O$4:O$189),4)</f>
        <v/>
      </c>
      <c r="M712" s="66" t="n"/>
    </row>
    <row r="713">
      <c r="C713" s="63" t="inlineStr">
        <is>
          <t>Recepciones programadas (ya pedido)</t>
        </is>
      </c>
      <c r="D713" s="64" t="n"/>
      <c r="E713" s="65">
        <f>SUMIF(Inventario!$M$5:$M$505,"#"&amp;$A712,Inventario!E$5:E$505)</f>
        <v/>
      </c>
      <c r="F713" s="65">
        <f>SUMIF(Inventario!$M$5:$M$505,"#"&amp;$A712,Inventario!F$5:F$505)</f>
        <v/>
      </c>
      <c r="G713" s="65">
        <f>SUMIF(Inventario!$M$5:$M$505,"#"&amp;$A712,Inventario!G$5:G$505)</f>
        <v/>
      </c>
      <c r="H713" s="65">
        <f>SUMIF(Inventario!$M$5:$M$505,"#"&amp;$A712,Inventario!H$5:H$505)</f>
        <v/>
      </c>
      <c r="I713" s="65">
        <f>SUMIF(Inventario!$M$5:$M$505,"#"&amp;$A712,Inventario!I$5:I$505)</f>
        <v/>
      </c>
      <c r="J713" s="65">
        <f>SUMIF(Inventario!$M$5:$M$505,"#"&amp;$A712,Inventario!J$5:J$505)</f>
        <v/>
      </c>
      <c r="K713" s="65">
        <f>SUMIF(Inventario!$M$5:$M$505,"#"&amp;$A712,Inventario!K$5:K$505)</f>
        <v/>
      </c>
      <c r="L713" s="65">
        <f>SUMIF(Inventario!$M$5:$M$505,"#"&amp;$A712,Inventario!L$5:L$505)</f>
        <v/>
      </c>
      <c r="M713" s="66" t="n"/>
    </row>
    <row r="714">
      <c r="C714" s="63" t="inlineStr">
        <is>
          <t>Stock proyectado disponible</t>
        </is>
      </c>
      <c r="D714" s="67">
        <f>SUMIF(Inventario!$M$5:$M$505,"#"&amp;$A712,Inventario!$C$5:$C$505)</f>
        <v/>
      </c>
      <c r="E714" s="68">
        <f>D714+E713+E716-E712</f>
        <v/>
      </c>
      <c r="F714" s="68">
        <f>E714+F713+F716-F712</f>
        <v/>
      </c>
      <c r="G714" s="68">
        <f>F714+G713+G716-G712</f>
        <v/>
      </c>
      <c r="H714" s="68">
        <f>G714+H713+H716-H712</f>
        <v/>
      </c>
      <c r="I714" s="68">
        <f>H714+I713+I716-I712</f>
        <v/>
      </c>
      <c r="J714" s="68">
        <f>I714+J713+J716-J712</f>
        <v/>
      </c>
      <c r="K714" s="68">
        <f>J714+K713+K716-K712</f>
        <v/>
      </c>
      <c r="L714" s="68">
        <f>K714+L713+L716-L712</f>
        <v/>
      </c>
      <c r="M714" s="66" t="n"/>
    </row>
    <row r="715">
      <c r="C715" s="63" t="inlineStr">
        <is>
          <t>Necesidad neta</t>
        </is>
      </c>
      <c r="D715" s="64" t="n"/>
      <c r="E715" s="69">
        <f>MAX(0,ROUND(E712+Materiales!$H$105-D714-E713,4))</f>
        <v/>
      </c>
      <c r="F715" s="69">
        <f>MAX(0,ROUND(F712+Materiales!$H$105-E714-F713,4))</f>
        <v/>
      </c>
      <c r="G715" s="69">
        <f>MAX(0,ROUND(G712+Materiales!$H$105-F714-G713,4))</f>
        <v/>
      </c>
      <c r="H715" s="69">
        <f>MAX(0,ROUND(H712+Materiales!$H$105-G714-H713,4))</f>
        <v/>
      </c>
      <c r="I715" s="69">
        <f>MAX(0,ROUND(I712+Materiales!$H$105-H714-I713,4))</f>
        <v/>
      </c>
      <c r="J715" s="69">
        <f>MAX(0,ROUND(J712+Materiales!$H$105-I714-J713,4))</f>
        <v/>
      </c>
      <c r="K715" s="69">
        <f>MAX(0,ROUND(K712+Materiales!$H$105-J714-K713,4))</f>
        <v/>
      </c>
      <c r="L715" s="69">
        <f>MAX(0,ROUND(L712+Materiales!$H$105-K714-L713,4))</f>
        <v/>
      </c>
      <c r="M715" s="66" t="n"/>
    </row>
    <row r="716">
      <c r="C716" s="63" t="inlineStr">
        <is>
          <t>Recepcion de orden planificada</t>
        </is>
      </c>
      <c r="D716" s="64" t="n"/>
      <c r="E716" s="65">
        <f>IF(E715&lt;=0,0,IF(Materiales!$G$105&lt;=0,E715,ROUNDUP(E715/Materiales!$G$105,0)*Materiales!$G$105))</f>
        <v/>
      </c>
      <c r="F716" s="65">
        <f>IF(F715&lt;=0,0,IF(Materiales!$G$105&lt;=0,F715,ROUNDUP(F715/Materiales!$G$105,0)*Materiales!$G$105))</f>
        <v/>
      </c>
      <c r="G716" s="65">
        <f>IF(G715&lt;=0,0,IF(Materiales!$G$105&lt;=0,G715,ROUNDUP(G715/Materiales!$G$105,0)*Materiales!$G$105))</f>
        <v/>
      </c>
      <c r="H716" s="65">
        <f>IF(H715&lt;=0,0,IF(Materiales!$G$105&lt;=0,H715,ROUNDUP(H715/Materiales!$G$105,0)*Materiales!$G$105))</f>
        <v/>
      </c>
      <c r="I716" s="65">
        <f>IF(I715&lt;=0,0,IF(Materiales!$G$105&lt;=0,I715,ROUNDUP(I715/Materiales!$G$105,0)*Materiales!$G$105))</f>
        <v/>
      </c>
      <c r="J716" s="65">
        <f>IF(J715&lt;=0,0,IF(Materiales!$G$105&lt;=0,J715,ROUNDUP(J715/Materiales!$G$105,0)*Materiales!$G$105))</f>
        <v/>
      </c>
      <c r="K716" s="65">
        <f>IF(K715&lt;=0,0,IF(Materiales!$G$105&lt;=0,K715,ROUNDUP(K715/Materiales!$G$105,0)*Materiales!$G$105))</f>
        <v/>
      </c>
      <c r="L716" s="65">
        <f>IF(L715&lt;=0,0,IF(Materiales!$G$105&lt;=0,L715,ROUNDUP(L715/Materiales!$G$105,0)*Materiales!$G$105))</f>
        <v/>
      </c>
      <c r="M716" s="66" t="n"/>
    </row>
    <row r="717">
      <c r="C717" s="70" t="inlineStr">
        <is>
          <t>LANZAMIENTO DE ORDEN — pedir esta semana</t>
        </is>
      </c>
      <c r="D717" s="64" t="n"/>
      <c r="E717" s="71">
        <f>IF(1+Materiales!$F$105&gt;8,0,INDEX($E$716:$L$716,1,1+Materiales!$F$105))</f>
        <v/>
      </c>
      <c r="F717" s="71">
        <f>IF(2+Materiales!$F$105&gt;8,0,INDEX($E$716:$L$716,1,2+Materiales!$F$105))</f>
        <v/>
      </c>
      <c r="G717" s="71">
        <f>IF(3+Materiales!$F$105&gt;8,0,INDEX($E$716:$L$716,1,3+Materiales!$F$105))</f>
        <v/>
      </c>
      <c r="H717" s="71">
        <f>IF(4+Materiales!$F$105&gt;8,0,INDEX($E$716:$L$716,1,4+Materiales!$F$105))</f>
        <v/>
      </c>
      <c r="I717" s="71">
        <f>IF(5+Materiales!$F$105&gt;8,0,INDEX($E$716:$L$716,1,5+Materiales!$F$105))</f>
        <v/>
      </c>
      <c r="J717" s="71">
        <f>IF(6+Materiales!$F$105&gt;8,0,INDEX($E$716:$L$716,1,6+Materiales!$F$105))</f>
        <v/>
      </c>
      <c r="K717" s="71">
        <f>IF(7+Materiales!$F$105&gt;8,0,INDEX($E$716:$L$716,1,7+Materiales!$F$105))</f>
        <v/>
      </c>
      <c r="L717" s="71">
        <f>IF(8+Materiales!$F$105&gt;8,0,INDEX($E$716:$L$716,1,8+Materiales!$F$105))</f>
        <v/>
      </c>
      <c r="M717" s="72">
        <f>IF($A712="","",IF(SUMPRODUCT((COLUMN($E$716:$L$716)-4&lt;=Materiales!$F$105)*$E$716:$L$716)&gt;0,"PEDIR YA (atrasado)","OK"))</f>
        <v/>
      </c>
    </row>
    <row r="718" ht="6" customHeight="1"/>
    <row r="719">
      <c r="A719" s="62">
        <f>IF(Materiales!$A$106="","",Materiales!$A$106)</f>
        <v/>
      </c>
      <c r="B719" s="62">
        <f>IF(Materiales!$B$106="","",Materiales!$B$106)</f>
        <v/>
      </c>
      <c r="C719" s="63" t="inlineStr">
        <is>
          <t>Necesidad bruta</t>
        </is>
      </c>
      <c r="D719" s="64" t="n"/>
      <c r="E719" s="65">
        <f>ROUND(SUMIF(Consumo!$P$4:$P$189,"#"&amp;$A719,Consumo!H$4:H$189),4)</f>
        <v/>
      </c>
      <c r="F719" s="65">
        <f>ROUND(SUMIF(Consumo!$P$4:$P$189,"#"&amp;$A719,Consumo!I$4:I$189),4)</f>
        <v/>
      </c>
      <c r="G719" s="65">
        <f>ROUND(SUMIF(Consumo!$P$4:$P$189,"#"&amp;$A719,Consumo!J$4:J$189),4)</f>
        <v/>
      </c>
      <c r="H719" s="65">
        <f>ROUND(SUMIF(Consumo!$P$4:$P$189,"#"&amp;$A719,Consumo!K$4:K$189),4)</f>
        <v/>
      </c>
      <c r="I719" s="65">
        <f>ROUND(SUMIF(Consumo!$P$4:$P$189,"#"&amp;$A719,Consumo!L$4:L$189),4)</f>
        <v/>
      </c>
      <c r="J719" s="65">
        <f>ROUND(SUMIF(Consumo!$P$4:$P$189,"#"&amp;$A719,Consumo!M$4:M$189),4)</f>
        <v/>
      </c>
      <c r="K719" s="65">
        <f>ROUND(SUMIF(Consumo!$P$4:$P$189,"#"&amp;$A719,Consumo!N$4:N$189),4)</f>
        <v/>
      </c>
      <c r="L719" s="65">
        <f>ROUND(SUMIF(Consumo!$P$4:$P$189,"#"&amp;$A719,Consumo!O$4:O$189),4)</f>
        <v/>
      </c>
      <c r="M719" s="66" t="n"/>
    </row>
    <row r="720">
      <c r="C720" s="63" t="inlineStr">
        <is>
          <t>Recepciones programadas (ya pedido)</t>
        </is>
      </c>
      <c r="D720" s="64" t="n"/>
      <c r="E720" s="65">
        <f>SUMIF(Inventario!$M$5:$M$505,"#"&amp;$A719,Inventario!E$5:E$505)</f>
        <v/>
      </c>
      <c r="F720" s="65">
        <f>SUMIF(Inventario!$M$5:$M$505,"#"&amp;$A719,Inventario!F$5:F$505)</f>
        <v/>
      </c>
      <c r="G720" s="65">
        <f>SUMIF(Inventario!$M$5:$M$505,"#"&amp;$A719,Inventario!G$5:G$505)</f>
        <v/>
      </c>
      <c r="H720" s="65">
        <f>SUMIF(Inventario!$M$5:$M$505,"#"&amp;$A719,Inventario!H$5:H$505)</f>
        <v/>
      </c>
      <c r="I720" s="65">
        <f>SUMIF(Inventario!$M$5:$M$505,"#"&amp;$A719,Inventario!I$5:I$505)</f>
        <v/>
      </c>
      <c r="J720" s="65">
        <f>SUMIF(Inventario!$M$5:$M$505,"#"&amp;$A719,Inventario!J$5:J$505)</f>
        <v/>
      </c>
      <c r="K720" s="65">
        <f>SUMIF(Inventario!$M$5:$M$505,"#"&amp;$A719,Inventario!K$5:K$505)</f>
        <v/>
      </c>
      <c r="L720" s="65">
        <f>SUMIF(Inventario!$M$5:$M$505,"#"&amp;$A719,Inventario!L$5:L$505)</f>
        <v/>
      </c>
      <c r="M720" s="66" t="n"/>
    </row>
    <row r="721">
      <c r="C721" s="63" t="inlineStr">
        <is>
          <t>Stock proyectado disponible</t>
        </is>
      </c>
      <c r="D721" s="67">
        <f>SUMIF(Inventario!$M$5:$M$505,"#"&amp;$A719,Inventario!$C$5:$C$505)</f>
        <v/>
      </c>
      <c r="E721" s="68">
        <f>D721+E720+E723-E719</f>
        <v/>
      </c>
      <c r="F721" s="68">
        <f>E721+F720+F723-F719</f>
        <v/>
      </c>
      <c r="G721" s="68">
        <f>F721+G720+G723-G719</f>
        <v/>
      </c>
      <c r="H721" s="68">
        <f>G721+H720+H723-H719</f>
        <v/>
      </c>
      <c r="I721" s="68">
        <f>H721+I720+I723-I719</f>
        <v/>
      </c>
      <c r="J721" s="68">
        <f>I721+J720+J723-J719</f>
        <v/>
      </c>
      <c r="K721" s="68">
        <f>J721+K720+K723-K719</f>
        <v/>
      </c>
      <c r="L721" s="68">
        <f>K721+L720+L723-L719</f>
        <v/>
      </c>
      <c r="M721" s="66" t="n"/>
    </row>
    <row r="722">
      <c r="C722" s="63" t="inlineStr">
        <is>
          <t>Necesidad neta</t>
        </is>
      </c>
      <c r="D722" s="64" t="n"/>
      <c r="E722" s="69">
        <f>MAX(0,ROUND(E719+Materiales!$H$106-D721-E720,4))</f>
        <v/>
      </c>
      <c r="F722" s="69">
        <f>MAX(0,ROUND(F719+Materiales!$H$106-E721-F720,4))</f>
        <v/>
      </c>
      <c r="G722" s="69">
        <f>MAX(0,ROUND(G719+Materiales!$H$106-F721-G720,4))</f>
        <v/>
      </c>
      <c r="H722" s="69">
        <f>MAX(0,ROUND(H719+Materiales!$H$106-G721-H720,4))</f>
        <v/>
      </c>
      <c r="I722" s="69">
        <f>MAX(0,ROUND(I719+Materiales!$H$106-H721-I720,4))</f>
        <v/>
      </c>
      <c r="J722" s="69">
        <f>MAX(0,ROUND(J719+Materiales!$H$106-I721-J720,4))</f>
        <v/>
      </c>
      <c r="K722" s="69">
        <f>MAX(0,ROUND(K719+Materiales!$H$106-J721-K720,4))</f>
        <v/>
      </c>
      <c r="L722" s="69">
        <f>MAX(0,ROUND(L719+Materiales!$H$106-K721-L720,4))</f>
        <v/>
      </c>
      <c r="M722" s="66" t="n"/>
    </row>
    <row r="723">
      <c r="C723" s="63" t="inlineStr">
        <is>
          <t>Recepcion de orden planificada</t>
        </is>
      </c>
      <c r="D723" s="64" t="n"/>
      <c r="E723" s="65">
        <f>IF(E722&lt;=0,0,IF(Materiales!$G$106&lt;=0,E722,ROUNDUP(E722/Materiales!$G$106,0)*Materiales!$G$106))</f>
        <v/>
      </c>
      <c r="F723" s="65">
        <f>IF(F722&lt;=0,0,IF(Materiales!$G$106&lt;=0,F722,ROUNDUP(F722/Materiales!$G$106,0)*Materiales!$G$106))</f>
        <v/>
      </c>
      <c r="G723" s="65">
        <f>IF(G722&lt;=0,0,IF(Materiales!$G$106&lt;=0,G722,ROUNDUP(G722/Materiales!$G$106,0)*Materiales!$G$106))</f>
        <v/>
      </c>
      <c r="H723" s="65">
        <f>IF(H722&lt;=0,0,IF(Materiales!$G$106&lt;=0,H722,ROUNDUP(H722/Materiales!$G$106,0)*Materiales!$G$106))</f>
        <v/>
      </c>
      <c r="I723" s="65">
        <f>IF(I722&lt;=0,0,IF(Materiales!$G$106&lt;=0,I722,ROUNDUP(I722/Materiales!$G$106,0)*Materiales!$G$106))</f>
        <v/>
      </c>
      <c r="J723" s="65">
        <f>IF(J722&lt;=0,0,IF(Materiales!$G$106&lt;=0,J722,ROUNDUP(J722/Materiales!$G$106,0)*Materiales!$G$106))</f>
        <v/>
      </c>
      <c r="K723" s="65">
        <f>IF(K722&lt;=0,0,IF(Materiales!$G$106&lt;=0,K722,ROUNDUP(K722/Materiales!$G$106,0)*Materiales!$G$106))</f>
        <v/>
      </c>
      <c r="L723" s="65">
        <f>IF(L722&lt;=0,0,IF(Materiales!$G$106&lt;=0,L722,ROUNDUP(L722/Materiales!$G$106,0)*Materiales!$G$106))</f>
        <v/>
      </c>
      <c r="M723" s="66" t="n"/>
    </row>
    <row r="724">
      <c r="C724" s="70" t="inlineStr">
        <is>
          <t>LANZAMIENTO DE ORDEN — pedir esta semana</t>
        </is>
      </c>
      <c r="D724" s="64" t="n"/>
      <c r="E724" s="71">
        <f>IF(1+Materiales!$F$106&gt;8,0,INDEX($E$723:$L$723,1,1+Materiales!$F$106))</f>
        <v/>
      </c>
      <c r="F724" s="71">
        <f>IF(2+Materiales!$F$106&gt;8,0,INDEX($E$723:$L$723,1,2+Materiales!$F$106))</f>
        <v/>
      </c>
      <c r="G724" s="71">
        <f>IF(3+Materiales!$F$106&gt;8,0,INDEX($E$723:$L$723,1,3+Materiales!$F$106))</f>
        <v/>
      </c>
      <c r="H724" s="71">
        <f>IF(4+Materiales!$F$106&gt;8,0,INDEX($E$723:$L$723,1,4+Materiales!$F$106))</f>
        <v/>
      </c>
      <c r="I724" s="71">
        <f>IF(5+Materiales!$F$106&gt;8,0,INDEX($E$723:$L$723,1,5+Materiales!$F$106))</f>
        <v/>
      </c>
      <c r="J724" s="71">
        <f>IF(6+Materiales!$F$106&gt;8,0,INDEX($E$723:$L$723,1,6+Materiales!$F$106))</f>
        <v/>
      </c>
      <c r="K724" s="71">
        <f>IF(7+Materiales!$F$106&gt;8,0,INDEX($E$723:$L$723,1,7+Materiales!$F$106))</f>
        <v/>
      </c>
      <c r="L724" s="71">
        <f>IF(8+Materiales!$F$106&gt;8,0,INDEX($E$723:$L$723,1,8+Materiales!$F$106))</f>
        <v/>
      </c>
      <c r="M724" s="72">
        <f>IF($A719="","",IF(SUMPRODUCT((COLUMN($E$723:$L$723)-4&lt;=Materiales!$F$106)*$E$723:$L$723)&gt;0,"PEDIR YA (atrasado)","OK"))</f>
        <v/>
      </c>
    </row>
    <row r="725" ht="6" customHeight="1"/>
    <row r="726">
      <c r="A726" s="62">
        <f>IF(Materiales!$A$107="","",Materiales!$A$107)</f>
        <v/>
      </c>
      <c r="B726" s="62">
        <f>IF(Materiales!$B$107="","",Materiales!$B$107)</f>
        <v/>
      </c>
      <c r="C726" s="63" t="inlineStr">
        <is>
          <t>Necesidad bruta</t>
        </is>
      </c>
      <c r="D726" s="64" t="n"/>
      <c r="E726" s="65">
        <f>ROUND(SUMIF(Consumo!$P$4:$P$189,"#"&amp;$A726,Consumo!H$4:H$189),4)</f>
        <v/>
      </c>
      <c r="F726" s="65">
        <f>ROUND(SUMIF(Consumo!$P$4:$P$189,"#"&amp;$A726,Consumo!I$4:I$189),4)</f>
        <v/>
      </c>
      <c r="G726" s="65">
        <f>ROUND(SUMIF(Consumo!$P$4:$P$189,"#"&amp;$A726,Consumo!J$4:J$189),4)</f>
        <v/>
      </c>
      <c r="H726" s="65">
        <f>ROUND(SUMIF(Consumo!$P$4:$P$189,"#"&amp;$A726,Consumo!K$4:K$189),4)</f>
        <v/>
      </c>
      <c r="I726" s="65">
        <f>ROUND(SUMIF(Consumo!$P$4:$P$189,"#"&amp;$A726,Consumo!L$4:L$189),4)</f>
        <v/>
      </c>
      <c r="J726" s="65">
        <f>ROUND(SUMIF(Consumo!$P$4:$P$189,"#"&amp;$A726,Consumo!M$4:M$189),4)</f>
        <v/>
      </c>
      <c r="K726" s="65">
        <f>ROUND(SUMIF(Consumo!$P$4:$P$189,"#"&amp;$A726,Consumo!N$4:N$189),4)</f>
        <v/>
      </c>
      <c r="L726" s="65">
        <f>ROUND(SUMIF(Consumo!$P$4:$P$189,"#"&amp;$A726,Consumo!O$4:O$189),4)</f>
        <v/>
      </c>
      <c r="M726" s="66" t="n"/>
    </row>
    <row r="727">
      <c r="C727" s="63" t="inlineStr">
        <is>
          <t>Recepciones programadas (ya pedido)</t>
        </is>
      </c>
      <c r="D727" s="64" t="n"/>
      <c r="E727" s="65">
        <f>SUMIF(Inventario!$M$5:$M$505,"#"&amp;$A726,Inventario!E$5:E$505)</f>
        <v/>
      </c>
      <c r="F727" s="65">
        <f>SUMIF(Inventario!$M$5:$M$505,"#"&amp;$A726,Inventario!F$5:F$505)</f>
        <v/>
      </c>
      <c r="G727" s="65">
        <f>SUMIF(Inventario!$M$5:$M$505,"#"&amp;$A726,Inventario!G$5:G$505)</f>
        <v/>
      </c>
      <c r="H727" s="65">
        <f>SUMIF(Inventario!$M$5:$M$505,"#"&amp;$A726,Inventario!H$5:H$505)</f>
        <v/>
      </c>
      <c r="I727" s="65">
        <f>SUMIF(Inventario!$M$5:$M$505,"#"&amp;$A726,Inventario!I$5:I$505)</f>
        <v/>
      </c>
      <c r="J727" s="65">
        <f>SUMIF(Inventario!$M$5:$M$505,"#"&amp;$A726,Inventario!J$5:J$505)</f>
        <v/>
      </c>
      <c r="K727" s="65">
        <f>SUMIF(Inventario!$M$5:$M$505,"#"&amp;$A726,Inventario!K$5:K$505)</f>
        <v/>
      </c>
      <c r="L727" s="65">
        <f>SUMIF(Inventario!$M$5:$M$505,"#"&amp;$A726,Inventario!L$5:L$505)</f>
        <v/>
      </c>
      <c r="M727" s="66" t="n"/>
    </row>
    <row r="728">
      <c r="C728" s="63" t="inlineStr">
        <is>
          <t>Stock proyectado disponible</t>
        </is>
      </c>
      <c r="D728" s="67">
        <f>SUMIF(Inventario!$M$5:$M$505,"#"&amp;$A726,Inventario!$C$5:$C$505)</f>
        <v/>
      </c>
      <c r="E728" s="68">
        <f>D728+E727+E730-E726</f>
        <v/>
      </c>
      <c r="F728" s="68">
        <f>E728+F727+F730-F726</f>
        <v/>
      </c>
      <c r="G728" s="68">
        <f>F728+G727+G730-G726</f>
        <v/>
      </c>
      <c r="H728" s="68">
        <f>G728+H727+H730-H726</f>
        <v/>
      </c>
      <c r="I728" s="68">
        <f>H728+I727+I730-I726</f>
        <v/>
      </c>
      <c r="J728" s="68">
        <f>I728+J727+J730-J726</f>
        <v/>
      </c>
      <c r="K728" s="68">
        <f>J728+K727+K730-K726</f>
        <v/>
      </c>
      <c r="L728" s="68">
        <f>K728+L727+L730-L726</f>
        <v/>
      </c>
      <c r="M728" s="66" t="n"/>
    </row>
    <row r="729">
      <c r="C729" s="63" t="inlineStr">
        <is>
          <t>Necesidad neta</t>
        </is>
      </c>
      <c r="D729" s="64" t="n"/>
      <c r="E729" s="69">
        <f>MAX(0,ROUND(E726+Materiales!$H$107-D728-E727,4))</f>
        <v/>
      </c>
      <c r="F729" s="69">
        <f>MAX(0,ROUND(F726+Materiales!$H$107-E728-F727,4))</f>
        <v/>
      </c>
      <c r="G729" s="69">
        <f>MAX(0,ROUND(G726+Materiales!$H$107-F728-G727,4))</f>
        <v/>
      </c>
      <c r="H729" s="69">
        <f>MAX(0,ROUND(H726+Materiales!$H$107-G728-H727,4))</f>
        <v/>
      </c>
      <c r="I729" s="69">
        <f>MAX(0,ROUND(I726+Materiales!$H$107-H728-I727,4))</f>
        <v/>
      </c>
      <c r="J729" s="69">
        <f>MAX(0,ROUND(J726+Materiales!$H$107-I728-J727,4))</f>
        <v/>
      </c>
      <c r="K729" s="69">
        <f>MAX(0,ROUND(K726+Materiales!$H$107-J728-K727,4))</f>
        <v/>
      </c>
      <c r="L729" s="69">
        <f>MAX(0,ROUND(L726+Materiales!$H$107-K728-L727,4))</f>
        <v/>
      </c>
      <c r="M729" s="66" t="n"/>
    </row>
    <row r="730">
      <c r="C730" s="63" t="inlineStr">
        <is>
          <t>Recepcion de orden planificada</t>
        </is>
      </c>
      <c r="D730" s="64" t="n"/>
      <c r="E730" s="65">
        <f>IF(E729&lt;=0,0,IF(Materiales!$G$107&lt;=0,E729,ROUNDUP(E729/Materiales!$G$107,0)*Materiales!$G$107))</f>
        <v/>
      </c>
      <c r="F730" s="65">
        <f>IF(F729&lt;=0,0,IF(Materiales!$G$107&lt;=0,F729,ROUNDUP(F729/Materiales!$G$107,0)*Materiales!$G$107))</f>
        <v/>
      </c>
      <c r="G730" s="65">
        <f>IF(G729&lt;=0,0,IF(Materiales!$G$107&lt;=0,G729,ROUNDUP(G729/Materiales!$G$107,0)*Materiales!$G$107))</f>
        <v/>
      </c>
      <c r="H730" s="65">
        <f>IF(H729&lt;=0,0,IF(Materiales!$G$107&lt;=0,H729,ROUNDUP(H729/Materiales!$G$107,0)*Materiales!$G$107))</f>
        <v/>
      </c>
      <c r="I730" s="65">
        <f>IF(I729&lt;=0,0,IF(Materiales!$G$107&lt;=0,I729,ROUNDUP(I729/Materiales!$G$107,0)*Materiales!$G$107))</f>
        <v/>
      </c>
      <c r="J730" s="65">
        <f>IF(J729&lt;=0,0,IF(Materiales!$G$107&lt;=0,J729,ROUNDUP(J729/Materiales!$G$107,0)*Materiales!$G$107))</f>
        <v/>
      </c>
      <c r="K730" s="65">
        <f>IF(K729&lt;=0,0,IF(Materiales!$G$107&lt;=0,K729,ROUNDUP(K729/Materiales!$G$107,0)*Materiales!$G$107))</f>
        <v/>
      </c>
      <c r="L730" s="65">
        <f>IF(L729&lt;=0,0,IF(Materiales!$G$107&lt;=0,L729,ROUNDUP(L729/Materiales!$G$107,0)*Materiales!$G$107))</f>
        <v/>
      </c>
      <c r="M730" s="66" t="n"/>
    </row>
    <row r="731">
      <c r="C731" s="70" t="inlineStr">
        <is>
          <t>LANZAMIENTO DE ORDEN — pedir esta semana</t>
        </is>
      </c>
      <c r="D731" s="64" t="n"/>
      <c r="E731" s="71">
        <f>IF(1+Materiales!$F$107&gt;8,0,INDEX($E$730:$L$730,1,1+Materiales!$F$107))</f>
        <v/>
      </c>
      <c r="F731" s="71">
        <f>IF(2+Materiales!$F$107&gt;8,0,INDEX($E$730:$L$730,1,2+Materiales!$F$107))</f>
        <v/>
      </c>
      <c r="G731" s="71">
        <f>IF(3+Materiales!$F$107&gt;8,0,INDEX($E$730:$L$730,1,3+Materiales!$F$107))</f>
        <v/>
      </c>
      <c r="H731" s="71">
        <f>IF(4+Materiales!$F$107&gt;8,0,INDEX($E$730:$L$730,1,4+Materiales!$F$107))</f>
        <v/>
      </c>
      <c r="I731" s="71">
        <f>IF(5+Materiales!$F$107&gt;8,0,INDEX($E$730:$L$730,1,5+Materiales!$F$107))</f>
        <v/>
      </c>
      <c r="J731" s="71">
        <f>IF(6+Materiales!$F$107&gt;8,0,INDEX($E$730:$L$730,1,6+Materiales!$F$107))</f>
        <v/>
      </c>
      <c r="K731" s="71">
        <f>IF(7+Materiales!$F$107&gt;8,0,INDEX($E$730:$L$730,1,7+Materiales!$F$107))</f>
        <v/>
      </c>
      <c r="L731" s="71">
        <f>IF(8+Materiales!$F$107&gt;8,0,INDEX($E$730:$L$730,1,8+Materiales!$F$107))</f>
        <v/>
      </c>
      <c r="M731" s="72">
        <f>IF($A726="","",IF(SUMPRODUCT((COLUMN($E$730:$L$730)-4&lt;=Materiales!$F$107)*$E$730:$L$730)&gt;0,"PEDIR YA (atrasado)","OK"))</f>
        <v/>
      </c>
    </row>
    <row r="732" ht="6" customHeight="1"/>
    <row r="733">
      <c r="A733" s="62">
        <f>IF(Materiales!$A$108="","",Materiales!$A$108)</f>
        <v/>
      </c>
      <c r="B733" s="62">
        <f>IF(Materiales!$B$108="","",Materiales!$B$108)</f>
        <v/>
      </c>
      <c r="C733" s="63" t="inlineStr">
        <is>
          <t>Necesidad bruta</t>
        </is>
      </c>
      <c r="D733" s="64" t="n"/>
      <c r="E733" s="65">
        <f>ROUND(SUMIF(Consumo!$P$4:$P$189,"#"&amp;$A733,Consumo!H$4:H$189),4)</f>
        <v/>
      </c>
      <c r="F733" s="65">
        <f>ROUND(SUMIF(Consumo!$P$4:$P$189,"#"&amp;$A733,Consumo!I$4:I$189),4)</f>
        <v/>
      </c>
      <c r="G733" s="65">
        <f>ROUND(SUMIF(Consumo!$P$4:$P$189,"#"&amp;$A733,Consumo!J$4:J$189),4)</f>
        <v/>
      </c>
      <c r="H733" s="65">
        <f>ROUND(SUMIF(Consumo!$P$4:$P$189,"#"&amp;$A733,Consumo!K$4:K$189),4)</f>
        <v/>
      </c>
      <c r="I733" s="65">
        <f>ROUND(SUMIF(Consumo!$P$4:$P$189,"#"&amp;$A733,Consumo!L$4:L$189),4)</f>
        <v/>
      </c>
      <c r="J733" s="65">
        <f>ROUND(SUMIF(Consumo!$P$4:$P$189,"#"&amp;$A733,Consumo!M$4:M$189),4)</f>
        <v/>
      </c>
      <c r="K733" s="65">
        <f>ROUND(SUMIF(Consumo!$P$4:$P$189,"#"&amp;$A733,Consumo!N$4:N$189),4)</f>
        <v/>
      </c>
      <c r="L733" s="65">
        <f>ROUND(SUMIF(Consumo!$P$4:$P$189,"#"&amp;$A733,Consumo!O$4:O$189),4)</f>
        <v/>
      </c>
      <c r="M733" s="66" t="n"/>
    </row>
    <row r="734">
      <c r="C734" s="63" t="inlineStr">
        <is>
          <t>Recepciones programadas (ya pedido)</t>
        </is>
      </c>
      <c r="D734" s="64" t="n"/>
      <c r="E734" s="65">
        <f>SUMIF(Inventario!$M$5:$M$505,"#"&amp;$A733,Inventario!E$5:E$505)</f>
        <v/>
      </c>
      <c r="F734" s="65">
        <f>SUMIF(Inventario!$M$5:$M$505,"#"&amp;$A733,Inventario!F$5:F$505)</f>
        <v/>
      </c>
      <c r="G734" s="65">
        <f>SUMIF(Inventario!$M$5:$M$505,"#"&amp;$A733,Inventario!G$5:G$505)</f>
        <v/>
      </c>
      <c r="H734" s="65">
        <f>SUMIF(Inventario!$M$5:$M$505,"#"&amp;$A733,Inventario!H$5:H$505)</f>
        <v/>
      </c>
      <c r="I734" s="65">
        <f>SUMIF(Inventario!$M$5:$M$505,"#"&amp;$A733,Inventario!I$5:I$505)</f>
        <v/>
      </c>
      <c r="J734" s="65">
        <f>SUMIF(Inventario!$M$5:$M$505,"#"&amp;$A733,Inventario!J$5:J$505)</f>
        <v/>
      </c>
      <c r="K734" s="65">
        <f>SUMIF(Inventario!$M$5:$M$505,"#"&amp;$A733,Inventario!K$5:K$505)</f>
        <v/>
      </c>
      <c r="L734" s="65">
        <f>SUMIF(Inventario!$M$5:$M$505,"#"&amp;$A733,Inventario!L$5:L$505)</f>
        <v/>
      </c>
      <c r="M734" s="66" t="n"/>
    </row>
    <row r="735">
      <c r="C735" s="63" t="inlineStr">
        <is>
          <t>Stock proyectado disponible</t>
        </is>
      </c>
      <c r="D735" s="67">
        <f>SUMIF(Inventario!$M$5:$M$505,"#"&amp;$A733,Inventario!$C$5:$C$505)</f>
        <v/>
      </c>
      <c r="E735" s="68">
        <f>D735+E734+E737-E733</f>
        <v/>
      </c>
      <c r="F735" s="68">
        <f>E735+F734+F737-F733</f>
        <v/>
      </c>
      <c r="G735" s="68">
        <f>F735+G734+G737-G733</f>
        <v/>
      </c>
      <c r="H735" s="68">
        <f>G735+H734+H737-H733</f>
        <v/>
      </c>
      <c r="I735" s="68">
        <f>H735+I734+I737-I733</f>
        <v/>
      </c>
      <c r="J735" s="68">
        <f>I735+J734+J737-J733</f>
        <v/>
      </c>
      <c r="K735" s="68">
        <f>J735+K734+K737-K733</f>
        <v/>
      </c>
      <c r="L735" s="68">
        <f>K735+L734+L737-L733</f>
        <v/>
      </c>
      <c r="M735" s="66" t="n"/>
    </row>
    <row r="736">
      <c r="C736" s="63" t="inlineStr">
        <is>
          <t>Necesidad neta</t>
        </is>
      </c>
      <c r="D736" s="64" t="n"/>
      <c r="E736" s="69">
        <f>MAX(0,ROUND(E733+Materiales!$H$108-D735-E734,4))</f>
        <v/>
      </c>
      <c r="F736" s="69">
        <f>MAX(0,ROUND(F733+Materiales!$H$108-E735-F734,4))</f>
        <v/>
      </c>
      <c r="G736" s="69">
        <f>MAX(0,ROUND(G733+Materiales!$H$108-F735-G734,4))</f>
        <v/>
      </c>
      <c r="H736" s="69">
        <f>MAX(0,ROUND(H733+Materiales!$H$108-G735-H734,4))</f>
        <v/>
      </c>
      <c r="I736" s="69">
        <f>MAX(0,ROUND(I733+Materiales!$H$108-H735-I734,4))</f>
        <v/>
      </c>
      <c r="J736" s="69">
        <f>MAX(0,ROUND(J733+Materiales!$H$108-I735-J734,4))</f>
        <v/>
      </c>
      <c r="K736" s="69">
        <f>MAX(0,ROUND(K733+Materiales!$H$108-J735-K734,4))</f>
        <v/>
      </c>
      <c r="L736" s="69">
        <f>MAX(0,ROUND(L733+Materiales!$H$108-K735-L734,4))</f>
        <v/>
      </c>
      <c r="M736" s="66" t="n"/>
    </row>
    <row r="737">
      <c r="C737" s="63" t="inlineStr">
        <is>
          <t>Recepcion de orden planificada</t>
        </is>
      </c>
      <c r="D737" s="64" t="n"/>
      <c r="E737" s="65">
        <f>IF(E736&lt;=0,0,IF(Materiales!$G$108&lt;=0,E736,ROUNDUP(E736/Materiales!$G$108,0)*Materiales!$G$108))</f>
        <v/>
      </c>
      <c r="F737" s="65">
        <f>IF(F736&lt;=0,0,IF(Materiales!$G$108&lt;=0,F736,ROUNDUP(F736/Materiales!$G$108,0)*Materiales!$G$108))</f>
        <v/>
      </c>
      <c r="G737" s="65">
        <f>IF(G736&lt;=0,0,IF(Materiales!$G$108&lt;=0,G736,ROUNDUP(G736/Materiales!$G$108,0)*Materiales!$G$108))</f>
        <v/>
      </c>
      <c r="H737" s="65">
        <f>IF(H736&lt;=0,0,IF(Materiales!$G$108&lt;=0,H736,ROUNDUP(H736/Materiales!$G$108,0)*Materiales!$G$108))</f>
        <v/>
      </c>
      <c r="I737" s="65">
        <f>IF(I736&lt;=0,0,IF(Materiales!$G$108&lt;=0,I736,ROUNDUP(I736/Materiales!$G$108,0)*Materiales!$G$108))</f>
        <v/>
      </c>
      <c r="J737" s="65">
        <f>IF(J736&lt;=0,0,IF(Materiales!$G$108&lt;=0,J736,ROUNDUP(J736/Materiales!$G$108,0)*Materiales!$G$108))</f>
        <v/>
      </c>
      <c r="K737" s="65">
        <f>IF(K736&lt;=0,0,IF(Materiales!$G$108&lt;=0,K736,ROUNDUP(K736/Materiales!$G$108,0)*Materiales!$G$108))</f>
        <v/>
      </c>
      <c r="L737" s="65">
        <f>IF(L736&lt;=0,0,IF(Materiales!$G$108&lt;=0,L736,ROUNDUP(L736/Materiales!$G$108,0)*Materiales!$G$108))</f>
        <v/>
      </c>
      <c r="M737" s="66" t="n"/>
    </row>
    <row r="738">
      <c r="C738" s="70" t="inlineStr">
        <is>
          <t>LANZAMIENTO DE ORDEN — pedir esta semana</t>
        </is>
      </c>
      <c r="D738" s="64" t="n"/>
      <c r="E738" s="71">
        <f>IF(1+Materiales!$F$108&gt;8,0,INDEX($E$737:$L$737,1,1+Materiales!$F$108))</f>
        <v/>
      </c>
      <c r="F738" s="71">
        <f>IF(2+Materiales!$F$108&gt;8,0,INDEX($E$737:$L$737,1,2+Materiales!$F$108))</f>
        <v/>
      </c>
      <c r="G738" s="71">
        <f>IF(3+Materiales!$F$108&gt;8,0,INDEX($E$737:$L$737,1,3+Materiales!$F$108))</f>
        <v/>
      </c>
      <c r="H738" s="71">
        <f>IF(4+Materiales!$F$108&gt;8,0,INDEX($E$737:$L$737,1,4+Materiales!$F$108))</f>
        <v/>
      </c>
      <c r="I738" s="71">
        <f>IF(5+Materiales!$F$108&gt;8,0,INDEX($E$737:$L$737,1,5+Materiales!$F$108))</f>
        <v/>
      </c>
      <c r="J738" s="71">
        <f>IF(6+Materiales!$F$108&gt;8,0,INDEX($E$737:$L$737,1,6+Materiales!$F$108))</f>
        <v/>
      </c>
      <c r="K738" s="71">
        <f>IF(7+Materiales!$F$108&gt;8,0,INDEX($E$737:$L$737,1,7+Materiales!$F$108))</f>
        <v/>
      </c>
      <c r="L738" s="71">
        <f>IF(8+Materiales!$F$108&gt;8,0,INDEX($E$737:$L$737,1,8+Materiales!$F$108))</f>
        <v/>
      </c>
      <c r="M738" s="72">
        <f>IF($A733="","",IF(SUMPRODUCT((COLUMN($E$737:$L$737)-4&lt;=Materiales!$F$108)*$E$737:$L$737)&gt;0,"PEDIR YA (atrasado)","OK"))</f>
        <v/>
      </c>
    </row>
    <row r="739" ht="6" customHeight="1"/>
    <row r="740">
      <c r="A740" s="62">
        <f>IF(Materiales!$A$109="","",Materiales!$A$109)</f>
        <v/>
      </c>
      <c r="B740" s="62">
        <f>IF(Materiales!$B$109="","",Materiales!$B$109)</f>
        <v/>
      </c>
      <c r="C740" s="63" t="inlineStr">
        <is>
          <t>Necesidad bruta</t>
        </is>
      </c>
      <c r="D740" s="64" t="n"/>
      <c r="E740" s="65">
        <f>ROUND(SUMIF(Consumo!$P$4:$P$189,"#"&amp;$A740,Consumo!H$4:H$189),4)</f>
        <v/>
      </c>
      <c r="F740" s="65">
        <f>ROUND(SUMIF(Consumo!$P$4:$P$189,"#"&amp;$A740,Consumo!I$4:I$189),4)</f>
        <v/>
      </c>
      <c r="G740" s="65">
        <f>ROUND(SUMIF(Consumo!$P$4:$P$189,"#"&amp;$A740,Consumo!J$4:J$189),4)</f>
        <v/>
      </c>
      <c r="H740" s="65">
        <f>ROUND(SUMIF(Consumo!$P$4:$P$189,"#"&amp;$A740,Consumo!K$4:K$189),4)</f>
        <v/>
      </c>
      <c r="I740" s="65">
        <f>ROUND(SUMIF(Consumo!$P$4:$P$189,"#"&amp;$A740,Consumo!L$4:L$189),4)</f>
        <v/>
      </c>
      <c r="J740" s="65">
        <f>ROUND(SUMIF(Consumo!$P$4:$P$189,"#"&amp;$A740,Consumo!M$4:M$189),4)</f>
        <v/>
      </c>
      <c r="K740" s="65">
        <f>ROUND(SUMIF(Consumo!$P$4:$P$189,"#"&amp;$A740,Consumo!N$4:N$189),4)</f>
        <v/>
      </c>
      <c r="L740" s="65">
        <f>ROUND(SUMIF(Consumo!$P$4:$P$189,"#"&amp;$A740,Consumo!O$4:O$189),4)</f>
        <v/>
      </c>
      <c r="M740" s="66" t="n"/>
    </row>
    <row r="741">
      <c r="C741" s="63" t="inlineStr">
        <is>
          <t>Recepciones programadas (ya pedido)</t>
        </is>
      </c>
      <c r="D741" s="64" t="n"/>
      <c r="E741" s="65">
        <f>SUMIF(Inventario!$M$5:$M$505,"#"&amp;$A740,Inventario!E$5:E$505)</f>
        <v/>
      </c>
      <c r="F741" s="65">
        <f>SUMIF(Inventario!$M$5:$M$505,"#"&amp;$A740,Inventario!F$5:F$505)</f>
        <v/>
      </c>
      <c r="G741" s="65">
        <f>SUMIF(Inventario!$M$5:$M$505,"#"&amp;$A740,Inventario!G$5:G$505)</f>
        <v/>
      </c>
      <c r="H741" s="65">
        <f>SUMIF(Inventario!$M$5:$M$505,"#"&amp;$A740,Inventario!H$5:H$505)</f>
        <v/>
      </c>
      <c r="I741" s="65">
        <f>SUMIF(Inventario!$M$5:$M$505,"#"&amp;$A740,Inventario!I$5:I$505)</f>
        <v/>
      </c>
      <c r="J741" s="65">
        <f>SUMIF(Inventario!$M$5:$M$505,"#"&amp;$A740,Inventario!J$5:J$505)</f>
        <v/>
      </c>
      <c r="K741" s="65">
        <f>SUMIF(Inventario!$M$5:$M$505,"#"&amp;$A740,Inventario!K$5:K$505)</f>
        <v/>
      </c>
      <c r="L741" s="65">
        <f>SUMIF(Inventario!$M$5:$M$505,"#"&amp;$A740,Inventario!L$5:L$505)</f>
        <v/>
      </c>
      <c r="M741" s="66" t="n"/>
    </row>
    <row r="742">
      <c r="C742" s="63" t="inlineStr">
        <is>
          <t>Stock proyectado disponible</t>
        </is>
      </c>
      <c r="D742" s="67">
        <f>SUMIF(Inventario!$M$5:$M$505,"#"&amp;$A740,Inventario!$C$5:$C$505)</f>
        <v/>
      </c>
      <c r="E742" s="68">
        <f>D742+E741+E744-E740</f>
        <v/>
      </c>
      <c r="F742" s="68">
        <f>E742+F741+F744-F740</f>
        <v/>
      </c>
      <c r="G742" s="68">
        <f>F742+G741+G744-G740</f>
        <v/>
      </c>
      <c r="H742" s="68">
        <f>G742+H741+H744-H740</f>
        <v/>
      </c>
      <c r="I742" s="68">
        <f>H742+I741+I744-I740</f>
        <v/>
      </c>
      <c r="J742" s="68">
        <f>I742+J741+J744-J740</f>
        <v/>
      </c>
      <c r="K742" s="68">
        <f>J742+K741+K744-K740</f>
        <v/>
      </c>
      <c r="L742" s="68">
        <f>K742+L741+L744-L740</f>
        <v/>
      </c>
      <c r="M742" s="66" t="n"/>
    </row>
    <row r="743">
      <c r="C743" s="63" t="inlineStr">
        <is>
          <t>Necesidad neta</t>
        </is>
      </c>
      <c r="D743" s="64" t="n"/>
      <c r="E743" s="69">
        <f>MAX(0,ROUND(E740+Materiales!$H$109-D742-E741,4))</f>
        <v/>
      </c>
      <c r="F743" s="69">
        <f>MAX(0,ROUND(F740+Materiales!$H$109-E742-F741,4))</f>
        <v/>
      </c>
      <c r="G743" s="69">
        <f>MAX(0,ROUND(G740+Materiales!$H$109-F742-G741,4))</f>
        <v/>
      </c>
      <c r="H743" s="69">
        <f>MAX(0,ROUND(H740+Materiales!$H$109-G742-H741,4))</f>
        <v/>
      </c>
      <c r="I743" s="69">
        <f>MAX(0,ROUND(I740+Materiales!$H$109-H742-I741,4))</f>
        <v/>
      </c>
      <c r="J743" s="69">
        <f>MAX(0,ROUND(J740+Materiales!$H$109-I742-J741,4))</f>
        <v/>
      </c>
      <c r="K743" s="69">
        <f>MAX(0,ROUND(K740+Materiales!$H$109-J742-K741,4))</f>
        <v/>
      </c>
      <c r="L743" s="69">
        <f>MAX(0,ROUND(L740+Materiales!$H$109-K742-L741,4))</f>
        <v/>
      </c>
      <c r="M743" s="66" t="n"/>
    </row>
    <row r="744">
      <c r="C744" s="63" t="inlineStr">
        <is>
          <t>Recepcion de orden planificada</t>
        </is>
      </c>
      <c r="D744" s="64" t="n"/>
      <c r="E744" s="65">
        <f>IF(E743&lt;=0,0,IF(Materiales!$G$109&lt;=0,E743,ROUNDUP(E743/Materiales!$G$109,0)*Materiales!$G$109))</f>
        <v/>
      </c>
      <c r="F744" s="65">
        <f>IF(F743&lt;=0,0,IF(Materiales!$G$109&lt;=0,F743,ROUNDUP(F743/Materiales!$G$109,0)*Materiales!$G$109))</f>
        <v/>
      </c>
      <c r="G744" s="65">
        <f>IF(G743&lt;=0,0,IF(Materiales!$G$109&lt;=0,G743,ROUNDUP(G743/Materiales!$G$109,0)*Materiales!$G$109))</f>
        <v/>
      </c>
      <c r="H744" s="65">
        <f>IF(H743&lt;=0,0,IF(Materiales!$G$109&lt;=0,H743,ROUNDUP(H743/Materiales!$G$109,0)*Materiales!$G$109))</f>
        <v/>
      </c>
      <c r="I744" s="65">
        <f>IF(I743&lt;=0,0,IF(Materiales!$G$109&lt;=0,I743,ROUNDUP(I743/Materiales!$G$109,0)*Materiales!$G$109))</f>
        <v/>
      </c>
      <c r="J744" s="65">
        <f>IF(J743&lt;=0,0,IF(Materiales!$G$109&lt;=0,J743,ROUNDUP(J743/Materiales!$G$109,0)*Materiales!$G$109))</f>
        <v/>
      </c>
      <c r="K744" s="65">
        <f>IF(K743&lt;=0,0,IF(Materiales!$G$109&lt;=0,K743,ROUNDUP(K743/Materiales!$G$109,0)*Materiales!$G$109))</f>
        <v/>
      </c>
      <c r="L744" s="65">
        <f>IF(L743&lt;=0,0,IF(Materiales!$G$109&lt;=0,L743,ROUNDUP(L743/Materiales!$G$109,0)*Materiales!$G$109))</f>
        <v/>
      </c>
      <c r="M744" s="66" t="n"/>
    </row>
    <row r="745">
      <c r="C745" s="70" t="inlineStr">
        <is>
          <t>LANZAMIENTO DE ORDEN — pedir esta semana</t>
        </is>
      </c>
      <c r="D745" s="64" t="n"/>
      <c r="E745" s="71">
        <f>IF(1+Materiales!$F$109&gt;8,0,INDEX($E$744:$L$744,1,1+Materiales!$F$109))</f>
        <v/>
      </c>
      <c r="F745" s="71">
        <f>IF(2+Materiales!$F$109&gt;8,0,INDEX($E$744:$L$744,1,2+Materiales!$F$109))</f>
        <v/>
      </c>
      <c r="G745" s="71">
        <f>IF(3+Materiales!$F$109&gt;8,0,INDEX($E$744:$L$744,1,3+Materiales!$F$109))</f>
        <v/>
      </c>
      <c r="H745" s="71">
        <f>IF(4+Materiales!$F$109&gt;8,0,INDEX($E$744:$L$744,1,4+Materiales!$F$109))</f>
        <v/>
      </c>
      <c r="I745" s="71">
        <f>IF(5+Materiales!$F$109&gt;8,0,INDEX($E$744:$L$744,1,5+Materiales!$F$109))</f>
        <v/>
      </c>
      <c r="J745" s="71">
        <f>IF(6+Materiales!$F$109&gt;8,0,INDEX($E$744:$L$744,1,6+Materiales!$F$109))</f>
        <v/>
      </c>
      <c r="K745" s="71">
        <f>IF(7+Materiales!$F$109&gt;8,0,INDEX($E$744:$L$744,1,7+Materiales!$F$109))</f>
        <v/>
      </c>
      <c r="L745" s="71">
        <f>IF(8+Materiales!$F$109&gt;8,0,INDEX($E$744:$L$744,1,8+Materiales!$F$109))</f>
        <v/>
      </c>
      <c r="M745" s="72">
        <f>IF($A740="","",IF(SUMPRODUCT((COLUMN($E$744:$L$744)-4&lt;=Materiales!$F$109)*$E$744:$L$744)&gt;0,"PEDIR YA (atrasado)","OK"))</f>
        <v/>
      </c>
    </row>
    <row r="746" ht="6" customHeight="1"/>
    <row r="747">
      <c r="A747" s="62">
        <f>IF(Materiales!$A$110="","",Materiales!$A$110)</f>
        <v/>
      </c>
      <c r="B747" s="62">
        <f>IF(Materiales!$B$110="","",Materiales!$B$110)</f>
        <v/>
      </c>
      <c r="C747" s="63" t="inlineStr">
        <is>
          <t>Necesidad bruta</t>
        </is>
      </c>
      <c r="D747" s="64" t="n"/>
      <c r="E747" s="65">
        <f>ROUND(SUMIF(Consumo!$P$4:$P$189,"#"&amp;$A747,Consumo!H$4:H$189),4)</f>
        <v/>
      </c>
      <c r="F747" s="65">
        <f>ROUND(SUMIF(Consumo!$P$4:$P$189,"#"&amp;$A747,Consumo!I$4:I$189),4)</f>
        <v/>
      </c>
      <c r="G747" s="65">
        <f>ROUND(SUMIF(Consumo!$P$4:$P$189,"#"&amp;$A747,Consumo!J$4:J$189),4)</f>
        <v/>
      </c>
      <c r="H747" s="65">
        <f>ROUND(SUMIF(Consumo!$P$4:$P$189,"#"&amp;$A747,Consumo!K$4:K$189),4)</f>
        <v/>
      </c>
      <c r="I747" s="65">
        <f>ROUND(SUMIF(Consumo!$P$4:$P$189,"#"&amp;$A747,Consumo!L$4:L$189),4)</f>
        <v/>
      </c>
      <c r="J747" s="65">
        <f>ROUND(SUMIF(Consumo!$P$4:$P$189,"#"&amp;$A747,Consumo!M$4:M$189),4)</f>
        <v/>
      </c>
      <c r="K747" s="65">
        <f>ROUND(SUMIF(Consumo!$P$4:$P$189,"#"&amp;$A747,Consumo!N$4:N$189),4)</f>
        <v/>
      </c>
      <c r="L747" s="65">
        <f>ROUND(SUMIF(Consumo!$P$4:$P$189,"#"&amp;$A747,Consumo!O$4:O$189),4)</f>
        <v/>
      </c>
      <c r="M747" s="66" t="n"/>
    </row>
    <row r="748">
      <c r="C748" s="63" t="inlineStr">
        <is>
          <t>Recepciones programadas (ya pedido)</t>
        </is>
      </c>
      <c r="D748" s="64" t="n"/>
      <c r="E748" s="65">
        <f>SUMIF(Inventario!$M$5:$M$505,"#"&amp;$A747,Inventario!E$5:E$505)</f>
        <v/>
      </c>
      <c r="F748" s="65">
        <f>SUMIF(Inventario!$M$5:$M$505,"#"&amp;$A747,Inventario!F$5:F$505)</f>
        <v/>
      </c>
      <c r="G748" s="65">
        <f>SUMIF(Inventario!$M$5:$M$505,"#"&amp;$A747,Inventario!G$5:G$505)</f>
        <v/>
      </c>
      <c r="H748" s="65">
        <f>SUMIF(Inventario!$M$5:$M$505,"#"&amp;$A747,Inventario!H$5:H$505)</f>
        <v/>
      </c>
      <c r="I748" s="65">
        <f>SUMIF(Inventario!$M$5:$M$505,"#"&amp;$A747,Inventario!I$5:I$505)</f>
        <v/>
      </c>
      <c r="J748" s="65">
        <f>SUMIF(Inventario!$M$5:$M$505,"#"&amp;$A747,Inventario!J$5:J$505)</f>
        <v/>
      </c>
      <c r="K748" s="65">
        <f>SUMIF(Inventario!$M$5:$M$505,"#"&amp;$A747,Inventario!K$5:K$505)</f>
        <v/>
      </c>
      <c r="L748" s="65">
        <f>SUMIF(Inventario!$M$5:$M$505,"#"&amp;$A747,Inventario!L$5:L$505)</f>
        <v/>
      </c>
      <c r="M748" s="66" t="n"/>
    </row>
    <row r="749">
      <c r="C749" s="63" t="inlineStr">
        <is>
          <t>Stock proyectado disponible</t>
        </is>
      </c>
      <c r="D749" s="67">
        <f>SUMIF(Inventario!$M$5:$M$505,"#"&amp;$A747,Inventario!$C$5:$C$505)</f>
        <v/>
      </c>
      <c r="E749" s="68">
        <f>D749+E748+E751-E747</f>
        <v/>
      </c>
      <c r="F749" s="68">
        <f>E749+F748+F751-F747</f>
        <v/>
      </c>
      <c r="G749" s="68">
        <f>F749+G748+G751-G747</f>
        <v/>
      </c>
      <c r="H749" s="68">
        <f>G749+H748+H751-H747</f>
        <v/>
      </c>
      <c r="I749" s="68">
        <f>H749+I748+I751-I747</f>
        <v/>
      </c>
      <c r="J749" s="68">
        <f>I749+J748+J751-J747</f>
        <v/>
      </c>
      <c r="K749" s="68">
        <f>J749+K748+K751-K747</f>
        <v/>
      </c>
      <c r="L749" s="68">
        <f>K749+L748+L751-L747</f>
        <v/>
      </c>
      <c r="M749" s="66" t="n"/>
    </row>
    <row r="750">
      <c r="C750" s="63" t="inlineStr">
        <is>
          <t>Necesidad neta</t>
        </is>
      </c>
      <c r="D750" s="64" t="n"/>
      <c r="E750" s="69">
        <f>MAX(0,ROUND(E747+Materiales!$H$110-D749-E748,4))</f>
        <v/>
      </c>
      <c r="F750" s="69">
        <f>MAX(0,ROUND(F747+Materiales!$H$110-E749-F748,4))</f>
        <v/>
      </c>
      <c r="G750" s="69">
        <f>MAX(0,ROUND(G747+Materiales!$H$110-F749-G748,4))</f>
        <v/>
      </c>
      <c r="H750" s="69">
        <f>MAX(0,ROUND(H747+Materiales!$H$110-G749-H748,4))</f>
        <v/>
      </c>
      <c r="I750" s="69">
        <f>MAX(0,ROUND(I747+Materiales!$H$110-H749-I748,4))</f>
        <v/>
      </c>
      <c r="J750" s="69">
        <f>MAX(0,ROUND(J747+Materiales!$H$110-I749-J748,4))</f>
        <v/>
      </c>
      <c r="K750" s="69">
        <f>MAX(0,ROUND(K747+Materiales!$H$110-J749-K748,4))</f>
        <v/>
      </c>
      <c r="L750" s="69">
        <f>MAX(0,ROUND(L747+Materiales!$H$110-K749-L748,4))</f>
        <v/>
      </c>
      <c r="M750" s="66" t="n"/>
    </row>
    <row r="751">
      <c r="C751" s="63" t="inlineStr">
        <is>
          <t>Recepcion de orden planificada</t>
        </is>
      </c>
      <c r="D751" s="64" t="n"/>
      <c r="E751" s="65">
        <f>IF(E750&lt;=0,0,IF(Materiales!$G$110&lt;=0,E750,ROUNDUP(E750/Materiales!$G$110,0)*Materiales!$G$110))</f>
        <v/>
      </c>
      <c r="F751" s="65">
        <f>IF(F750&lt;=0,0,IF(Materiales!$G$110&lt;=0,F750,ROUNDUP(F750/Materiales!$G$110,0)*Materiales!$G$110))</f>
        <v/>
      </c>
      <c r="G751" s="65">
        <f>IF(G750&lt;=0,0,IF(Materiales!$G$110&lt;=0,G750,ROUNDUP(G750/Materiales!$G$110,0)*Materiales!$G$110))</f>
        <v/>
      </c>
      <c r="H751" s="65">
        <f>IF(H750&lt;=0,0,IF(Materiales!$G$110&lt;=0,H750,ROUNDUP(H750/Materiales!$G$110,0)*Materiales!$G$110))</f>
        <v/>
      </c>
      <c r="I751" s="65">
        <f>IF(I750&lt;=0,0,IF(Materiales!$G$110&lt;=0,I750,ROUNDUP(I750/Materiales!$G$110,0)*Materiales!$G$110))</f>
        <v/>
      </c>
      <c r="J751" s="65">
        <f>IF(J750&lt;=0,0,IF(Materiales!$G$110&lt;=0,J750,ROUNDUP(J750/Materiales!$G$110,0)*Materiales!$G$110))</f>
        <v/>
      </c>
      <c r="K751" s="65">
        <f>IF(K750&lt;=0,0,IF(Materiales!$G$110&lt;=0,K750,ROUNDUP(K750/Materiales!$G$110,0)*Materiales!$G$110))</f>
        <v/>
      </c>
      <c r="L751" s="65">
        <f>IF(L750&lt;=0,0,IF(Materiales!$G$110&lt;=0,L750,ROUNDUP(L750/Materiales!$G$110,0)*Materiales!$G$110))</f>
        <v/>
      </c>
      <c r="M751" s="66" t="n"/>
    </row>
    <row r="752">
      <c r="C752" s="70" t="inlineStr">
        <is>
          <t>LANZAMIENTO DE ORDEN — pedir esta semana</t>
        </is>
      </c>
      <c r="D752" s="64" t="n"/>
      <c r="E752" s="71">
        <f>IF(1+Materiales!$F$110&gt;8,0,INDEX($E$751:$L$751,1,1+Materiales!$F$110))</f>
        <v/>
      </c>
      <c r="F752" s="71">
        <f>IF(2+Materiales!$F$110&gt;8,0,INDEX($E$751:$L$751,1,2+Materiales!$F$110))</f>
        <v/>
      </c>
      <c r="G752" s="71">
        <f>IF(3+Materiales!$F$110&gt;8,0,INDEX($E$751:$L$751,1,3+Materiales!$F$110))</f>
        <v/>
      </c>
      <c r="H752" s="71">
        <f>IF(4+Materiales!$F$110&gt;8,0,INDEX($E$751:$L$751,1,4+Materiales!$F$110))</f>
        <v/>
      </c>
      <c r="I752" s="71">
        <f>IF(5+Materiales!$F$110&gt;8,0,INDEX($E$751:$L$751,1,5+Materiales!$F$110))</f>
        <v/>
      </c>
      <c r="J752" s="71">
        <f>IF(6+Materiales!$F$110&gt;8,0,INDEX($E$751:$L$751,1,6+Materiales!$F$110))</f>
        <v/>
      </c>
      <c r="K752" s="71">
        <f>IF(7+Materiales!$F$110&gt;8,0,INDEX($E$751:$L$751,1,7+Materiales!$F$110))</f>
        <v/>
      </c>
      <c r="L752" s="71">
        <f>IF(8+Materiales!$F$110&gt;8,0,INDEX($E$751:$L$751,1,8+Materiales!$F$110))</f>
        <v/>
      </c>
      <c r="M752" s="72">
        <f>IF($A747="","",IF(SUMPRODUCT((COLUMN($E$751:$L$751)-4&lt;=Materiales!$F$110)*$E$751:$L$751)&gt;0,"PEDIR YA (atrasado)","OK"))</f>
        <v/>
      </c>
    </row>
    <row r="753" ht="6" customHeight="1"/>
    <row r="754">
      <c r="A754" s="62">
        <f>IF(Materiales!$A$111="","",Materiales!$A$111)</f>
        <v/>
      </c>
      <c r="B754" s="62">
        <f>IF(Materiales!$B$111="","",Materiales!$B$111)</f>
        <v/>
      </c>
      <c r="C754" s="63" t="inlineStr">
        <is>
          <t>Necesidad bruta</t>
        </is>
      </c>
      <c r="D754" s="64" t="n"/>
      <c r="E754" s="65">
        <f>ROUND(SUMIF(Consumo!$P$4:$P$189,"#"&amp;$A754,Consumo!H$4:H$189),4)</f>
        <v/>
      </c>
      <c r="F754" s="65">
        <f>ROUND(SUMIF(Consumo!$P$4:$P$189,"#"&amp;$A754,Consumo!I$4:I$189),4)</f>
        <v/>
      </c>
      <c r="G754" s="65">
        <f>ROUND(SUMIF(Consumo!$P$4:$P$189,"#"&amp;$A754,Consumo!J$4:J$189),4)</f>
        <v/>
      </c>
      <c r="H754" s="65">
        <f>ROUND(SUMIF(Consumo!$P$4:$P$189,"#"&amp;$A754,Consumo!K$4:K$189),4)</f>
        <v/>
      </c>
      <c r="I754" s="65">
        <f>ROUND(SUMIF(Consumo!$P$4:$P$189,"#"&amp;$A754,Consumo!L$4:L$189),4)</f>
        <v/>
      </c>
      <c r="J754" s="65">
        <f>ROUND(SUMIF(Consumo!$P$4:$P$189,"#"&amp;$A754,Consumo!M$4:M$189),4)</f>
        <v/>
      </c>
      <c r="K754" s="65">
        <f>ROUND(SUMIF(Consumo!$P$4:$P$189,"#"&amp;$A754,Consumo!N$4:N$189),4)</f>
        <v/>
      </c>
      <c r="L754" s="65">
        <f>ROUND(SUMIF(Consumo!$P$4:$P$189,"#"&amp;$A754,Consumo!O$4:O$189),4)</f>
        <v/>
      </c>
      <c r="M754" s="66" t="n"/>
    </row>
    <row r="755">
      <c r="C755" s="63" t="inlineStr">
        <is>
          <t>Recepciones programadas (ya pedido)</t>
        </is>
      </c>
      <c r="D755" s="64" t="n"/>
      <c r="E755" s="65">
        <f>SUMIF(Inventario!$M$5:$M$505,"#"&amp;$A754,Inventario!E$5:E$505)</f>
        <v/>
      </c>
      <c r="F755" s="65">
        <f>SUMIF(Inventario!$M$5:$M$505,"#"&amp;$A754,Inventario!F$5:F$505)</f>
        <v/>
      </c>
      <c r="G755" s="65">
        <f>SUMIF(Inventario!$M$5:$M$505,"#"&amp;$A754,Inventario!G$5:G$505)</f>
        <v/>
      </c>
      <c r="H755" s="65">
        <f>SUMIF(Inventario!$M$5:$M$505,"#"&amp;$A754,Inventario!H$5:H$505)</f>
        <v/>
      </c>
      <c r="I755" s="65">
        <f>SUMIF(Inventario!$M$5:$M$505,"#"&amp;$A754,Inventario!I$5:I$505)</f>
        <v/>
      </c>
      <c r="J755" s="65">
        <f>SUMIF(Inventario!$M$5:$M$505,"#"&amp;$A754,Inventario!J$5:J$505)</f>
        <v/>
      </c>
      <c r="K755" s="65">
        <f>SUMIF(Inventario!$M$5:$M$505,"#"&amp;$A754,Inventario!K$5:K$505)</f>
        <v/>
      </c>
      <c r="L755" s="65">
        <f>SUMIF(Inventario!$M$5:$M$505,"#"&amp;$A754,Inventario!L$5:L$505)</f>
        <v/>
      </c>
      <c r="M755" s="66" t="n"/>
    </row>
    <row r="756">
      <c r="C756" s="63" t="inlineStr">
        <is>
          <t>Stock proyectado disponible</t>
        </is>
      </c>
      <c r="D756" s="67">
        <f>SUMIF(Inventario!$M$5:$M$505,"#"&amp;$A754,Inventario!$C$5:$C$505)</f>
        <v/>
      </c>
      <c r="E756" s="68">
        <f>D756+E755+E758-E754</f>
        <v/>
      </c>
      <c r="F756" s="68">
        <f>E756+F755+F758-F754</f>
        <v/>
      </c>
      <c r="G756" s="68">
        <f>F756+G755+G758-G754</f>
        <v/>
      </c>
      <c r="H756" s="68">
        <f>G756+H755+H758-H754</f>
        <v/>
      </c>
      <c r="I756" s="68">
        <f>H756+I755+I758-I754</f>
        <v/>
      </c>
      <c r="J756" s="68">
        <f>I756+J755+J758-J754</f>
        <v/>
      </c>
      <c r="K756" s="68">
        <f>J756+K755+K758-K754</f>
        <v/>
      </c>
      <c r="L756" s="68">
        <f>K756+L755+L758-L754</f>
        <v/>
      </c>
      <c r="M756" s="66" t="n"/>
    </row>
    <row r="757">
      <c r="C757" s="63" t="inlineStr">
        <is>
          <t>Necesidad neta</t>
        </is>
      </c>
      <c r="D757" s="64" t="n"/>
      <c r="E757" s="69">
        <f>MAX(0,ROUND(E754+Materiales!$H$111-D756-E755,4))</f>
        <v/>
      </c>
      <c r="F757" s="69">
        <f>MAX(0,ROUND(F754+Materiales!$H$111-E756-F755,4))</f>
        <v/>
      </c>
      <c r="G757" s="69">
        <f>MAX(0,ROUND(G754+Materiales!$H$111-F756-G755,4))</f>
        <v/>
      </c>
      <c r="H757" s="69">
        <f>MAX(0,ROUND(H754+Materiales!$H$111-G756-H755,4))</f>
        <v/>
      </c>
      <c r="I757" s="69">
        <f>MAX(0,ROUND(I754+Materiales!$H$111-H756-I755,4))</f>
        <v/>
      </c>
      <c r="J757" s="69">
        <f>MAX(0,ROUND(J754+Materiales!$H$111-I756-J755,4))</f>
        <v/>
      </c>
      <c r="K757" s="69">
        <f>MAX(0,ROUND(K754+Materiales!$H$111-J756-K755,4))</f>
        <v/>
      </c>
      <c r="L757" s="69">
        <f>MAX(0,ROUND(L754+Materiales!$H$111-K756-L755,4))</f>
        <v/>
      </c>
      <c r="M757" s="66" t="n"/>
    </row>
    <row r="758">
      <c r="C758" s="63" t="inlineStr">
        <is>
          <t>Recepcion de orden planificada</t>
        </is>
      </c>
      <c r="D758" s="64" t="n"/>
      <c r="E758" s="65">
        <f>IF(E757&lt;=0,0,IF(Materiales!$G$111&lt;=0,E757,ROUNDUP(E757/Materiales!$G$111,0)*Materiales!$G$111))</f>
        <v/>
      </c>
      <c r="F758" s="65">
        <f>IF(F757&lt;=0,0,IF(Materiales!$G$111&lt;=0,F757,ROUNDUP(F757/Materiales!$G$111,0)*Materiales!$G$111))</f>
        <v/>
      </c>
      <c r="G758" s="65">
        <f>IF(G757&lt;=0,0,IF(Materiales!$G$111&lt;=0,G757,ROUNDUP(G757/Materiales!$G$111,0)*Materiales!$G$111))</f>
        <v/>
      </c>
      <c r="H758" s="65">
        <f>IF(H757&lt;=0,0,IF(Materiales!$G$111&lt;=0,H757,ROUNDUP(H757/Materiales!$G$111,0)*Materiales!$G$111))</f>
        <v/>
      </c>
      <c r="I758" s="65">
        <f>IF(I757&lt;=0,0,IF(Materiales!$G$111&lt;=0,I757,ROUNDUP(I757/Materiales!$G$111,0)*Materiales!$G$111))</f>
        <v/>
      </c>
      <c r="J758" s="65">
        <f>IF(J757&lt;=0,0,IF(Materiales!$G$111&lt;=0,J757,ROUNDUP(J757/Materiales!$G$111,0)*Materiales!$G$111))</f>
        <v/>
      </c>
      <c r="K758" s="65">
        <f>IF(K757&lt;=0,0,IF(Materiales!$G$111&lt;=0,K757,ROUNDUP(K757/Materiales!$G$111,0)*Materiales!$G$111))</f>
        <v/>
      </c>
      <c r="L758" s="65">
        <f>IF(L757&lt;=0,0,IF(Materiales!$G$111&lt;=0,L757,ROUNDUP(L757/Materiales!$G$111,0)*Materiales!$G$111))</f>
        <v/>
      </c>
      <c r="M758" s="66" t="n"/>
    </row>
    <row r="759">
      <c r="C759" s="70" t="inlineStr">
        <is>
          <t>LANZAMIENTO DE ORDEN — pedir esta semana</t>
        </is>
      </c>
      <c r="D759" s="64" t="n"/>
      <c r="E759" s="71">
        <f>IF(1+Materiales!$F$111&gt;8,0,INDEX($E$758:$L$758,1,1+Materiales!$F$111))</f>
        <v/>
      </c>
      <c r="F759" s="71">
        <f>IF(2+Materiales!$F$111&gt;8,0,INDEX($E$758:$L$758,1,2+Materiales!$F$111))</f>
        <v/>
      </c>
      <c r="G759" s="71">
        <f>IF(3+Materiales!$F$111&gt;8,0,INDEX($E$758:$L$758,1,3+Materiales!$F$111))</f>
        <v/>
      </c>
      <c r="H759" s="71">
        <f>IF(4+Materiales!$F$111&gt;8,0,INDEX($E$758:$L$758,1,4+Materiales!$F$111))</f>
        <v/>
      </c>
      <c r="I759" s="71">
        <f>IF(5+Materiales!$F$111&gt;8,0,INDEX($E$758:$L$758,1,5+Materiales!$F$111))</f>
        <v/>
      </c>
      <c r="J759" s="71">
        <f>IF(6+Materiales!$F$111&gt;8,0,INDEX($E$758:$L$758,1,6+Materiales!$F$111))</f>
        <v/>
      </c>
      <c r="K759" s="71">
        <f>IF(7+Materiales!$F$111&gt;8,0,INDEX($E$758:$L$758,1,7+Materiales!$F$111))</f>
        <v/>
      </c>
      <c r="L759" s="71">
        <f>IF(8+Materiales!$F$111&gt;8,0,INDEX($E$758:$L$758,1,8+Materiales!$F$111))</f>
        <v/>
      </c>
      <c r="M759" s="72">
        <f>IF($A754="","",IF(SUMPRODUCT((COLUMN($E$758:$L$758)-4&lt;=Materiales!$F$111)*$E$758:$L$758)&gt;0,"PEDIR YA (atrasado)","OK"))</f>
        <v/>
      </c>
    </row>
    <row r="760" ht="6" customHeight="1"/>
    <row r="761">
      <c r="A761" s="62">
        <f>IF(Materiales!$A$112="","",Materiales!$A$112)</f>
        <v/>
      </c>
      <c r="B761" s="62">
        <f>IF(Materiales!$B$112="","",Materiales!$B$112)</f>
        <v/>
      </c>
      <c r="C761" s="63" t="inlineStr">
        <is>
          <t>Necesidad bruta</t>
        </is>
      </c>
      <c r="D761" s="64" t="n"/>
      <c r="E761" s="65">
        <f>ROUND(SUMIF(Consumo!$P$4:$P$189,"#"&amp;$A761,Consumo!H$4:H$189),4)</f>
        <v/>
      </c>
      <c r="F761" s="65">
        <f>ROUND(SUMIF(Consumo!$P$4:$P$189,"#"&amp;$A761,Consumo!I$4:I$189),4)</f>
        <v/>
      </c>
      <c r="G761" s="65">
        <f>ROUND(SUMIF(Consumo!$P$4:$P$189,"#"&amp;$A761,Consumo!J$4:J$189),4)</f>
        <v/>
      </c>
      <c r="H761" s="65">
        <f>ROUND(SUMIF(Consumo!$P$4:$P$189,"#"&amp;$A761,Consumo!K$4:K$189),4)</f>
        <v/>
      </c>
      <c r="I761" s="65">
        <f>ROUND(SUMIF(Consumo!$P$4:$P$189,"#"&amp;$A761,Consumo!L$4:L$189),4)</f>
        <v/>
      </c>
      <c r="J761" s="65">
        <f>ROUND(SUMIF(Consumo!$P$4:$P$189,"#"&amp;$A761,Consumo!M$4:M$189),4)</f>
        <v/>
      </c>
      <c r="K761" s="65">
        <f>ROUND(SUMIF(Consumo!$P$4:$P$189,"#"&amp;$A761,Consumo!N$4:N$189),4)</f>
        <v/>
      </c>
      <c r="L761" s="65">
        <f>ROUND(SUMIF(Consumo!$P$4:$P$189,"#"&amp;$A761,Consumo!O$4:O$189),4)</f>
        <v/>
      </c>
      <c r="M761" s="66" t="n"/>
    </row>
    <row r="762">
      <c r="C762" s="63" t="inlineStr">
        <is>
          <t>Recepciones programadas (ya pedido)</t>
        </is>
      </c>
      <c r="D762" s="64" t="n"/>
      <c r="E762" s="65">
        <f>SUMIF(Inventario!$M$5:$M$505,"#"&amp;$A761,Inventario!E$5:E$505)</f>
        <v/>
      </c>
      <c r="F762" s="65">
        <f>SUMIF(Inventario!$M$5:$M$505,"#"&amp;$A761,Inventario!F$5:F$505)</f>
        <v/>
      </c>
      <c r="G762" s="65">
        <f>SUMIF(Inventario!$M$5:$M$505,"#"&amp;$A761,Inventario!G$5:G$505)</f>
        <v/>
      </c>
      <c r="H762" s="65">
        <f>SUMIF(Inventario!$M$5:$M$505,"#"&amp;$A761,Inventario!H$5:H$505)</f>
        <v/>
      </c>
      <c r="I762" s="65">
        <f>SUMIF(Inventario!$M$5:$M$505,"#"&amp;$A761,Inventario!I$5:I$505)</f>
        <v/>
      </c>
      <c r="J762" s="65">
        <f>SUMIF(Inventario!$M$5:$M$505,"#"&amp;$A761,Inventario!J$5:J$505)</f>
        <v/>
      </c>
      <c r="K762" s="65">
        <f>SUMIF(Inventario!$M$5:$M$505,"#"&amp;$A761,Inventario!K$5:K$505)</f>
        <v/>
      </c>
      <c r="L762" s="65">
        <f>SUMIF(Inventario!$M$5:$M$505,"#"&amp;$A761,Inventario!L$5:L$505)</f>
        <v/>
      </c>
      <c r="M762" s="66" t="n"/>
    </row>
    <row r="763">
      <c r="C763" s="63" t="inlineStr">
        <is>
          <t>Stock proyectado disponible</t>
        </is>
      </c>
      <c r="D763" s="67">
        <f>SUMIF(Inventario!$M$5:$M$505,"#"&amp;$A761,Inventario!$C$5:$C$505)</f>
        <v/>
      </c>
      <c r="E763" s="68">
        <f>D763+E762+E765-E761</f>
        <v/>
      </c>
      <c r="F763" s="68">
        <f>E763+F762+F765-F761</f>
        <v/>
      </c>
      <c r="G763" s="68">
        <f>F763+G762+G765-G761</f>
        <v/>
      </c>
      <c r="H763" s="68">
        <f>G763+H762+H765-H761</f>
        <v/>
      </c>
      <c r="I763" s="68">
        <f>H763+I762+I765-I761</f>
        <v/>
      </c>
      <c r="J763" s="68">
        <f>I763+J762+J765-J761</f>
        <v/>
      </c>
      <c r="K763" s="68">
        <f>J763+K762+K765-K761</f>
        <v/>
      </c>
      <c r="L763" s="68">
        <f>K763+L762+L765-L761</f>
        <v/>
      </c>
      <c r="M763" s="66" t="n"/>
    </row>
    <row r="764">
      <c r="C764" s="63" t="inlineStr">
        <is>
          <t>Necesidad neta</t>
        </is>
      </c>
      <c r="D764" s="64" t="n"/>
      <c r="E764" s="69">
        <f>MAX(0,ROUND(E761+Materiales!$H$112-D763-E762,4))</f>
        <v/>
      </c>
      <c r="F764" s="69">
        <f>MAX(0,ROUND(F761+Materiales!$H$112-E763-F762,4))</f>
        <v/>
      </c>
      <c r="G764" s="69">
        <f>MAX(0,ROUND(G761+Materiales!$H$112-F763-G762,4))</f>
        <v/>
      </c>
      <c r="H764" s="69">
        <f>MAX(0,ROUND(H761+Materiales!$H$112-G763-H762,4))</f>
        <v/>
      </c>
      <c r="I764" s="69">
        <f>MAX(0,ROUND(I761+Materiales!$H$112-H763-I762,4))</f>
        <v/>
      </c>
      <c r="J764" s="69">
        <f>MAX(0,ROUND(J761+Materiales!$H$112-I763-J762,4))</f>
        <v/>
      </c>
      <c r="K764" s="69">
        <f>MAX(0,ROUND(K761+Materiales!$H$112-J763-K762,4))</f>
        <v/>
      </c>
      <c r="L764" s="69">
        <f>MAX(0,ROUND(L761+Materiales!$H$112-K763-L762,4))</f>
        <v/>
      </c>
      <c r="M764" s="66" t="n"/>
    </row>
    <row r="765">
      <c r="C765" s="63" t="inlineStr">
        <is>
          <t>Recepcion de orden planificada</t>
        </is>
      </c>
      <c r="D765" s="64" t="n"/>
      <c r="E765" s="65">
        <f>IF(E764&lt;=0,0,IF(Materiales!$G$112&lt;=0,E764,ROUNDUP(E764/Materiales!$G$112,0)*Materiales!$G$112))</f>
        <v/>
      </c>
      <c r="F765" s="65">
        <f>IF(F764&lt;=0,0,IF(Materiales!$G$112&lt;=0,F764,ROUNDUP(F764/Materiales!$G$112,0)*Materiales!$G$112))</f>
        <v/>
      </c>
      <c r="G765" s="65">
        <f>IF(G764&lt;=0,0,IF(Materiales!$G$112&lt;=0,G764,ROUNDUP(G764/Materiales!$G$112,0)*Materiales!$G$112))</f>
        <v/>
      </c>
      <c r="H765" s="65">
        <f>IF(H764&lt;=0,0,IF(Materiales!$G$112&lt;=0,H764,ROUNDUP(H764/Materiales!$G$112,0)*Materiales!$G$112))</f>
        <v/>
      </c>
      <c r="I765" s="65">
        <f>IF(I764&lt;=0,0,IF(Materiales!$G$112&lt;=0,I764,ROUNDUP(I764/Materiales!$G$112,0)*Materiales!$G$112))</f>
        <v/>
      </c>
      <c r="J765" s="65">
        <f>IF(J764&lt;=0,0,IF(Materiales!$G$112&lt;=0,J764,ROUNDUP(J764/Materiales!$G$112,0)*Materiales!$G$112))</f>
        <v/>
      </c>
      <c r="K765" s="65">
        <f>IF(K764&lt;=0,0,IF(Materiales!$G$112&lt;=0,K764,ROUNDUP(K764/Materiales!$G$112,0)*Materiales!$G$112))</f>
        <v/>
      </c>
      <c r="L765" s="65">
        <f>IF(L764&lt;=0,0,IF(Materiales!$G$112&lt;=0,L764,ROUNDUP(L764/Materiales!$G$112,0)*Materiales!$G$112))</f>
        <v/>
      </c>
      <c r="M765" s="66" t="n"/>
    </row>
    <row r="766">
      <c r="C766" s="70" t="inlineStr">
        <is>
          <t>LANZAMIENTO DE ORDEN — pedir esta semana</t>
        </is>
      </c>
      <c r="D766" s="64" t="n"/>
      <c r="E766" s="71">
        <f>IF(1+Materiales!$F$112&gt;8,0,INDEX($E$765:$L$765,1,1+Materiales!$F$112))</f>
        <v/>
      </c>
      <c r="F766" s="71">
        <f>IF(2+Materiales!$F$112&gt;8,0,INDEX($E$765:$L$765,1,2+Materiales!$F$112))</f>
        <v/>
      </c>
      <c r="G766" s="71">
        <f>IF(3+Materiales!$F$112&gt;8,0,INDEX($E$765:$L$765,1,3+Materiales!$F$112))</f>
        <v/>
      </c>
      <c r="H766" s="71">
        <f>IF(4+Materiales!$F$112&gt;8,0,INDEX($E$765:$L$765,1,4+Materiales!$F$112))</f>
        <v/>
      </c>
      <c r="I766" s="71">
        <f>IF(5+Materiales!$F$112&gt;8,0,INDEX($E$765:$L$765,1,5+Materiales!$F$112))</f>
        <v/>
      </c>
      <c r="J766" s="71">
        <f>IF(6+Materiales!$F$112&gt;8,0,INDEX($E$765:$L$765,1,6+Materiales!$F$112))</f>
        <v/>
      </c>
      <c r="K766" s="71">
        <f>IF(7+Materiales!$F$112&gt;8,0,INDEX($E$765:$L$765,1,7+Materiales!$F$112))</f>
        <v/>
      </c>
      <c r="L766" s="71">
        <f>IF(8+Materiales!$F$112&gt;8,0,INDEX($E$765:$L$765,1,8+Materiales!$F$112))</f>
        <v/>
      </c>
      <c r="M766" s="72">
        <f>IF($A761="","",IF(SUMPRODUCT((COLUMN($E$765:$L$765)-4&lt;=Materiales!$F$112)*$E$765:$L$765)&gt;0,"PEDIR YA (atrasado)","OK"))</f>
        <v/>
      </c>
    </row>
    <row r="767" ht="6" customHeight="1"/>
    <row r="768">
      <c r="A768" s="62">
        <f>IF(Materiales!$A$113="","",Materiales!$A$113)</f>
        <v/>
      </c>
      <c r="B768" s="62">
        <f>IF(Materiales!$B$113="","",Materiales!$B$113)</f>
        <v/>
      </c>
      <c r="C768" s="63" t="inlineStr">
        <is>
          <t>Necesidad bruta</t>
        </is>
      </c>
      <c r="D768" s="64" t="n"/>
      <c r="E768" s="65">
        <f>ROUND(SUMIF(Consumo!$P$4:$P$189,"#"&amp;$A768,Consumo!H$4:H$189),4)</f>
        <v/>
      </c>
      <c r="F768" s="65">
        <f>ROUND(SUMIF(Consumo!$P$4:$P$189,"#"&amp;$A768,Consumo!I$4:I$189),4)</f>
        <v/>
      </c>
      <c r="G768" s="65">
        <f>ROUND(SUMIF(Consumo!$P$4:$P$189,"#"&amp;$A768,Consumo!J$4:J$189),4)</f>
        <v/>
      </c>
      <c r="H768" s="65">
        <f>ROUND(SUMIF(Consumo!$P$4:$P$189,"#"&amp;$A768,Consumo!K$4:K$189),4)</f>
        <v/>
      </c>
      <c r="I768" s="65">
        <f>ROUND(SUMIF(Consumo!$P$4:$P$189,"#"&amp;$A768,Consumo!L$4:L$189),4)</f>
        <v/>
      </c>
      <c r="J768" s="65">
        <f>ROUND(SUMIF(Consumo!$P$4:$P$189,"#"&amp;$A768,Consumo!M$4:M$189),4)</f>
        <v/>
      </c>
      <c r="K768" s="65">
        <f>ROUND(SUMIF(Consumo!$P$4:$P$189,"#"&amp;$A768,Consumo!N$4:N$189),4)</f>
        <v/>
      </c>
      <c r="L768" s="65">
        <f>ROUND(SUMIF(Consumo!$P$4:$P$189,"#"&amp;$A768,Consumo!O$4:O$189),4)</f>
        <v/>
      </c>
      <c r="M768" s="66" t="n"/>
    </row>
    <row r="769">
      <c r="C769" s="63" t="inlineStr">
        <is>
          <t>Recepciones programadas (ya pedido)</t>
        </is>
      </c>
      <c r="D769" s="64" t="n"/>
      <c r="E769" s="65">
        <f>SUMIF(Inventario!$M$5:$M$505,"#"&amp;$A768,Inventario!E$5:E$505)</f>
        <v/>
      </c>
      <c r="F769" s="65">
        <f>SUMIF(Inventario!$M$5:$M$505,"#"&amp;$A768,Inventario!F$5:F$505)</f>
        <v/>
      </c>
      <c r="G769" s="65">
        <f>SUMIF(Inventario!$M$5:$M$505,"#"&amp;$A768,Inventario!G$5:G$505)</f>
        <v/>
      </c>
      <c r="H769" s="65">
        <f>SUMIF(Inventario!$M$5:$M$505,"#"&amp;$A768,Inventario!H$5:H$505)</f>
        <v/>
      </c>
      <c r="I769" s="65">
        <f>SUMIF(Inventario!$M$5:$M$505,"#"&amp;$A768,Inventario!I$5:I$505)</f>
        <v/>
      </c>
      <c r="J769" s="65">
        <f>SUMIF(Inventario!$M$5:$M$505,"#"&amp;$A768,Inventario!J$5:J$505)</f>
        <v/>
      </c>
      <c r="K769" s="65">
        <f>SUMIF(Inventario!$M$5:$M$505,"#"&amp;$A768,Inventario!K$5:K$505)</f>
        <v/>
      </c>
      <c r="L769" s="65">
        <f>SUMIF(Inventario!$M$5:$M$505,"#"&amp;$A768,Inventario!L$5:L$505)</f>
        <v/>
      </c>
      <c r="M769" s="66" t="n"/>
    </row>
    <row r="770">
      <c r="C770" s="63" t="inlineStr">
        <is>
          <t>Stock proyectado disponible</t>
        </is>
      </c>
      <c r="D770" s="67">
        <f>SUMIF(Inventario!$M$5:$M$505,"#"&amp;$A768,Inventario!$C$5:$C$505)</f>
        <v/>
      </c>
      <c r="E770" s="68">
        <f>D770+E769+E772-E768</f>
        <v/>
      </c>
      <c r="F770" s="68">
        <f>E770+F769+F772-F768</f>
        <v/>
      </c>
      <c r="G770" s="68">
        <f>F770+G769+G772-G768</f>
        <v/>
      </c>
      <c r="H770" s="68">
        <f>G770+H769+H772-H768</f>
        <v/>
      </c>
      <c r="I770" s="68">
        <f>H770+I769+I772-I768</f>
        <v/>
      </c>
      <c r="J770" s="68">
        <f>I770+J769+J772-J768</f>
        <v/>
      </c>
      <c r="K770" s="68">
        <f>J770+K769+K772-K768</f>
        <v/>
      </c>
      <c r="L770" s="68">
        <f>K770+L769+L772-L768</f>
        <v/>
      </c>
      <c r="M770" s="66" t="n"/>
    </row>
    <row r="771">
      <c r="C771" s="63" t="inlineStr">
        <is>
          <t>Necesidad neta</t>
        </is>
      </c>
      <c r="D771" s="64" t="n"/>
      <c r="E771" s="69">
        <f>MAX(0,ROUND(E768+Materiales!$H$113-D770-E769,4))</f>
        <v/>
      </c>
      <c r="F771" s="69">
        <f>MAX(0,ROUND(F768+Materiales!$H$113-E770-F769,4))</f>
        <v/>
      </c>
      <c r="G771" s="69">
        <f>MAX(0,ROUND(G768+Materiales!$H$113-F770-G769,4))</f>
        <v/>
      </c>
      <c r="H771" s="69">
        <f>MAX(0,ROUND(H768+Materiales!$H$113-G770-H769,4))</f>
        <v/>
      </c>
      <c r="I771" s="69">
        <f>MAX(0,ROUND(I768+Materiales!$H$113-H770-I769,4))</f>
        <v/>
      </c>
      <c r="J771" s="69">
        <f>MAX(0,ROUND(J768+Materiales!$H$113-I770-J769,4))</f>
        <v/>
      </c>
      <c r="K771" s="69">
        <f>MAX(0,ROUND(K768+Materiales!$H$113-J770-K769,4))</f>
        <v/>
      </c>
      <c r="L771" s="69">
        <f>MAX(0,ROUND(L768+Materiales!$H$113-K770-L769,4))</f>
        <v/>
      </c>
      <c r="M771" s="66" t="n"/>
    </row>
    <row r="772">
      <c r="C772" s="63" t="inlineStr">
        <is>
          <t>Recepcion de orden planificada</t>
        </is>
      </c>
      <c r="D772" s="64" t="n"/>
      <c r="E772" s="65">
        <f>IF(E771&lt;=0,0,IF(Materiales!$G$113&lt;=0,E771,ROUNDUP(E771/Materiales!$G$113,0)*Materiales!$G$113))</f>
        <v/>
      </c>
      <c r="F772" s="65">
        <f>IF(F771&lt;=0,0,IF(Materiales!$G$113&lt;=0,F771,ROUNDUP(F771/Materiales!$G$113,0)*Materiales!$G$113))</f>
        <v/>
      </c>
      <c r="G772" s="65">
        <f>IF(G771&lt;=0,0,IF(Materiales!$G$113&lt;=0,G771,ROUNDUP(G771/Materiales!$G$113,0)*Materiales!$G$113))</f>
        <v/>
      </c>
      <c r="H772" s="65">
        <f>IF(H771&lt;=0,0,IF(Materiales!$G$113&lt;=0,H771,ROUNDUP(H771/Materiales!$G$113,0)*Materiales!$G$113))</f>
        <v/>
      </c>
      <c r="I772" s="65">
        <f>IF(I771&lt;=0,0,IF(Materiales!$G$113&lt;=0,I771,ROUNDUP(I771/Materiales!$G$113,0)*Materiales!$G$113))</f>
        <v/>
      </c>
      <c r="J772" s="65">
        <f>IF(J771&lt;=0,0,IF(Materiales!$G$113&lt;=0,J771,ROUNDUP(J771/Materiales!$G$113,0)*Materiales!$G$113))</f>
        <v/>
      </c>
      <c r="K772" s="65">
        <f>IF(K771&lt;=0,0,IF(Materiales!$G$113&lt;=0,K771,ROUNDUP(K771/Materiales!$G$113,0)*Materiales!$G$113))</f>
        <v/>
      </c>
      <c r="L772" s="65">
        <f>IF(L771&lt;=0,0,IF(Materiales!$G$113&lt;=0,L771,ROUNDUP(L771/Materiales!$G$113,0)*Materiales!$G$113))</f>
        <v/>
      </c>
      <c r="M772" s="66" t="n"/>
    </row>
    <row r="773">
      <c r="C773" s="70" t="inlineStr">
        <is>
          <t>LANZAMIENTO DE ORDEN — pedir esta semana</t>
        </is>
      </c>
      <c r="D773" s="64" t="n"/>
      <c r="E773" s="71">
        <f>IF(1+Materiales!$F$113&gt;8,0,INDEX($E$772:$L$772,1,1+Materiales!$F$113))</f>
        <v/>
      </c>
      <c r="F773" s="71">
        <f>IF(2+Materiales!$F$113&gt;8,0,INDEX($E$772:$L$772,1,2+Materiales!$F$113))</f>
        <v/>
      </c>
      <c r="G773" s="71">
        <f>IF(3+Materiales!$F$113&gt;8,0,INDEX($E$772:$L$772,1,3+Materiales!$F$113))</f>
        <v/>
      </c>
      <c r="H773" s="71">
        <f>IF(4+Materiales!$F$113&gt;8,0,INDEX($E$772:$L$772,1,4+Materiales!$F$113))</f>
        <v/>
      </c>
      <c r="I773" s="71">
        <f>IF(5+Materiales!$F$113&gt;8,0,INDEX($E$772:$L$772,1,5+Materiales!$F$113))</f>
        <v/>
      </c>
      <c r="J773" s="71">
        <f>IF(6+Materiales!$F$113&gt;8,0,INDEX($E$772:$L$772,1,6+Materiales!$F$113))</f>
        <v/>
      </c>
      <c r="K773" s="71">
        <f>IF(7+Materiales!$F$113&gt;8,0,INDEX($E$772:$L$772,1,7+Materiales!$F$113))</f>
        <v/>
      </c>
      <c r="L773" s="71">
        <f>IF(8+Materiales!$F$113&gt;8,0,INDEX($E$772:$L$772,1,8+Materiales!$F$113))</f>
        <v/>
      </c>
      <c r="M773" s="72">
        <f>IF($A768="","",IF(SUMPRODUCT((COLUMN($E$772:$L$772)-4&lt;=Materiales!$F$113)*$E$772:$L$772)&gt;0,"PEDIR YA (atrasado)","OK"))</f>
        <v/>
      </c>
    </row>
    <row r="774" ht="6" customHeight="1"/>
    <row r="775">
      <c r="A775" s="62">
        <f>IF(Materiales!$A$114="","",Materiales!$A$114)</f>
        <v/>
      </c>
      <c r="B775" s="62">
        <f>IF(Materiales!$B$114="","",Materiales!$B$114)</f>
        <v/>
      </c>
      <c r="C775" s="63" t="inlineStr">
        <is>
          <t>Necesidad bruta</t>
        </is>
      </c>
      <c r="D775" s="64" t="n"/>
      <c r="E775" s="65">
        <f>ROUND(SUMIF(Consumo!$P$4:$P$189,"#"&amp;$A775,Consumo!H$4:H$189),4)</f>
        <v/>
      </c>
      <c r="F775" s="65">
        <f>ROUND(SUMIF(Consumo!$P$4:$P$189,"#"&amp;$A775,Consumo!I$4:I$189),4)</f>
        <v/>
      </c>
      <c r="G775" s="65">
        <f>ROUND(SUMIF(Consumo!$P$4:$P$189,"#"&amp;$A775,Consumo!J$4:J$189),4)</f>
        <v/>
      </c>
      <c r="H775" s="65">
        <f>ROUND(SUMIF(Consumo!$P$4:$P$189,"#"&amp;$A775,Consumo!K$4:K$189),4)</f>
        <v/>
      </c>
      <c r="I775" s="65">
        <f>ROUND(SUMIF(Consumo!$P$4:$P$189,"#"&amp;$A775,Consumo!L$4:L$189),4)</f>
        <v/>
      </c>
      <c r="J775" s="65">
        <f>ROUND(SUMIF(Consumo!$P$4:$P$189,"#"&amp;$A775,Consumo!M$4:M$189),4)</f>
        <v/>
      </c>
      <c r="K775" s="65">
        <f>ROUND(SUMIF(Consumo!$P$4:$P$189,"#"&amp;$A775,Consumo!N$4:N$189),4)</f>
        <v/>
      </c>
      <c r="L775" s="65">
        <f>ROUND(SUMIF(Consumo!$P$4:$P$189,"#"&amp;$A775,Consumo!O$4:O$189),4)</f>
        <v/>
      </c>
      <c r="M775" s="66" t="n"/>
    </row>
    <row r="776">
      <c r="C776" s="63" t="inlineStr">
        <is>
          <t>Recepciones programadas (ya pedido)</t>
        </is>
      </c>
      <c r="D776" s="64" t="n"/>
      <c r="E776" s="65">
        <f>SUMIF(Inventario!$M$5:$M$505,"#"&amp;$A775,Inventario!E$5:E$505)</f>
        <v/>
      </c>
      <c r="F776" s="65">
        <f>SUMIF(Inventario!$M$5:$M$505,"#"&amp;$A775,Inventario!F$5:F$505)</f>
        <v/>
      </c>
      <c r="G776" s="65">
        <f>SUMIF(Inventario!$M$5:$M$505,"#"&amp;$A775,Inventario!G$5:G$505)</f>
        <v/>
      </c>
      <c r="H776" s="65">
        <f>SUMIF(Inventario!$M$5:$M$505,"#"&amp;$A775,Inventario!H$5:H$505)</f>
        <v/>
      </c>
      <c r="I776" s="65">
        <f>SUMIF(Inventario!$M$5:$M$505,"#"&amp;$A775,Inventario!I$5:I$505)</f>
        <v/>
      </c>
      <c r="J776" s="65">
        <f>SUMIF(Inventario!$M$5:$M$505,"#"&amp;$A775,Inventario!J$5:J$505)</f>
        <v/>
      </c>
      <c r="K776" s="65">
        <f>SUMIF(Inventario!$M$5:$M$505,"#"&amp;$A775,Inventario!K$5:K$505)</f>
        <v/>
      </c>
      <c r="L776" s="65">
        <f>SUMIF(Inventario!$M$5:$M$505,"#"&amp;$A775,Inventario!L$5:L$505)</f>
        <v/>
      </c>
      <c r="M776" s="66" t="n"/>
    </row>
    <row r="777">
      <c r="C777" s="63" t="inlineStr">
        <is>
          <t>Stock proyectado disponible</t>
        </is>
      </c>
      <c r="D777" s="67">
        <f>SUMIF(Inventario!$M$5:$M$505,"#"&amp;$A775,Inventario!$C$5:$C$505)</f>
        <v/>
      </c>
      <c r="E777" s="68">
        <f>D777+E776+E779-E775</f>
        <v/>
      </c>
      <c r="F777" s="68">
        <f>E777+F776+F779-F775</f>
        <v/>
      </c>
      <c r="G777" s="68">
        <f>F777+G776+G779-G775</f>
        <v/>
      </c>
      <c r="H777" s="68">
        <f>G777+H776+H779-H775</f>
        <v/>
      </c>
      <c r="I777" s="68">
        <f>H777+I776+I779-I775</f>
        <v/>
      </c>
      <c r="J777" s="68">
        <f>I777+J776+J779-J775</f>
        <v/>
      </c>
      <c r="K777" s="68">
        <f>J777+K776+K779-K775</f>
        <v/>
      </c>
      <c r="L777" s="68">
        <f>K777+L776+L779-L775</f>
        <v/>
      </c>
      <c r="M777" s="66" t="n"/>
    </row>
    <row r="778">
      <c r="C778" s="63" t="inlineStr">
        <is>
          <t>Necesidad neta</t>
        </is>
      </c>
      <c r="D778" s="64" t="n"/>
      <c r="E778" s="69">
        <f>MAX(0,ROUND(E775+Materiales!$H$114-D777-E776,4))</f>
        <v/>
      </c>
      <c r="F778" s="69">
        <f>MAX(0,ROUND(F775+Materiales!$H$114-E777-F776,4))</f>
        <v/>
      </c>
      <c r="G778" s="69">
        <f>MAX(0,ROUND(G775+Materiales!$H$114-F777-G776,4))</f>
        <v/>
      </c>
      <c r="H778" s="69">
        <f>MAX(0,ROUND(H775+Materiales!$H$114-G777-H776,4))</f>
        <v/>
      </c>
      <c r="I778" s="69">
        <f>MAX(0,ROUND(I775+Materiales!$H$114-H777-I776,4))</f>
        <v/>
      </c>
      <c r="J778" s="69">
        <f>MAX(0,ROUND(J775+Materiales!$H$114-I777-J776,4))</f>
        <v/>
      </c>
      <c r="K778" s="69">
        <f>MAX(0,ROUND(K775+Materiales!$H$114-J777-K776,4))</f>
        <v/>
      </c>
      <c r="L778" s="69">
        <f>MAX(0,ROUND(L775+Materiales!$H$114-K777-L776,4))</f>
        <v/>
      </c>
      <c r="M778" s="66" t="n"/>
    </row>
    <row r="779">
      <c r="C779" s="63" t="inlineStr">
        <is>
          <t>Recepcion de orden planificada</t>
        </is>
      </c>
      <c r="D779" s="64" t="n"/>
      <c r="E779" s="65">
        <f>IF(E778&lt;=0,0,IF(Materiales!$G$114&lt;=0,E778,ROUNDUP(E778/Materiales!$G$114,0)*Materiales!$G$114))</f>
        <v/>
      </c>
      <c r="F779" s="65">
        <f>IF(F778&lt;=0,0,IF(Materiales!$G$114&lt;=0,F778,ROUNDUP(F778/Materiales!$G$114,0)*Materiales!$G$114))</f>
        <v/>
      </c>
      <c r="G779" s="65">
        <f>IF(G778&lt;=0,0,IF(Materiales!$G$114&lt;=0,G778,ROUNDUP(G778/Materiales!$G$114,0)*Materiales!$G$114))</f>
        <v/>
      </c>
      <c r="H779" s="65">
        <f>IF(H778&lt;=0,0,IF(Materiales!$G$114&lt;=0,H778,ROUNDUP(H778/Materiales!$G$114,0)*Materiales!$G$114))</f>
        <v/>
      </c>
      <c r="I779" s="65">
        <f>IF(I778&lt;=0,0,IF(Materiales!$G$114&lt;=0,I778,ROUNDUP(I778/Materiales!$G$114,0)*Materiales!$G$114))</f>
        <v/>
      </c>
      <c r="J779" s="65">
        <f>IF(J778&lt;=0,0,IF(Materiales!$G$114&lt;=0,J778,ROUNDUP(J778/Materiales!$G$114,0)*Materiales!$G$114))</f>
        <v/>
      </c>
      <c r="K779" s="65">
        <f>IF(K778&lt;=0,0,IF(Materiales!$G$114&lt;=0,K778,ROUNDUP(K778/Materiales!$G$114,0)*Materiales!$G$114))</f>
        <v/>
      </c>
      <c r="L779" s="65">
        <f>IF(L778&lt;=0,0,IF(Materiales!$G$114&lt;=0,L778,ROUNDUP(L778/Materiales!$G$114,0)*Materiales!$G$114))</f>
        <v/>
      </c>
      <c r="M779" s="66" t="n"/>
    </row>
    <row r="780">
      <c r="C780" s="70" t="inlineStr">
        <is>
          <t>LANZAMIENTO DE ORDEN — pedir esta semana</t>
        </is>
      </c>
      <c r="D780" s="64" t="n"/>
      <c r="E780" s="71">
        <f>IF(1+Materiales!$F$114&gt;8,0,INDEX($E$779:$L$779,1,1+Materiales!$F$114))</f>
        <v/>
      </c>
      <c r="F780" s="71">
        <f>IF(2+Materiales!$F$114&gt;8,0,INDEX($E$779:$L$779,1,2+Materiales!$F$114))</f>
        <v/>
      </c>
      <c r="G780" s="71">
        <f>IF(3+Materiales!$F$114&gt;8,0,INDEX($E$779:$L$779,1,3+Materiales!$F$114))</f>
        <v/>
      </c>
      <c r="H780" s="71">
        <f>IF(4+Materiales!$F$114&gt;8,0,INDEX($E$779:$L$779,1,4+Materiales!$F$114))</f>
        <v/>
      </c>
      <c r="I780" s="71">
        <f>IF(5+Materiales!$F$114&gt;8,0,INDEX($E$779:$L$779,1,5+Materiales!$F$114))</f>
        <v/>
      </c>
      <c r="J780" s="71">
        <f>IF(6+Materiales!$F$114&gt;8,0,INDEX($E$779:$L$779,1,6+Materiales!$F$114))</f>
        <v/>
      </c>
      <c r="K780" s="71">
        <f>IF(7+Materiales!$F$114&gt;8,0,INDEX($E$779:$L$779,1,7+Materiales!$F$114))</f>
        <v/>
      </c>
      <c r="L780" s="71">
        <f>IF(8+Materiales!$F$114&gt;8,0,INDEX($E$779:$L$779,1,8+Materiales!$F$114))</f>
        <v/>
      </c>
      <c r="M780" s="72">
        <f>IF($A775="","",IF(SUMPRODUCT((COLUMN($E$779:$L$779)-4&lt;=Materiales!$F$114)*$E$779:$L$779)&gt;0,"PEDIR YA (atrasado)","OK"))</f>
        <v/>
      </c>
    </row>
    <row r="781" ht="6" customHeight="1"/>
    <row r="782">
      <c r="A782" s="62">
        <f>IF(Materiales!$A$115="","",Materiales!$A$115)</f>
        <v/>
      </c>
      <c r="B782" s="62">
        <f>IF(Materiales!$B$115="","",Materiales!$B$115)</f>
        <v/>
      </c>
      <c r="C782" s="63" t="inlineStr">
        <is>
          <t>Necesidad bruta</t>
        </is>
      </c>
      <c r="D782" s="64" t="n"/>
      <c r="E782" s="65">
        <f>ROUND(SUMIF(Consumo!$P$4:$P$189,"#"&amp;$A782,Consumo!H$4:H$189),4)</f>
        <v/>
      </c>
      <c r="F782" s="65">
        <f>ROUND(SUMIF(Consumo!$P$4:$P$189,"#"&amp;$A782,Consumo!I$4:I$189),4)</f>
        <v/>
      </c>
      <c r="G782" s="65">
        <f>ROUND(SUMIF(Consumo!$P$4:$P$189,"#"&amp;$A782,Consumo!J$4:J$189),4)</f>
        <v/>
      </c>
      <c r="H782" s="65">
        <f>ROUND(SUMIF(Consumo!$P$4:$P$189,"#"&amp;$A782,Consumo!K$4:K$189),4)</f>
        <v/>
      </c>
      <c r="I782" s="65">
        <f>ROUND(SUMIF(Consumo!$P$4:$P$189,"#"&amp;$A782,Consumo!L$4:L$189),4)</f>
        <v/>
      </c>
      <c r="J782" s="65">
        <f>ROUND(SUMIF(Consumo!$P$4:$P$189,"#"&amp;$A782,Consumo!M$4:M$189),4)</f>
        <v/>
      </c>
      <c r="K782" s="65">
        <f>ROUND(SUMIF(Consumo!$P$4:$P$189,"#"&amp;$A782,Consumo!N$4:N$189),4)</f>
        <v/>
      </c>
      <c r="L782" s="65">
        <f>ROUND(SUMIF(Consumo!$P$4:$P$189,"#"&amp;$A782,Consumo!O$4:O$189),4)</f>
        <v/>
      </c>
      <c r="M782" s="66" t="n"/>
    </row>
    <row r="783">
      <c r="C783" s="63" t="inlineStr">
        <is>
          <t>Recepciones programadas (ya pedido)</t>
        </is>
      </c>
      <c r="D783" s="64" t="n"/>
      <c r="E783" s="65">
        <f>SUMIF(Inventario!$M$5:$M$505,"#"&amp;$A782,Inventario!E$5:E$505)</f>
        <v/>
      </c>
      <c r="F783" s="65">
        <f>SUMIF(Inventario!$M$5:$M$505,"#"&amp;$A782,Inventario!F$5:F$505)</f>
        <v/>
      </c>
      <c r="G783" s="65">
        <f>SUMIF(Inventario!$M$5:$M$505,"#"&amp;$A782,Inventario!G$5:G$505)</f>
        <v/>
      </c>
      <c r="H783" s="65">
        <f>SUMIF(Inventario!$M$5:$M$505,"#"&amp;$A782,Inventario!H$5:H$505)</f>
        <v/>
      </c>
      <c r="I783" s="65">
        <f>SUMIF(Inventario!$M$5:$M$505,"#"&amp;$A782,Inventario!I$5:I$505)</f>
        <v/>
      </c>
      <c r="J783" s="65">
        <f>SUMIF(Inventario!$M$5:$M$505,"#"&amp;$A782,Inventario!J$5:J$505)</f>
        <v/>
      </c>
      <c r="K783" s="65">
        <f>SUMIF(Inventario!$M$5:$M$505,"#"&amp;$A782,Inventario!K$5:K$505)</f>
        <v/>
      </c>
      <c r="L783" s="65">
        <f>SUMIF(Inventario!$M$5:$M$505,"#"&amp;$A782,Inventario!L$5:L$505)</f>
        <v/>
      </c>
      <c r="M783" s="66" t="n"/>
    </row>
    <row r="784">
      <c r="C784" s="63" t="inlineStr">
        <is>
          <t>Stock proyectado disponible</t>
        </is>
      </c>
      <c r="D784" s="67">
        <f>SUMIF(Inventario!$M$5:$M$505,"#"&amp;$A782,Inventario!$C$5:$C$505)</f>
        <v/>
      </c>
      <c r="E784" s="68">
        <f>D784+E783+E786-E782</f>
        <v/>
      </c>
      <c r="F784" s="68">
        <f>E784+F783+F786-F782</f>
        <v/>
      </c>
      <c r="G784" s="68">
        <f>F784+G783+G786-G782</f>
        <v/>
      </c>
      <c r="H784" s="68">
        <f>G784+H783+H786-H782</f>
        <v/>
      </c>
      <c r="I784" s="68">
        <f>H784+I783+I786-I782</f>
        <v/>
      </c>
      <c r="J784" s="68">
        <f>I784+J783+J786-J782</f>
        <v/>
      </c>
      <c r="K784" s="68">
        <f>J784+K783+K786-K782</f>
        <v/>
      </c>
      <c r="L784" s="68">
        <f>K784+L783+L786-L782</f>
        <v/>
      </c>
      <c r="M784" s="66" t="n"/>
    </row>
    <row r="785">
      <c r="C785" s="63" t="inlineStr">
        <is>
          <t>Necesidad neta</t>
        </is>
      </c>
      <c r="D785" s="64" t="n"/>
      <c r="E785" s="69">
        <f>MAX(0,ROUND(E782+Materiales!$H$115-D784-E783,4))</f>
        <v/>
      </c>
      <c r="F785" s="69">
        <f>MAX(0,ROUND(F782+Materiales!$H$115-E784-F783,4))</f>
        <v/>
      </c>
      <c r="G785" s="69">
        <f>MAX(0,ROUND(G782+Materiales!$H$115-F784-G783,4))</f>
        <v/>
      </c>
      <c r="H785" s="69">
        <f>MAX(0,ROUND(H782+Materiales!$H$115-G784-H783,4))</f>
        <v/>
      </c>
      <c r="I785" s="69">
        <f>MAX(0,ROUND(I782+Materiales!$H$115-H784-I783,4))</f>
        <v/>
      </c>
      <c r="J785" s="69">
        <f>MAX(0,ROUND(J782+Materiales!$H$115-I784-J783,4))</f>
        <v/>
      </c>
      <c r="K785" s="69">
        <f>MAX(0,ROUND(K782+Materiales!$H$115-J784-K783,4))</f>
        <v/>
      </c>
      <c r="L785" s="69">
        <f>MAX(0,ROUND(L782+Materiales!$H$115-K784-L783,4))</f>
        <v/>
      </c>
      <c r="M785" s="66" t="n"/>
    </row>
    <row r="786">
      <c r="C786" s="63" t="inlineStr">
        <is>
          <t>Recepcion de orden planificada</t>
        </is>
      </c>
      <c r="D786" s="64" t="n"/>
      <c r="E786" s="65">
        <f>IF(E785&lt;=0,0,IF(Materiales!$G$115&lt;=0,E785,ROUNDUP(E785/Materiales!$G$115,0)*Materiales!$G$115))</f>
        <v/>
      </c>
      <c r="F786" s="65">
        <f>IF(F785&lt;=0,0,IF(Materiales!$G$115&lt;=0,F785,ROUNDUP(F785/Materiales!$G$115,0)*Materiales!$G$115))</f>
        <v/>
      </c>
      <c r="G786" s="65">
        <f>IF(G785&lt;=0,0,IF(Materiales!$G$115&lt;=0,G785,ROUNDUP(G785/Materiales!$G$115,0)*Materiales!$G$115))</f>
        <v/>
      </c>
      <c r="H786" s="65">
        <f>IF(H785&lt;=0,0,IF(Materiales!$G$115&lt;=0,H785,ROUNDUP(H785/Materiales!$G$115,0)*Materiales!$G$115))</f>
        <v/>
      </c>
      <c r="I786" s="65">
        <f>IF(I785&lt;=0,0,IF(Materiales!$G$115&lt;=0,I785,ROUNDUP(I785/Materiales!$G$115,0)*Materiales!$G$115))</f>
        <v/>
      </c>
      <c r="J786" s="65">
        <f>IF(J785&lt;=0,0,IF(Materiales!$G$115&lt;=0,J785,ROUNDUP(J785/Materiales!$G$115,0)*Materiales!$G$115))</f>
        <v/>
      </c>
      <c r="K786" s="65">
        <f>IF(K785&lt;=0,0,IF(Materiales!$G$115&lt;=0,K785,ROUNDUP(K785/Materiales!$G$115,0)*Materiales!$G$115))</f>
        <v/>
      </c>
      <c r="L786" s="65">
        <f>IF(L785&lt;=0,0,IF(Materiales!$G$115&lt;=0,L785,ROUNDUP(L785/Materiales!$G$115,0)*Materiales!$G$115))</f>
        <v/>
      </c>
      <c r="M786" s="66" t="n"/>
    </row>
    <row r="787">
      <c r="C787" s="70" t="inlineStr">
        <is>
          <t>LANZAMIENTO DE ORDEN — pedir esta semana</t>
        </is>
      </c>
      <c r="D787" s="64" t="n"/>
      <c r="E787" s="71">
        <f>IF(1+Materiales!$F$115&gt;8,0,INDEX($E$786:$L$786,1,1+Materiales!$F$115))</f>
        <v/>
      </c>
      <c r="F787" s="71">
        <f>IF(2+Materiales!$F$115&gt;8,0,INDEX($E$786:$L$786,1,2+Materiales!$F$115))</f>
        <v/>
      </c>
      <c r="G787" s="71">
        <f>IF(3+Materiales!$F$115&gt;8,0,INDEX($E$786:$L$786,1,3+Materiales!$F$115))</f>
        <v/>
      </c>
      <c r="H787" s="71">
        <f>IF(4+Materiales!$F$115&gt;8,0,INDEX($E$786:$L$786,1,4+Materiales!$F$115))</f>
        <v/>
      </c>
      <c r="I787" s="71">
        <f>IF(5+Materiales!$F$115&gt;8,0,INDEX($E$786:$L$786,1,5+Materiales!$F$115))</f>
        <v/>
      </c>
      <c r="J787" s="71">
        <f>IF(6+Materiales!$F$115&gt;8,0,INDEX($E$786:$L$786,1,6+Materiales!$F$115))</f>
        <v/>
      </c>
      <c r="K787" s="71">
        <f>IF(7+Materiales!$F$115&gt;8,0,INDEX($E$786:$L$786,1,7+Materiales!$F$115))</f>
        <v/>
      </c>
      <c r="L787" s="71">
        <f>IF(8+Materiales!$F$115&gt;8,0,INDEX($E$786:$L$786,1,8+Materiales!$F$115))</f>
        <v/>
      </c>
      <c r="M787" s="72">
        <f>IF($A782="","",IF(SUMPRODUCT((COLUMN($E$786:$L$786)-4&lt;=Materiales!$F$115)*$E$786:$L$786)&gt;0,"PEDIR YA (atrasado)","OK"))</f>
        <v/>
      </c>
    </row>
    <row r="788" ht="6" customHeight="1"/>
    <row r="789">
      <c r="A789" s="62">
        <f>IF(Materiales!$A$116="","",Materiales!$A$116)</f>
        <v/>
      </c>
      <c r="B789" s="62">
        <f>IF(Materiales!$B$116="","",Materiales!$B$116)</f>
        <v/>
      </c>
      <c r="C789" s="63" t="inlineStr">
        <is>
          <t>Necesidad bruta</t>
        </is>
      </c>
      <c r="D789" s="64" t="n"/>
      <c r="E789" s="65">
        <f>ROUND(SUMIF(Consumo!$P$4:$P$189,"#"&amp;$A789,Consumo!H$4:H$189),4)</f>
        <v/>
      </c>
      <c r="F789" s="65">
        <f>ROUND(SUMIF(Consumo!$P$4:$P$189,"#"&amp;$A789,Consumo!I$4:I$189),4)</f>
        <v/>
      </c>
      <c r="G789" s="65">
        <f>ROUND(SUMIF(Consumo!$P$4:$P$189,"#"&amp;$A789,Consumo!J$4:J$189),4)</f>
        <v/>
      </c>
      <c r="H789" s="65">
        <f>ROUND(SUMIF(Consumo!$P$4:$P$189,"#"&amp;$A789,Consumo!K$4:K$189),4)</f>
        <v/>
      </c>
      <c r="I789" s="65">
        <f>ROUND(SUMIF(Consumo!$P$4:$P$189,"#"&amp;$A789,Consumo!L$4:L$189),4)</f>
        <v/>
      </c>
      <c r="J789" s="65">
        <f>ROUND(SUMIF(Consumo!$P$4:$P$189,"#"&amp;$A789,Consumo!M$4:M$189),4)</f>
        <v/>
      </c>
      <c r="K789" s="65">
        <f>ROUND(SUMIF(Consumo!$P$4:$P$189,"#"&amp;$A789,Consumo!N$4:N$189),4)</f>
        <v/>
      </c>
      <c r="L789" s="65">
        <f>ROUND(SUMIF(Consumo!$P$4:$P$189,"#"&amp;$A789,Consumo!O$4:O$189),4)</f>
        <v/>
      </c>
      <c r="M789" s="66" t="n"/>
    </row>
    <row r="790">
      <c r="C790" s="63" t="inlineStr">
        <is>
          <t>Recepciones programadas (ya pedido)</t>
        </is>
      </c>
      <c r="D790" s="64" t="n"/>
      <c r="E790" s="65">
        <f>SUMIF(Inventario!$M$5:$M$505,"#"&amp;$A789,Inventario!E$5:E$505)</f>
        <v/>
      </c>
      <c r="F790" s="65">
        <f>SUMIF(Inventario!$M$5:$M$505,"#"&amp;$A789,Inventario!F$5:F$505)</f>
        <v/>
      </c>
      <c r="G790" s="65">
        <f>SUMIF(Inventario!$M$5:$M$505,"#"&amp;$A789,Inventario!G$5:G$505)</f>
        <v/>
      </c>
      <c r="H790" s="65">
        <f>SUMIF(Inventario!$M$5:$M$505,"#"&amp;$A789,Inventario!H$5:H$505)</f>
        <v/>
      </c>
      <c r="I790" s="65">
        <f>SUMIF(Inventario!$M$5:$M$505,"#"&amp;$A789,Inventario!I$5:I$505)</f>
        <v/>
      </c>
      <c r="J790" s="65">
        <f>SUMIF(Inventario!$M$5:$M$505,"#"&amp;$A789,Inventario!J$5:J$505)</f>
        <v/>
      </c>
      <c r="K790" s="65">
        <f>SUMIF(Inventario!$M$5:$M$505,"#"&amp;$A789,Inventario!K$5:K$505)</f>
        <v/>
      </c>
      <c r="L790" s="65">
        <f>SUMIF(Inventario!$M$5:$M$505,"#"&amp;$A789,Inventario!L$5:L$505)</f>
        <v/>
      </c>
      <c r="M790" s="66" t="n"/>
    </row>
    <row r="791">
      <c r="C791" s="63" t="inlineStr">
        <is>
          <t>Stock proyectado disponible</t>
        </is>
      </c>
      <c r="D791" s="67">
        <f>SUMIF(Inventario!$M$5:$M$505,"#"&amp;$A789,Inventario!$C$5:$C$505)</f>
        <v/>
      </c>
      <c r="E791" s="68">
        <f>D791+E790+E793-E789</f>
        <v/>
      </c>
      <c r="F791" s="68">
        <f>E791+F790+F793-F789</f>
        <v/>
      </c>
      <c r="G791" s="68">
        <f>F791+G790+G793-G789</f>
        <v/>
      </c>
      <c r="H791" s="68">
        <f>G791+H790+H793-H789</f>
        <v/>
      </c>
      <c r="I791" s="68">
        <f>H791+I790+I793-I789</f>
        <v/>
      </c>
      <c r="J791" s="68">
        <f>I791+J790+J793-J789</f>
        <v/>
      </c>
      <c r="K791" s="68">
        <f>J791+K790+K793-K789</f>
        <v/>
      </c>
      <c r="L791" s="68">
        <f>K791+L790+L793-L789</f>
        <v/>
      </c>
      <c r="M791" s="66" t="n"/>
    </row>
    <row r="792">
      <c r="C792" s="63" t="inlineStr">
        <is>
          <t>Necesidad neta</t>
        </is>
      </c>
      <c r="D792" s="64" t="n"/>
      <c r="E792" s="69">
        <f>MAX(0,ROUND(E789+Materiales!$H$116-D791-E790,4))</f>
        <v/>
      </c>
      <c r="F792" s="69">
        <f>MAX(0,ROUND(F789+Materiales!$H$116-E791-F790,4))</f>
        <v/>
      </c>
      <c r="G792" s="69">
        <f>MAX(0,ROUND(G789+Materiales!$H$116-F791-G790,4))</f>
        <v/>
      </c>
      <c r="H792" s="69">
        <f>MAX(0,ROUND(H789+Materiales!$H$116-G791-H790,4))</f>
        <v/>
      </c>
      <c r="I792" s="69">
        <f>MAX(0,ROUND(I789+Materiales!$H$116-H791-I790,4))</f>
        <v/>
      </c>
      <c r="J792" s="69">
        <f>MAX(0,ROUND(J789+Materiales!$H$116-I791-J790,4))</f>
        <v/>
      </c>
      <c r="K792" s="69">
        <f>MAX(0,ROUND(K789+Materiales!$H$116-J791-K790,4))</f>
        <v/>
      </c>
      <c r="L792" s="69">
        <f>MAX(0,ROUND(L789+Materiales!$H$116-K791-L790,4))</f>
        <v/>
      </c>
      <c r="M792" s="66" t="n"/>
    </row>
    <row r="793">
      <c r="C793" s="63" t="inlineStr">
        <is>
          <t>Recepcion de orden planificada</t>
        </is>
      </c>
      <c r="D793" s="64" t="n"/>
      <c r="E793" s="65">
        <f>IF(E792&lt;=0,0,IF(Materiales!$G$116&lt;=0,E792,ROUNDUP(E792/Materiales!$G$116,0)*Materiales!$G$116))</f>
        <v/>
      </c>
      <c r="F793" s="65">
        <f>IF(F792&lt;=0,0,IF(Materiales!$G$116&lt;=0,F792,ROUNDUP(F792/Materiales!$G$116,0)*Materiales!$G$116))</f>
        <v/>
      </c>
      <c r="G793" s="65">
        <f>IF(G792&lt;=0,0,IF(Materiales!$G$116&lt;=0,G792,ROUNDUP(G792/Materiales!$G$116,0)*Materiales!$G$116))</f>
        <v/>
      </c>
      <c r="H793" s="65">
        <f>IF(H792&lt;=0,0,IF(Materiales!$G$116&lt;=0,H792,ROUNDUP(H792/Materiales!$G$116,0)*Materiales!$G$116))</f>
        <v/>
      </c>
      <c r="I793" s="65">
        <f>IF(I792&lt;=0,0,IF(Materiales!$G$116&lt;=0,I792,ROUNDUP(I792/Materiales!$G$116,0)*Materiales!$G$116))</f>
        <v/>
      </c>
      <c r="J793" s="65">
        <f>IF(J792&lt;=0,0,IF(Materiales!$G$116&lt;=0,J792,ROUNDUP(J792/Materiales!$G$116,0)*Materiales!$G$116))</f>
        <v/>
      </c>
      <c r="K793" s="65">
        <f>IF(K792&lt;=0,0,IF(Materiales!$G$116&lt;=0,K792,ROUNDUP(K792/Materiales!$G$116,0)*Materiales!$G$116))</f>
        <v/>
      </c>
      <c r="L793" s="65">
        <f>IF(L792&lt;=0,0,IF(Materiales!$G$116&lt;=0,L792,ROUNDUP(L792/Materiales!$G$116,0)*Materiales!$G$116))</f>
        <v/>
      </c>
      <c r="M793" s="66" t="n"/>
    </row>
    <row r="794">
      <c r="C794" s="70" t="inlineStr">
        <is>
          <t>LANZAMIENTO DE ORDEN — pedir esta semana</t>
        </is>
      </c>
      <c r="D794" s="64" t="n"/>
      <c r="E794" s="71">
        <f>IF(1+Materiales!$F$116&gt;8,0,INDEX($E$793:$L$793,1,1+Materiales!$F$116))</f>
        <v/>
      </c>
      <c r="F794" s="71">
        <f>IF(2+Materiales!$F$116&gt;8,0,INDEX($E$793:$L$793,1,2+Materiales!$F$116))</f>
        <v/>
      </c>
      <c r="G794" s="71">
        <f>IF(3+Materiales!$F$116&gt;8,0,INDEX($E$793:$L$793,1,3+Materiales!$F$116))</f>
        <v/>
      </c>
      <c r="H794" s="71">
        <f>IF(4+Materiales!$F$116&gt;8,0,INDEX($E$793:$L$793,1,4+Materiales!$F$116))</f>
        <v/>
      </c>
      <c r="I794" s="71">
        <f>IF(5+Materiales!$F$116&gt;8,0,INDEX($E$793:$L$793,1,5+Materiales!$F$116))</f>
        <v/>
      </c>
      <c r="J794" s="71">
        <f>IF(6+Materiales!$F$116&gt;8,0,INDEX($E$793:$L$793,1,6+Materiales!$F$116))</f>
        <v/>
      </c>
      <c r="K794" s="71">
        <f>IF(7+Materiales!$F$116&gt;8,0,INDEX($E$793:$L$793,1,7+Materiales!$F$116))</f>
        <v/>
      </c>
      <c r="L794" s="71">
        <f>IF(8+Materiales!$F$116&gt;8,0,INDEX($E$793:$L$793,1,8+Materiales!$F$116))</f>
        <v/>
      </c>
      <c r="M794" s="72">
        <f>IF($A789="","",IF(SUMPRODUCT((COLUMN($E$793:$L$793)-4&lt;=Materiales!$F$116)*$E$793:$L$793)&gt;0,"PEDIR YA (atrasado)","OK"))</f>
        <v/>
      </c>
    </row>
    <row r="795" ht="6" customHeight="1"/>
    <row r="796">
      <c r="A796" s="62">
        <f>IF(Materiales!$A$117="","",Materiales!$A$117)</f>
        <v/>
      </c>
      <c r="B796" s="62">
        <f>IF(Materiales!$B$117="","",Materiales!$B$117)</f>
        <v/>
      </c>
      <c r="C796" s="63" t="inlineStr">
        <is>
          <t>Necesidad bruta</t>
        </is>
      </c>
      <c r="D796" s="64" t="n"/>
      <c r="E796" s="65">
        <f>ROUND(SUMIF(Consumo!$P$4:$P$189,"#"&amp;$A796,Consumo!H$4:H$189),4)</f>
        <v/>
      </c>
      <c r="F796" s="65">
        <f>ROUND(SUMIF(Consumo!$P$4:$P$189,"#"&amp;$A796,Consumo!I$4:I$189),4)</f>
        <v/>
      </c>
      <c r="G796" s="65">
        <f>ROUND(SUMIF(Consumo!$P$4:$P$189,"#"&amp;$A796,Consumo!J$4:J$189),4)</f>
        <v/>
      </c>
      <c r="H796" s="65">
        <f>ROUND(SUMIF(Consumo!$P$4:$P$189,"#"&amp;$A796,Consumo!K$4:K$189),4)</f>
        <v/>
      </c>
      <c r="I796" s="65">
        <f>ROUND(SUMIF(Consumo!$P$4:$P$189,"#"&amp;$A796,Consumo!L$4:L$189),4)</f>
        <v/>
      </c>
      <c r="J796" s="65">
        <f>ROUND(SUMIF(Consumo!$P$4:$P$189,"#"&amp;$A796,Consumo!M$4:M$189),4)</f>
        <v/>
      </c>
      <c r="K796" s="65">
        <f>ROUND(SUMIF(Consumo!$P$4:$P$189,"#"&amp;$A796,Consumo!N$4:N$189),4)</f>
        <v/>
      </c>
      <c r="L796" s="65">
        <f>ROUND(SUMIF(Consumo!$P$4:$P$189,"#"&amp;$A796,Consumo!O$4:O$189),4)</f>
        <v/>
      </c>
      <c r="M796" s="66" t="n"/>
    </row>
    <row r="797">
      <c r="C797" s="63" t="inlineStr">
        <is>
          <t>Recepciones programadas (ya pedido)</t>
        </is>
      </c>
      <c r="D797" s="64" t="n"/>
      <c r="E797" s="65">
        <f>SUMIF(Inventario!$M$5:$M$505,"#"&amp;$A796,Inventario!E$5:E$505)</f>
        <v/>
      </c>
      <c r="F797" s="65">
        <f>SUMIF(Inventario!$M$5:$M$505,"#"&amp;$A796,Inventario!F$5:F$505)</f>
        <v/>
      </c>
      <c r="G797" s="65">
        <f>SUMIF(Inventario!$M$5:$M$505,"#"&amp;$A796,Inventario!G$5:G$505)</f>
        <v/>
      </c>
      <c r="H797" s="65">
        <f>SUMIF(Inventario!$M$5:$M$505,"#"&amp;$A796,Inventario!H$5:H$505)</f>
        <v/>
      </c>
      <c r="I797" s="65">
        <f>SUMIF(Inventario!$M$5:$M$505,"#"&amp;$A796,Inventario!I$5:I$505)</f>
        <v/>
      </c>
      <c r="J797" s="65">
        <f>SUMIF(Inventario!$M$5:$M$505,"#"&amp;$A796,Inventario!J$5:J$505)</f>
        <v/>
      </c>
      <c r="K797" s="65">
        <f>SUMIF(Inventario!$M$5:$M$505,"#"&amp;$A796,Inventario!K$5:K$505)</f>
        <v/>
      </c>
      <c r="L797" s="65">
        <f>SUMIF(Inventario!$M$5:$M$505,"#"&amp;$A796,Inventario!L$5:L$505)</f>
        <v/>
      </c>
      <c r="M797" s="66" t="n"/>
    </row>
    <row r="798">
      <c r="C798" s="63" t="inlineStr">
        <is>
          <t>Stock proyectado disponible</t>
        </is>
      </c>
      <c r="D798" s="67">
        <f>SUMIF(Inventario!$M$5:$M$505,"#"&amp;$A796,Inventario!$C$5:$C$505)</f>
        <v/>
      </c>
      <c r="E798" s="68">
        <f>D798+E797+E800-E796</f>
        <v/>
      </c>
      <c r="F798" s="68">
        <f>E798+F797+F800-F796</f>
        <v/>
      </c>
      <c r="G798" s="68">
        <f>F798+G797+G800-G796</f>
        <v/>
      </c>
      <c r="H798" s="68">
        <f>G798+H797+H800-H796</f>
        <v/>
      </c>
      <c r="I798" s="68">
        <f>H798+I797+I800-I796</f>
        <v/>
      </c>
      <c r="J798" s="68">
        <f>I798+J797+J800-J796</f>
        <v/>
      </c>
      <c r="K798" s="68">
        <f>J798+K797+K800-K796</f>
        <v/>
      </c>
      <c r="L798" s="68">
        <f>K798+L797+L800-L796</f>
        <v/>
      </c>
      <c r="M798" s="66" t="n"/>
    </row>
    <row r="799">
      <c r="C799" s="63" t="inlineStr">
        <is>
          <t>Necesidad neta</t>
        </is>
      </c>
      <c r="D799" s="64" t="n"/>
      <c r="E799" s="69">
        <f>MAX(0,ROUND(E796+Materiales!$H$117-D798-E797,4))</f>
        <v/>
      </c>
      <c r="F799" s="69">
        <f>MAX(0,ROUND(F796+Materiales!$H$117-E798-F797,4))</f>
        <v/>
      </c>
      <c r="G799" s="69">
        <f>MAX(0,ROUND(G796+Materiales!$H$117-F798-G797,4))</f>
        <v/>
      </c>
      <c r="H799" s="69">
        <f>MAX(0,ROUND(H796+Materiales!$H$117-G798-H797,4))</f>
        <v/>
      </c>
      <c r="I799" s="69">
        <f>MAX(0,ROUND(I796+Materiales!$H$117-H798-I797,4))</f>
        <v/>
      </c>
      <c r="J799" s="69">
        <f>MAX(0,ROUND(J796+Materiales!$H$117-I798-J797,4))</f>
        <v/>
      </c>
      <c r="K799" s="69">
        <f>MAX(0,ROUND(K796+Materiales!$H$117-J798-K797,4))</f>
        <v/>
      </c>
      <c r="L799" s="69">
        <f>MAX(0,ROUND(L796+Materiales!$H$117-K798-L797,4))</f>
        <v/>
      </c>
      <c r="M799" s="66" t="n"/>
    </row>
    <row r="800">
      <c r="C800" s="63" t="inlineStr">
        <is>
          <t>Recepcion de orden planificada</t>
        </is>
      </c>
      <c r="D800" s="64" t="n"/>
      <c r="E800" s="65">
        <f>IF(E799&lt;=0,0,IF(Materiales!$G$117&lt;=0,E799,ROUNDUP(E799/Materiales!$G$117,0)*Materiales!$G$117))</f>
        <v/>
      </c>
      <c r="F800" s="65">
        <f>IF(F799&lt;=0,0,IF(Materiales!$G$117&lt;=0,F799,ROUNDUP(F799/Materiales!$G$117,0)*Materiales!$G$117))</f>
        <v/>
      </c>
      <c r="G800" s="65">
        <f>IF(G799&lt;=0,0,IF(Materiales!$G$117&lt;=0,G799,ROUNDUP(G799/Materiales!$G$117,0)*Materiales!$G$117))</f>
        <v/>
      </c>
      <c r="H800" s="65">
        <f>IF(H799&lt;=0,0,IF(Materiales!$G$117&lt;=0,H799,ROUNDUP(H799/Materiales!$G$117,0)*Materiales!$G$117))</f>
        <v/>
      </c>
      <c r="I800" s="65">
        <f>IF(I799&lt;=0,0,IF(Materiales!$G$117&lt;=0,I799,ROUNDUP(I799/Materiales!$G$117,0)*Materiales!$G$117))</f>
        <v/>
      </c>
      <c r="J800" s="65">
        <f>IF(J799&lt;=0,0,IF(Materiales!$G$117&lt;=0,J799,ROUNDUP(J799/Materiales!$G$117,0)*Materiales!$G$117))</f>
        <v/>
      </c>
      <c r="K800" s="65">
        <f>IF(K799&lt;=0,0,IF(Materiales!$G$117&lt;=0,K799,ROUNDUP(K799/Materiales!$G$117,0)*Materiales!$G$117))</f>
        <v/>
      </c>
      <c r="L800" s="65">
        <f>IF(L799&lt;=0,0,IF(Materiales!$G$117&lt;=0,L799,ROUNDUP(L799/Materiales!$G$117,0)*Materiales!$G$117))</f>
        <v/>
      </c>
      <c r="M800" s="66" t="n"/>
    </row>
    <row r="801">
      <c r="C801" s="70" t="inlineStr">
        <is>
          <t>LANZAMIENTO DE ORDEN — pedir esta semana</t>
        </is>
      </c>
      <c r="D801" s="64" t="n"/>
      <c r="E801" s="71">
        <f>IF(1+Materiales!$F$117&gt;8,0,INDEX($E$800:$L$800,1,1+Materiales!$F$117))</f>
        <v/>
      </c>
      <c r="F801" s="71">
        <f>IF(2+Materiales!$F$117&gt;8,0,INDEX($E$800:$L$800,1,2+Materiales!$F$117))</f>
        <v/>
      </c>
      <c r="G801" s="71">
        <f>IF(3+Materiales!$F$117&gt;8,0,INDEX($E$800:$L$800,1,3+Materiales!$F$117))</f>
        <v/>
      </c>
      <c r="H801" s="71">
        <f>IF(4+Materiales!$F$117&gt;8,0,INDEX($E$800:$L$800,1,4+Materiales!$F$117))</f>
        <v/>
      </c>
      <c r="I801" s="71">
        <f>IF(5+Materiales!$F$117&gt;8,0,INDEX($E$800:$L$800,1,5+Materiales!$F$117))</f>
        <v/>
      </c>
      <c r="J801" s="71">
        <f>IF(6+Materiales!$F$117&gt;8,0,INDEX($E$800:$L$800,1,6+Materiales!$F$117))</f>
        <v/>
      </c>
      <c r="K801" s="71">
        <f>IF(7+Materiales!$F$117&gt;8,0,INDEX($E$800:$L$800,1,7+Materiales!$F$117))</f>
        <v/>
      </c>
      <c r="L801" s="71">
        <f>IF(8+Materiales!$F$117&gt;8,0,INDEX($E$800:$L$800,1,8+Materiales!$F$117))</f>
        <v/>
      </c>
      <c r="M801" s="72">
        <f>IF($A796="","",IF(SUMPRODUCT((COLUMN($E$800:$L$800)-4&lt;=Materiales!$F$117)*$E$800:$L$800)&gt;0,"PEDIR YA (atrasado)","OK"))</f>
        <v/>
      </c>
    </row>
    <row r="802" ht="6" customHeight="1"/>
    <row r="803">
      <c r="A803" s="62">
        <f>IF(Materiales!$A$118="","",Materiales!$A$118)</f>
        <v/>
      </c>
      <c r="B803" s="62">
        <f>IF(Materiales!$B$118="","",Materiales!$B$118)</f>
        <v/>
      </c>
      <c r="C803" s="63" t="inlineStr">
        <is>
          <t>Necesidad bruta</t>
        </is>
      </c>
      <c r="D803" s="64" t="n"/>
      <c r="E803" s="65">
        <f>ROUND(SUMIF(Consumo!$P$4:$P$189,"#"&amp;$A803,Consumo!H$4:H$189),4)</f>
        <v/>
      </c>
      <c r="F803" s="65">
        <f>ROUND(SUMIF(Consumo!$P$4:$P$189,"#"&amp;$A803,Consumo!I$4:I$189),4)</f>
        <v/>
      </c>
      <c r="G803" s="65">
        <f>ROUND(SUMIF(Consumo!$P$4:$P$189,"#"&amp;$A803,Consumo!J$4:J$189),4)</f>
        <v/>
      </c>
      <c r="H803" s="65">
        <f>ROUND(SUMIF(Consumo!$P$4:$P$189,"#"&amp;$A803,Consumo!K$4:K$189),4)</f>
        <v/>
      </c>
      <c r="I803" s="65">
        <f>ROUND(SUMIF(Consumo!$P$4:$P$189,"#"&amp;$A803,Consumo!L$4:L$189),4)</f>
        <v/>
      </c>
      <c r="J803" s="65">
        <f>ROUND(SUMIF(Consumo!$P$4:$P$189,"#"&amp;$A803,Consumo!M$4:M$189),4)</f>
        <v/>
      </c>
      <c r="K803" s="65">
        <f>ROUND(SUMIF(Consumo!$P$4:$P$189,"#"&amp;$A803,Consumo!N$4:N$189),4)</f>
        <v/>
      </c>
      <c r="L803" s="65">
        <f>ROUND(SUMIF(Consumo!$P$4:$P$189,"#"&amp;$A803,Consumo!O$4:O$189),4)</f>
        <v/>
      </c>
      <c r="M803" s="66" t="n"/>
    </row>
    <row r="804">
      <c r="C804" s="63" t="inlineStr">
        <is>
          <t>Recepciones programadas (ya pedido)</t>
        </is>
      </c>
      <c r="D804" s="64" t="n"/>
      <c r="E804" s="65">
        <f>SUMIF(Inventario!$M$5:$M$505,"#"&amp;$A803,Inventario!E$5:E$505)</f>
        <v/>
      </c>
      <c r="F804" s="65">
        <f>SUMIF(Inventario!$M$5:$M$505,"#"&amp;$A803,Inventario!F$5:F$505)</f>
        <v/>
      </c>
      <c r="G804" s="65">
        <f>SUMIF(Inventario!$M$5:$M$505,"#"&amp;$A803,Inventario!G$5:G$505)</f>
        <v/>
      </c>
      <c r="H804" s="65">
        <f>SUMIF(Inventario!$M$5:$M$505,"#"&amp;$A803,Inventario!H$5:H$505)</f>
        <v/>
      </c>
      <c r="I804" s="65">
        <f>SUMIF(Inventario!$M$5:$M$505,"#"&amp;$A803,Inventario!I$5:I$505)</f>
        <v/>
      </c>
      <c r="J804" s="65">
        <f>SUMIF(Inventario!$M$5:$M$505,"#"&amp;$A803,Inventario!J$5:J$505)</f>
        <v/>
      </c>
      <c r="K804" s="65">
        <f>SUMIF(Inventario!$M$5:$M$505,"#"&amp;$A803,Inventario!K$5:K$505)</f>
        <v/>
      </c>
      <c r="L804" s="65">
        <f>SUMIF(Inventario!$M$5:$M$505,"#"&amp;$A803,Inventario!L$5:L$505)</f>
        <v/>
      </c>
      <c r="M804" s="66" t="n"/>
    </row>
    <row r="805">
      <c r="C805" s="63" t="inlineStr">
        <is>
          <t>Stock proyectado disponible</t>
        </is>
      </c>
      <c r="D805" s="67">
        <f>SUMIF(Inventario!$M$5:$M$505,"#"&amp;$A803,Inventario!$C$5:$C$505)</f>
        <v/>
      </c>
      <c r="E805" s="68">
        <f>D805+E804+E807-E803</f>
        <v/>
      </c>
      <c r="F805" s="68">
        <f>E805+F804+F807-F803</f>
        <v/>
      </c>
      <c r="G805" s="68">
        <f>F805+G804+G807-G803</f>
        <v/>
      </c>
      <c r="H805" s="68">
        <f>G805+H804+H807-H803</f>
        <v/>
      </c>
      <c r="I805" s="68">
        <f>H805+I804+I807-I803</f>
        <v/>
      </c>
      <c r="J805" s="68">
        <f>I805+J804+J807-J803</f>
        <v/>
      </c>
      <c r="K805" s="68">
        <f>J805+K804+K807-K803</f>
        <v/>
      </c>
      <c r="L805" s="68">
        <f>K805+L804+L807-L803</f>
        <v/>
      </c>
      <c r="M805" s="66" t="n"/>
    </row>
    <row r="806">
      <c r="C806" s="63" t="inlineStr">
        <is>
          <t>Necesidad neta</t>
        </is>
      </c>
      <c r="D806" s="64" t="n"/>
      <c r="E806" s="69">
        <f>MAX(0,ROUND(E803+Materiales!$H$118-D805-E804,4))</f>
        <v/>
      </c>
      <c r="F806" s="69">
        <f>MAX(0,ROUND(F803+Materiales!$H$118-E805-F804,4))</f>
        <v/>
      </c>
      <c r="G806" s="69">
        <f>MAX(0,ROUND(G803+Materiales!$H$118-F805-G804,4))</f>
        <v/>
      </c>
      <c r="H806" s="69">
        <f>MAX(0,ROUND(H803+Materiales!$H$118-G805-H804,4))</f>
        <v/>
      </c>
      <c r="I806" s="69">
        <f>MAX(0,ROUND(I803+Materiales!$H$118-H805-I804,4))</f>
        <v/>
      </c>
      <c r="J806" s="69">
        <f>MAX(0,ROUND(J803+Materiales!$H$118-I805-J804,4))</f>
        <v/>
      </c>
      <c r="K806" s="69">
        <f>MAX(0,ROUND(K803+Materiales!$H$118-J805-K804,4))</f>
        <v/>
      </c>
      <c r="L806" s="69">
        <f>MAX(0,ROUND(L803+Materiales!$H$118-K805-L804,4))</f>
        <v/>
      </c>
      <c r="M806" s="66" t="n"/>
    </row>
    <row r="807">
      <c r="C807" s="63" t="inlineStr">
        <is>
          <t>Recepcion de orden planificada</t>
        </is>
      </c>
      <c r="D807" s="64" t="n"/>
      <c r="E807" s="65">
        <f>IF(E806&lt;=0,0,IF(Materiales!$G$118&lt;=0,E806,ROUNDUP(E806/Materiales!$G$118,0)*Materiales!$G$118))</f>
        <v/>
      </c>
      <c r="F807" s="65">
        <f>IF(F806&lt;=0,0,IF(Materiales!$G$118&lt;=0,F806,ROUNDUP(F806/Materiales!$G$118,0)*Materiales!$G$118))</f>
        <v/>
      </c>
      <c r="G807" s="65">
        <f>IF(G806&lt;=0,0,IF(Materiales!$G$118&lt;=0,G806,ROUNDUP(G806/Materiales!$G$118,0)*Materiales!$G$118))</f>
        <v/>
      </c>
      <c r="H807" s="65">
        <f>IF(H806&lt;=0,0,IF(Materiales!$G$118&lt;=0,H806,ROUNDUP(H806/Materiales!$G$118,0)*Materiales!$G$118))</f>
        <v/>
      </c>
      <c r="I807" s="65">
        <f>IF(I806&lt;=0,0,IF(Materiales!$G$118&lt;=0,I806,ROUNDUP(I806/Materiales!$G$118,0)*Materiales!$G$118))</f>
        <v/>
      </c>
      <c r="J807" s="65">
        <f>IF(J806&lt;=0,0,IF(Materiales!$G$118&lt;=0,J806,ROUNDUP(J806/Materiales!$G$118,0)*Materiales!$G$118))</f>
        <v/>
      </c>
      <c r="K807" s="65">
        <f>IF(K806&lt;=0,0,IF(Materiales!$G$118&lt;=0,K806,ROUNDUP(K806/Materiales!$G$118,0)*Materiales!$G$118))</f>
        <v/>
      </c>
      <c r="L807" s="65">
        <f>IF(L806&lt;=0,0,IF(Materiales!$G$118&lt;=0,L806,ROUNDUP(L806/Materiales!$G$118,0)*Materiales!$G$118))</f>
        <v/>
      </c>
      <c r="M807" s="66" t="n"/>
    </row>
    <row r="808">
      <c r="C808" s="70" t="inlineStr">
        <is>
          <t>LANZAMIENTO DE ORDEN — pedir esta semana</t>
        </is>
      </c>
      <c r="D808" s="64" t="n"/>
      <c r="E808" s="71">
        <f>IF(1+Materiales!$F$118&gt;8,0,INDEX($E$807:$L$807,1,1+Materiales!$F$118))</f>
        <v/>
      </c>
      <c r="F808" s="71">
        <f>IF(2+Materiales!$F$118&gt;8,0,INDEX($E$807:$L$807,1,2+Materiales!$F$118))</f>
        <v/>
      </c>
      <c r="G808" s="71">
        <f>IF(3+Materiales!$F$118&gt;8,0,INDEX($E$807:$L$807,1,3+Materiales!$F$118))</f>
        <v/>
      </c>
      <c r="H808" s="71">
        <f>IF(4+Materiales!$F$118&gt;8,0,INDEX($E$807:$L$807,1,4+Materiales!$F$118))</f>
        <v/>
      </c>
      <c r="I808" s="71">
        <f>IF(5+Materiales!$F$118&gt;8,0,INDEX($E$807:$L$807,1,5+Materiales!$F$118))</f>
        <v/>
      </c>
      <c r="J808" s="71">
        <f>IF(6+Materiales!$F$118&gt;8,0,INDEX($E$807:$L$807,1,6+Materiales!$F$118))</f>
        <v/>
      </c>
      <c r="K808" s="71">
        <f>IF(7+Materiales!$F$118&gt;8,0,INDEX($E$807:$L$807,1,7+Materiales!$F$118))</f>
        <v/>
      </c>
      <c r="L808" s="71">
        <f>IF(8+Materiales!$F$118&gt;8,0,INDEX($E$807:$L$807,1,8+Materiales!$F$118))</f>
        <v/>
      </c>
      <c r="M808" s="72">
        <f>IF($A803="","",IF(SUMPRODUCT((COLUMN($E$807:$L$807)-4&lt;=Materiales!$F$118)*$E$807:$L$807)&gt;0,"PEDIR YA (atrasado)","OK"))</f>
        <v/>
      </c>
    </row>
    <row r="809" ht="6" customHeight="1"/>
    <row r="810">
      <c r="A810" s="62">
        <f>IF(Materiales!$A$119="","",Materiales!$A$119)</f>
        <v/>
      </c>
      <c r="B810" s="62">
        <f>IF(Materiales!$B$119="","",Materiales!$B$119)</f>
        <v/>
      </c>
      <c r="C810" s="63" t="inlineStr">
        <is>
          <t>Necesidad bruta</t>
        </is>
      </c>
      <c r="D810" s="64" t="n"/>
      <c r="E810" s="65">
        <f>ROUND(SUMIF(Consumo!$P$4:$P$189,"#"&amp;$A810,Consumo!H$4:H$189),4)</f>
        <v/>
      </c>
      <c r="F810" s="65">
        <f>ROUND(SUMIF(Consumo!$P$4:$P$189,"#"&amp;$A810,Consumo!I$4:I$189),4)</f>
        <v/>
      </c>
      <c r="G810" s="65">
        <f>ROUND(SUMIF(Consumo!$P$4:$P$189,"#"&amp;$A810,Consumo!J$4:J$189),4)</f>
        <v/>
      </c>
      <c r="H810" s="65">
        <f>ROUND(SUMIF(Consumo!$P$4:$P$189,"#"&amp;$A810,Consumo!K$4:K$189),4)</f>
        <v/>
      </c>
      <c r="I810" s="65">
        <f>ROUND(SUMIF(Consumo!$P$4:$P$189,"#"&amp;$A810,Consumo!L$4:L$189),4)</f>
        <v/>
      </c>
      <c r="J810" s="65">
        <f>ROUND(SUMIF(Consumo!$P$4:$P$189,"#"&amp;$A810,Consumo!M$4:M$189),4)</f>
        <v/>
      </c>
      <c r="K810" s="65">
        <f>ROUND(SUMIF(Consumo!$P$4:$P$189,"#"&amp;$A810,Consumo!N$4:N$189),4)</f>
        <v/>
      </c>
      <c r="L810" s="65">
        <f>ROUND(SUMIF(Consumo!$P$4:$P$189,"#"&amp;$A810,Consumo!O$4:O$189),4)</f>
        <v/>
      </c>
      <c r="M810" s="66" t="n"/>
    </row>
    <row r="811">
      <c r="C811" s="63" t="inlineStr">
        <is>
          <t>Recepciones programadas (ya pedido)</t>
        </is>
      </c>
      <c r="D811" s="64" t="n"/>
      <c r="E811" s="65">
        <f>SUMIF(Inventario!$M$5:$M$505,"#"&amp;$A810,Inventario!E$5:E$505)</f>
        <v/>
      </c>
      <c r="F811" s="65">
        <f>SUMIF(Inventario!$M$5:$M$505,"#"&amp;$A810,Inventario!F$5:F$505)</f>
        <v/>
      </c>
      <c r="G811" s="65">
        <f>SUMIF(Inventario!$M$5:$M$505,"#"&amp;$A810,Inventario!G$5:G$505)</f>
        <v/>
      </c>
      <c r="H811" s="65">
        <f>SUMIF(Inventario!$M$5:$M$505,"#"&amp;$A810,Inventario!H$5:H$505)</f>
        <v/>
      </c>
      <c r="I811" s="65">
        <f>SUMIF(Inventario!$M$5:$M$505,"#"&amp;$A810,Inventario!I$5:I$505)</f>
        <v/>
      </c>
      <c r="J811" s="65">
        <f>SUMIF(Inventario!$M$5:$M$505,"#"&amp;$A810,Inventario!J$5:J$505)</f>
        <v/>
      </c>
      <c r="K811" s="65">
        <f>SUMIF(Inventario!$M$5:$M$505,"#"&amp;$A810,Inventario!K$5:K$505)</f>
        <v/>
      </c>
      <c r="L811" s="65">
        <f>SUMIF(Inventario!$M$5:$M$505,"#"&amp;$A810,Inventario!L$5:L$505)</f>
        <v/>
      </c>
      <c r="M811" s="66" t="n"/>
    </row>
    <row r="812">
      <c r="C812" s="63" t="inlineStr">
        <is>
          <t>Stock proyectado disponible</t>
        </is>
      </c>
      <c r="D812" s="67">
        <f>SUMIF(Inventario!$M$5:$M$505,"#"&amp;$A810,Inventario!$C$5:$C$505)</f>
        <v/>
      </c>
      <c r="E812" s="68">
        <f>D812+E811+E814-E810</f>
        <v/>
      </c>
      <c r="F812" s="68">
        <f>E812+F811+F814-F810</f>
        <v/>
      </c>
      <c r="G812" s="68">
        <f>F812+G811+G814-G810</f>
        <v/>
      </c>
      <c r="H812" s="68">
        <f>G812+H811+H814-H810</f>
        <v/>
      </c>
      <c r="I812" s="68">
        <f>H812+I811+I814-I810</f>
        <v/>
      </c>
      <c r="J812" s="68">
        <f>I812+J811+J814-J810</f>
        <v/>
      </c>
      <c r="K812" s="68">
        <f>J812+K811+K814-K810</f>
        <v/>
      </c>
      <c r="L812" s="68">
        <f>K812+L811+L814-L810</f>
        <v/>
      </c>
      <c r="M812" s="66" t="n"/>
    </row>
    <row r="813">
      <c r="C813" s="63" t="inlineStr">
        <is>
          <t>Necesidad neta</t>
        </is>
      </c>
      <c r="D813" s="64" t="n"/>
      <c r="E813" s="69">
        <f>MAX(0,ROUND(E810+Materiales!$H$119-D812-E811,4))</f>
        <v/>
      </c>
      <c r="F813" s="69">
        <f>MAX(0,ROUND(F810+Materiales!$H$119-E812-F811,4))</f>
        <v/>
      </c>
      <c r="G813" s="69">
        <f>MAX(0,ROUND(G810+Materiales!$H$119-F812-G811,4))</f>
        <v/>
      </c>
      <c r="H813" s="69">
        <f>MAX(0,ROUND(H810+Materiales!$H$119-G812-H811,4))</f>
        <v/>
      </c>
      <c r="I813" s="69">
        <f>MAX(0,ROUND(I810+Materiales!$H$119-H812-I811,4))</f>
        <v/>
      </c>
      <c r="J813" s="69">
        <f>MAX(0,ROUND(J810+Materiales!$H$119-I812-J811,4))</f>
        <v/>
      </c>
      <c r="K813" s="69">
        <f>MAX(0,ROUND(K810+Materiales!$H$119-J812-K811,4))</f>
        <v/>
      </c>
      <c r="L813" s="69">
        <f>MAX(0,ROUND(L810+Materiales!$H$119-K812-L811,4))</f>
        <v/>
      </c>
      <c r="M813" s="66" t="n"/>
    </row>
    <row r="814">
      <c r="C814" s="63" t="inlineStr">
        <is>
          <t>Recepcion de orden planificada</t>
        </is>
      </c>
      <c r="D814" s="64" t="n"/>
      <c r="E814" s="65">
        <f>IF(E813&lt;=0,0,IF(Materiales!$G$119&lt;=0,E813,ROUNDUP(E813/Materiales!$G$119,0)*Materiales!$G$119))</f>
        <v/>
      </c>
      <c r="F814" s="65">
        <f>IF(F813&lt;=0,0,IF(Materiales!$G$119&lt;=0,F813,ROUNDUP(F813/Materiales!$G$119,0)*Materiales!$G$119))</f>
        <v/>
      </c>
      <c r="G814" s="65">
        <f>IF(G813&lt;=0,0,IF(Materiales!$G$119&lt;=0,G813,ROUNDUP(G813/Materiales!$G$119,0)*Materiales!$G$119))</f>
        <v/>
      </c>
      <c r="H814" s="65">
        <f>IF(H813&lt;=0,0,IF(Materiales!$G$119&lt;=0,H813,ROUNDUP(H813/Materiales!$G$119,0)*Materiales!$G$119))</f>
        <v/>
      </c>
      <c r="I814" s="65">
        <f>IF(I813&lt;=0,0,IF(Materiales!$G$119&lt;=0,I813,ROUNDUP(I813/Materiales!$G$119,0)*Materiales!$G$119))</f>
        <v/>
      </c>
      <c r="J814" s="65">
        <f>IF(J813&lt;=0,0,IF(Materiales!$G$119&lt;=0,J813,ROUNDUP(J813/Materiales!$G$119,0)*Materiales!$G$119))</f>
        <v/>
      </c>
      <c r="K814" s="65">
        <f>IF(K813&lt;=0,0,IF(Materiales!$G$119&lt;=0,K813,ROUNDUP(K813/Materiales!$G$119,0)*Materiales!$G$119))</f>
        <v/>
      </c>
      <c r="L814" s="65">
        <f>IF(L813&lt;=0,0,IF(Materiales!$G$119&lt;=0,L813,ROUNDUP(L813/Materiales!$G$119,0)*Materiales!$G$119))</f>
        <v/>
      </c>
      <c r="M814" s="66" t="n"/>
    </row>
    <row r="815">
      <c r="C815" s="70" t="inlineStr">
        <is>
          <t>LANZAMIENTO DE ORDEN — pedir esta semana</t>
        </is>
      </c>
      <c r="D815" s="64" t="n"/>
      <c r="E815" s="71">
        <f>IF(1+Materiales!$F$119&gt;8,0,INDEX($E$814:$L$814,1,1+Materiales!$F$119))</f>
        <v/>
      </c>
      <c r="F815" s="71">
        <f>IF(2+Materiales!$F$119&gt;8,0,INDEX($E$814:$L$814,1,2+Materiales!$F$119))</f>
        <v/>
      </c>
      <c r="G815" s="71">
        <f>IF(3+Materiales!$F$119&gt;8,0,INDEX($E$814:$L$814,1,3+Materiales!$F$119))</f>
        <v/>
      </c>
      <c r="H815" s="71">
        <f>IF(4+Materiales!$F$119&gt;8,0,INDEX($E$814:$L$814,1,4+Materiales!$F$119))</f>
        <v/>
      </c>
      <c r="I815" s="71">
        <f>IF(5+Materiales!$F$119&gt;8,0,INDEX($E$814:$L$814,1,5+Materiales!$F$119))</f>
        <v/>
      </c>
      <c r="J815" s="71">
        <f>IF(6+Materiales!$F$119&gt;8,0,INDEX($E$814:$L$814,1,6+Materiales!$F$119))</f>
        <v/>
      </c>
      <c r="K815" s="71">
        <f>IF(7+Materiales!$F$119&gt;8,0,INDEX($E$814:$L$814,1,7+Materiales!$F$119))</f>
        <v/>
      </c>
      <c r="L815" s="71">
        <f>IF(8+Materiales!$F$119&gt;8,0,INDEX($E$814:$L$814,1,8+Materiales!$F$119))</f>
        <v/>
      </c>
      <c r="M815" s="72">
        <f>IF($A810="","",IF(SUMPRODUCT((COLUMN($E$814:$L$814)-4&lt;=Materiales!$F$119)*$E$814:$L$814)&gt;0,"PEDIR YA (atrasado)","OK"))</f>
        <v/>
      </c>
    </row>
    <row r="816" ht="6" customHeight="1"/>
    <row r="817">
      <c r="A817" s="62">
        <f>IF(Materiales!$A$120="","",Materiales!$A$120)</f>
        <v/>
      </c>
      <c r="B817" s="62">
        <f>IF(Materiales!$B$120="","",Materiales!$B$120)</f>
        <v/>
      </c>
      <c r="C817" s="63" t="inlineStr">
        <is>
          <t>Necesidad bruta</t>
        </is>
      </c>
      <c r="D817" s="64" t="n"/>
      <c r="E817" s="65">
        <f>ROUND(SUMIF(Consumo!$P$4:$P$189,"#"&amp;$A817,Consumo!H$4:H$189),4)</f>
        <v/>
      </c>
      <c r="F817" s="65">
        <f>ROUND(SUMIF(Consumo!$P$4:$P$189,"#"&amp;$A817,Consumo!I$4:I$189),4)</f>
        <v/>
      </c>
      <c r="G817" s="65">
        <f>ROUND(SUMIF(Consumo!$P$4:$P$189,"#"&amp;$A817,Consumo!J$4:J$189),4)</f>
        <v/>
      </c>
      <c r="H817" s="65">
        <f>ROUND(SUMIF(Consumo!$P$4:$P$189,"#"&amp;$A817,Consumo!K$4:K$189),4)</f>
        <v/>
      </c>
      <c r="I817" s="65">
        <f>ROUND(SUMIF(Consumo!$P$4:$P$189,"#"&amp;$A817,Consumo!L$4:L$189),4)</f>
        <v/>
      </c>
      <c r="J817" s="65">
        <f>ROUND(SUMIF(Consumo!$P$4:$P$189,"#"&amp;$A817,Consumo!M$4:M$189),4)</f>
        <v/>
      </c>
      <c r="K817" s="65">
        <f>ROUND(SUMIF(Consumo!$P$4:$P$189,"#"&amp;$A817,Consumo!N$4:N$189),4)</f>
        <v/>
      </c>
      <c r="L817" s="65">
        <f>ROUND(SUMIF(Consumo!$P$4:$P$189,"#"&amp;$A817,Consumo!O$4:O$189),4)</f>
        <v/>
      </c>
      <c r="M817" s="66" t="n"/>
    </row>
    <row r="818">
      <c r="C818" s="63" t="inlineStr">
        <is>
          <t>Recepciones programadas (ya pedido)</t>
        </is>
      </c>
      <c r="D818" s="64" t="n"/>
      <c r="E818" s="65">
        <f>SUMIF(Inventario!$M$5:$M$505,"#"&amp;$A817,Inventario!E$5:E$505)</f>
        <v/>
      </c>
      <c r="F818" s="65">
        <f>SUMIF(Inventario!$M$5:$M$505,"#"&amp;$A817,Inventario!F$5:F$505)</f>
        <v/>
      </c>
      <c r="G818" s="65">
        <f>SUMIF(Inventario!$M$5:$M$505,"#"&amp;$A817,Inventario!G$5:G$505)</f>
        <v/>
      </c>
      <c r="H818" s="65">
        <f>SUMIF(Inventario!$M$5:$M$505,"#"&amp;$A817,Inventario!H$5:H$505)</f>
        <v/>
      </c>
      <c r="I818" s="65">
        <f>SUMIF(Inventario!$M$5:$M$505,"#"&amp;$A817,Inventario!I$5:I$505)</f>
        <v/>
      </c>
      <c r="J818" s="65">
        <f>SUMIF(Inventario!$M$5:$M$505,"#"&amp;$A817,Inventario!J$5:J$505)</f>
        <v/>
      </c>
      <c r="K818" s="65">
        <f>SUMIF(Inventario!$M$5:$M$505,"#"&amp;$A817,Inventario!K$5:K$505)</f>
        <v/>
      </c>
      <c r="L818" s="65">
        <f>SUMIF(Inventario!$M$5:$M$505,"#"&amp;$A817,Inventario!L$5:L$505)</f>
        <v/>
      </c>
      <c r="M818" s="66" t="n"/>
    </row>
    <row r="819">
      <c r="C819" s="63" t="inlineStr">
        <is>
          <t>Stock proyectado disponible</t>
        </is>
      </c>
      <c r="D819" s="67">
        <f>SUMIF(Inventario!$M$5:$M$505,"#"&amp;$A817,Inventario!$C$5:$C$505)</f>
        <v/>
      </c>
      <c r="E819" s="68">
        <f>D819+E818+E821-E817</f>
        <v/>
      </c>
      <c r="F819" s="68">
        <f>E819+F818+F821-F817</f>
        <v/>
      </c>
      <c r="G819" s="68">
        <f>F819+G818+G821-G817</f>
        <v/>
      </c>
      <c r="H819" s="68">
        <f>G819+H818+H821-H817</f>
        <v/>
      </c>
      <c r="I819" s="68">
        <f>H819+I818+I821-I817</f>
        <v/>
      </c>
      <c r="J819" s="68">
        <f>I819+J818+J821-J817</f>
        <v/>
      </c>
      <c r="K819" s="68">
        <f>J819+K818+K821-K817</f>
        <v/>
      </c>
      <c r="L819" s="68">
        <f>K819+L818+L821-L817</f>
        <v/>
      </c>
      <c r="M819" s="66" t="n"/>
    </row>
    <row r="820">
      <c r="C820" s="63" t="inlineStr">
        <is>
          <t>Necesidad neta</t>
        </is>
      </c>
      <c r="D820" s="64" t="n"/>
      <c r="E820" s="69">
        <f>MAX(0,ROUND(E817+Materiales!$H$120-D819-E818,4))</f>
        <v/>
      </c>
      <c r="F820" s="69">
        <f>MAX(0,ROUND(F817+Materiales!$H$120-E819-F818,4))</f>
        <v/>
      </c>
      <c r="G820" s="69">
        <f>MAX(0,ROUND(G817+Materiales!$H$120-F819-G818,4))</f>
        <v/>
      </c>
      <c r="H820" s="69">
        <f>MAX(0,ROUND(H817+Materiales!$H$120-G819-H818,4))</f>
        <v/>
      </c>
      <c r="I820" s="69">
        <f>MAX(0,ROUND(I817+Materiales!$H$120-H819-I818,4))</f>
        <v/>
      </c>
      <c r="J820" s="69">
        <f>MAX(0,ROUND(J817+Materiales!$H$120-I819-J818,4))</f>
        <v/>
      </c>
      <c r="K820" s="69">
        <f>MAX(0,ROUND(K817+Materiales!$H$120-J819-K818,4))</f>
        <v/>
      </c>
      <c r="L820" s="69">
        <f>MAX(0,ROUND(L817+Materiales!$H$120-K819-L818,4))</f>
        <v/>
      </c>
      <c r="M820" s="66" t="n"/>
    </row>
    <row r="821">
      <c r="C821" s="63" t="inlineStr">
        <is>
          <t>Recepcion de orden planificada</t>
        </is>
      </c>
      <c r="D821" s="64" t="n"/>
      <c r="E821" s="65">
        <f>IF(E820&lt;=0,0,IF(Materiales!$G$120&lt;=0,E820,ROUNDUP(E820/Materiales!$G$120,0)*Materiales!$G$120))</f>
        <v/>
      </c>
      <c r="F821" s="65">
        <f>IF(F820&lt;=0,0,IF(Materiales!$G$120&lt;=0,F820,ROUNDUP(F820/Materiales!$G$120,0)*Materiales!$G$120))</f>
        <v/>
      </c>
      <c r="G821" s="65">
        <f>IF(G820&lt;=0,0,IF(Materiales!$G$120&lt;=0,G820,ROUNDUP(G820/Materiales!$G$120,0)*Materiales!$G$120))</f>
        <v/>
      </c>
      <c r="H821" s="65">
        <f>IF(H820&lt;=0,0,IF(Materiales!$G$120&lt;=0,H820,ROUNDUP(H820/Materiales!$G$120,0)*Materiales!$G$120))</f>
        <v/>
      </c>
      <c r="I821" s="65">
        <f>IF(I820&lt;=0,0,IF(Materiales!$G$120&lt;=0,I820,ROUNDUP(I820/Materiales!$G$120,0)*Materiales!$G$120))</f>
        <v/>
      </c>
      <c r="J821" s="65">
        <f>IF(J820&lt;=0,0,IF(Materiales!$G$120&lt;=0,J820,ROUNDUP(J820/Materiales!$G$120,0)*Materiales!$G$120))</f>
        <v/>
      </c>
      <c r="K821" s="65">
        <f>IF(K820&lt;=0,0,IF(Materiales!$G$120&lt;=0,K820,ROUNDUP(K820/Materiales!$G$120,0)*Materiales!$G$120))</f>
        <v/>
      </c>
      <c r="L821" s="65">
        <f>IF(L820&lt;=0,0,IF(Materiales!$G$120&lt;=0,L820,ROUNDUP(L820/Materiales!$G$120,0)*Materiales!$G$120))</f>
        <v/>
      </c>
      <c r="M821" s="66" t="n"/>
    </row>
    <row r="822">
      <c r="C822" s="70" t="inlineStr">
        <is>
          <t>LANZAMIENTO DE ORDEN — pedir esta semana</t>
        </is>
      </c>
      <c r="D822" s="64" t="n"/>
      <c r="E822" s="71">
        <f>IF(1+Materiales!$F$120&gt;8,0,INDEX($E$821:$L$821,1,1+Materiales!$F$120))</f>
        <v/>
      </c>
      <c r="F822" s="71">
        <f>IF(2+Materiales!$F$120&gt;8,0,INDEX($E$821:$L$821,1,2+Materiales!$F$120))</f>
        <v/>
      </c>
      <c r="G822" s="71">
        <f>IF(3+Materiales!$F$120&gt;8,0,INDEX($E$821:$L$821,1,3+Materiales!$F$120))</f>
        <v/>
      </c>
      <c r="H822" s="71">
        <f>IF(4+Materiales!$F$120&gt;8,0,INDEX($E$821:$L$821,1,4+Materiales!$F$120))</f>
        <v/>
      </c>
      <c r="I822" s="71">
        <f>IF(5+Materiales!$F$120&gt;8,0,INDEX($E$821:$L$821,1,5+Materiales!$F$120))</f>
        <v/>
      </c>
      <c r="J822" s="71">
        <f>IF(6+Materiales!$F$120&gt;8,0,INDEX($E$821:$L$821,1,6+Materiales!$F$120))</f>
        <v/>
      </c>
      <c r="K822" s="71">
        <f>IF(7+Materiales!$F$120&gt;8,0,INDEX($E$821:$L$821,1,7+Materiales!$F$120))</f>
        <v/>
      </c>
      <c r="L822" s="71">
        <f>IF(8+Materiales!$F$120&gt;8,0,INDEX($E$821:$L$821,1,8+Materiales!$F$120))</f>
        <v/>
      </c>
      <c r="M822" s="72">
        <f>IF($A817="","",IF(SUMPRODUCT((COLUMN($E$821:$L$821)-4&lt;=Materiales!$F$120)*$E$821:$L$821)&gt;0,"PEDIR YA (atrasado)","OK"))</f>
        <v/>
      </c>
    </row>
    <row r="823" ht="6" customHeight="1"/>
    <row r="824">
      <c r="A824" s="62">
        <f>IF(Materiales!$A$121="","",Materiales!$A$121)</f>
        <v/>
      </c>
      <c r="B824" s="62">
        <f>IF(Materiales!$B$121="","",Materiales!$B$121)</f>
        <v/>
      </c>
      <c r="C824" s="63" t="inlineStr">
        <is>
          <t>Necesidad bruta</t>
        </is>
      </c>
      <c r="D824" s="64" t="n"/>
      <c r="E824" s="65">
        <f>ROUND(SUMIF(Consumo!$P$4:$P$189,"#"&amp;$A824,Consumo!H$4:H$189),4)</f>
        <v/>
      </c>
      <c r="F824" s="65">
        <f>ROUND(SUMIF(Consumo!$P$4:$P$189,"#"&amp;$A824,Consumo!I$4:I$189),4)</f>
        <v/>
      </c>
      <c r="G824" s="65">
        <f>ROUND(SUMIF(Consumo!$P$4:$P$189,"#"&amp;$A824,Consumo!J$4:J$189),4)</f>
        <v/>
      </c>
      <c r="H824" s="65">
        <f>ROUND(SUMIF(Consumo!$P$4:$P$189,"#"&amp;$A824,Consumo!K$4:K$189),4)</f>
        <v/>
      </c>
      <c r="I824" s="65">
        <f>ROUND(SUMIF(Consumo!$P$4:$P$189,"#"&amp;$A824,Consumo!L$4:L$189),4)</f>
        <v/>
      </c>
      <c r="J824" s="65">
        <f>ROUND(SUMIF(Consumo!$P$4:$P$189,"#"&amp;$A824,Consumo!M$4:M$189),4)</f>
        <v/>
      </c>
      <c r="K824" s="65">
        <f>ROUND(SUMIF(Consumo!$P$4:$P$189,"#"&amp;$A824,Consumo!N$4:N$189),4)</f>
        <v/>
      </c>
      <c r="L824" s="65">
        <f>ROUND(SUMIF(Consumo!$P$4:$P$189,"#"&amp;$A824,Consumo!O$4:O$189),4)</f>
        <v/>
      </c>
      <c r="M824" s="66" t="n"/>
    </row>
    <row r="825">
      <c r="C825" s="63" t="inlineStr">
        <is>
          <t>Recepciones programadas (ya pedido)</t>
        </is>
      </c>
      <c r="D825" s="64" t="n"/>
      <c r="E825" s="65">
        <f>SUMIF(Inventario!$M$5:$M$505,"#"&amp;$A824,Inventario!E$5:E$505)</f>
        <v/>
      </c>
      <c r="F825" s="65">
        <f>SUMIF(Inventario!$M$5:$M$505,"#"&amp;$A824,Inventario!F$5:F$505)</f>
        <v/>
      </c>
      <c r="G825" s="65">
        <f>SUMIF(Inventario!$M$5:$M$505,"#"&amp;$A824,Inventario!G$5:G$505)</f>
        <v/>
      </c>
      <c r="H825" s="65">
        <f>SUMIF(Inventario!$M$5:$M$505,"#"&amp;$A824,Inventario!H$5:H$505)</f>
        <v/>
      </c>
      <c r="I825" s="65">
        <f>SUMIF(Inventario!$M$5:$M$505,"#"&amp;$A824,Inventario!I$5:I$505)</f>
        <v/>
      </c>
      <c r="J825" s="65">
        <f>SUMIF(Inventario!$M$5:$M$505,"#"&amp;$A824,Inventario!J$5:J$505)</f>
        <v/>
      </c>
      <c r="K825" s="65">
        <f>SUMIF(Inventario!$M$5:$M$505,"#"&amp;$A824,Inventario!K$5:K$505)</f>
        <v/>
      </c>
      <c r="L825" s="65">
        <f>SUMIF(Inventario!$M$5:$M$505,"#"&amp;$A824,Inventario!L$5:L$505)</f>
        <v/>
      </c>
      <c r="M825" s="66" t="n"/>
    </row>
    <row r="826">
      <c r="C826" s="63" t="inlineStr">
        <is>
          <t>Stock proyectado disponible</t>
        </is>
      </c>
      <c r="D826" s="67">
        <f>SUMIF(Inventario!$M$5:$M$505,"#"&amp;$A824,Inventario!$C$5:$C$505)</f>
        <v/>
      </c>
      <c r="E826" s="68">
        <f>D826+E825+E828-E824</f>
        <v/>
      </c>
      <c r="F826" s="68">
        <f>E826+F825+F828-F824</f>
        <v/>
      </c>
      <c r="G826" s="68">
        <f>F826+G825+G828-G824</f>
        <v/>
      </c>
      <c r="H826" s="68">
        <f>G826+H825+H828-H824</f>
        <v/>
      </c>
      <c r="I826" s="68">
        <f>H826+I825+I828-I824</f>
        <v/>
      </c>
      <c r="J826" s="68">
        <f>I826+J825+J828-J824</f>
        <v/>
      </c>
      <c r="K826" s="68">
        <f>J826+K825+K828-K824</f>
        <v/>
      </c>
      <c r="L826" s="68">
        <f>K826+L825+L828-L824</f>
        <v/>
      </c>
      <c r="M826" s="66" t="n"/>
    </row>
    <row r="827">
      <c r="C827" s="63" t="inlineStr">
        <is>
          <t>Necesidad neta</t>
        </is>
      </c>
      <c r="D827" s="64" t="n"/>
      <c r="E827" s="69">
        <f>MAX(0,ROUND(E824+Materiales!$H$121-D826-E825,4))</f>
        <v/>
      </c>
      <c r="F827" s="69">
        <f>MAX(0,ROUND(F824+Materiales!$H$121-E826-F825,4))</f>
        <v/>
      </c>
      <c r="G827" s="69">
        <f>MAX(0,ROUND(G824+Materiales!$H$121-F826-G825,4))</f>
        <v/>
      </c>
      <c r="H827" s="69">
        <f>MAX(0,ROUND(H824+Materiales!$H$121-G826-H825,4))</f>
        <v/>
      </c>
      <c r="I827" s="69">
        <f>MAX(0,ROUND(I824+Materiales!$H$121-H826-I825,4))</f>
        <v/>
      </c>
      <c r="J827" s="69">
        <f>MAX(0,ROUND(J824+Materiales!$H$121-I826-J825,4))</f>
        <v/>
      </c>
      <c r="K827" s="69">
        <f>MAX(0,ROUND(K824+Materiales!$H$121-J826-K825,4))</f>
        <v/>
      </c>
      <c r="L827" s="69">
        <f>MAX(0,ROUND(L824+Materiales!$H$121-K826-L825,4))</f>
        <v/>
      </c>
      <c r="M827" s="66" t="n"/>
    </row>
    <row r="828">
      <c r="C828" s="63" t="inlineStr">
        <is>
          <t>Recepcion de orden planificada</t>
        </is>
      </c>
      <c r="D828" s="64" t="n"/>
      <c r="E828" s="65">
        <f>IF(E827&lt;=0,0,IF(Materiales!$G$121&lt;=0,E827,ROUNDUP(E827/Materiales!$G$121,0)*Materiales!$G$121))</f>
        <v/>
      </c>
      <c r="F828" s="65">
        <f>IF(F827&lt;=0,0,IF(Materiales!$G$121&lt;=0,F827,ROUNDUP(F827/Materiales!$G$121,0)*Materiales!$G$121))</f>
        <v/>
      </c>
      <c r="G828" s="65">
        <f>IF(G827&lt;=0,0,IF(Materiales!$G$121&lt;=0,G827,ROUNDUP(G827/Materiales!$G$121,0)*Materiales!$G$121))</f>
        <v/>
      </c>
      <c r="H828" s="65">
        <f>IF(H827&lt;=0,0,IF(Materiales!$G$121&lt;=0,H827,ROUNDUP(H827/Materiales!$G$121,0)*Materiales!$G$121))</f>
        <v/>
      </c>
      <c r="I828" s="65">
        <f>IF(I827&lt;=0,0,IF(Materiales!$G$121&lt;=0,I827,ROUNDUP(I827/Materiales!$G$121,0)*Materiales!$G$121))</f>
        <v/>
      </c>
      <c r="J828" s="65">
        <f>IF(J827&lt;=0,0,IF(Materiales!$G$121&lt;=0,J827,ROUNDUP(J827/Materiales!$G$121,0)*Materiales!$G$121))</f>
        <v/>
      </c>
      <c r="K828" s="65">
        <f>IF(K827&lt;=0,0,IF(Materiales!$G$121&lt;=0,K827,ROUNDUP(K827/Materiales!$G$121,0)*Materiales!$G$121))</f>
        <v/>
      </c>
      <c r="L828" s="65">
        <f>IF(L827&lt;=0,0,IF(Materiales!$G$121&lt;=0,L827,ROUNDUP(L827/Materiales!$G$121,0)*Materiales!$G$121))</f>
        <v/>
      </c>
      <c r="M828" s="66" t="n"/>
    </row>
    <row r="829">
      <c r="C829" s="70" t="inlineStr">
        <is>
          <t>LANZAMIENTO DE ORDEN — pedir esta semana</t>
        </is>
      </c>
      <c r="D829" s="64" t="n"/>
      <c r="E829" s="71">
        <f>IF(1+Materiales!$F$121&gt;8,0,INDEX($E$828:$L$828,1,1+Materiales!$F$121))</f>
        <v/>
      </c>
      <c r="F829" s="71">
        <f>IF(2+Materiales!$F$121&gt;8,0,INDEX($E$828:$L$828,1,2+Materiales!$F$121))</f>
        <v/>
      </c>
      <c r="G829" s="71">
        <f>IF(3+Materiales!$F$121&gt;8,0,INDEX($E$828:$L$828,1,3+Materiales!$F$121))</f>
        <v/>
      </c>
      <c r="H829" s="71">
        <f>IF(4+Materiales!$F$121&gt;8,0,INDEX($E$828:$L$828,1,4+Materiales!$F$121))</f>
        <v/>
      </c>
      <c r="I829" s="71">
        <f>IF(5+Materiales!$F$121&gt;8,0,INDEX($E$828:$L$828,1,5+Materiales!$F$121))</f>
        <v/>
      </c>
      <c r="J829" s="71">
        <f>IF(6+Materiales!$F$121&gt;8,0,INDEX($E$828:$L$828,1,6+Materiales!$F$121))</f>
        <v/>
      </c>
      <c r="K829" s="71">
        <f>IF(7+Materiales!$F$121&gt;8,0,INDEX($E$828:$L$828,1,7+Materiales!$F$121))</f>
        <v/>
      </c>
      <c r="L829" s="71">
        <f>IF(8+Materiales!$F$121&gt;8,0,INDEX($E$828:$L$828,1,8+Materiales!$F$121))</f>
        <v/>
      </c>
      <c r="M829" s="72">
        <f>IF($A824="","",IF(SUMPRODUCT((COLUMN($E$828:$L$828)-4&lt;=Materiales!$F$121)*$E$828:$L$828)&gt;0,"PEDIR YA (atrasado)","OK"))</f>
        <v/>
      </c>
    </row>
    <row r="830" ht="6" customHeight="1"/>
    <row r="831">
      <c r="A831" s="62">
        <f>IF(Materiales!$A$122="","",Materiales!$A$122)</f>
        <v/>
      </c>
      <c r="B831" s="62">
        <f>IF(Materiales!$B$122="","",Materiales!$B$122)</f>
        <v/>
      </c>
      <c r="C831" s="63" t="inlineStr">
        <is>
          <t>Necesidad bruta</t>
        </is>
      </c>
      <c r="D831" s="64" t="n"/>
      <c r="E831" s="65">
        <f>ROUND(SUMIF(Consumo!$P$4:$P$189,"#"&amp;$A831,Consumo!H$4:H$189),4)</f>
        <v/>
      </c>
      <c r="F831" s="65">
        <f>ROUND(SUMIF(Consumo!$P$4:$P$189,"#"&amp;$A831,Consumo!I$4:I$189),4)</f>
        <v/>
      </c>
      <c r="G831" s="65">
        <f>ROUND(SUMIF(Consumo!$P$4:$P$189,"#"&amp;$A831,Consumo!J$4:J$189),4)</f>
        <v/>
      </c>
      <c r="H831" s="65">
        <f>ROUND(SUMIF(Consumo!$P$4:$P$189,"#"&amp;$A831,Consumo!K$4:K$189),4)</f>
        <v/>
      </c>
      <c r="I831" s="65">
        <f>ROUND(SUMIF(Consumo!$P$4:$P$189,"#"&amp;$A831,Consumo!L$4:L$189),4)</f>
        <v/>
      </c>
      <c r="J831" s="65">
        <f>ROUND(SUMIF(Consumo!$P$4:$P$189,"#"&amp;$A831,Consumo!M$4:M$189),4)</f>
        <v/>
      </c>
      <c r="K831" s="65">
        <f>ROUND(SUMIF(Consumo!$P$4:$P$189,"#"&amp;$A831,Consumo!N$4:N$189),4)</f>
        <v/>
      </c>
      <c r="L831" s="65">
        <f>ROUND(SUMIF(Consumo!$P$4:$P$189,"#"&amp;$A831,Consumo!O$4:O$189),4)</f>
        <v/>
      </c>
      <c r="M831" s="66" t="n"/>
    </row>
    <row r="832">
      <c r="C832" s="63" t="inlineStr">
        <is>
          <t>Recepciones programadas (ya pedido)</t>
        </is>
      </c>
      <c r="D832" s="64" t="n"/>
      <c r="E832" s="65">
        <f>SUMIF(Inventario!$M$5:$M$505,"#"&amp;$A831,Inventario!E$5:E$505)</f>
        <v/>
      </c>
      <c r="F832" s="65">
        <f>SUMIF(Inventario!$M$5:$M$505,"#"&amp;$A831,Inventario!F$5:F$505)</f>
        <v/>
      </c>
      <c r="G832" s="65">
        <f>SUMIF(Inventario!$M$5:$M$505,"#"&amp;$A831,Inventario!G$5:G$505)</f>
        <v/>
      </c>
      <c r="H832" s="65">
        <f>SUMIF(Inventario!$M$5:$M$505,"#"&amp;$A831,Inventario!H$5:H$505)</f>
        <v/>
      </c>
      <c r="I832" s="65">
        <f>SUMIF(Inventario!$M$5:$M$505,"#"&amp;$A831,Inventario!I$5:I$505)</f>
        <v/>
      </c>
      <c r="J832" s="65">
        <f>SUMIF(Inventario!$M$5:$M$505,"#"&amp;$A831,Inventario!J$5:J$505)</f>
        <v/>
      </c>
      <c r="K832" s="65">
        <f>SUMIF(Inventario!$M$5:$M$505,"#"&amp;$A831,Inventario!K$5:K$505)</f>
        <v/>
      </c>
      <c r="L832" s="65">
        <f>SUMIF(Inventario!$M$5:$M$505,"#"&amp;$A831,Inventario!L$5:L$505)</f>
        <v/>
      </c>
      <c r="M832" s="66" t="n"/>
    </row>
    <row r="833">
      <c r="C833" s="63" t="inlineStr">
        <is>
          <t>Stock proyectado disponible</t>
        </is>
      </c>
      <c r="D833" s="67">
        <f>SUMIF(Inventario!$M$5:$M$505,"#"&amp;$A831,Inventario!$C$5:$C$505)</f>
        <v/>
      </c>
      <c r="E833" s="68">
        <f>D833+E832+E835-E831</f>
        <v/>
      </c>
      <c r="F833" s="68">
        <f>E833+F832+F835-F831</f>
        <v/>
      </c>
      <c r="G833" s="68">
        <f>F833+G832+G835-G831</f>
        <v/>
      </c>
      <c r="H833" s="68">
        <f>G833+H832+H835-H831</f>
        <v/>
      </c>
      <c r="I833" s="68">
        <f>H833+I832+I835-I831</f>
        <v/>
      </c>
      <c r="J833" s="68">
        <f>I833+J832+J835-J831</f>
        <v/>
      </c>
      <c r="K833" s="68">
        <f>J833+K832+K835-K831</f>
        <v/>
      </c>
      <c r="L833" s="68">
        <f>K833+L832+L835-L831</f>
        <v/>
      </c>
      <c r="M833" s="66" t="n"/>
    </row>
    <row r="834">
      <c r="C834" s="63" t="inlineStr">
        <is>
          <t>Necesidad neta</t>
        </is>
      </c>
      <c r="D834" s="64" t="n"/>
      <c r="E834" s="69">
        <f>MAX(0,ROUND(E831+Materiales!$H$122-D833-E832,4))</f>
        <v/>
      </c>
      <c r="F834" s="69">
        <f>MAX(0,ROUND(F831+Materiales!$H$122-E833-F832,4))</f>
        <v/>
      </c>
      <c r="G834" s="69">
        <f>MAX(0,ROUND(G831+Materiales!$H$122-F833-G832,4))</f>
        <v/>
      </c>
      <c r="H834" s="69">
        <f>MAX(0,ROUND(H831+Materiales!$H$122-G833-H832,4))</f>
        <v/>
      </c>
      <c r="I834" s="69">
        <f>MAX(0,ROUND(I831+Materiales!$H$122-H833-I832,4))</f>
        <v/>
      </c>
      <c r="J834" s="69">
        <f>MAX(0,ROUND(J831+Materiales!$H$122-I833-J832,4))</f>
        <v/>
      </c>
      <c r="K834" s="69">
        <f>MAX(0,ROUND(K831+Materiales!$H$122-J833-K832,4))</f>
        <v/>
      </c>
      <c r="L834" s="69">
        <f>MAX(0,ROUND(L831+Materiales!$H$122-K833-L832,4))</f>
        <v/>
      </c>
      <c r="M834" s="66" t="n"/>
    </row>
    <row r="835">
      <c r="C835" s="63" t="inlineStr">
        <is>
          <t>Recepcion de orden planificada</t>
        </is>
      </c>
      <c r="D835" s="64" t="n"/>
      <c r="E835" s="65">
        <f>IF(E834&lt;=0,0,IF(Materiales!$G$122&lt;=0,E834,ROUNDUP(E834/Materiales!$G$122,0)*Materiales!$G$122))</f>
        <v/>
      </c>
      <c r="F835" s="65">
        <f>IF(F834&lt;=0,0,IF(Materiales!$G$122&lt;=0,F834,ROUNDUP(F834/Materiales!$G$122,0)*Materiales!$G$122))</f>
        <v/>
      </c>
      <c r="G835" s="65">
        <f>IF(G834&lt;=0,0,IF(Materiales!$G$122&lt;=0,G834,ROUNDUP(G834/Materiales!$G$122,0)*Materiales!$G$122))</f>
        <v/>
      </c>
      <c r="H835" s="65">
        <f>IF(H834&lt;=0,0,IF(Materiales!$G$122&lt;=0,H834,ROUNDUP(H834/Materiales!$G$122,0)*Materiales!$G$122))</f>
        <v/>
      </c>
      <c r="I835" s="65">
        <f>IF(I834&lt;=0,0,IF(Materiales!$G$122&lt;=0,I834,ROUNDUP(I834/Materiales!$G$122,0)*Materiales!$G$122))</f>
        <v/>
      </c>
      <c r="J835" s="65">
        <f>IF(J834&lt;=0,0,IF(Materiales!$G$122&lt;=0,J834,ROUNDUP(J834/Materiales!$G$122,0)*Materiales!$G$122))</f>
        <v/>
      </c>
      <c r="K835" s="65">
        <f>IF(K834&lt;=0,0,IF(Materiales!$G$122&lt;=0,K834,ROUNDUP(K834/Materiales!$G$122,0)*Materiales!$G$122))</f>
        <v/>
      </c>
      <c r="L835" s="65">
        <f>IF(L834&lt;=0,0,IF(Materiales!$G$122&lt;=0,L834,ROUNDUP(L834/Materiales!$G$122,0)*Materiales!$G$122))</f>
        <v/>
      </c>
      <c r="M835" s="66" t="n"/>
    </row>
    <row r="836">
      <c r="C836" s="70" t="inlineStr">
        <is>
          <t>LANZAMIENTO DE ORDEN — pedir esta semana</t>
        </is>
      </c>
      <c r="D836" s="64" t="n"/>
      <c r="E836" s="71">
        <f>IF(1+Materiales!$F$122&gt;8,0,INDEX($E$835:$L$835,1,1+Materiales!$F$122))</f>
        <v/>
      </c>
      <c r="F836" s="71">
        <f>IF(2+Materiales!$F$122&gt;8,0,INDEX($E$835:$L$835,1,2+Materiales!$F$122))</f>
        <v/>
      </c>
      <c r="G836" s="71">
        <f>IF(3+Materiales!$F$122&gt;8,0,INDEX($E$835:$L$835,1,3+Materiales!$F$122))</f>
        <v/>
      </c>
      <c r="H836" s="71">
        <f>IF(4+Materiales!$F$122&gt;8,0,INDEX($E$835:$L$835,1,4+Materiales!$F$122))</f>
        <v/>
      </c>
      <c r="I836" s="71">
        <f>IF(5+Materiales!$F$122&gt;8,0,INDEX($E$835:$L$835,1,5+Materiales!$F$122))</f>
        <v/>
      </c>
      <c r="J836" s="71">
        <f>IF(6+Materiales!$F$122&gt;8,0,INDEX($E$835:$L$835,1,6+Materiales!$F$122))</f>
        <v/>
      </c>
      <c r="K836" s="71">
        <f>IF(7+Materiales!$F$122&gt;8,0,INDEX($E$835:$L$835,1,7+Materiales!$F$122))</f>
        <v/>
      </c>
      <c r="L836" s="71">
        <f>IF(8+Materiales!$F$122&gt;8,0,INDEX($E$835:$L$835,1,8+Materiales!$F$122))</f>
        <v/>
      </c>
      <c r="M836" s="72">
        <f>IF($A831="","",IF(SUMPRODUCT((COLUMN($E$835:$L$835)-4&lt;=Materiales!$F$122)*$E$835:$L$835)&gt;0,"PEDIR YA (atrasado)","OK"))</f>
        <v/>
      </c>
    </row>
    <row r="837" ht="6" customHeight="1"/>
    <row r="838">
      <c r="A838" s="62">
        <f>IF(Materiales!$A$123="","",Materiales!$A$123)</f>
        <v/>
      </c>
      <c r="B838" s="62">
        <f>IF(Materiales!$B$123="","",Materiales!$B$123)</f>
        <v/>
      </c>
      <c r="C838" s="63" t="inlineStr">
        <is>
          <t>Necesidad bruta</t>
        </is>
      </c>
      <c r="D838" s="64" t="n"/>
      <c r="E838" s="65">
        <f>ROUND(SUMIF(Consumo!$P$4:$P$189,"#"&amp;$A838,Consumo!H$4:H$189),4)</f>
        <v/>
      </c>
      <c r="F838" s="65">
        <f>ROUND(SUMIF(Consumo!$P$4:$P$189,"#"&amp;$A838,Consumo!I$4:I$189),4)</f>
        <v/>
      </c>
      <c r="G838" s="65">
        <f>ROUND(SUMIF(Consumo!$P$4:$P$189,"#"&amp;$A838,Consumo!J$4:J$189),4)</f>
        <v/>
      </c>
      <c r="H838" s="65">
        <f>ROUND(SUMIF(Consumo!$P$4:$P$189,"#"&amp;$A838,Consumo!K$4:K$189),4)</f>
        <v/>
      </c>
      <c r="I838" s="65">
        <f>ROUND(SUMIF(Consumo!$P$4:$P$189,"#"&amp;$A838,Consumo!L$4:L$189),4)</f>
        <v/>
      </c>
      <c r="J838" s="65">
        <f>ROUND(SUMIF(Consumo!$P$4:$P$189,"#"&amp;$A838,Consumo!M$4:M$189),4)</f>
        <v/>
      </c>
      <c r="K838" s="65">
        <f>ROUND(SUMIF(Consumo!$P$4:$P$189,"#"&amp;$A838,Consumo!N$4:N$189),4)</f>
        <v/>
      </c>
      <c r="L838" s="65">
        <f>ROUND(SUMIF(Consumo!$P$4:$P$189,"#"&amp;$A838,Consumo!O$4:O$189),4)</f>
        <v/>
      </c>
      <c r="M838" s="66" t="n"/>
    </row>
    <row r="839">
      <c r="C839" s="63" t="inlineStr">
        <is>
          <t>Recepciones programadas (ya pedido)</t>
        </is>
      </c>
      <c r="D839" s="64" t="n"/>
      <c r="E839" s="65">
        <f>SUMIF(Inventario!$M$5:$M$505,"#"&amp;$A838,Inventario!E$5:E$505)</f>
        <v/>
      </c>
      <c r="F839" s="65">
        <f>SUMIF(Inventario!$M$5:$M$505,"#"&amp;$A838,Inventario!F$5:F$505)</f>
        <v/>
      </c>
      <c r="G839" s="65">
        <f>SUMIF(Inventario!$M$5:$M$505,"#"&amp;$A838,Inventario!G$5:G$505)</f>
        <v/>
      </c>
      <c r="H839" s="65">
        <f>SUMIF(Inventario!$M$5:$M$505,"#"&amp;$A838,Inventario!H$5:H$505)</f>
        <v/>
      </c>
      <c r="I839" s="65">
        <f>SUMIF(Inventario!$M$5:$M$505,"#"&amp;$A838,Inventario!I$5:I$505)</f>
        <v/>
      </c>
      <c r="J839" s="65">
        <f>SUMIF(Inventario!$M$5:$M$505,"#"&amp;$A838,Inventario!J$5:J$505)</f>
        <v/>
      </c>
      <c r="K839" s="65">
        <f>SUMIF(Inventario!$M$5:$M$505,"#"&amp;$A838,Inventario!K$5:K$505)</f>
        <v/>
      </c>
      <c r="L839" s="65">
        <f>SUMIF(Inventario!$M$5:$M$505,"#"&amp;$A838,Inventario!L$5:L$505)</f>
        <v/>
      </c>
      <c r="M839" s="66" t="n"/>
    </row>
    <row r="840">
      <c r="C840" s="63" t="inlineStr">
        <is>
          <t>Stock proyectado disponible</t>
        </is>
      </c>
      <c r="D840" s="67">
        <f>SUMIF(Inventario!$M$5:$M$505,"#"&amp;$A838,Inventario!$C$5:$C$505)</f>
        <v/>
      </c>
      <c r="E840" s="68">
        <f>D840+E839+E842-E838</f>
        <v/>
      </c>
      <c r="F840" s="68">
        <f>E840+F839+F842-F838</f>
        <v/>
      </c>
      <c r="G840" s="68">
        <f>F840+G839+G842-G838</f>
        <v/>
      </c>
      <c r="H840" s="68">
        <f>G840+H839+H842-H838</f>
        <v/>
      </c>
      <c r="I840" s="68">
        <f>H840+I839+I842-I838</f>
        <v/>
      </c>
      <c r="J840" s="68">
        <f>I840+J839+J842-J838</f>
        <v/>
      </c>
      <c r="K840" s="68">
        <f>J840+K839+K842-K838</f>
        <v/>
      </c>
      <c r="L840" s="68">
        <f>K840+L839+L842-L838</f>
        <v/>
      </c>
      <c r="M840" s="66" t="n"/>
    </row>
    <row r="841">
      <c r="C841" s="63" t="inlineStr">
        <is>
          <t>Necesidad neta</t>
        </is>
      </c>
      <c r="D841" s="64" t="n"/>
      <c r="E841" s="69">
        <f>MAX(0,ROUND(E838+Materiales!$H$123-D840-E839,4))</f>
        <v/>
      </c>
      <c r="F841" s="69">
        <f>MAX(0,ROUND(F838+Materiales!$H$123-E840-F839,4))</f>
        <v/>
      </c>
      <c r="G841" s="69">
        <f>MAX(0,ROUND(G838+Materiales!$H$123-F840-G839,4))</f>
        <v/>
      </c>
      <c r="H841" s="69">
        <f>MAX(0,ROUND(H838+Materiales!$H$123-G840-H839,4))</f>
        <v/>
      </c>
      <c r="I841" s="69">
        <f>MAX(0,ROUND(I838+Materiales!$H$123-H840-I839,4))</f>
        <v/>
      </c>
      <c r="J841" s="69">
        <f>MAX(0,ROUND(J838+Materiales!$H$123-I840-J839,4))</f>
        <v/>
      </c>
      <c r="K841" s="69">
        <f>MAX(0,ROUND(K838+Materiales!$H$123-J840-K839,4))</f>
        <v/>
      </c>
      <c r="L841" s="69">
        <f>MAX(0,ROUND(L838+Materiales!$H$123-K840-L839,4))</f>
        <v/>
      </c>
      <c r="M841" s="66" t="n"/>
    </row>
    <row r="842">
      <c r="C842" s="63" t="inlineStr">
        <is>
          <t>Recepcion de orden planificada</t>
        </is>
      </c>
      <c r="D842" s="64" t="n"/>
      <c r="E842" s="65">
        <f>IF(E841&lt;=0,0,IF(Materiales!$G$123&lt;=0,E841,ROUNDUP(E841/Materiales!$G$123,0)*Materiales!$G$123))</f>
        <v/>
      </c>
      <c r="F842" s="65">
        <f>IF(F841&lt;=0,0,IF(Materiales!$G$123&lt;=0,F841,ROUNDUP(F841/Materiales!$G$123,0)*Materiales!$G$123))</f>
        <v/>
      </c>
      <c r="G842" s="65">
        <f>IF(G841&lt;=0,0,IF(Materiales!$G$123&lt;=0,G841,ROUNDUP(G841/Materiales!$G$123,0)*Materiales!$G$123))</f>
        <v/>
      </c>
      <c r="H842" s="65">
        <f>IF(H841&lt;=0,0,IF(Materiales!$G$123&lt;=0,H841,ROUNDUP(H841/Materiales!$G$123,0)*Materiales!$G$123))</f>
        <v/>
      </c>
      <c r="I842" s="65">
        <f>IF(I841&lt;=0,0,IF(Materiales!$G$123&lt;=0,I841,ROUNDUP(I841/Materiales!$G$123,0)*Materiales!$G$123))</f>
        <v/>
      </c>
      <c r="J842" s="65">
        <f>IF(J841&lt;=0,0,IF(Materiales!$G$123&lt;=0,J841,ROUNDUP(J841/Materiales!$G$123,0)*Materiales!$G$123))</f>
        <v/>
      </c>
      <c r="K842" s="65">
        <f>IF(K841&lt;=0,0,IF(Materiales!$G$123&lt;=0,K841,ROUNDUP(K841/Materiales!$G$123,0)*Materiales!$G$123))</f>
        <v/>
      </c>
      <c r="L842" s="65">
        <f>IF(L841&lt;=0,0,IF(Materiales!$G$123&lt;=0,L841,ROUNDUP(L841/Materiales!$G$123,0)*Materiales!$G$123))</f>
        <v/>
      </c>
      <c r="M842" s="66" t="n"/>
    </row>
    <row r="843">
      <c r="C843" s="70" t="inlineStr">
        <is>
          <t>LANZAMIENTO DE ORDEN — pedir esta semana</t>
        </is>
      </c>
      <c r="D843" s="64" t="n"/>
      <c r="E843" s="71">
        <f>IF(1+Materiales!$F$123&gt;8,0,INDEX($E$842:$L$842,1,1+Materiales!$F$123))</f>
        <v/>
      </c>
      <c r="F843" s="71">
        <f>IF(2+Materiales!$F$123&gt;8,0,INDEX($E$842:$L$842,1,2+Materiales!$F$123))</f>
        <v/>
      </c>
      <c r="G843" s="71">
        <f>IF(3+Materiales!$F$123&gt;8,0,INDEX($E$842:$L$842,1,3+Materiales!$F$123))</f>
        <v/>
      </c>
      <c r="H843" s="71">
        <f>IF(4+Materiales!$F$123&gt;8,0,INDEX($E$842:$L$842,1,4+Materiales!$F$123))</f>
        <v/>
      </c>
      <c r="I843" s="71">
        <f>IF(5+Materiales!$F$123&gt;8,0,INDEX($E$842:$L$842,1,5+Materiales!$F$123))</f>
        <v/>
      </c>
      <c r="J843" s="71">
        <f>IF(6+Materiales!$F$123&gt;8,0,INDEX($E$842:$L$842,1,6+Materiales!$F$123))</f>
        <v/>
      </c>
      <c r="K843" s="71">
        <f>IF(7+Materiales!$F$123&gt;8,0,INDEX($E$842:$L$842,1,7+Materiales!$F$123))</f>
        <v/>
      </c>
      <c r="L843" s="71">
        <f>IF(8+Materiales!$F$123&gt;8,0,INDEX($E$842:$L$842,1,8+Materiales!$F$123))</f>
        <v/>
      </c>
      <c r="M843" s="72">
        <f>IF($A838="","",IF(SUMPRODUCT((COLUMN($E$842:$L$842)-4&lt;=Materiales!$F$123)*$E$842:$L$842)&gt;0,"PEDIR YA (atrasado)","OK"))</f>
        <v/>
      </c>
    </row>
    <row r="844" ht="6" customHeight="1"/>
    <row r="845">
      <c r="A845" s="62">
        <f>IF(Materiales!$A$124="","",Materiales!$A$124)</f>
        <v/>
      </c>
      <c r="B845" s="62">
        <f>IF(Materiales!$B$124="","",Materiales!$B$124)</f>
        <v/>
      </c>
      <c r="C845" s="63" t="inlineStr">
        <is>
          <t>Necesidad bruta</t>
        </is>
      </c>
      <c r="D845" s="64" t="n"/>
      <c r="E845" s="65">
        <f>ROUND(SUMIF(Consumo!$P$4:$P$189,"#"&amp;$A845,Consumo!H$4:H$189),4)</f>
        <v/>
      </c>
      <c r="F845" s="65">
        <f>ROUND(SUMIF(Consumo!$P$4:$P$189,"#"&amp;$A845,Consumo!I$4:I$189),4)</f>
        <v/>
      </c>
      <c r="G845" s="65">
        <f>ROUND(SUMIF(Consumo!$P$4:$P$189,"#"&amp;$A845,Consumo!J$4:J$189),4)</f>
        <v/>
      </c>
      <c r="H845" s="65">
        <f>ROUND(SUMIF(Consumo!$P$4:$P$189,"#"&amp;$A845,Consumo!K$4:K$189),4)</f>
        <v/>
      </c>
      <c r="I845" s="65">
        <f>ROUND(SUMIF(Consumo!$P$4:$P$189,"#"&amp;$A845,Consumo!L$4:L$189),4)</f>
        <v/>
      </c>
      <c r="J845" s="65">
        <f>ROUND(SUMIF(Consumo!$P$4:$P$189,"#"&amp;$A845,Consumo!M$4:M$189),4)</f>
        <v/>
      </c>
      <c r="K845" s="65">
        <f>ROUND(SUMIF(Consumo!$P$4:$P$189,"#"&amp;$A845,Consumo!N$4:N$189),4)</f>
        <v/>
      </c>
      <c r="L845" s="65">
        <f>ROUND(SUMIF(Consumo!$P$4:$P$189,"#"&amp;$A845,Consumo!O$4:O$189),4)</f>
        <v/>
      </c>
      <c r="M845" s="66" t="n"/>
    </row>
    <row r="846">
      <c r="C846" s="63" t="inlineStr">
        <is>
          <t>Recepciones programadas (ya pedido)</t>
        </is>
      </c>
      <c r="D846" s="64" t="n"/>
      <c r="E846" s="65">
        <f>SUMIF(Inventario!$M$5:$M$505,"#"&amp;$A845,Inventario!E$5:E$505)</f>
        <v/>
      </c>
      <c r="F846" s="65">
        <f>SUMIF(Inventario!$M$5:$M$505,"#"&amp;$A845,Inventario!F$5:F$505)</f>
        <v/>
      </c>
      <c r="G846" s="65">
        <f>SUMIF(Inventario!$M$5:$M$505,"#"&amp;$A845,Inventario!G$5:G$505)</f>
        <v/>
      </c>
      <c r="H846" s="65">
        <f>SUMIF(Inventario!$M$5:$M$505,"#"&amp;$A845,Inventario!H$5:H$505)</f>
        <v/>
      </c>
      <c r="I846" s="65">
        <f>SUMIF(Inventario!$M$5:$M$505,"#"&amp;$A845,Inventario!I$5:I$505)</f>
        <v/>
      </c>
      <c r="J846" s="65">
        <f>SUMIF(Inventario!$M$5:$M$505,"#"&amp;$A845,Inventario!J$5:J$505)</f>
        <v/>
      </c>
      <c r="K846" s="65">
        <f>SUMIF(Inventario!$M$5:$M$505,"#"&amp;$A845,Inventario!K$5:K$505)</f>
        <v/>
      </c>
      <c r="L846" s="65">
        <f>SUMIF(Inventario!$M$5:$M$505,"#"&amp;$A845,Inventario!L$5:L$505)</f>
        <v/>
      </c>
      <c r="M846" s="66" t="n"/>
    </row>
    <row r="847">
      <c r="C847" s="63" t="inlineStr">
        <is>
          <t>Stock proyectado disponible</t>
        </is>
      </c>
      <c r="D847" s="67">
        <f>SUMIF(Inventario!$M$5:$M$505,"#"&amp;$A845,Inventario!$C$5:$C$505)</f>
        <v/>
      </c>
      <c r="E847" s="68">
        <f>D847+E846+E849-E845</f>
        <v/>
      </c>
      <c r="F847" s="68">
        <f>E847+F846+F849-F845</f>
        <v/>
      </c>
      <c r="G847" s="68">
        <f>F847+G846+G849-G845</f>
        <v/>
      </c>
      <c r="H847" s="68">
        <f>G847+H846+H849-H845</f>
        <v/>
      </c>
      <c r="I847" s="68">
        <f>H847+I846+I849-I845</f>
        <v/>
      </c>
      <c r="J847" s="68">
        <f>I847+J846+J849-J845</f>
        <v/>
      </c>
      <c r="K847" s="68">
        <f>J847+K846+K849-K845</f>
        <v/>
      </c>
      <c r="L847" s="68">
        <f>K847+L846+L849-L845</f>
        <v/>
      </c>
      <c r="M847" s="66" t="n"/>
    </row>
    <row r="848">
      <c r="C848" s="63" t="inlineStr">
        <is>
          <t>Necesidad neta</t>
        </is>
      </c>
      <c r="D848" s="64" t="n"/>
      <c r="E848" s="69">
        <f>MAX(0,ROUND(E845+Materiales!$H$124-D847-E846,4))</f>
        <v/>
      </c>
      <c r="F848" s="69">
        <f>MAX(0,ROUND(F845+Materiales!$H$124-E847-F846,4))</f>
        <v/>
      </c>
      <c r="G848" s="69">
        <f>MAX(0,ROUND(G845+Materiales!$H$124-F847-G846,4))</f>
        <v/>
      </c>
      <c r="H848" s="69">
        <f>MAX(0,ROUND(H845+Materiales!$H$124-G847-H846,4))</f>
        <v/>
      </c>
      <c r="I848" s="69">
        <f>MAX(0,ROUND(I845+Materiales!$H$124-H847-I846,4))</f>
        <v/>
      </c>
      <c r="J848" s="69">
        <f>MAX(0,ROUND(J845+Materiales!$H$124-I847-J846,4))</f>
        <v/>
      </c>
      <c r="K848" s="69">
        <f>MAX(0,ROUND(K845+Materiales!$H$124-J847-K846,4))</f>
        <v/>
      </c>
      <c r="L848" s="69">
        <f>MAX(0,ROUND(L845+Materiales!$H$124-K847-L846,4))</f>
        <v/>
      </c>
      <c r="M848" s="66" t="n"/>
    </row>
    <row r="849">
      <c r="C849" s="63" t="inlineStr">
        <is>
          <t>Recepcion de orden planificada</t>
        </is>
      </c>
      <c r="D849" s="64" t="n"/>
      <c r="E849" s="65">
        <f>IF(E848&lt;=0,0,IF(Materiales!$G$124&lt;=0,E848,ROUNDUP(E848/Materiales!$G$124,0)*Materiales!$G$124))</f>
        <v/>
      </c>
      <c r="F849" s="65">
        <f>IF(F848&lt;=0,0,IF(Materiales!$G$124&lt;=0,F848,ROUNDUP(F848/Materiales!$G$124,0)*Materiales!$G$124))</f>
        <v/>
      </c>
      <c r="G849" s="65">
        <f>IF(G848&lt;=0,0,IF(Materiales!$G$124&lt;=0,G848,ROUNDUP(G848/Materiales!$G$124,0)*Materiales!$G$124))</f>
        <v/>
      </c>
      <c r="H849" s="65">
        <f>IF(H848&lt;=0,0,IF(Materiales!$G$124&lt;=0,H848,ROUNDUP(H848/Materiales!$G$124,0)*Materiales!$G$124))</f>
        <v/>
      </c>
      <c r="I849" s="65">
        <f>IF(I848&lt;=0,0,IF(Materiales!$G$124&lt;=0,I848,ROUNDUP(I848/Materiales!$G$124,0)*Materiales!$G$124))</f>
        <v/>
      </c>
      <c r="J849" s="65">
        <f>IF(J848&lt;=0,0,IF(Materiales!$G$124&lt;=0,J848,ROUNDUP(J848/Materiales!$G$124,0)*Materiales!$G$124))</f>
        <v/>
      </c>
      <c r="K849" s="65">
        <f>IF(K848&lt;=0,0,IF(Materiales!$G$124&lt;=0,K848,ROUNDUP(K848/Materiales!$G$124,0)*Materiales!$G$124))</f>
        <v/>
      </c>
      <c r="L849" s="65">
        <f>IF(L848&lt;=0,0,IF(Materiales!$G$124&lt;=0,L848,ROUNDUP(L848/Materiales!$G$124,0)*Materiales!$G$124))</f>
        <v/>
      </c>
      <c r="M849" s="66" t="n"/>
    </row>
    <row r="850">
      <c r="C850" s="70" t="inlineStr">
        <is>
          <t>LANZAMIENTO DE ORDEN — pedir esta semana</t>
        </is>
      </c>
      <c r="D850" s="64" t="n"/>
      <c r="E850" s="71">
        <f>IF(1+Materiales!$F$124&gt;8,0,INDEX($E$849:$L$849,1,1+Materiales!$F$124))</f>
        <v/>
      </c>
      <c r="F850" s="71">
        <f>IF(2+Materiales!$F$124&gt;8,0,INDEX($E$849:$L$849,1,2+Materiales!$F$124))</f>
        <v/>
      </c>
      <c r="G850" s="71">
        <f>IF(3+Materiales!$F$124&gt;8,0,INDEX($E$849:$L$849,1,3+Materiales!$F$124))</f>
        <v/>
      </c>
      <c r="H850" s="71">
        <f>IF(4+Materiales!$F$124&gt;8,0,INDEX($E$849:$L$849,1,4+Materiales!$F$124))</f>
        <v/>
      </c>
      <c r="I850" s="71">
        <f>IF(5+Materiales!$F$124&gt;8,0,INDEX($E$849:$L$849,1,5+Materiales!$F$124))</f>
        <v/>
      </c>
      <c r="J850" s="71">
        <f>IF(6+Materiales!$F$124&gt;8,0,INDEX($E$849:$L$849,1,6+Materiales!$F$124))</f>
        <v/>
      </c>
      <c r="K850" s="71">
        <f>IF(7+Materiales!$F$124&gt;8,0,INDEX($E$849:$L$849,1,7+Materiales!$F$124))</f>
        <v/>
      </c>
      <c r="L850" s="71">
        <f>IF(8+Materiales!$F$124&gt;8,0,INDEX($E$849:$L$849,1,8+Materiales!$F$124))</f>
        <v/>
      </c>
      <c r="M850" s="72">
        <f>IF($A845="","",IF(SUMPRODUCT((COLUMN($E$849:$L$849)-4&lt;=Materiales!$F$124)*$E$849:$L$849)&gt;0,"PEDIR YA (atrasado)","OK"))</f>
        <v/>
      </c>
    </row>
    <row r="851" ht="6" customHeight="1"/>
    <row r="852">
      <c r="A852" s="62">
        <f>IF(Materiales!$A$125="","",Materiales!$A$125)</f>
        <v/>
      </c>
      <c r="B852" s="62">
        <f>IF(Materiales!$B$125="","",Materiales!$B$125)</f>
        <v/>
      </c>
      <c r="C852" s="63" t="inlineStr">
        <is>
          <t>Necesidad bruta</t>
        </is>
      </c>
      <c r="D852" s="64" t="n"/>
      <c r="E852" s="65">
        <f>ROUND(SUMIF(Consumo!$P$4:$P$189,"#"&amp;$A852,Consumo!H$4:H$189),4)</f>
        <v/>
      </c>
      <c r="F852" s="65">
        <f>ROUND(SUMIF(Consumo!$P$4:$P$189,"#"&amp;$A852,Consumo!I$4:I$189),4)</f>
        <v/>
      </c>
      <c r="G852" s="65">
        <f>ROUND(SUMIF(Consumo!$P$4:$P$189,"#"&amp;$A852,Consumo!J$4:J$189),4)</f>
        <v/>
      </c>
      <c r="H852" s="65">
        <f>ROUND(SUMIF(Consumo!$P$4:$P$189,"#"&amp;$A852,Consumo!K$4:K$189),4)</f>
        <v/>
      </c>
      <c r="I852" s="65">
        <f>ROUND(SUMIF(Consumo!$P$4:$P$189,"#"&amp;$A852,Consumo!L$4:L$189),4)</f>
        <v/>
      </c>
      <c r="J852" s="65">
        <f>ROUND(SUMIF(Consumo!$P$4:$P$189,"#"&amp;$A852,Consumo!M$4:M$189),4)</f>
        <v/>
      </c>
      <c r="K852" s="65">
        <f>ROUND(SUMIF(Consumo!$P$4:$P$189,"#"&amp;$A852,Consumo!N$4:N$189),4)</f>
        <v/>
      </c>
      <c r="L852" s="65">
        <f>ROUND(SUMIF(Consumo!$P$4:$P$189,"#"&amp;$A852,Consumo!O$4:O$189),4)</f>
        <v/>
      </c>
      <c r="M852" s="66" t="n"/>
    </row>
    <row r="853">
      <c r="C853" s="63" t="inlineStr">
        <is>
          <t>Recepciones programadas (ya pedido)</t>
        </is>
      </c>
      <c r="D853" s="64" t="n"/>
      <c r="E853" s="65">
        <f>SUMIF(Inventario!$M$5:$M$505,"#"&amp;$A852,Inventario!E$5:E$505)</f>
        <v/>
      </c>
      <c r="F853" s="65">
        <f>SUMIF(Inventario!$M$5:$M$505,"#"&amp;$A852,Inventario!F$5:F$505)</f>
        <v/>
      </c>
      <c r="G853" s="65">
        <f>SUMIF(Inventario!$M$5:$M$505,"#"&amp;$A852,Inventario!G$5:G$505)</f>
        <v/>
      </c>
      <c r="H853" s="65">
        <f>SUMIF(Inventario!$M$5:$M$505,"#"&amp;$A852,Inventario!H$5:H$505)</f>
        <v/>
      </c>
      <c r="I853" s="65">
        <f>SUMIF(Inventario!$M$5:$M$505,"#"&amp;$A852,Inventario!I$5:I$505)</f>
        <v/>
      </c>
      <c r="J853" s="65">
        <f>SUMIF(Inventario!$M$5:$M$505,"#"&amp;$A852,Inventario!J$5:J$505)</f>
        <v/>
      </c>
      <c r="K853" s="65">
        <f>SUMIF(Inventario!$M$5:$M$505,"#"&amp;$A852,Inventario!K$5:K$505)</f>
        <v/>
      </c>
      <c r="L853" s="65">
        <f>SUMIF(Inventario!$M$5:$M$505,"#"&amp;$A852,Inventario!L$5:L$505)</f>
        <v/>
      </c>
      <c r="M853" s="66" t="n"/>
    </row>
    <row r="854">
      <c r="C854" s="63" t="inlineStr">
        <is>
          <t>Stock proyectado disponible</t>
        </is>
      </c>
      <c r="D854" s="67">
        <f>SUMIF(Inventario!$M$5:$M$505,"#"&amp;$A852,Inventario!$C$5:$C$505)</f>
        <v/>
      </c>
      <c r="E854" s="68">
        <f>D854+E853+E856-E852</f>
        <v/>
      </c>
      <c r="F854" s="68">
        <f>E854+F853+F856-F852</f>
        <v/>
      </c>
      <c r="G854" s="68">
        <f>F854+G853+G856-G852</f>
        <v/>
      </c>
      <c r="H854" s="68">
        <f>G854+H853+H856-H852</f>
        <v/>
      </c>
      <c r="I854" s="68">
        <f>H854+I853+I856-I852</f>
        <v/>
      </c>
      <c r="J854" s="68">
        <f>I854+J853+J856-J852</f>
        <v/>
      </c>
      <c r="K854" s="68">
        <f>J854+K853+K856-K852</f>
        <v/>
      </c>
      <c r="L854" s="68">
        <f>K854+L853+L856-L852</f>
        <v/>
      </c>
      <c r="M854" s="66" t="n"/>
    </row>
    <row r="855">
      <c r="C855" s="63" t="inlineStr">
        <is>
          <t>Necesidad neta</t>
        </is>
      </c>
      <c r="D855" s="64" t="n"/>
      <c r="E855" s="69">
        <f>MAX(0,ROUND(E852+Materiales!$H$125-D854-E853,4))</f>
        <v/>
      </c>
      <c r="F855" s="69">
        <f>MAX(0,ROUND(F852+Materiales!$H$125-E854-F853,4))</f>
        <v/>
      </c>
      <c r="G855" s="69">
        <f>MAX(0,ROUND(G852+Materiales!$H$125-F854-G853,4))</f>
        <v/>
      </c>
      <c r="H855" s="69">
        <f>MAX(0,ROUND(H852+Materiales!$H$125-G854-H853,4))</f>
        <v/>
      </c>
      <c r="I855" s="69">
        <f>MAX(0,ROUND(I852+Materiales!$H$125-H854-I853,4))</f>
        <v/>
      </c>
      <c r="J855" s="69">
        <f>MAX(0,ROUND(J852+Materiales!$H$125-I854-J853,4))</f>
        <v/>
      </c>
      <c r="K855" s="69">
        <f>MAX(0,ROUND(K852+Materiales!$H$125-J854-K853,4))</f>
        <v/>
      </c>
      <c r="L855" s="69">
        <f>MAX(0,ROUND(L852+Materiales!$H$125-K854-L853,4))</f>
        <v/>
      </c>
      <c r="M855" s="66" t="n"/>
    </row>
    <row r="856">
      <c r="C856" s="63" t="inlineStr">
        <is>
          <t>Recepcion de orden planificada</t>
        </is>
      </c>
      <c r="D856" s="64" t="n"/>
      <c r="E856" s="65">
        <f>IF(E855&lt;=0,0,IF(Materiales!$G$125&lt;=0,E855,ROUNDUP(E855/Materiales!$G$125,0)*Materiales!$G$125))</f>
        <v/>
      </c>
      <c r="F856" s="65">
        <f>IF(F855&lt;=0,0,IF(Materiales!$G$125&lt;=0,F855,ROUNDUP(F855/Materiales!$G$125,0)*Materiales!$G$125))</f>
        <v/>
      </c>
      <c r="G856" s="65">
        <f>IF(G855&lt;=0,0,IF(Materiales!$G$125&lt;=0,G855,ROUNDUP(G855/Materiales!$G$125,0)*Materiales!$G$125))</f>
        <v/>
      </c>
      <c r="H856" s="65">
        <f>IF(H855&lt;=0,0,IF(Materiales!$G$125&lt;=0,H855,ROUNDUP(H855/Materiales!$G$125,0)*Materiales!$G$125))</f>
        <v/>
      </c>
      <c r="I856" s="65">
        <f>IF(I855&lt;=0,0,IF(Materiales!$G$125&lt;=0,I855,ROUNDUP(I855/Materiales!$G$125,0)*Materiales!$G$125))</f>
        <v/>
      </c>
      <c r="J856" s="65">
        <f>IF(J855&lt;=0,0,IF(Materiales!$G$125&lt;=0,J855,ROUNDUP(J855/Materiales!$G$125,0)*Materiales!$G$125))</f>
        <v/>
      </c>
      <c r="K856" s="65">
        <f>IF(K855&lt;=0,0,IF(Materiales!$G$125&lt;=0,K855,ROUNDUP(K855/Materiales!$G$125,0)*Materiales!$G$125))</f>
        <v/>
      </c>
      <c r="L856" s="65">
        <f>IF(L855&lt;=0,0,IF(Materiales!$G$125&lt;=0,L855,ROUNDUP(L855/Materiales!$G$125,0)*Materiales!$G$125))</f>
        <v/>
      </c>
      <c r="M856" s="66" t="n"/>
    </row>
    <row r="857">
      <c r="C857" s="70" t="inlineStr">
        <is>
          <t>LANZAMIENTO DE ORDEN — pedir esta semana</t>
        </is>
      </c>
      <c r="D857" s="64" t="n"/>
      <c r="E857" s="71">
        <f>IF(1+Materiales!$F$125&gt;8,0,INDEX($E$856:$L$856,1,1+Materiales!$F$125))</f>
        <v/>
      </c>
      <c r="F857" s="71">
        <f>IF(2+Materiales!$F$125&gt;8,0,INDEX($E$856:$L$856,1,2+Materiales!$F$125))</f>
        <v/>
      </c>
      <c r="G857" s="71">
        <f>IF(3+Materiales!$F$125&gt;8,0,INDEX($E$856:$L$856,1,3+Materiales!$F$125))</f>
        <v/>
      </c>
      <c r="H857" s="71">
        <f>IF(4+Materiales!$F$125&gt;8,0,INDEX($E$856:$L$856,1,4+Materiales!$F$125))</f>
        <v/>
      </c>
      <c r="I857" s="71">
        <f>IF(5+Materiales!$F$125&gt;8,0,INDEX($E$856:$L$856,1,5+Materiales!$F$125))</f>
        <v/>
      </c>
      <c r="J857" s="71">
        <f>IF(6+Materiales!$F$125&gt;8,0,INDEX($E$856:$L$856,1,6+Materiales!$F$125))</f>
        <v/>
      </c>
      <c r="K857" s="71">
        <f>IF(7+Materiales!$F$125&gt;8,0,INDEX($E$856:$L$856,1,7+Materiales!$F$125))</f>
        <v/>
      </c>
      <c r="L857" s="71">
        <f>IF(8+Materiales!$F$125&gt;8,0,INDEX($E$856:$L$856,1,8+Materiales!$F$125))</f>
        <v/>
      </c>
      <c r="M857" s="72">
        <f>IF($A852="","",IF(SUMPRODUCT((COLUMN($E$856:$L$856)-4&lt;=Materiales!$F$125)*$E$856:$L$856)&gt;0,"PEDIR YA (atrasado)","OK"))</f>
        <v/>
      </c>
    </row>
    <row r="858" ht="6" customHeight="1"/>
    <row r="859">
      <c r="A859" s="62">
        <f>IF(Materiales!$A$126="","",Materiales!$A$126)</f>
        <v/>
      </c>
      <c r="B859" s="62">
        <f>IF(Materiales!$B$126="","",Materiales!$B$126)</f>
        <v/>
      </c>
      <c r="C859" s="63" t="inlineStr">
        <is>
          <t>Necesidad bruta</t>
        </is>
      </c>
      <c r="D859" s="64" t="n"/>
      <c r="E859" s="65">
        <f>ROUND(SUMIF(Consumo!$P$4:$P$189,"#"&amp;$A859,Consumo!H$4:H$189),4)</f>
        <v/>
      </c>
      <c r="F859" s="65">
        <f>ROUND(SUMIF(Consumo!$P$4:$P$189,"#"&amp;$A859,Consumo!I$4:I$189),4)</f>
        <v/>
      </c>
      <c r="G859" s="65">
        <f>ROUND(SUMIF(Consumo!$P$4:$P$189,"#"&amp;$A859,Consumo!J$4:J$189),4)</f>
        <v/>
      </c>
      <c r="H859" s="65">
        <f>ROUND(SUMIF(Consumo!$P$4:$P$189,"#"&amp;$A859,Consumo!K$4:K$189),4)</f>
        <v/>
      </c>
      <c r="I859" s="65">
        <f>ROUND(SUMIF(Consumo!$P$4:$P$189,"#"&amp;$A859,Consumo!L$4:L$189),4)</f>
        <v/>
      </c>
      <c r="J859" s="65">
        <f>ROUND(SUMIF(Consumo!$P$4:$P$189,"#"&amp;$A859,Consumo!M$4:M$189),4)</f>
        <v/>
      </c>
      <c r="K859" s="65">
        <f>ROUND(SUMIF(Consumo!$P$4:$P$189,"#"&amp;$A859,Consumo!N$4:N$189),4)</f>
        <v/>
      </c>
      <c r="L859" s="65">
        <f>ROUND(SUMIF(Consumo!$P$4:$P$189,"#"&amp;$A859,Consumo!O$4:O$189),4)</f>
        <v/>
      </c>
      <c r="M859" s="66" t="n"/>
    </row>
    <row r="860">
      <c r="C860" s="63" t="inlineStr">
        <is>
          <t>Recepciones programadas (ya pedido)</t>
        </is>
      </c>
      <c r="D860" s="64" t="n"/>
      <c r="E860" s="65">
        <f>SUMIF(Inventario!$M$5:$M$505,"#"&amp;$A859,Inventario!E$5:E$505)</f>
        <v/>
      </c>
      <c r="F860" s="65">
        <f>SUMIF(Inventario!$M$5:$M$505,"#"&amp;$A859,Inventario!F$5:F$505)</f>
        <v/>
      </c>
      <c r="G860" s="65">
        <f>SUMIF(Inventario!$M$5:$M$505,"#"&amp;$A859,Inventario!G$5:G$505)</f>
        <v/>
      </c>
      <c r="H860" s="65">
        <f>SUMIF(Inventario!$M$5:$M$505,"#"&amp;$A859,Inventario!H$5:H$505)</f>
        <v/>
      </c>
      <c r="I860" s="65">
        <f>SUMIF(Inventario!$M$5:$M$505,"#"&amp;$A859,Inventario!I$5:I$505)</f>
        <v/>
      </c>
      <c r="J860" s="65">
        <f>SUMIF(Inventario!$M$5:$M$505,"#"&amp;$A859,Inventario!J$5:J$505)</f>
        <v/>
      </c>
      <c r="K860" s="65">
        <f>SUMIF(Inventario!$M$5:$M$505,"#"&amp;$A859,Inventario!K$5:K$505)</f>
        <v/>
      </c>
      <c r="L860" s="65">
        <f>SUMIF(Inventario!$M$5:$M$505,"#"&amp;$A859,Inventario!L$5:L$505)</f>
        <v/>
      </c>
      <c r="M860" s="66" t="n"/>
    </row>
    <row r="861">
      <c r="C861" s="63" t="inlineStr">
        <is>
          <t>Stock proyectado disponible</t>
        </is>
      </c>
      <c r="D861" s="67">
        <f>SUMIF(Inventario!$M$5:$M$505,"#"&amp;$A859,Inventario!$C$5:$C$505)</f>
        <v/>
      </c>
      <c r="E861" s="68">
        <f>D861+E860+E863-E859</f>
        <v/>
      </c>
      <c r="F861" s="68">
        <f>E861+F860+F863-F859</f>
        <v/>
      </c>
      <c r="G861" s="68">
        <f>F861+G860+G863-G859</f>
        <v/>
      </c>
      <c r="H861" s="68">
        <f>G861+H860+H863-H859</f>
        <v/>
      </c>
      <c r="I861" s="68">
        <f>H861+I860+I863-I859</f>
        <v/>
      </c>
      <c r="J861" s="68">
        <f>I861+J860+J863-J859</f>
        <v/>
      </c>
      <c r="K861" s="68">
        <f>J861+K860+K863-K859</f>
        <v/>
      </c>
      <c r="L861" s="68">
        <f>K861+L860+L863-L859</f>
        <v/>
      </c>
      <c r="M861" s="66" t="n"/>
    </row>
    <row r="862">
      <c r="C862" s="63" t="inlineStr">
        <is>
          <t>Necesidad neta</t>
        </is>
      </c>
      <c r="D862" s="64" t="n"/>
      <c r="E862" s="69">
        <f>MAX(0,ROUND(E859+Materiales!$H$126-D861-E860,4))</f>
        <v/>
      </c>
      <c r="F862" s="69">
        <f>MAX(0,ROUND(F859+Materiales!$H$126-E861-F860,4))</f>
        <v/>
      </c>
      <c r="G862" s="69">
        <f>MAX(0,ROUND(G859+Materiales!$H$126-F861-G860,4))</f>
        <v/>
      </c>
      <c r="H862" s="69">
        <f>MAX(0,ROUND(H859+Materiales!$H$126-G861-H860,4))</f>
        <v/>
      </c>
      <c r="I862" s="69">
        <f>MAX(0,ROUND(I859+Materiales!$H$126-H861-I860,4))</f>
        <v/>
      </c>
      <c r="J862" s="69">
        <f>MAX(0,ROUND(J859+Materiales!$H$126-I861-J860,4))</f>
        <v/>
      </c>
      <c r="K862" s="69">
        <f>MAX(0,ROUND(K859+Materiales!$H$126-J861-K860,4))</f>
        <v/>
      </c>
      <c r="L862" s="69">
        <f>MAX(0,ROUND(L859+Materiales!$H$126-K861-L860,4))</f>
        <v/>
      </c>
      <c r="M862" s="66" t="n"/>
    </row>
    <row r="863">
      <c r="C863" s="63" t="inlineStr">
        <is>
          <t>Recepcion de orden planificada</t>
        </is>
      </c>
      <c r="D863" s="64" t="n"/>
      <c r="E863" s="65">
        <f>IF(E862&lt;=0,0,IF(Materiales!$G$126&lt;=0,E862,ROUNDUP(E862/Materiales!$G$126,0)*Materiales!$G$126))</f>
        <v/>
      </c>
      <c r="F863" s="65">
        <f>IF(F862&lt;=0,0,IF(Materiales!$G$126&lt;=0,F862,ROUNDUP(F862/Materiales!$G$126,0)*Materiales!$G$126))</f>
        <v/>
      </c>
      <c r="G863" s="65">
        <f>IF(G862&lt;=0,0,IF(Materiales!$G$126&lt;=0,G862,ROUNDUP(G862/Materiales!$G$126,0)*Materiales!$G$126))</f>
        <v/>
      </c>
      <c r="H863" s="65">
        <f>IF(H862&lt;=0,0,IF(Materiales!$G$126&lt;=0,H862,ROUNDUP(H862/Materiales!$G$126,0)*Materiales!$G$126))</f>
        <v/>
      </c>
      <c r="I863" s="65">
        <f>IF(I862&lt;=0,0,IF(Materiales!$G$126&lt;=0,I862,ROUNDUP(I862/Materiales!$G$126,0)*Materiales!$G$126))</f>
        <v/>
      </c>
      <c r="J863" s="65">
        <f>IF(J862&lt;=0,0,IF(Materiales!$G$126&lt;=0,J862,ROUNDUP(J862/Materiales!$G$126,0)*Materiales!$G$126))</f>
        <v/>
      </c>
      <c r="K863" s="65">
        <f>IF(K862&lt;=0,0,IF(Materiales!$G$126&lt;=0,K862,ROUNDUP(K862/Materiales!$G$126,0)*Materiales!$G$126))</f>
        <v/>
      </c>
      <c r="L863" s="65">
        <f>IF(L862&lt;=0,0,IF(Materiales!$G$126&lt;=0,L862,ROUNDUP(L862/Materiales!$G$126,0)*Materiales!$G$126))</f>
        <v/>
      </c>
      <c r="M863" s="66" t="n"/>
    </row>
    <row r="864">
      <c r="C864" s="70" t="inlineStr">
        <is>
          <t>LANZAMIENTO DE ORDEN — pedir esta semana</t>
        </is>
      </c>
      <c r="D864" s="64" t="n"/>
      <c r="E864" s="71">
        <f>IF(1+Materiales!$F$126&gt;8,0,INDEX($E$863:$L$863,1,1+Materiales!$F$126))</f>
        <v/>
      </c>
      <c r="F864" s="71">
        <f>IF(2+Materiales!$F$126&gt;8,0,INDEX($E$863:$L$863,1,2+Materiales!$F$126))</f>
        <v/>
      </c>
      <c r="G864" s="71">
        <f>IF(3+Materiales!$F$126&gt;8,0,INDEX($E$863:$L$863,1,3+Materiales!$F$126))</f>
        <v/>
      </c>
      <c r="H864" s="71">
        <f>IF(4+Materiales!$F$126&gt;8,0,INDEX($E$863:$L$863,1,4+Materiales!$F$126))</f>
        <v/>
      </c>
      <c r="I864" s="71">
        <f>IF(5+Materiales!$F$126&gt;8,0,INDEX($E$863:$L$863,1,5+Materiales!$F$126))</f>
        <v/>
      </c>
      <c r="J864" s="71">
        <f>IF(6+Materiales!$F$126&gt;8,0,INDEX($E$863:$L$863,1,6+Materiales!$F$126))</f>
        <v/>
      </c>
      <c r="K864" s="71">
        <f>IF(7+Materiales!$F$126&gt;8,0,INDEX($E$863:$L$863,1,7+Materiales!$F$126))</f>
        <v/>
      </c>
      <c r="L864" s="71">
        <f>IF(8+Materiales!$F$126&gt;8,0,INDEX($E$863:$L$863,1,8+Materiales!$F$126))</f>
        <v/>
      </c>
      <c r="M864" s="72">
        <f>IF($A859="","",IF(SUMPRODUCT((COLUMN($E$863:$L$863)-4&lt;=Materiales!$F$126)*$E$863:$L$863)&gt;0,"PEDIR YA (atrasado)","OK"))</f>
        <v/>
      </c>
    </row>
    <row r="865" ht="6" customHeight="1"/>
    <row r="866">
      <c r="A866" s="62">
        <f>IF(Materiales!$A$127="","",Materiales!$A$127)</f>
        <v/>
      </c>
      <c r="B866" s="62">
        <f>IF(Materiales!$B$127="","",Materiales!$B$127)</f>
        <v/>
      </c>
      <c r="C866" s="63" t="inlineStr">
        <is>
          <t>Necesidad bruta</t>
        </is>
      </c>
      <c r="D866" s="64" t="n"/>
      <c r="E866" s="65">
        <f>ROUND(SUMIF(Consumo!$P$4:$P$189,"#"&amp;$A866,Consumo!H$4:H$189),4)</f>
        <v/>
      </c>
      <c r="F866" s="65">
        <f>ROUND(SUMIF(Consumo!$P$4:$P$189,"#"&amp;$A866,Consumo!I$4:I$189),4)</f>
        <v/>
      </c>
      <c r="G866" s="65">
        <f>ROUND(SUMIF(Consumo!$P$4:$P$189,"#"&amp;$A866,Consumo!J$4:J$189),4)</f>
        <v/>
      </c>
      <c r="H866" s="65">
        <f>ROUND(SUMIF(Consumo!$P$4:$P$189,"#"&amp;$A866,Consumo!K$4:K$189),4)</f>
        <v/>
      </c>
      <c r="I866" s="65">
        <f>ROUND(SUMIF(Consumo!$P$4:$P$189,"#"&amp;$A866,Consumo!L$4:L$189),4)</f>
        <v/>
      </c>
      <c r="J866" s="65">
        <f>ROUND(SUMIF(Consumo!$P$4:$P$189,"#"&amp;$A866,Consumo!M$4:M$189),4)</f>
        <v/>
      </c>
      <c r="K866" s="65">
        <f>ROUND(SUMIF(Consumo!$P$4:$P$189,"#"&amp;$A866,Consumo!N$4:N$189),4)</f>
        <v/>
      </c>
      <c r="L866" s="65">
        <f>ROUND(SUMIF(Consumo!$P$4:$P$189,"#"&amp;$A866,Consumo!O$4:O$189),4)</f>
        <v/>
      </c>
      <c r="M866" s="66" t="n"/>
    </row>
    <row r="867">
      <c r="C867" s="63" t="inlineStr">
        <is>
          <t>Recepciones programadas (ya pedido)</t>
        </is>
      </c>
      <c r="D867" s="64" t="n"/>
      <c r="E867" s="65">
        <f>SUMIF(Inventario!$M$5:$M$505,"#"&amp;$A866,Inventario!E$5:E$505)</f>
        <v/>
      </c>
      <c r="F867" s="65">
        <f>SUMIF(Inventario!$M$5:$M$505,"#"&amp;$A866,Inventario!F$5:F$505)</f>
        <v/>
      </c>
      <c r="G867" s="65">
        <f>SUMIF(Inventario!$M$5:$M$505,"#"&amp;$A866,Inventario!G$5:G$505)</f>
        <v/>
      </c>
      <c r="H867" s="65">
        <f>SUMIF(Inventario!$M$5:$M$505,"#"&amp;$A866,Inventario!H$5:H$505)</f>
        <v/>
      </c>
      <c r="I867" s="65">
        <f>SUMIF(Inventario!$M$5:$M$505,"#"&amp;$A866,Inventario!I$5:I$505)</f>
        <v/>
      </c>
      <c r="J867" s="65">
        <f>SUMIF(Inventario!$M$5:$M$505,"#"&amp;$A866,Inventario!J$5:J$505)</f>
        <v/>
      </c>
      <c r="K867" s="65">
        <f>SUMIF(Inventario!$M$5:$M$505,"#"&amp;$A866,Inventario!K$5:K$505)</f>
        <v/>
      </c>
      <c r="L867" s="65">
        <f>SUMIF(Inventario!$M$5:$M$505,"#"&amp;$A866,Inventario!L$5:L$505)</f>
        <v/>
      </c>
      <c r="M867" s="66" t="n"/>
    </row>
    <row r="868">
      <c r="C868" s="63" t="inlineStr">
        <is>
          <t>Stock proyectado disponible</t>
        </is>
      </c>
      <c r="D868" s="67">
        <f>SUMIF(Inventario!$M$5:$M$505,"#"&amp;$A866,Inventario!$C$5:$C$505)</f>
        <v/>
      </c>
      <c r="E868" s="68">
        <f>D868+E867+E870-E866</f>
        <v/>
      </c>
      <c r="F868" s="68">
        <f>E868+F867+F870-F866</f>
        <v/>
      </c>
      <c r="G868" s="68">
        <f>F868+G867+G870-G866</f>
        <v/>
      </c>
      <c r="H868" s="68">
        <f>G868+H867+H870-H866</f>
        <v/>
      </c>
      <c r="I868" s="68">
        <f>H868+I867+I870-I866</f>
        <v/>
      </c>
      <c r="J868" s="68">
        <f>I868+J867+J870-J866</f>
        <v/>
      </c>
      <c r="K868" s="68">
        <f>J868+K867+K870-K866</f>
        <v/>
      </c>
      <c r="L868" s="68">
        <f>K868+L867+L870-L866</f>
        <v/>
      </c>
      <c r="M868" s="66" t="n"/>
    </row>
    <row r="869">
      <c r="C869" s="63" t="inlineStr">
        <is>
          <t>Necesidad neta</t>
        </is>
      </c>
      <c r="D869" s="64" t="n"/>
      <c r="E869" s="69">
        <f>MAX(0,ROUND(E866+Materiales!$H$127-D868-E867,4))</f>
        <v/>
      </c>
      <c r="F869" s="69">
        <f>MAX(0,ROUND(F866+Materiales!$H$127-E868-F867,4))</f>
        <v/>
      </c>
      <c r="G869" s="69">
        <f>MAX(0,ROUND(G866+Materiales!$H$127-F868-G867,4))</f>
        <v/>
      </c>
      <c r="H869" s="69">
        <f>MAX(0,ROUND(H866+Materiales!$H$127-G868-H867,4))</f>
        <v/>
      </c>
      <c r="I869" s="69">
        <f>MAX(0,ROUND(I866+Materiales!$H$127-H868-I867,4))</f>
        <v/>
      </c>
      <c r="J869" s="69">
        <f>MAX(0,ROUND(J866+Materiales!$H$127-I868-J867,4))</f>
        <v/>
      </c>
      <c r="K869" s="69">
        <f>MAX(0,ROUND(K866+Materiales!$H$127-J868-K867,4))</f>
        <v/>
      </c>
      <c r="L869" s="69">
        <f>MAX(0,ROUND(L866+Materiales!$H$127-K868-L867,4))</f>
        <v/>
      </c>
      <c r="M869" s="66" t="n"/>
    </row>
    <row r="870">
      <c r="C870" s="63" t="inlineStr">
        <is>
          <t>Recepcion de orden planificada</t>
        </is>
      </c>
      <c r="D870" s="64" t="n"/>
      <c r="E870" s="65">
        <f>IF(E869&lt;=0,0,IF(Materiales!$G$127&lt;=0,E869,ROUNDUP(E869/Materiales!$G$127,0)*Materiales!$G$127))</f>
        <v/>
      </c>
      <c r="F870" s="65">
        <f>IF(F869&lt;=0,0,IF(Materiales!$G$127&lt;=0,F869,ROUNDUP(F869/Materiales!$G$127,0)*Materiales!$G$127))</f>
        <v/>
      </c>
      <c r="G870" s="65">
        <f>IF(G869&lt;=0,0,IF(Materiales!$G$127&lt;=0,G869,ROUNDUP(G869/Materiales!$G$127,0)*Materiales!$G$127))</f>
        <v/>
      </c>
      <c r="H870" s="65">
        <f>IF(H869&lt;=0,0,IF(Materiales!$G$127&lt;=0,H869,ROUNDUP(H869/Materiales!$G$127,0)*Materiales!$G$127))</f>
        <v/>
      </c>
      <c r="I870" s="65">
        <f>IF(I869&lt;=0,0,IF(Materiales!$G$127&lt;=0,I869,ROUNDUP(I869/Materiales!$G$127,0)*Materiales!$G$127))</f>
        <v/>
      </c>
      <c r="J870" s="65">
        <f>IF(J869&lt;=0,0,IF(Materiales!$G$127&lt;=0,J869,ROUNDUP(J869/Materiales!$G$127,0)*Materiales!$G$127))</f>
        <v/>
      </c>
      <c r="K870" s="65">
        <f>IF(K869&lt;=0,0,IF(Materiales!$G$127&lt;=0,K869,ROUNDUP(K869/Materiales!$G$127,0)*Materiales!$G$127))</f>
        <v/>
      </c>
      <c r="L870" s="65">
        <f>IF(L869&lt;=0,0,IF(Materiales!$G$127&lt;=0,L869,ROUNDUP(L869/Materiales!$G$127,0)*Materiales!$G$127))</f>
        <v/>
      </c>
      <c r="M870" s="66" t="n"/>
    </row>
    <row r="871">
      <c r="C871" s="70" t="inlineStr">
        <is>
          <t>LANZAMIENTO DE ORDEN — pedir esta semana</t>
        </is>
      </c>
      <c r="D871" s="64" t="n"/>
      <c r="E871" s="71">
        <f>IF(1+Materiales!$F$127&gt;8,0,INDEX($E$870:$L$870,1,1+Materiales!$F$127))</f>
        <v/>
      </c>
      <c r="F871" s="71">
        <f>IF(2+Materiales!$F$127&gt;8,0,INDEX($E$870:$L$870,1,2+Materiales!$F$127))</f>
        <v/>
      </c>
      <c r="G871" s="71">
        <f>IF(3+Materiales!$F$127&gt;8,0,INDEX($E$870:$L$870,1,3+Materiales!$F$127))</f>
        <v/>
      </c>
      <c r="H871" s="71">
        <f>IF(4+Materiales!$F$127&gt;8,0,INDEX($E$870:$L$870,1,4+Materiales!$F$127))</f>
        <v/>
      </c>
      <c r="I871" s="71">
        <f>IF(5+Materiales!$F$127&gt;8,0,INDEX($E$870:$L$870,1,5+Materiales!$F$127))</f>
        <v/>
      </c>
      <c r="J871" s="71">
        <f>IF(6+Materiales!$F$127&gt;8,0,INDEX($E$870:$L$870,1,6+Materiales!$F$127))</f>
        <v/>
      </c>
      <c r="K871" s="71">
        <f>IF(7+Materiales!$F$127&gt;8,0,INDEX($E$870:$L$870,1,7+Materiales!$F$127))</f>
        <v/>
      </c>
      <c r="L871" s="71">
        <f>IF(8+Materiales!$F$127&gt;8,0,INDEX($E$870:$L$870,1,8+Materiales!$F$127))</f>
        <v/>
      </c>
      <c r="M871" s="72">
        <f>IF($A866="","",IF(SUMPRODUCT((COLUMN($E$870:$L$870)-4&lt;=Materiales!$F$127)*$E$870:$L$870)&gt;0,"PEDIR YA (atrasado)","OK"))</f>
        <v/>
      </c>
    </row>
    <row r="872" ht="6" customHeight="1"/>
    <row r="873">
      <c r="A873" s="62">
        <f>IF(Materiales!$A$128="","",Materiales!$A$128)</f>
        <v/>
      </c>
      <c r="B873" s="62">
        <f>IF(Materiales!$B$128="","",Materiales!$B$128)</f>
        <v/>
      </c>
      <c r="C873" s="63" t="inlineStr">
        <is>
          <t>Necesidad bruta</t>
        </is>
      </c>
      <c r="D873" s="64" t="n"/>
      <c r="E873" s="65">
        <f>ROUND(SUMIF(Consumo!$P$4:$P$189,"#"&amp;$A873,Consumo!H$4:H$189),4)</f>
        <v/>
      </c>
      <c r="F873" s="65">
        <f>ROUND(SUMIF(Consumo!$P$4:$P$189,"#"&amp;$A873,Consumo!I$4:I$189),4)</f>
        <v/>
      </c>
      <c r="G873" s="65">
        <f>ROUND(SUMIF(Consumo!$P$4:$P$189,"#"&amp;$A873,Consumo!J$4:J$189),4)</f>
        <v/>
      </c>
      <c r="H873" s="65">
        <f>ROUND(SUMIF(Consumo!$P$4:$P$189,"#"&amp;$A873,Consumo!K$4:K$189),4)</f>
        <v/>
      </c>
      <c r="I873" s="65">
        <f>ROUND(SUMIF(Consumo!$P$4:$P$189,"#"&amp;$A873,Consumo!L$4:L$189),4)</f>
        <v/>
      </c>
      <c r="J873" s="65">
        <f>ROUND(SUMIF(Consumo!$P$4:$P$189,"#"&amp;$A873,Consumo!M$4:M$189),4)</f>
        <v/>
      </c>
      <c r="K873" s="65">
        <f>ROUND(SUMIF(Consumo!$P$4:$P$189,"#"&amp;$A873,Consumo!N$4:N$189),4)</f>
        <v/>
      </c>
      <c r="L873" s="65">
        <f>ROUND(SUMIF(Consumo!$P$4:$P$189,"#"&amp;$A873,Consumo!O$4:O$189),4)</f>
        <v/>
      </c>
      <c r="M873" s="66" t="n"/>
    </row>
    <row r="874">
      <c r="C874" s="63" t="inlineStr">
        <is>
          <t>Recepciones programadas (ya pedido)</t>
        </is>
      </c>
      <c r="D874" s="64" t="n"/>
      <c r="E874" s="65">
        <f>SUMIF(Inventario!$M$5:$M$505,"#"&amp;$A873,Inventario!E$5:E$505)</f>
        <v/>
      </c>
      <c r="F874" s="65">
        <f>SUMIF(Inventario!$M$5:$M$505,"#"&amp;$A873,Inventario!F$5:F$505)</f>
        <v/>
      </c>
      <c r="G874" s="65">
        <f>SUMIF(Inventario!$M$5:$M$505,"#"&amp;$A873,Inventario!G$5:G$505)</f>
        <v/>
      </c>
      <c r="H874" s="65">
        <f>SUMIF(Inventario!$M$5:$M$505,"#"&amp;$A873,Inventario!H$5:H$505)</f>
        <v/>
      </c>
      <c r="I874" s="65">
        <f>SUMIF(Inventario!$M$5:$M$505,"#"&amp;$A873,Inventario!I$5:I$505)</f>
        <v/>
      </c>
      <c r="J874" s="65">
        <f>SUMIF(Inventario!$M$5:$M$505,"#"&amp;$A873,Inventario!J$5:J$505)</f>
        <v/>
      </c>
      <c r="K874" s="65">
        <f>SUMIF(Inventario!$M$5:$M$505,"#"&amp;$A873,Inventario!K$5:K$505)</f>
        <v/>
      </c>
      <c r="L874" s="65">
        <f>SUMIF(Inventario!$M$5:$M$505,"#"&amp;$A873,Inventario!L$5:L$505)</f>
        <v/>
      </c>
      <c r="M874" s="66" t="n"/>
    </row>
    <row r="875">
      <c r="C875" s="63" t="inlineStr">
        <is>
          <t>Stock proyectado disponible</t>
        </is>
      </c>
      <c r="D875" s="67">
        <f>SUMIF(Inventario!$M$5:$M$505,"#"&amp;$A873,Inventario!$C$5:$C$505)</f>
        <v/>
      </c>
      <c r="E875" s="68">
        <f>D875+E874+E877-E873</f>
        <v/>
      </c>
      <c r="F875" s="68">
        <f>E875+F874+F877-F873</f>
        <v/>
      </c>
      <c r="G875" s="68">
        <f>F875+G874+G877-G873</f>
        <v/>
      </c>
      <c r="H875" s="68">
        <f>G875+H874+H877-H873</f>
        <v/>
      </c>
      <c r="I875" s="68">
        <f>H875+I874+I877-I873</f>
        <v/>
      </c>
      <c r="J875" s="68">
        <f>I875+J874+J877-J873</f>
        <v/>
      </c>
      <c r="K875" s="68">
        <f>J875+K874+K877-K873</f>
        <v/>
      </c>
      <c r="L875" s="68">
        <f>K875+L874+L877-L873</f>
        <v/>
      </c>
      <c r="M875" s="66" t="n"/>
    </row>
    <row r="876">
      <c r="C876" s="63" t="inlineStr">
        <is>
          <t>Necesidad neta</t>
        </is>
      </c>
      <c r="D876" s="64" t="n"/>
      <c r="E876" s="69">
        <f>MAX(0,ROUND(E873+Materiales!$H$128-D875-E874,4))</f>
        <v/>
      </c>
      <c r="F876" s="69">
        <f>MAX(0,ROUND(F873+Materiales!$H$128-E875-F874,4))</f>
        <v/>
      </c>
      <c r="G876" s="69">
        <f>MAX(0,ROUND(G873+Materiales!$H$128-F875-G874,4))</f>
        <v/>
      </c>
      <c r="H876" s="69">
        <f>MAX(0,ROUND(H873+Materiales!$H$128-G875-H874,4))</f>
        <v/>
      </c>
      <c r="I876" s="69">
        <f>MAX(0,ROUND(I873+Materiales!$H$128-H875-I874,4))</f>
        <v/>
      </c>
      <c r="J876" s="69">
        <f>MAX(0,ROUND(J873+Materiales!$H$128-I875-J874,4))</f>
        <v/>
      </c>
      <c r="K876" s="69">
        <f>MAX(0,ROUND(K873+Materiales!$H$128-J875-K874,4))</f>
        <v/>
      </c>
      <c r="L876" s="69">
        <f>MAX(0,ROUND(L873+Materiales!$H$128-K875-L874,4))</f>
        <v/>
      </c>
      <c r="M876" s="66" t="n"/>
    </row>
    <row r="877">
      <c r="C877" s="63" t="inlineStr">
        <is>
          <t>Recepcion de orden planificada</t>
        </is>
      </c>
      <c r="D877" s="64" t="n"/>
      <c r="E877" s="65">
        <f>IF(E876&lt;=0,0,IF(Materiales!$G$128&lt;=0,E876,ROUNDUP(E876/Materiales!$G$128,0)*Materiales!$G$128))</f>
        <v/>
      </c>
      <c r="F877" s="65">
        <f>IF(F876&lt;=0,0,IF(Materiales!$G$128&lt;=0,F876,ROUNDUP(F876/Materiales!$G$128,0)*Materiales!$G$128))</f>
        <v/>
      </c>
      <c r="G877" s="65">
        <f>IF(G876&lt;=0,0,IF(Materiales!$G$128&lt;=0,G876,ROUNDUP(G876/Materiales!$G$128,0)*Materiales!$G$128))</f>
        <v/>
      </c>
      <c r="H877" s="65">
        <f>IF(H876&lt;=0,0,IF(Materiales!$G$128&lt;=0,H876,ROUNDUP(H876/Materiales!$G$128,0)*Materiales!$G$128))</f>
        <v/>
      </c>
      <c r="I877" s="65">
        <f>IF(I876&lt;=0,0,IF(Materiales!$G$128&lt;=0,I876,ROUNDUP(I876/Materiales!$G$128,0)*Materiales!$G$128))</f>
        <v/>
      </c>
      <c r="J877" s="65">
        <f>IF(J876&lt;=0,0,IF(Materiales!$G$128&lt;=0,J876,ROUNDUP(J876/Materiales!$G$128,0)*Materiales!$G$128))</f>
        <v/>
      </c>
      <c r="K877" s="65">
        <f>IF(K876&lt;=0,0,IF(Materiales!$G$128&lt;=0,K876,ROUNDUP(K876/Materiales!$G$128,0)*Materiales!$G$128))</f>
        <v/>
      </c>
      <c r="L877" s="65">
        <f>IF(L876&lt;=0,0,IF(Materiales!$G$128&lt;=0,L876,ROUNDUP(L876/Materiales!$G$128,0)*Materiales!$G$128))</f>
        <v/>
      </c>
      <c r="M877" s="66" t="n"/>
    </row>
    <row r="878">
      <c r="C878" s="70" t="inlineStr">
        <is>
          <t>LANZAMIENTO DE ORDEN — pedir esta semana</t>
        </is>
      </c>
      <c r="D878" s="64" t="n"/>
      <c r="E878" s="71">
        <f>IF(1+Materiales!$F$128&gt;8,0,INDEX($E$877:$L$877,1,1+Materiales!$F$128))</f>
        <v/>
      </c>
      <c r="F878" s="71">
        <f>IF(2+Materiales!$F$128&gt;8,0,INDEX($E$877:$L$877,1,2+Materiales!$F$128))</f>
        <v/>
      </c>
      <c r="G878" s="71">
        <f>IF(3+Materiales!$F$128&gt;8,0,INDEX($E$877:$L$877,1,3+Materiales!$F$128))</f>
        <v/>
      </c>
      <c r="H878" s="71">
        <f>IF(4+Materiales!$F$128&gt;8,0,INDEX($E$877:$L$877,1,4+Materiales!$F$128))</f>
        <v/>
      </c>
      <c r="I878" s="71">
        <f>IF(5+Materiales!$F$128&gt;8,0,INDEX($E$877:$L$877,1,5+Materiales!$F$128))</f>
        <v/>
      </c>
      <c r="J878" s="71">
        <f>IF(6+Materiales!$F$128&gt;8,0,INDEX($E$877:$L$877,1,6+Materiales!$F$128))</f>
        <v/>
      </c>
      <c r="K878" s="71">
        <f>IF(7+Materiales!$F$128&gt;8,0,INDEX($E$877:$L$877,1,7+Materiales!$F$128))</f>
        <v/>
      </c>
      <c r="L878" s="71">
        <f>IF(8+Materiales!$F$128&gt;8,0,INDEX($E$877:$L$877,1,8+Materiales!$F$128))</f>
        <v/>
      </c>
      <c r="M878" s="72">
        <f>IF($A873="","",IF(SUMPRODUCT((COLUMN($E$877:$L$877)-4&lt;=Materiales!$F$128)*$E$877:$L$877)&gt;0,"PEDIR YA (atrasado)","OK"))</f>
        <v/>
      </c>
    </row>
    <row r="879" ht="6" customHeight="1"/>
    <row r="880">
      <c r="A880" s="62">
        <f>IF(Materiales!$A$129="","",Materiales!$A$129)</f>
        <v/>
      </c>
      <c r="B880" s="62">
        <f>IF(Materiales!$B$129="","",Materiales!$B$129)</f>
        <v/>
      </c>
      <c r="C880" s="63" t="inlineStr">
        <is>
          <t>Necesidad bruta</t>
        </is>
      </c>
      <c r="D880" s="64" t="n"/>
      <c r="E880" s="65">
        <f>ROUND(SUMIF(Consumo!$P$4:$P$189,"#"&amp;$A880,Consumo!H$4:H$189),4)</f>
        <v/>
      </c>
      <c r="F880" s="65">
        <f>ROUND(SUMIF(Consumo!$P$4:$P$189,"#"&amp;$A880,Consumo!I$4:I$189),4)</f>
        <v/>
      </c>
      <c r="G880" s="65">
        <f>ROUND(SUMIF(Consumo!$P$4:$P$189,"#"&amp;$A880,Consumo!J$4:J$189),4)</f>
        <v/>
      </c>
      <c r="H880" s="65">
        <f>ROUND(SUMIF(Consumo!$P$4:$P$189,"#"&amp;$A880,Consumo!K$4:K$189),4)</f>
        <v/>
      </c>
      <c r="I880" s="65">
        <f>ROUND(SUMIF(Consumo!$P$4:$P$189,"#"&amp;$A880,Consumo!L$4:L$189),4)</f>
        <v/>
      </c>
      <c r="J880" s="65">
        <f>ROUND(SUMIF(Consumo!$P$4:$P$189,"#"&amp;$A880,Consumo!M$4:M$189),4)</f>
        <v/>
      </c>
      <c r="K880" s="65">
        <f>ROUND(SUMIF(Consumo!$P$4:$P$189,"#"&amp;$A880,Consumo!N$4:N$189),4)</f>
        <v/>
      </c>
      <c r="L880" s="65">
        <f>ROUND(SUMIF(Consumo!$P$4:$P$189,"#"&amp;$A880,Consumo!O$4:O$189),4)</f>
        <v/>
      </c>
      <c r="M880" s="66" t="n"/>
    </row>
    <row r="881">
      <c r="C881" s="63" t="inlineStr">
        <is>
          <t>Recepciones programadas (ya pedido)</t>
        </is>
      </c>
      <c r="D881" s="64" t="n"/>
      <c r="E881" s="65">
        <f>SUMIF(Inventario!$M$5:$M$505,"#"&amp;$A880,Inventario!E$5:E$505)</f>
        <v/>
      </c>
      <c r="F881" s="65">
        <f>SUMIF(Inventario!$M$5:$M$505,"#"&amp;$A880,Inventario!F$5:F$505)</f>
        <v/>
      </c>
      <c r="G881" s="65">
        <f>SUMIF(Inventario!$M$5:$M$505,"#"&amp;$A880,Inventario!G$5:G$505)</f>
        <v/>
      </c>
      <c r="H881" s="65">
        <f>SUMIF(Inventario!$M$5:$M$505,"#"&amp;$A880,Inventario!H$5:H$505)</f>
        <v/>
      </c>
      <c r="I881" s="65">
        <f>SUMIF(Inventario!$M$5:$M$505,"#"&amp;$A880,Inventario!I$5:I$505)</f>
        <v/>
      </c>
      <c r="J881" s="65">
        <f>SUMIF(Inventario!$M$5:$M$505,"#"&amp;$A880,Inventario!J$5:J$505)</f>
        <v/>
      </c>
      <c r="K881" s="65">
        <f>SUMIF(Inventario!$M$5:$M$505,"#"&amp;$A880,Inventario!K$5:K$505)</f>
        <v/>
      </c>
      <c r="L881" s="65">
        <f>SUMIF(Inventario!$M$5:$M$505,"#"&amp;$A880,Inventario!L$5:L$505)</f>
        <v/>
      </c>
      <c r="M881" s="66" t="n"/>
    </row>
    <row r="882">
      <c r="C882" s="63" t="inlineStr">
        <is>
          <t>Stock proyectado disponible</t>
        </is>
      </c>
      <c r="D882" s="67">
        <f>SUMIF(Inventario!$M$5:$M$505,"#"&amp;$A880,Inventario!$C$5:$C$505)</f>
        <v/>
      </c>
      <c r="E882" s="68">
        <f>D882+E881+E884-E880</f>
        <v/>
      </c>
      <c r="F882" s="68">
        <f>E882+F881+F884-F880</f>
        <v/>
      </c>
      <c r="G882" s="68">
        <f>F882+G881+G884-G880</f>
        <v/>
      </c>
      <c r="H882" s="68">
        <f>G882+H881+H884-H880</f>
        <v/>
      </c>
      <c r="I882" s="68">
        <f>H882+I881+I884-I880</f>
        <v/>
      </c>
      <c r="J882" s="68">
        <f>I882+J881+J884-J880</f>
        <v/>
      </c>
      <c r="K882" s="68">
        <f>J882+K881+K884-K880</f>
        <v/>
      </c>
      <c r="L882" s="68">
        <f>K882+L881+L884-L880</f>
        <v/>
      </c>
      <c r="M882" s="66" t="n"/>
    </row>
    <row r="883">
      <c r="C883" s="63" t="inlineStr">
        <is>
          <t>Necesidad neta</t>
        </is>
      </c>
      <c r="D883" s="64" t="n"/>
      <c r="E883" s="69">
        <f>MAX(0,ROUND(E880+Materiales!$H$129-D882-E881,4))</f>
        <v/>
      </c>
      <c r="F883" s="69">
        <f>MAX(0,ROUND(F880+Materiales!$H$129-E882-F881,4))</f>
        <v/>
      </c>
      <c r="G883" s="69">
        <f>MAX(0,ROUND(G880+Materiales!$H$129-F882-G881,4))</f>
        <v/>
      </c>
      <c r="H883" s="69">
        <f>MAX(0,ROUND(H880+Materiales!$H$129-G882-H881,4))</f>
        <v/>
      </c>
      <c r="I883" s="69">
        <f>MAX(0,ROUND(I880+Materiales!$H$129-H882-I881,4))</f>
        <v/>
      </c>
      <c r="J883" s="69">
        <f>MAX(0,ROUND(J880+Materiales!$H$129-I882-J881,4))</f>
        <v/>
      </c>
      <c r="K883" s="69">
        <f>MAX(0,ROUND(K880+Materiales!$H$129-J882-K881,4))</f>
        <v/>
      </c>
      <c r="L883" s="69">
        <f>MAX(0,ROUND(L880+Materiales!$H$129-K882-L881,4))</f>
        <v/>
      </c>
      <c r="M883" s="66" t="n"/>
    </row>
    <row r="884">
      <c r="C884" s="63" t="inlineStr">
        <is>
          <t>Recepcion de orden planificada</t>
        </is>
      </c>
      <c r="D884" s="64" t="n"/>
      <c r="E884" s="65">
        <f>IF(E883&lt;=0,0,IF(Materiales!$G$129&lt;=0,E883,ROUNDUP(E883/Materiales!$G$129,0)*Materiales!$G$129))</f>
        <v/>
      </c>
      <c r="F884" s="65">
        <f>IF(F883&lt;=0,0,IF(Materiales!$G$129&lt;=0,F883,ROUNDUP(F883/Materiales!$G$129,0)*Materiales!$G$129))</f>
        <v/>
      </c>
      <c r="G884" s="65">
        <f>IF(G883&lt;=0,0,IF(Materiales!$G$129&lt;=0,G883,ROUNDUP(G883/Materiales!$G$129,0)*Materiales!$G$129))</f>
        <v/>
      </c>
      <c r="H884" s="65">
        <f>IF(H883&lt;=0,0,IF(Materiales!$G$129&lt;=0,H883,ROUNDUP(H883/Materiales!$G$129,0)*Materiales!$G$129))</f>
        <v/>
      </c>
      <c r="I884" s="65">
        <f>IF(I883&lt;=0,0,IF(Materiales!$G$129&lt;=0,I883,ROUNDUP(I883/Materiales!$G$129,0)*Materiales!$G$129))</f>
        <v/>
      </c>
      <c r="J884" s="65">
        <f>IF(J883&lt;=0,0,IF(Materiales!$G$129&lt;=0,J883,ROUNDUP(J883/Materiales!$G$129,0)*Materiales!$G$129))</f>
        <v/>
      </c>
      <c r="K884" s="65">
        <f>IF(K883&lt;=0,0,IF(Materiales!$G$129&lt;=0,K883,ROUNDUP(K883/Materiales!$G$129,0)*Materiales!$G$129))</f>
        <v/>
      </c>
      <c r="L884" s="65">
        <f>IF(L883&lt;=0,0,IF(Materiales!$G$129&lt;=0,L883,ROUNDUP(L883/Materiales!$G$129,0)*Materiales!$G$129))</f>
        <v/>
      </c>
      <c r="M884" s="66" t="n"/>
    </row>
    <row r="885">
      <c r="C885" s="70" t="inlineStr">
        <is>
          <t>LANZAMIENTO DE ORDEN — pedir esta semana</t>
        </is>
      </c>
      <c r="D885" s="64" t="n"/>
      <c r="E885" s="71">
        <f>IF(1+Materiales!$F$129&gt;8,0,INDEX($E$884:$L$884,1,1+Materiales!$F$129))</f>
        <v/>
      </c>
      <c r="F885" s="71">
        <f>IF(2+Materiales!$F$129&gt;8,0,INDEX($E$884:$L$884,1,2+Materiales!$F$129))</f>
        <v/>
      </c>
      <c r="G885" s="71">
        <f>IF(3+Materiales!$F$129&gt;8,0,INDEX($E$884:$L$884,1,3+Materiales!$F$129))</f>
        <v/>
      </c>
      <c r="H885" s="71">
        <f>IF(4+Materiales!$F$129&gt;8,0,INDEX($E$884:$L$884,1,4+Materiales!$F$129))</f>
        <v/>
      </c>
      <c r="I885" s="71">
        <f>IF(5+Materiales!$F$129&gt;8,0,INDEX($E$884:$L$884,1,5+Materiales!$F$129))</f>
        <v/>
      </c>
      <c r="J885" s="71">
        <f>IF(6+Materiales!$F$129&gt;8,0,INDEX($E$884:$L$884,1,6+Materiales!$F$129))</f>
        <v/>
      </c>
      <c r="K885" s="71">
        <f>IF(7+Materiales!$F$129&gt;8,0,INDEX($E$884:$L$884,1,7+Materiales!$F$129))</f>
        <v/>
      </c>
      <c r="L885" s="71">
        <f>IF(8+Materiales!$F$129&gt;8,0,INDEX($E$884:$L$884,1,8+Materiales!$F$129))</f>
        <v/>
      </c>
      <c r="M885" s="72">
        <f>IF($A880="","",IF(SUMPRODUCT((COLUMN($E$884:$L$884)-4&lt;=Materiales!$F$129)*$E$884:$L$884)&gt;0,"PEDIR YA (atrasado)","OK"))</f>
        <v/>
      </c>
    </row>
    <row r="886" ht="6" customHeight="1"/>
    <row r="887">
      <c r="A887" s="62">
        <f>IF(Materiales!$A$130="","",Materiales!$A$130)</f>
        <v/>
      </c>
      <c r="B887" s="62">
        <f>IF(Materiales!$B$130="","",Materiales!$B$130)</f>
        <v/>
      </c>
      <c r="C887" s="63" t="inlineStr">
        <is>
          <t>Necesidad bruta</t>
        </is>
      </c>
      <c r="D887" s="64" t="n"/>
      <c r="E887" s="65">
        <f>ROUND(SUMIF(Consumo!$P$4:$P$189,"#"&amp;$A887,Consumo!H$4:H$189),4)</f>
        <v/>
      </c>
      <c r="F887" s="65">
        <f>ROUND(SUMIF(Consumo!$P$4:$P$189,"#"&amp;$A887,Consumo!I$4:I$189),4)</f>
        <v/>
      </c>
      <c r="G887" s="65">
        <f>ROUND(SUMIF(Consumo!$P$4:$P$189,"#"&amp;$A887,Consumo!J$4:J$189),4)</f>
        <v/>
      </c>
      <c r="H887" s="65">
        <f>ROUND(SUMIF(Consumo!$P$4:$P$189,"#"&amp;$A887,Consumo!K$4:K$189),4)</f>
        <v/>
      </c>
      <c r="I887" s="65">
        <f>ROUND(SUMIF(Consumo!$P$4:$P$189,"#"&amp;$A887,Consumo!L$4:L$189),4)</f>
        <v/>
      </c>
      <c r="J887" s="65">
        <f>ROUND(SUMIF(Consumo!$P$4:$P$189,"#"&amp;$A887,Consumo!M$4:M$189),4)</f>
        <v/>
      </c>
      <c r="K887" s="65">
        <f>ROUND(SUMIF(Consumo!$P$4:$P$189,"#"&amp;$A887,Consumo!N$4:N$189),4)</f>
        <v/>
      </c>
      <c r="L887" s="65">
        <f>ROUND(SUMIF(Consumo!$P$4:$P$189,"#"&amp;$A887,Consumo!O$4:O$189),4)</f>
        <v/>
      </c>
      <c r="M887" s="66" t="n"/>
    </row>
    <row r="888">
      <c r="C888" s="63" t="inlineStr">
        <is>
          <t>Recepciones programadas (ya pedido)</t>
        </is>
      </c>
      <c r="D888" s="64" t="n"/>
      <c r="E888" s="65">
        <f>SUMIF(Inventario!$M$5:$M$505,"#"&amp;$A887,Inventario!E$5:E$505)</f>
        <v/>
      </c>
      <c r="F888" s="65">
        <f>SUMIF(Inventario!$M$5:$M$505,"#"&amp;$A887,Inventario!F$5:F$505)</f>
        <v/>
      </c>
      <c r="G888" s="65">
        <f>SUMIF(Inventario!$M$5:$M$505,"#"&amp;$A887,Inventario!G$5:G$505)</f>
        <v/>
      </c>
      <c r="H888" s="65">
        <f>SUMIF(Inventario!$M$5:$M$505,"#"&amp;$A887,Inventario!H$5:H$505)</f>
        <v/>
      </c>
      <c r="I888" s="65">
        <f>SUMIF(Inventario!$M$5:$M$505,"#"&amp;$A887,Inventario!I$5:I$505)</f>
        <v/>
      </c>
      <c r="J888" s="65">
        <f>SUMIF(Inventario!$M$5:$M$505,"#"&amp;$A887,Inventario!J$5:J$505)</f>
        <v/>
      </c>
      <c r="K888" s="65">
        <f>SUMIF(Inventario!$M$5:$M$505,"#"&amp;$A887,Inventario!K$5:K$505)</f>
        <v/>
      </c>
      <c r="L888" s="65">
        <f>SUMIF(Inventario!$M$5:$M$505,"#"&amp;$A887,Inventario!L$5:L$505)</f>
        <v/>
      </c>
      <c r="M888" s="66" t="n"/>
    </row>
    <row r="889">
      <c r="C889" s="63" t="inlineStr">
        <is>
          <t>Stock proyectado disponible</t>
        </is>
      </c>
      <c r="D889" s="67">
        <f>SUMIF(Inventario!$M$5:$M$505,"#"&amp;$A887,Inventario!$C$5:$C$505)</f>
        <v/>
      </c>
      <c r="E889" s="68">
        <f>D889+E888+E891-E887</f>
        <v/>
      </c>
      <c r="F889" s="68">
        <f>E889+F888+F891-F887</f>
        <v/>
      </c>
      <c r="G889" s="68">
        <f>F889+G888+G891-G887</f>
        <v/>
      </c>
      <c r="H889" s="68">
        <f>G889+H888+H891-H887</f>
        <v/>
      </c>
      <c r="I889" s="68">
        <f>H889+I888+I891-I887</f>
        <v/>
      </c>
      <c r="J889" s="68">
        <f>I889+J888+J891-J887</f>
        <v/>
      </c>
      <c r="K889" s="68">
        <f>J889+K888+K891-K887</f>
        <v/>
      </c>
      <c r="L889" s="68">
        <f>K889+L888+L891-L887</f>
        <v/>
      </c>
      <c r="M889" s="66" t="n"/>
    </row>
    <row r="890">
      <c r="C890" s="63" t="inlineStr">
        <is>
          <t>Necesidad neta</t>
        </is>
      </c>
      <c r="D890" s="64" t="n"/>
      <c r="E890" s="69">
        <f>MAX(0,ROUND(E887+Materiales!$H$130-D889-E888,4))</f>
        <v/>
      </c>
      <c r="F890" s="69">
        <f>MAX(0,ROUND(F887+Materiales!$H$130-E889-F888,4))</f>
        <v/>
      </c>
      <c r="G890" s="69">
        <f>MAX(0,ROUND(G887+Materiales!$H$130-F889-G888,4))</f>
        <v/>
      </c>
      <c r="H890" s="69">
        <f>MAX(0,ROUND(H887+Materiales!$H$130-G889-H888,4))</f>
        <v/>
      </c>
      <c r="I890" s="69">
        <f>MAX(0,ROUND(I887+Materiales!$H$130-H889-I888,4))</f>
        <v/>
      </c>
      <c r="J890" s="69">
        <f>MAX(0,ROUND(J887+Materiales!$H$130-I889-J888,4))</f>
        <v/>
      </c>
      <c r="K890" s="69">
        <f>MAX(0,ROUND(K887+Materiales!$H$130-J889-K888,4))</f>
        <v/>
      </c>
      <c r="L890" s="69">
        <f>MAX(0,ROUND(L887+Materiales!$H$130-K889-L888,4))</f>
        <v/>
      </c>
      <c r="M890" s="66" t="n"/>
    </row>
    <row r="891">
      <c r="C891" s="63" t="inlineStr">
        <is>
          <t>Recepcion de orden planificada</t>
        </is>
      </c>
      <c r="D891" s="64" t="n"/>
      <c r="E891" s="65">
        <f>IF(E890&lt;=0,0,IF(Materiales!$G$130&lt;=0,E890,ROUNDUP(E890/Materiales!$G$130,0)*Materiales!$G$130))</f>
        <v/>
      </c>
      <c r="F891" s="65">
        <f>IF(F890&lt;=0,0,IF(Materiales!$G$130&lt;=0,F890,ROUNDUP(F890/Materiales!$G$130,0)*Materiales!$G$130))</f>
        <v/>
      </c>
      <c r="G891" s="65">
        <f>IF(G890&lt;=0,0,IF(Materiales!$G$130&lt;=0,G890,ROUNDUP(G890/Materiales!$G$130,0)*Materiales!$G$130))</f>
        <v/>
      </c>
      <c r="H891" s="65">
        <f>IF(H890&lt;=0,0,IF(Materiales!$G$130&lt;=0,H890,ROUNDUP(H890/Materiales!$G$130,0)*Materiales!$G$130))</f>
        <v/>
      </c>
      <c r="I891" s="65">
        <f>IF(I890&lt;=0,0,IF(Materiales!$G$130&lt;=0,I890,ROUNDUP(I890/Materiales!$G$130,0)*Materiales!$G$130))</f>
        <v/>
      </c>
      <c r="J891" s="65">
        <f>IF(J890&lt;=0,0,IF(Materiales!$G$130&lt;=0,J890,ROUNDUP(J890/Materiales!$G$130,0)*Materiales!$G$130))</f>
        <v/>
      </c>
      <c r="K891" s="65">
        <f>IF(K890&lt;=0,0,IF(Materiales!$G$130&lt;=0,K890,ROUNDUP(K890/Materiales!$G$130,0)*Materiales!$G$130))</f>
        <v/>
      </c>
      <c r="L891" s="65">
        <f>IF(L890&lt;=0,0,IF(Materiales!$G$130&lt;=0,L890,ROUNDUP(L890/Materiales!$G$130,0)*Materiales!$G$130))</f>
        <v/>
      </c>
      <c r="M891" s="66" t="n"/>
    </row>
    <row r="892">
      <c r="C892" s="70" t="inlineStr">
        <is>
          <t>LANZAMIENTO DE ORDEN — pedir esta semana</t>
        </is>
      </c>
      <c r="D892" s="64" t="n"/>
      <c r="E892" s="71">
        <f>IF(1+Materiales!$F$130&gt;8,0,INDEX($E$891:$L$891,1,1+Materiales!$F$130))</f>
        <v/>
      </c>
      <c r="F892" s="71">
        <f>IF(2+Materiales!$F$130&gt;8,0,INDEX($E$891:$L$891,1,2+Materiales!$F$130))</f>
        <v/>
      </c>
      <c r="G892" s="71">
        <f>IF(3+Materiales!$F$130&gt;8,0,INDEX($E$891:$L$891,1,3+Materiales!$F$130))</f>
        <v/>
      </c>
      <c r="H892" s="71">
        <f>IF(4+Materiales!$F$130&gt;8,0,INDEX($E$891:$L$891,1,4+Materiales!$F$130))</f>
        <v/>
      </c>
      <c r="I892" s="71">
        <f>IF(5+Materiales!$F$130&gt;8,0,INDEX($E$891:$L$891,1,5+Materiales!$F$130))</f>
        <v/>
      </c>
      <c r="J892" s="71">
        <f>IF(6+Materiales!$F$130&gt;8,0,INDEX($E$891:$L$891,1,6+Materiales!$F$130))</f>
        <v/>
      </c>
      <c r="K892" s="71">
        <f>IF(7+Materiales!$F$130&gt;8,0,INDEX($E$891:$L$891,1,7+Materiales!$F$130))</f>
        <v/>
      </c>
      <c r="L892" s="71">
        <f>IF(8+Materiales!$F$130&gt;8,0,INDEX($E$891:$L$891,1,8+Materiales!$F$130))</f>
        <v/>
      </c>
      <c r="M892" s="72">
        <f>IF($A887="","",IF(SUMPRODUCT((COLUMN($E$891:$L$891)-4&lt;=Materiales!$F$130)*$E$891:$L$891)&gt;0,"PEDIR YA (atrasado)","OK"))</f>
        <v/>
      </c>
    </row>
    <row r="893" ht="6" customHeight="1"/>
    <row r="894">
      <c r="A894" s="62">
        <f>IF(Materiales!$A$131="","",Materiales!$A$131)</f>
        <v/>
      </c>
      <c r="B894" s="62">
        <f>IF(Materiales!$B$131="","",Materiales!$B$131)</f>
        <v/>
      </c>
      <c r="C894" s="63" t="inlineStr">
        <is>
          <t>Necesidad bruta</t>
        </is>
      </c>
      <c r="D894" s="64" t="n"/>
      <c r="E894" s="65">
        <f>ROUND(SUMIF(Consumo!$P$4:$P$189,"#"&amp;$A894,Consumo!H$4:H$189),4)</f>
        <v/>
      </c>
      <c r="F894" s="65">
        <f>ROUND(SUMIF(Consumo!$P$4:$P$189,"#"&amp;$A894,Consumo!I$4:I$189),4)</f>
        <v/>
      </c>
      <c r="G894" s="65">
        <f>ROUND(SUMIF(Consumo!$P$4:$P$189,"#"&amp;$A894,Consumo!J$4:J$189),4)</f>
        <v/>
      </c>
      <c r="H894" s="65">
        <f>ROUND(SUMIF(Consumo!$P$4:$P$189,"#"&amp;$A894,Consumo!K$4:K$189),4)</f>
        <v/>
      </c>
      <c r="I894" s="65">
        <f>ROUND(SUMIF(Consumo!$P$4:$P$189,"#"&amp;$A894,Consumo!L$4:L$189),4)</f>
        <v/>
      </c>
      <c r="J894" s="65">
        <f>ROUND(SUMIF(Consumo!$P$4:$P$189,"#"&amp;$A894,Consumo!M$4:M$189),4)</f>
        <v/>
      </c>
      <c r="K894" s="65">
        <f>ROUND(SUMIF(Consumo!$P$4:$P$189,"#"&amp;$A894,Consumo!N$4:N$189),4)</f>
        <v/>
      </c>
      <c r="L894" s="65">
        <f>ROUND(SUMIF(Consumo!$P$4:$P$189,"#"&amp;$A894,Consumo!O$4:O$189),4)</f>
        <v/>
      </c>
      <c r="M894" s="66" t="n"/>
    </row>
    <row r="895">
      <c r="C895" s="63" t="inlineStr">
        <is>
          <t>Recepciones programadas (ya pedido)</t>
        </is>
      </c>
      <c r="D895" s="64" t="n"/>
      <c r="E895" s="65">
        <f>SUMIF(Inventario!$M$5:$M$505,"#"&amp;$A894,Inventario!E$5:E$505)</f>
        <v/>
      </c>
      <c r="F895" s="65">
        <f>SUMIF(Inventario!$M$5:$M$505,"#"&amp;$A894,Inventario!F$5:F$505)</f>
        <v/>
      </c>
      <c r="G895" s="65">
        <f>SUMIF(Inventario!$M$5:$M$505,"#"&amp;$A894,Inventario!G$5:G$505)</f>
        <v/>
      </c>
      <c r="H895" s="65">
        <f>SUMIF(Inventario!$M$5:$M$505,"#"&amp;$A894,Inventario!H$5:H$505)</f>
        <v/>
      </c>
      <c r="I895" s="65">
        <f>SUMIF(Inventario!$M$5:$M$505,"#"&amp;$A894,Inventario!I$5:I$505)</f>
        <v/>
      </c>
      <c r="J895" s="65">
        <f>SUMIF(Inventario!$M$5:$M$505,"#"&amp;$A894,Inventario!J$5:J$505)</f>
        <v/>
      </c>
      <c r="K895" s="65">
        <f>SUMIF(Inventario!$M$5:$M$505,"#"&amp;$A894,Inventario!K$5:K$505)</f>
        <v/>
      </c>
      <c r="L895" s="65">
        <f>SUMIF(Inventario!$M$5:$M$505,"#"&amp;$A894,Inventario!L$5:L$505)</f>
        <v/>
      </c>
      <c r="M895" s="66" t="n"/>
    </row>
    <row r="896">
      <c r="C896" s="63" t="inlineStr">
        <is>
          <t>Stock proyectado disponible</t>
        </is>
      </c>
      <c r="D896" s="67">
        <f>SUMIF(Inventario!$M$5:$M$505,"#"&amp;$A894,Inventario!$C$5:$C$505)</f>
        <v/>
      </c>
      <c r="E896" s="68">
        <f>D896+E895+E898-E894</f>
        <v/>
      </c>
      <c r="F896" s="68">
        <f>E896+F895+F898-F894</f>
        <v/>
      </c>
      <c r="G896" s="68">
        <f>F896+G895+G898-G894</f>
        <v/>
      </c>
      <c r="H896" s="68">
        <f>G896+H895+H898-H894</f>
        <v/>
      </c>
      <c r="I896" s="68">
        <f>H896+I895+I898-I894</f>
        <v/>
      </c>
      <c r="J896" s="68">
        <f>I896+J895+J898-J894</f>
        <v/>
      </c>
      <c r="K896" s="68">
        <f>J896+K895+K898-K894</f>
        <v/>
      </c>
      <c r="L896" s="68">
        <f>K896+L895+L898-L894</f>
        <v/>
      </c>
      <c r="M896" s="66" t="n"/>
    </row>
    <row r="897">
      <c r="C897" s="63" t="inlineStr">
        <is>
          <t>Necesidad neta</t>
        </is>
      </c>
      <c r="D897" s="64" t="n"/>
      <c r="E897" s="69">
        <f>MAX(0,ROUND(E894+Materiales!$H$131-D896-E895,4))</f>
        <v/>
      </c>
      <c r="F897" s="69">
        <f>MAX(0,ROUND(F894+Materiales!$H$131-E896-F895,4))</f>
        <v/>
      </c>
      <c r="G897" s="69">
        <f>MAX(0,ROUND(G894+Materiales!$H$131-F896-G895,4))</f>
        <v/>
      </c>
      <c r="H897" s="69">
        <f>MAX(0,ROUND(H894+Materiales!$H$131-G896-H895,4))</f>
        <v/>
      </c>
      <c r="I897" s="69">
        <f>MAX(0,ROUND(I894+Materiales!$H$131-H896-I895,4))</f>
        <v/>
      </c>
      <c r="J897" s="69">
        <f>MAX(0,ROUND(J894+Materiales!$H$131-I896-J895,4))</f>
        <v/>
      </c>
      <c r="K897" s="69">
        <f>MAX(0,ROUND(K894+Materiales!$H$131-J896-K895,4))</f>
        <v/>
      </c>
      <c r="L897" s="69">
        <f>MAX(0,ROUND(L894+Materiales!$H$131-K896-L895,4))</f>
        <v/>
      </c>
      <c r="M897" s="66" t="n"/>
    </row>
    <row r="898">
      <c r="C898" s="63" t="inlineStr">
        <is>
          <t>Recepcion de orden planificada</t>
        </is>
      </c>
      <c r="D898" s="64" t="n"/>
      <c r="E898" s="65">
        <f>IF(E897&lt;=0,0,IF(Materiales!$G$131&lt;=0,E897,ROUNDUP(E897/Materiales!$G$131,0)*Materiales!$G$131))</f>
        <v/>
      </c>
      <c r="F898" s="65">
        <f>IF(F897&lt;=0,0,IF(Materiales!$G$131&lt;=0,F897,ROUNDUP(F897/Materiales!$G$131,0)*Materiales!$G$131))</f>
        <v/>
      </c>
      <c r="G898" s="65">
        <f>IF(G897&lt;=0,0,IF(Materiales!$G$131&lt;=0,G897,ROUNDUP(G897/Materiales!$G$131,0)*Materiales!$G$131))</f>
        <v/>
      </c>
      <c r="H898" s="65">
        <f>IF(H897&lt;=0,0,IF(Materiales!$G$131&lt;=0,H897,ROUNDUP(H897/Materiales!$G$131,0)*Materiales!$G$131))</f>
        <v/>
      </c>
      <c r="I898" s="65">
        <f>IF(I897&lt;=0,0,IF(Materiales!$G$131&lt;=0,I897,ROUNDUP(I897/Materiales!$G$131,0)*Materiales!$G$131))</f>
        <v/>
      </c>
      <c r="J898" s="65">
        <f>IF(J897&lt;=0,0,IF(Materiales!$G$131&lt;=0,J897,ROUNDUP(J897/Materiales!$G$131,0)*Materiales!$G$131))</f>
        <v/>
      </c>
      <c r="K898" s="65">
        <f>IF(K897&lt;=0,0,IF(Materiales!$G$131&lt;=0,K897,ROUNDUP(K897/Materiales!$G$131,0)*Materiales!$G$131))</f>
        <v/>
      </c>
      <c r="L898" s="65">
        <f>IF(L897&lt;=0,0,IF(Materiales!$G$131&lt;=0,L897,ROUNDUP(L897/Materiales!$G$131,0)*Materiales!$G$131))</f>
        <v/>
      </c>
      <c r="M898" s="66" t="n"/>
    </row>
    <row r="899">
      <c r="C899" s="70" t="inlineStr">
        <is>
          <t>LANZAMIENTO DE ORDEN — pedir esta semana</t>
        </is>
      </c>
      <c r="D899" s="64" t="n"/>
      <c r="E899" s="71">
        <f>IF(1+Materiales!$F$131&gt;8,0,INDEX($E$898:$L$898,1,1+Materiales!$F$131))</f>
        <v/>
      </c>
      <c r="F899" s="71">
        <f>IF(2+Materiales!$F$131&gt;8,0,INDEX($E$898:$L$898,1,2+Materiales!$F$131))</f>
        <v/>
      </c>
      <c r="G899" s="71">
        <f>IF(3+Materiales!$F$131&gt;8,0,INDEX($E$898:$L$898,1,3+Materiales!$F$131))</f>
        <v/>
      </c>
      <c r="H899" s="71">
        <f>IF(4+Materiales!$F$131&gt;8,0,INDEX($E$898:$L$898,1,4+Materiales!$F$131))</f>
        <v/>
      </c>
      <c r="I899" s="71">
        <f>IF(5+Materiales!$F$131&gt;8,0,INDEX($E$898:$L$898,1,5+Materiales!$F$131))</f>
        <v/>
      </c>
      <c r="J899" s="71">
        <f>IF(6+Materiales!$F$131&gt;8,0,INDEX($E$898:$L$898,1,6+Materiales!$F$131))</f>
        <v/>
      </c>
      <c r="K899" s="71">
        <f>IF(7+Materiales!$F$131&gt;8,0,INDEX($E$898:$L$898,1,7+Materiales!$F$131))</f>
        <v/>
      </c>
      <c r="L899" s="71">
        <f>IF(8+Materiales!$F$131&gt;8,0,INDEX($E$898:$L$898,1,8+Materiales!$F$131))</f>
        <v/>
      </c>
      <c r="M899" s="72">
        <f>IF($A894="","",IF(SUMPRODUCT((COLUMN($E$898:$L$898)-4&lt;=Materiales!$F$131)*$E$898:$L$898)&gt;0,"PEDIR YA (atrasado)","OK"))</f>
        <v/>
      </c>
    </row>
    <row r="900" ht="6" customHeight="1"/>
    <row r="901">
      <c r="A901" s="62">
        <f>IF(Materiales!$A$132="","",Materiales!$A$132)</f>
        <v/>
      </c>
      <c r="B901" s="62">
        <f>IF(Materiales!$B$132="","",Materiales!$B$132)</f>
        <v/>
      </c>
      <c r="C901" s="63" t="inlineStr">
        <is>
          <t>Necesidad bruta</t>
        </is>
      </c>
      <c r="D901" s="64" t="n"/>
      <c r="E901" s="65">
        <f>ROUND(SUMIF(Consumo!$P$4:$P$189,"#"&amp;$A901,Consumo!H$4:H$189),4)</f>
        <v/>
      </c>
      <c r="F901" s="65">
        <f>ROUND(SUMIF(Consumo!$P$4:$P$189,"#"&amp;$A901,Consumo!I$4:I$189),4)</f>
        <v/>
      </c>
      <c r="G901" s="65">
        <f>ROUND(SUMIF(Consumo!$P$4:$P$189,"#"&amp;$A901,Consumo!J$4:J$189),4)</f>
        <v/>
      </c>
      <c r="H901" s="65">
        <f>ROUND(SUMIF(Consumo!$P$4:$P$189,"#"&amp;$A901,Consumo!K$4:K$189),4)</f>
        <v/>
      </c>
      <c r="I901" s="65">
        <f>ROUND(SUMIF(Consumo!$P$4:$P$189,"#"&amp;$A901,Consumo!L$4:L$189),4)</f>
        <v/>
      </c>
      <c r="J901" s="65">
        <f>ROUND(SUMIF(Consumo!$P$4:$P$189,"#"&amp;$A901,Consumo!M$4:M$189),4)</f>
        <v/>
      </c>
      <c r="K901" s="65">
        <f>ROUND(SUMIF(Consumo!$P$4:$P$189,"#"&amp;$A901,Consumo!N$4:N$189),4)</f>
        <v/>
      </c>
      <c r="L901" s="65">
        <f>ROUND(SUMIF(Consumo!$P$4:$P$189,"#"&amp;$A901,Consumo!O$4:O$189),4)</f>
        <v/>
      </c>
      <c r="M901" s="66" t="n"/>
    </row>
    <row r="902">
      <c r="C902" s="63" t="inlineStr">
        <is>
          <t>Recepciones programadas (ya pedido)</t>
        </is>
      </c>
      <c r="D902" s="64" t="n"/>
      <c r="E902" s="65">
        <f>SUMIF(Inventario!$M$5:$M$505,"#"&amp;$A901,Inventario!E$5:E$505)</f>
        <v/>
      </c>
      <c r="F902" s="65">
        <f>SUMIF(Inventario!$M$5:$M$505,"#"&amp;$A901,Inventario!F$5:F$505)</f>
        <v/>
      </c>
      <c r="G902" s="65">
        <f>SUMIF(Inventario!$M$5:$M$505,"#"&amp;$A901,Inventario!G$5:G$505)</f>
        <v/>
      </c>
      <c r="H902" s="65">
        <f>SUMIF(Inventario!$M$5:$M$505,"#"&amp;$A901,Inventario!H$5:H$505)</f>
        <v/>
      </c>
      <c r="I902" s="65">
        <f>SUMIF(Inventario!$M$5:$M$505,"#"&amp;$A901,Inventario!I$5:I$505)</f>
        <v/>
      </c>
      <c r="J902" s="65">
        <f>SUMIF(Inventario!$M$5:$M$505,"#"&amp;$A901,Inventario!J$5:J$505)</f>
        <v/>
      </c>
      <c r="K902" s="65">
        <f>SUMIF(Inventario!$M$5:$M$505,"#"&amp;$A901,Inventario!K$5:K$505)</f>
        <v/>
      </c>
      <c r="L902" s="65">
        <f>SUMIF(Inventario!$M$5:$M$505,"#"&amp;$A901,Inventario!L$5:L$505)</f>
        <v/>
      </c>
      <c r="M902" s="66" t="n"/>
    </row>
    <row r="903">
      <c r="C903" s="63" t="inlineStr">
        <is>
          <t>Stock proyectado disponible</t>
        </is>
      </c>
      <c r="D903" s="67">
        <f>SUMIF(Inventario!$M$5:$M$505,"#"&amp;$A901,Inventario!$C$5:$C$505)</f>
        <v/>
      </c>
      <c r="E903" s="68">
        <f>D903+E902+E905-E901</f>
        <v/>
      </c>
      <c r="F903" s="68">
        <f>E903+F902+F905-F901</f>
        <v/>
      </c>
      <c r="G903" s="68">
        <f>F903+G902+G905-G901</f>
        <v/>
      </c>
      <c r="H903" s="68">
        <f>G903+H902+H905-H901</f>
        <v/>
      </c>
      <c r="I903" s="68">
        <f>H903+I902+I905-I901</f>
        <v/>
      </c>
      <c r="J903" s="68">
        <f>I903+J902+J905-J901</f>
        <v/>
      </c>
      <c r="K903" s="68">
        <f>J903+K902+K905-K901</f>
        <v/>
      </c>
      <c r="L903" s="68">
        <f>K903+L902+L905-L901</f>
        <v/>
      </c>
      <c r="M903" s="66" t="n"/>
    </row>
    <row r="904">
      <c r="C904" s="63" t="inlineStr">
        <is>
          <t>Necesidad neta</t>
        </is>
      </c>
      <c r="D904" s="64" t="n"/>
      <c r="E904" s="69">
        <f>MAX(0,ROUND(E901+Materiales!$H$132-D903-E902,4))</f>
        <v/>
      </c>
      <c r="F904" s="69">
        <f>MAX(0,ROUND(F901+Materiales!$H$132-E903-F902,4))</f>
        <v/>
      </c>
      <c r="G904" s="69">
        <f>MAX(0,ROUND(G901+Materiales!$H$132-F903-G902,4))</f>
        <v/>
      </c>
      <c r="H904" s="69">
        <f>MAX(0,ROUND(H901+Materiales!$H$132-G903-H902,4))</f>
        <v/>
      </c>
      <c r="I904" s="69">
        <f>MAX(0,ROUND(I901+Materiales!$H$132-H903-I902,4))</f>
        <v/>
      </c>
      <c r="J904" s="69">
        <f>MAX(0,ROUND(J901+Materiales!$H$132-I903-J902,4))</f>
        <v/>
      </c>
      <c r="K904" s="69">
        <f>MAX(0,ROUND(K901+Materiales!$H$132-J903-K902,4))</f>
        <v/>
      </c>
      <c r="L904" s="69">
        <f>MAX(0,ROUND(L901+Materiales!$H$132-K903-L902,4))</f>
        <v/>
      </c>
      <c r="M904" s="66" t="n"/>
    </row>
    <row r="905">
      <c r="C905" s="63" t="inlineStr">
        <is>
          <t>Recepcion de orden planificada</t>
        </is>
      </c>
      <c r="D905" s="64" t="n"/>
      <c r="E905" s="65">
        <f>IF(E904&lt;=0,0,IF(Materiales!$G$132&lt;=0,E904,ROUNDUP(E904/Materiales!$G$132,0)*Materiales!$G$132))</f>
        <v/>
      </c>
      <c r="F905" s="65">
        <f>IF(F904&lt;=0,0,IF(Materiales!$G$132&lt;=0,F904,ROUNDUP(F904/Materiales!$G$132,0)*Materiales!$G$132))</f>
        <v/>
      </c>
      <c r="G905" s="65">
        <f>IF(G904&lt;=0,0,IF(Materiales!$G$132&lt;=0,G904,ROUNDUP(G904/Materiales!$G$132,0)*Materiales!$G$132))</f>
        <v/>
      </c>
      <c r="H905" s="65">
        <f>IF(H904&lt;=0,0,IF(Materiales!$G$132&lt;=0,H904,ROUNDUP(H904/Materiales!$G$132,0)*Materiales!$G$132))</f>
        <v/>
      </c>
      <c r="I905" s="65">
        <f>IF(I904&lt;=0,0,IF(Materiales!$G$132&lt;=0,I904,ROUNDUP(I904/Materiales!$G$132,0)*Materiales!$G$132))</f>
        <v/>
      </c>
      <c r="J905" s="65">
        <f>IF(J904&lt;=0,0,IF(Materiales!$G$132&lt;=0,J904,ROUNDUP(J904/Materiales!$G$132,0)*Materiales!$G$132))</f>
        <v/>
      </c>
      <c r="K905" s="65">
        <f>IF(K904&lt;=0,0,IF(Materiales!$G$132&lt;=0,K904,ROUNDUP(K904/Materiales!$G$132,0)*Materiales!$G$132))</f>
        <v/>
      </c>
      <c r="L905" s="65">
        <f>IF(L904&lt;=0,0,IF(Materiales!$G$132&lt;=0,L904,ROUNDUP(L904/Materiales!$G$132,0)*Materiales!$G$132))</f>
        <v/>
      </c>
      <c r="M905" s="66" t="n"/>
    </row>
    <row r="906">
      <c r="C906" s="70" t="inlineStr">
        <is>
          <t>LANZAMIENTO DE ORDEN — pedir esta semana</t>
        </is>
      </c>
      <c r="D906" s="64" t="n"/>
      <c r="E906" s="71">
        <f>IF(1+Materiales!$F$132&gt;8,0,INDEX($E$905:$L$905,1,1+Materiales!$F$132))</f>
        <v/>
      </c>
      <c r="F906" s="71">
        <f>IF(2+Materiales!$F$132&gt;8,0,INDEX($E$905:$L$905,1,2+Materiales!$F$132))</f>
        <v/>
      </c>
      <c r="G906" s="71">
        <f>IF(3+Materiales!$F$132&gt;8,0,INDEX($E$905:$L$905,1,3+Materiales!$F$132))</f>
        <v/>
      </c>
      <c r="H906" s="71">
        <f>IF(4+Materiales!$F$132&gt;8,0,INDEX($E$905:$L$905,1,4+Materiales!$F$132))</f>
        <v/>
      </c>
      <c r="I906" s="71">
        <f>IF(5+Materiales!$F$132&gt;8,0,INDEX($E$905:$L$905,1,5+Materiales!$F$132))</f>
        <v/>
      </c>
      <c r="J906" s="71">
        <f>IF(6+Materiales!$F$132&gt;8,0,INDEX($E$905:$L$905,1,6+Materiales!$F$132))</f>
        <v/>
      </c>
      <c r="K906" s="71">
        <f>IF(7+Materiales!$F$132&gt;8,0,INDEX($E$905:$L$905,1,7+Materiales!$F$132))</f>
        <v/>
      </c>
      <c r="L906" s="71">
        <f>IF(8+Materiales!$F$132&gt;8,0,INDEX($E$905:$L$905,1,8+Materiales!$F$132))</f>
        <v/>
      </c>
      <c r="M906" s="72">
        <f>IF($A901="","",IF(SUMPRODUCT((COLUMN($E$905:$L$905)-4&lt;=Materiales!$F$132)*$E$905:$L$905)&gt;0,"PEDIR YA (atrasado)","OK"))</f>
        <v/>
      </c>
    </row>
    <row r="907" ht="6" customHeight="1"/>
    <row r="908">
      <c r="A908" s="62">
        <f>IF(Materiales!$A$133="","",Materiales!$A$133)</f>
        <v/>
      </c>
      <c r="B908" s="62">
        <f>IF(Materiales!$B$133="","",Materiales!$B$133)</f>
        <v/>
      </c>
      <c r="C908" s="63" t="inlineStr">
        <is>
          <t>Necesidad bruta</t>
        </is>
      </c>
      <c r="D908" s="64" t="n"/>
      <c r="E908" s="65">
        <f>ROUND(SUMIF(Consumo!$P$4:$P$189,"#"&amp;$A908,Consumo!H$4:H$189),4)</f>
        <v/>
      </c>
      <c r="F908" s="65">
        <f>ROUND(SUMIF(Consumo!$P$4:$P$189,"#"&amp;$A908,Consumo!I$4:I$189),4)</f>
        <v/>
      </c>
      <c r="G908" s="65">
        <f>ROUND(SUMIF(Consumo!$P$4:$P$189,"#"&amp;$A908,Consumo!J$4:J$189),4)</f>
        <v/>
      </c>
      <c r="H908" s="65">
        <f>ROUND(SUMIF(Consumo!$P$4:$P$189,"#"&amp;$A908,Consumo!K$4:K$189),4)</f>
        <v/>
      </c>
      <c r="I908" s="65">
        <f>ROUND(SUMIF(Consumo!$P$4:$P$189,"#"&amp;$A908,Consumo!L$4:L$189),4)</f>
        <v/>
      </c>
      <c r="J908" s="65">
        <f>ROUND(SUMIF(Consumo!$P$4:$P$189,"#"&amp;$A908,Consumo!M$4:M$189),4)</f>
        <v/>
      </c>
      <c r="K908" s="65">
        <f>ROUND(SUMIF(Consumo!$P$4:$P$189,"#"&amp;$A908,Consumo!N$4:N$189),4)</f>
        <v/>
      </c>
      <c r="L908" s="65">
        <f>ROUND(SUMIF(Consumo!$P$4:$P$189,"#"&amp;$A908,Consumo!O$4:O$189),4)</f>
        <v/>
      </c>
      <c r="M908" s="66" t="n"/>
    </row>
    <row r="909">
      <c r="C909" s="63" t="inlineStr">
        <is>
          <t>Recepciones programadas (ya pedido)</t>
        </is>
      </c>
      <c r="D909" s="64" t="n"/>
      <c r="E909" s="65">
        <f>SUMIF(Inventario!$M$5:$M$505,"#"&amp;$A908,Inventario!E$5:E$505)</f>
        <v/>
      </c>
      <c r="F909" s="65">
        <f>SUMIF(Inventario!$M$5:$M$505,"#"&amp;$A908,Inventario!F$5:F$505)</f>
        <v/>
      </c>
      <c r="G909" s="65">
        <f>SUMIF(Inventario!$M$5:$M$505,"#"&amp;$A908,Inventario!G$5:G$505)</f>
        <v/>
      </c>
      <c r="H909" s="65">
        <f>SUMIF(Inventario!$M$5:$M$505,"#"&amp;$A908,Inventario!H$5:H$505)</f>
        <v/>
      </c>
      <c r="I909" s="65">
        <f>SUMIF(Inventario!$M$5:$M$505,"#"&amp;$A908,Inventario!I$5:I$505)</f>
        <v/>
      </c>
      <c r="J909" s="65">
        <f>SUMIF(Inventario!$M$5:$M$505,"#"&amp;$A908,Inventario!J$5:J$505)</f>
        <v/>
      </c>
      <c r="K909" s="65">
        <f>SUMIF(Inventario!$M$5:$M$505,"#"&amp;$A908,Inventario!K$5:K$505)</f>
        <v/>
      </c>
      <c r="L909" s="65">
        <f>SUMIF(Inventario!$M$5:$M$505,"#"&amp;$A908,Inventario!L$5:L$505)</f>
        <v/>
      </c>
      <c r="M909" s="66" t="n"/>
    </row>
    <row r="910">
      <c r="C910" s="63" t="inlineStr">
        <is>
          <t>Stock proyectado disponible</t>
        </is>
      </c>
      <c r="D910" s="67">
        <f>SUMIF(Inventario!$M$5:$M$505,"#"&amp;$A908,Inventario!$C$5:$C$505)</f>
        <v/>
      </c>
      <c r="E910" s="68">
        <f>D910+E909+E912-E908</f>
        <v/>
      </c>
      <c r="F910" s="68">
        <f>E910+F909+F912-F908</f>
        <v/>
      </c>
      <c r="G910" s="68">
        <f>F910+G909+G912-G908</f>
        <v/>
      </c>
      <c r="H910" s="68">
        <f>G910+H909+H912-H908</f>
        <v/>
      </c>
      <c r="I910" s="68">
        <f>H910+I909+I912-I908</f>
        <v/>
      </c>
      <c r="J910" s="68">
        <f>I910+J909+J912-J908</f>
        <v/>
      </c>
      <c r="K910" s="68">
        <f>J910+K909+K912-K908</f>
        <v/>
      </c>
      <c r="L910" s="68">
        <f>K910+L909+L912-L908</f>
        <v/>
      </c>
      <c r="M910" s="66" t="n"/>
    </row>
    <row r="911">
      <c r="C911" s="63" t="inlineStr">
        <is>
          <t>Necesidad neta</t>
        </is>
      </c>
      <c r="D911" s="64" t="n"/>
      <c r="E911" s="69">
        <f>MAX(0,ROUND(E908+Materiales!$H$133-D910-E909,4))</f>
        <v/>
      </c>
      <c r="F911" s="69">
        <f>MAX(0,ROUND(F908+Materiales!$H$133-E910-F909,4))</f>
        <v/>
      </c>
      <c r="G911" s="69">
        <f>MAX(0,ROUND(G908+Materiales!$H$133-F910-G909,4))</f>
        <v/>
      </c>
      <c r="H911" s="69">
        <f>MAX(0,ROUND(H908+Materiales!$H$133-G910-H909,4))</f>
        <v/>
      </c>
      <c r="I911" s="69">
        <f>MAX(0,ROUND(I908+Materiales!$H$133-H910-I909,4))</f>
        <v/>
      </c>
      <c r="J911" s="69">
        <f>MAX(0,ROUND(J908+Materiales!$H$133-I910-J909,4))</f>
        <v/>
      </c>
      <c r="K911" s="69">
        <f>MAX(0,ROUND(K908+Materiales!$H$133-J910-K909,4))</f>
        <v/>
      </c>
      <c r="L911" s="69">
        <f>MAX(0,ROUND(L908+Materiales!$H$133-K910-L909,4))</f>
        <v/>
      </c>
      <c r="M911" s="66" t="n"/>
    </row>
    <row r="912">
      <c r="C912" s="63" t="inlineStr">
        <is>
          <t>Recepcion de orden planificada</t>
        </is>
      </c>
      <c r="D912" s="64" t="n"/>
      <c r="E912" s="65">
        <f>IF(E911&lt;=0,0,IF(Materiales!$G$133&lt;=0,E911,ROUNDUP(E911/Materiales!$G$133,0)*Materiales!$G$133))</f>
        <v/>
      </c>
      <c r="F912" s="65">
        <f>IF(F911&lt;=0,0,IF(Materiales!$G$133&lt;=0,F911,ROUNDUP(F911/Materiales!$G$133,0)*Materiales!$G$133))</f>
        <v/>
      </c>
      <c r="G912" s="65">
        <f>IF(G911&lt;=0,0,IF(Materiales!$G$133&lt;=0,G911,ROUNDUP(G911/Materiales!$G$133,0)*Materiales!$G$133))</f>
        <v/>
      </c>
      <c r="H912" s="65">
        <f>IF(H911&lt;=0,0,IF(Materiales!$G$133&lt;=0,H911,ROUNDUP(H911/Materiales!$G$133,0)*Materiales!$G$133))</f>
        <v/>
      </c>
      <c r="I912" s="65">
        <f>IF(I911&lt;=0,0,IF(Materiales!$G$133&lt;=0,I911,ROUNDUP(I911/Materiales!$G$133,0)*Materiales!$G$133))</f>
        <v/>
      </c>
      <c r="J912" s="65">
        <f>IF(J911&lt;=0,0,IF(Materiales!$G$133&lt;=0,J911,ROUNDUP(J911/Materiales!$G$133,0)*Materiales!$G$133))</f>
        <v/>
      </c>
      <c r="K912" s="65">
        <f>IF(K911&lt;=0,0,IF(Materiales!$G$133&lt;=0,K911,ROUNDUP(K911/Materiales!$G$133,0)*Materiales!$G$133))</f>
        <v/>
      </c>
      <c r="L912" s="65">
        <f>IF(L911&lt;=0,0,IF(Materiales!$G$133&lt;=0,L911,ROUNDUP(L911/Materiales!$G$133,0)*Materiales!$G$133))</f>
        <v/>
      </c>
      <c r="M912" s="66" t="n"/>
    </row>
    <row r="913">
      <c r="C913" s="70" t="inlineStr">
        <is>
          <t>LANZAMIENTO DE ORDEN — pedir esta semana</t>
        </is>
      </c>
      <c r="D913" s="64" t="n"/>
      <c r="E913" s="71">
        <f>IF(1+Materiales!$F$133&gt;8,0,INDEX($E$912:$L$912,1,1+Materiales!$F$133))</f>
        <v/>
      </c>
      <c r="F913" s="71">
        <f>IF(2+Materiales!$F$133&gt;8,0,INDEX($E$912:$L$912,1,2+Materiales!$F$133))</f>
        <v/>
      </c>
      <c r="G913" s="71">
        <f>IF(3+Materiales!$F$133&gt;8,0,INDEX($E$912:$L$912,1,3+Materiales!$F$133))</f>
        <v/>
      </c>
      <c r="H913" s="71">
        <f>IF(4+Materiales!$F$133&gt;8,0,INDEX($E$912:$L$912,1,4+Materiales!$F$133))</f>
        <v/>
      </c>
      <c r="I913" s="71">
        <f>IF(5+Materiales!$F$133&gt;8,0,INDEX($E$912:$L$912,1,5+Materiales!$F$133))</f>
        <v/>
      </c>
      <c r="J913" s="71">
        <f>IF(6+Materiales!$F$133&gt;8,0,INDEX($E$912:$L$912,1,6+Materiales!$F$133))</f>
        <v/>
      </c>
      <c r="K913" s="71">
        <f>IF(7+Materiales!$F$133&gt;8,0,INDEX($E$912:$L$912,1,7+Materiales!$F$133))</f>
        <v/>
      </c>
      <c r="L913" s="71">
        <f>IF(8+Materiales!$F$133&gt;8,0,INDEX($E$912:$L$912,1,8+Materiales!$F$133))</f>
        <v/>
      </c>
      <c r="M913" s="72">
        <f>IF($A908="","",IF(SUMPRODUCT((COLUMN($E$912:$L$912)-4&lt;=Materiales!$F$133)*$E$912:$L$912)&gt;0,"PEDIR YA (atrasado)","OK"))</f>
        <v/>
      </c>
    </row>
    <row r="914" ht="6" customHeight="1"/>
    <row r="915">
      <c r="A915" s="62">
        <f>IF(Materiales!$A$134="","",Materiales!$A$134)</f>
        <v/>
      </c>
      <c r="B915" s="62">
        <f>IF(Materiales!$B$134="","",Materiales!$B$134)</f>
        <v/>
      </c>
      <c r="C915" s="63" t="inlineStr">
        <is>
          <t>Necesidad bruta</t>
        </is>
      </c>
      <c r="D915" s="64" t="n"/>
      <c r="E915" s="65">
        <f>ROUND(SUMIF(Consumo!$P$4:$P$189,"#"&amp;$A915,Consumo!H$4:H$189),4)</f>
        <v/>
      </c>
      <c r="F915" s="65">
        <f>ROUND(SUMIF(Consumo!$P$4:$P$189,"#"&amp;$A915,Consumo!I$4:I$189),4)</f>
        <v/>
      </c>
      <c r="G915" s="65">
        <f>ROUND(SUMIF(Consumo!$P$4:$P$189,"#"&amp;$A915,Consumo!J$4:J$189),4)</f>
        <v/>
      </c>
      <c r="H915" s="65">
        <f>ROUND(SUMIF(Consumo!$P$4:$P$189,"#"&amp;$A915,Consumo!K$4:K$189),4)</f>
        <v/>
      </c>
      <c r="I915" s="65">
        <f>ROUND(SUMIF(Consumo!$P$4:$P$189,"#"&amp;$A915,Consumo!L$4:L$189),4)</f>
        <v/>
      </c>
      <c r="J915" s="65">
        <f>ROUND(SUMIF(Consumo!$P$4:$P$189,"#"&amp;$A915,Consumo!M$4:M$189),4)</f>
        <v/>
      </c>
      <c r="K915" s="65">
        <f>ROUND(SUMIF(Consumo!$P$4:$P$189,"#"&amp;$A915,Consumo!N$4:N$189),4)</f>
        <v/>
      </c>
      <c r="L915" s="65">
        <f>ROUND(SUMIF(Consumo!$P$4:$P$189,"#"&amp;$A915,Consumo!O$4:O$189),4)</f>
        <v/>
      </c>
      <c r="M915" s="66" t="n"/>
    </row>
    <row r="916">
      <c r="C916" s="63" t="inlineStr">
        <is>
          <t>Recepciones programadas (ya pedido)</t>
        </is>
      </c>
      <c r="D916" s="64" t="n"/>
      <c r="E916" s="65">
        <f>SUMIF(Inventario!$M$5:$M$505,"#"&amp;$A915,Inventario!E$5:E$505)</f>
        <v/>
      </c>
      <c r="F916" s="65">
        <f>SUMIF(Inventario!$M$5:$M$505,"#"&amp;$A915,Inventario!F$5:F$505)</f>
        <v/>
      </c>
      <c r="G916" s="65">
        <f>SUMIF(Inventario!$M$5:$M$505,"#"&amp;$A915,Inventario!G$5:G$505)</f>
        <v/>
      </c>
      <c r="H916" s="65">
        <f>SUMIF(Inventario!$M$5:$M$505,"#"&amp;$A915,Inventario!H$5:H$505)</f>
        <v/>
      </c>
      <c r="I916" s="65">
        <f>SUMIF(Inventario!$M$5:$M$505,"#"&amp;$A915,Inventario!I$5:I$505)</f>
        <v/>
      </c>
      <c r="J916" s="65">
        <f>SUMIF(Inventario!$M$5:$M$505,"#"&amp;$A915,Inventario!J$5:J$505)</f>
        <v/>
      </c>
      <c r="K916" s="65">
        <f>SUMIF(Inventario!$M$5:$M$505,"#"&amp;$A915,Inventario!K$5:K$505)</f>
        <v/>
      </c>
      <c r="L916" s="65">
        <f>SUMIF(Inventario!$M$5:$M$505,"#"&amp;$A915,Inventario!L$5:L$505)</f>
        <v/>
      </c>
      <c r="M916" s="66" t="n"/>
    </row>
    <row r="917">
      <c r="C917" s="63" t="inlineStr">
        <is>
          <t>Stock proyectado disponible</t>
        </is>
      </c>
      <c r="D917" s="67">
        <f>SUMIF(Inventario!$M$5:$M$505,"#"&amp;$A915,Inventario!$C$5:$C$505)</f>
        <v/>
      </c>
      <c r="E917" s="68">
        <f>D917+E916+E919-E915</f>
        <v/>
      </c>
      <c r="F917" s="68">
        <f>E917+F916+F919-F915</f>
        <v/>
      </c>
      <c r="G917" s="68">
        <f>F917+G916+G919-G915</f>
        <v/>
      </c>
      <c r="H917" s="68">
        <f>G917+H916+H919-H915</f>
        <v/>
      </c>
      <c r="I917" s="68">
        <f>H917+I916+I919-I915</f>
        <v/>
      </c>
      <c r="J917" s="68">
        <f>I917+J916+J919-J915</f>
        <v/>
      </c>
      <c r="K917" s="68">
        <f>J917+K916+K919-K915</f>
        <v/>
      </c>
      <c r="L917" s="68">
        <f>K917+L916+L919-L915</f>
        <v/>
      </c>
      <c r="M917" s="66" t="n"/>
    </row>
    <row r="918">
      <c r="C918" s="63" t="inlineStr">
        <is>
          <t>Necesidad neta</t>
        </is>
      </c>
      <c r="D918" s="64" t="n"/>
      <c r="E918" s="69">
        <f>MAX(0,ROUND(E915+Materiales!$H$134-D917-E916,4))</f>
        <v/>
      </c>
      <c r="F918" s="69">
        <f>MAX(0,ROUND(F915+Materiales!$H$134-E917-F916,4))</f>
        <v/>
      </c>
      <c r="G918" s="69">
        <f>MAX(0,ROUND(G915+Materiales!$H$134-F917-G916,4))</f>
        <v/>
      </c>
      <c r="H918" s="69">
        <f>MAX(0,ROUND(H915+Materiales!$H$134-G917-H916,4))</f>
        <v/>
      </c>
      <c r="I918" s="69">
        <f>MAX(0,ROUND(I915+Materiales!$H$134-H917-I916,4))</f>
        <v/>
      </c>
      <c r="J918" s="69">
        <f>MAX(0,ROUND(J915+Materiales!$H$134-I917-J916,4))</f>
        <v/>
      </c>
      <c r="K918" s="69">
        <f>MAX(0,ROUND(K915+Materiales!$H$134-J917-K916,4))</f>
        <v/>
      </c>
      <c r="L918" s="69">
        <f>MAX(0,ROUND(L915+Materiales!$H$134-K917-L916,4))</f>
        <v/>
      </c>
      <c r="M918" s="66" t="n"/>
    </row>
    <row r="919">
      <c r="C919" s="63" t="inlineStr">
        <is>
          <t>Recepcion de orden planificada</t>
        </is>
      </c>
      <c r="D919" s="64" t="n"/>
      <c r="E919" s="65">
        <f>IF(E918&lt;=0,0,IF(Materiales!$G$134&lt;=0,E918,ROUNDUP(E918/Materiales!$G$134,0)*Materiales!$G$134))</f>
        <v/>
      </c>
      <c r="F919" s="65">
        <f>IF(F918&lt;=0,0,IF(Materiales!$G$134&lt;=0,F918,ROUNDUP(F918/Materiales!$G$134,0)*Materiales!$G$134))</f>
        <v/>
      </c>
      <c r="G919" s="65">
        <f>IF(G918&lt;=0,0,IF(Materiales!$G$134&lt;=0,G918,ROUNDUP(G918/Materiales!$G$134,0)*Materiales!$G$134))</f>
        <v/>
      </c>
      <c r="H919" s="65">
        <f>IF(H918&lt;=0,0,IF(Materiales!$G$134&lt;=0,H918,ROUNDUP(H918/Materiales!$G$134,0)*Materiales!$G$134))</f>
        <v/>
      </c>
      <c r="I919" s="65">
        <f>IF(I918&lt;=0,0,IF(Materiales!$G$134&lt;=0,I918,ROUNDUP(I918/Materiales!$G$134,0)*Materiales!$G$134))</f>
        <v/>
      </c>
      <c r="J919" s="65">
        <f>IF(J918&lt;=0,0,IF(Materiales!$G$134&lt;=0,J918,ROUNDUP(J918/Materiales!$G$134,0)*Materiales!$G$134))</f>
        <v/>
      </c>
      <c r="K919" s="65">
        <f>IF(K918&lt;=0,0,IF(Materiales!$G$134&lt;=0,K918,ROUNDUP(K918/Materiales!$G$134,0)*Materiales!$G$134))</f>
        <v/>
      </c>
      <c r="L919" s="65">
        <f>IF(L918&lt;=0,0,IF(Materiales!$G$134&lt;=0,L918,ROUNDUP(L918/Materiales!$G$134,0)*Materiales!$G$134))</f>
        <v/>
      </c>
      <c r="M919" s="66" t="n"/>
    </row>
    <row r="920">
      <c r="C920" s="70" t="inlineStr">
        <is>
          <t>LANZAMIENTO DE ORDEN — pedir esta semana</t>
        </is>
      </c>
      <c r="D920" s="64" t="n"/>
      <c r="E920" s="71">
        <f>IF(1+Materiales!$F$134&gt;8,0,INDEX($E$919:$L$919,1,1+Materiales!$F$134))</f>
        <v/>
      </c>
      <c r="F920" s="71">
        <f>IF(2+Materiales!$F$134&gt;8,0,INDEX($E$919:$L$919,1,2+Materiales!$F$134))</f>
        <v/>
      </c>
      <c r="G920" s="71">
        <f>IF(3+Materiales!$F$134&gt;8,0,INDEX($E$919:$L$919,1,3+Materiales!$F$134))</f>
        <v/>
      </c>
      <c r="H920" s="71">
        <f>IF(4+Materiales!$F$134&gt;8,0,INDEX($E$919:$L$919,1,4+Materiales!$F$134))</f>
        <v/>
      </c>
      <c r="I920" s="71">
        <f>IF(5+Materiales!$F$134&gt;8,0,INDEX($E$919:$L$919,1,5+Materiales!$F$134))</f>
        <v/>
      </c>
      <c r="J920" s="71">
        <f>IF(6+Materiales!$F$134&gt;8,0,INDEX($E$919:$L$919,1,6+Materiales!$F$134))</f>
        <v/>
      </c>
      <c r="K920" s="71">
        <f>IF(7+Materiales!$F$134&gt;8,0,INDEX($E$919:$L$919,1,7+Materiales!$F$134))</f>
        <v/>
      </c>
      <c r="L920" s="71">
        <f>IF(8+Materiales!$F$134&gt;8,0,INDEX($E$919:$L$919,1,8+Materiales!$F$134))</f>
        <v/>
      </c>
      <c r="M920" s="72">
        <f>IF($A915="","",IF(SUMPRODUCT((COLUMN($E$919:$L$919)-4&lt;=Materiales!$F$134)*$E$919:$L$919)&gt;0,"PEDIR YA (atrasado)","OK"))</f>
        <v/>
      </c>
    </row>
    <row r="921" ht="6" customHeight="1"/>
    <row r="922">
      <c r="A922" s="62">
        <f>IF(Materiales!$A$135="","",Materiales!$A$135)</f>
        <v/>
      </c>
      <c r="B922" s="62">
        <f>IF(Materiales!$B$135="","",Materiales!$B$135)</f>
        <v/>
      </c>
      <c r="C922" s="63" t="inlineStr">
        <is>
          <t>Necesidad bruta</t>
        </is>
      </c>
      <c r="D922" s="64" t="n"/>
      <c r="E922" s="65">
        <f>ROUND(SUMIF(Consumo!$P$4:$P$189,"#"&amp;$A922,Consumo!H$4:H$189),4)</f>
        <v/>
      </c>
      <c r="F922" s="65">
        <f>ROUND(SUMIF(Consumo!$P$4:$P$189,"#"&amp;$A922,Consumo!I$4:I$189),4)</f>
        <v/>
      </c>
      <c r="G922" s="65">
        <f>ROUND(SUMIF(Consumo!$P$4:$P$189,"#"&amp;$A922,Consumo!J$4:J$189),4)</f>
        <v/>
      </c>
      <c r="H922" s="65">
        <f>ROUND(SUMIF(Consumo!$P$4:$P$189,"#"&amp;$A922,Consumo!K$4:K$189),4)</f>
        <v/>
      </c>
      <c r="I922" s="65">
        <f>ROUND(SUMIF(Consumo!$P$4:$P$189,"#"&amp;$A922,Consumo!L$4:L$189),4)</f>
        <v/>
      </c>
      <c r="J922" s="65">
        <f>ROUND(SUMIF(Consumo!$P$4:$P$189,"#"&amp;$A922,Consumo!M$4:M$189),4)</f>
        <v/>
      </c>
      <c r="K922" s="65">
        <f>ROUND(SUMIF(Consumo!$P$4:$P$189,"#"&amp;$A922,Consumo!N$4:N$189),4)</f>
        <v/>
      </c>
      <c r="L922" s="65">
        <f>ROUND(SUMIF(Consumo!$P$4:$P$189,"#"&amp;$A922,Consumo!O$4:O$189),4)</f>
        <v/>
      </c>
      <c r="M922" s="66" t="n"/>
    </row>
    <row r="923">
      <c r="C923" s="63" t="inlineStr">
        <is>
          <t>Recepciones programadas (ya pedido)</t>
        </is>
      </c>
      <c r="D923" s="64" t="n"/>
      <c r="E923" s="65">
        <f>SUMIF(Inventario!$M$5:$M$505,"#"&amp;$A922,Inventario!E$5:E$505)</f>
        <v/>
      </c>
      <c r="F923" s="65">
        <f>SUMIF(Inventario!$M$5:$M$505,"#"&amp;$A922,Inventario!F$5:F$505)</f>
        <v/>
      </c>
      <c r="G923" s="65">
        <f>SUMIF(Inventario!$M$5:$M$505,"#"&amp;$A922,Inventario!G$5:G$505)</f>
        <v/>
      </c>
      <c r="H923" s="65">
        <f>SUMIF(Inventario!$M$5:$M$505,"#"&amp;$A922,Inventario!H$5:H$505)</f>
        <v/>
      </c>
      <c r="I923" s="65">
        <f>SUMIF(Inventario!$M$5:$M$505,"#"&amp;$A922,Inventario!I$5:I$505)</f>
        <v/>
      </c>
      <c r="J923" s="65">
        <f>SUMIF(Inventario!$M$5:$M$505,"#"&amp;$A922,Inventario!J$5:J$505)</f>
        <v/>
      </c>
      <c r="K923" s="65">
        <f>SUMIF(Inventario!$M$5:$M$505,"#"&amp;$A922,Inventario!K$5:K$505)</f>
        <v/>
      </c>
      <c r="L923" s="65">
        <f>SUMIF(Inventario!$M$5:$M$505,"#"&amp;$A922,Inventario!L$5:L$505)</f>
        <v/>
      </c>
      <c r="M923" s="66" t="n"/>
    </row>
    <row r="924">
      <c r="C924" s="63" t="inlineStr">
        <is>
          <t>Stock proyectado disponible</t>
        </is>
      </c>
      <c r="D924" s="67">
        <f>SUMIF(Inventario!$M$5:$M$505,"#"&amp;$A922,Inventario!$C$5:$C$505)</f>
        <v/>
      </c>
      <c r="E924" s="68">
        <f>D924+E923+E926-E922</f>
        <v/>
      </c>
      <c r="F924" s="68">
        <f>E924+F923+F926-F922</f>
        <v/>
      </c>
      <c r="G924" s="68">
        <f>F924+G923+G926-G922</f>
        <v/>
      </c>
      <c r="H924" s="68">
        <f>G924+H923+H926-H922</f>
        <v/>
      </c>
      <c r="I924" s="68">
        <f>H924+I923+I926-I922</f>
        <v/>
      </c>
      <c r="J924" s="68">
        <f>I924+J923+J926-J922</f>
        <v/>
      </c>
      <c r="K924" s="68">
        <f>J924+K923+K926-K922</f>
        <v/>
      </c>
      <c r="L924" s="68">
        <f>K924+L923+L926-L922</f>
        <v/>
      </c>
      <c r="M924" s="66" t="n"/>
    </row>
    <row r="925">
      <c r="C925" s="63" t="inlineStr">
        <is>
          <t>Necesidad neta</t>
        </is>
      </c>
      <c r="D925" s="64" t="n"/>
      <c r="E925" s="69">
        <f>MAX(0,ROUND(E922+Materiales!$H$135-D924-E923,4))</f>
        <v/>
      </c>
      <c r="F925" s="69">
        <f>MAX(0,ROUND(F922+Materiales!$H$135-E924-F923,4))</f>
        <v/>
      </c>
      <c r="G925" s="69">
        <f>MAX(0,ROUND(G922+Materiales!$H$135-F924-G923,4))</f>
        <v/>
      </c>
      <c r="H925" s="69">
        <f>MAX(0,ROUND(H922+Materiales!$H$135-G924-H923,4))</f>
        <v/>
      </c>
      <c r="I925" s="69">
        <f>MAX(0,ROUND(I922+Materiales!$H$135-H924-I923,4))</f>
        <v/>
      </c>
      <c r="J925" s="69">
        <f>MAX(0,ROUND(J922+Materiales!$H$135-I924-J923,4))</f>
        <v/>
      </c>
      <c r="K925" s="69">
        <f>MAX(0,ROUND(K922+Materiales!$H$135-J924-K923,4))</f>
        <v/>
      </c>
      <c r="L925" s="69">
        <f>MAX(0,ROUND(L922+Materiales!$H$135-K924-L923,4))</f>
        <v/>
      </c>
      <c r="M925" s="66" t="n"/>
    </row>
    <row r="926">
      <c r="C926" s="63" t="inlineStr">
        <is>
          <t>Recepcion de orden planificada</t>
        </is>
      </c>
      <c r="D926" s="64" t="n"/>
      <c r="E926" s="65">
        <f>IF(E925&lt;=0,0,IF(Materiales!$G$135&lt;=0,E925,ROUNDUP(E925/Materiales!$G$135,0)*Materiales!$G$135))</f>
        <v/>
      </c>
      <c r="F926" s="65">
        <f>IF(F925&lt;=0,0,IF(Materiales!$G$135&lt;=0,F925,ROUNDUP(F925/Materiales!$G$135,0)*Materiales!$G$135))</f>
        <v/>
      </c>
      <c r="G926" s="65">
        <f>IF(G925&lt;=0,0,IF(Materiales!$G$135&lt;=0,G925,ROUNDUP(G925/Materiales!$G$135,0)*Materiales!$G$135))</f>
        <v/>
      </c>
      <c r="H926" s="65">
        <f>IF(H925&lt;=0,0,IF(Materiales!$G$135&lt;=0,H925,ROUNDUP(H925/Materiales!$G$135,0)*Materiales!$G$135))</f>
        <v/>
      </c>
      <c r="I926" s="65">
        <f>IF(I925&lt;=0,0,IF(Materiales!$G$135&lt;=0,I925,ROUNDUP(I925/Materiales!$G$135,0)*Materiales!$G$135))</f>
        <v/>
      </c>
      <c r="J926" s="65">
        <f>IF(J925&lt;=0,0,IF(Materiales!$G$135&lt;=0,J925,ROUNDUP(J925/Materiales!$G$135,0)*Materiales!$G$135))</f>
        <v/>
      </c>
      <c r="K926" s="65">
        <f>IF(K925&lt;=0,0,IF(Materiales!$G$135&lt;=0,K925,ROUNDUP(K925/Materiales!$G$135,0)*Materiales!$G$135))</f>
        <v/>
      </c>
      <c r="L926" s="65">
        <f>IF(L925&lt;=0,0,IF(Materiales!$G$135&lt;=0,L925,ROUNDUP(L925/Materiales!$G$135,0)*Materiales!$G$135))</f>
        <v/>
      </c>
      <c r="M926" s="66" t="n"/>
    </row>
    <row r="927">
      <c r="C927" s="70" t="inlineStr">
        <is>
          <t>LANZAMIENTO DE ORDEN — pedir esta semana</t>
        </is>
      </c>
      <c r="D927" s="64" t="n"/>
      <c r="E927" s="71">
        <f>IF(1+Materiales!$F$135&gt;8,0,INDEX($E$926:$L$926,1,1+Materiales!$F$135))</f>
        <v/>
      </c>
      <c r="F927" s="71">
        <f>IF(2+Materiales!$F$135&gt;8,0,INDEX($E$926:$L$926,1,2+Materiales!$F$135))</f>
        <v/>
      </c>
      <c r="G927" s="71">
        <f>IF(3+Materiales!$F$135&gt;8,0,INDEX($E$926:$L$926,1,3+Materiales!$F$135))</f>
        <v/>
      </c>
      <c r="H927" s="71">
        <f>IF(4+Materiales!$F$135&gt;8,0,INDEX($E$926:$L$926,1,4+Materiales!$F$135))</f>
        <v/>
      </c>
      <c r="I927" s="71">
        <f>IF(5+Materiales!$F$135&gt;8,0,INDEX($E$926:$L$926,1,5+Materiales!$F$135))</f>
        <v/>
      </c>
      <c r="J927" s="71">
        <f>IF(6+Materiales!$F$135&gt;8,0,INDEX($E$926:$L$926,1,6+Materiales!$F$135))</f>
        <v/>
      </c>
      <c r="K927" s="71">
        <f>IF(7+Materiales!$F$135&gt;8,0,INDEX($E$926:$L$926,1,7+Materiales!$F$135))</f>
        <v/>
      </c>
      <c r="L927" s="71">
        <f>IF(8+Materiales!$F$135&gt;8,0,INDEX($E$926:$L$926,1,8+Materiales!$F$135))</f>
        <v/>
      </c>
      <c r="M927" s="72">
        <f>IF($A922="","",IF(SUMPRODUCT((COLUMN($E$926:$L$926)-4&lt;=Materiales!$F$135)*$E$926:$L$926)&gt;0,"PEDIR YA (atrasado)","OK"))</f>
        <v/>
      </c>
    </row>
    <row r="928" ht="6" customHeight="1"/>
    <row r="929">
      <c r="A929" s="62">
        <f>IF(Materiales!$A$136="","",Materiales!$A$136)</f>
        <v/>
      </c>
      <c r="B929" s="62">
        <f>IF(Materiales!$B$136="","",Materiales!$B$136)</f>
        <v/>
      </c>
      <c r="C929" s="63" t="inlineStr">
        <is>
          <t>Necesidad bruta</t>
        </is>
      </c>
      <c r="D929" s="64" t="n"/>
      <c r="E929" s="65">
        <f>ROUND(SUMIF(Consumo!$P$4:$P$189,"#"&amp;$A929,Consumo!H$4:H$189),4)</f>
        <v/>
      </c>
      <c r="F929" s="65">
        <f>ROUND(SUMIF(Consumo!$P$4:$P$189,"#"&amp;$A929,Consumo!I$4:I$189),4)</f>
        <v/>
      </c>
      <c r="G929" s="65">
        <f>ROUND(SUMIF(Consumo!$P$4:$P$189,"#"&amp;$A929,Consumo!J$4:J$189),4)</f>
        <v/>
      </c>
      <c r="H929" s="65">
        <f>ROUND(SUMIF(Consumo!$P$4:$P$189,"#"&amp;$A929,Consumo!K$4:K$189),4)</f>
        <v/>
      </c>
      <c r="I929" s="65">
        <f>ROUND(SUMIF(Consumo!$P$4:$P$189,"#"&amp;$A929,Consumo!L$4:L$189),4)</f>
        <v/>
      </c>
      <c r="J929" s="65">
        <f>ROUND(SUMIF(Consumo!$P$4:$P$189,"#"&amp;$A929,Consumo!M$4:M$189),4)</f>
        <v/>
      </c>
      <c r="K929" s="65">
        <f>ROUND(SUMIF(Consumo!$P$4:$P$189,"#"&amp;$A929,Consumo!N$4:N$189),4)</f>
        <v/>
      </c>
      <c r="L929" s="65">
        <f>ROUND(SUMIF(Consumo!$P$4:$P$189,"#"&amp;$A929,Consumo!O$4:O$189),4)</f>
        <v/>
      </c>
      <c r="M929" s="66" t="n"/>
    </row>
    <row r="930">
      <c r="C930" s="63" t="inlineStr">
        <is>
          <t>Recepciones programadas (ya pedido)</t>
        </is>
      </c>
      <c r="D930" s="64" t="n"/>
      <c r="E930" s="65">
        <f>SUMIF(Inventario!$M$5:$M$505,"#"&amp;$A929,Inventario!E$5:E$505)</f>
        <v/>
      </c>
      <c r="F930" s="65">
        <f>SUMIF(Inventario!$M$5:$M$505,"#"&amp;$A929,Inventario!F$5:F$505)</f>
        <v/>
      </c>
      <c r="G930" s="65">
        <f>SUMIF(Inventario!$M$5:$M$505,"#"&amp;$A929,Inventario!G$5:G$505)</f>
        <v/>
      </c>
      <c r="H930" s="65">
        <f>SUMIF(Inventario!$M$5:$M$505,"#"&amp;$A929,Inventario!H$5:H$505)</f>
        <v/>
      </c>
      <c r="I930" s="65">
        <f>SUMIF(Inventario!$M$5:$M$505,"#"&amp;$A929,Inventario!I$5:I$505)</f>
        <v/>
      </c>
      <c r="J930" s="65">
        <f>SUMIF(Inventario!$M$5:$M$505,"#"&amp;$A929,Inventario!J$5:J$505)</f>
        <v/>
      </c>
      <c r="K930" s="65">
        <f>SUMIF(Inventario!$M$5:$M$505,"#"&amp;$A929,Inventario!K$5:K$505)</f>
        <v/>
      </c>
      <c r="L930" s="65">
        <f>SUMIF(Inventario!$M$5:$M$505,"#"&amp;$A929,Inventario!L$5:L$505)</f>
        <v/>
      </c>
      <c r="M930" s="66" t="n"/>
    </row>
    <row r="931">
      <c r="C931" s="63" t="inlineStr">
        <is>
          <t>Stock proyectado disponible</t>
        </is>
      </c>
      <c r="D931" s="67">
        <f>SUMIF(Inventario!$M$5:$M$505,"#"&amp;$A929,Inventario!$C$5:$C$505)</f>
        <v/>
      </c>
      <c r="E931" s="68">
        <f>D931+E930+E933-E929</f>
        <v/>
      </c>
      <c r="F931" s="68">
        <f>E931+F930+F933-F929</f>
        <v/>
      </c>
      <c r="G931" s="68">
        <f>F931+G930+G933-G929</f>
        <v/>
      </c>
      <c r="H931" s="68">
        <f>G931+H930+H933-H929</f>
        <v/>
      </c>
      <c r="I931" s="68">
        <f>H931+I930+I933-I929</f>
        <v/>
      </c>
      <c r="J931" s="68">
        <f>I931+J930+J933-J929</f>
        <v/>
      </c>
      <c r="K931" s="68">
        <f>J931+K930+K933-K929</f>
        <v/>
      </c>
      <c r="L931" s="68">
        <f>K931+L930+L933-L929</f>
        <v/>
      </c>
      <c r="M931" s="66" t="n"/>
    </row>
    <row r="932">
      <c r="C932" s="63" t="inlineStr">
        <is>
          <t>Necesidad neta</t>
        </is>
      </c>
      <c r="D932" s="64" t="n"/>
      <c r="E932" s="69">
        <f>MAX(0,ROUND(E929+Materiales!$H$136-D931-E930,4))</f>
        <v/>
      </c>
      <c r="F932" s="69">
        <f>MAX(0,ROUND(F929+Materiales!$H$136-E931-F930,4))</f>
        <v/>
      </c>
      <c r="G932" s="69">
        <f>MAX(0,ROUND(G929+Materiales!$H$136-F931-G930,4))</f>
        <v/>
      </c>
      <c r="H932" s="69">
        <f>MAX(0,ROUND(H929+Materiales!$H$136-G931-H930,4))</f>
        <v/>
      </c>
      <c r="I932" s="69">
        <f>MAX(0,ROUND(I929+Materiales!$H$136-H931-I930,4))</f>
        <v/>
      </c>
      <c r="J932" s="69">
        <f>MAX(0,ROUND(J929+Materiales!$H$136-I931-J930,4))</f>
        <v/>
      </c>
      <c r="K932" s="69">
        <f>MAX(0,ROUND(K929+Materiales!$H$136-J931-K930,4))</f>
        <v/>
      </c>
      <c r="L932" s="69">
        <f>MAX(0,ROUND(L929+Materiales!$H$136-K931-L930,4))</f>
        <v/>
      </c>
      <c r="M932" s="66" t="n"/>
    </row>
    <row r="933">
      <c r="C933" s="63" t="inlineStr">
        <is>
          <t>Recepcion de orden planificada</t>
        </is>
      </c>
      <c r="D933" s="64" t="n"/>
      <c r="E933" s="65">
        <f>IF(E932&lt;=0,0,IF(Materiales!$G$136&lt;=0,E932,ROUNDUP(E932/Materiales!$G$136,0)*Materiales!$G$136))</f>
        <v/>
      </c>
      <c r="F933" s="65">
        <f>IF(F932&lt;=0,0,IF(Materiales!$G$136&lt;=0,F932,ROUNDUP(F932/Materiales!$G$136,0)*Materiales!$G$136))</f>
        <v/>
      </c>
      <c r="G933" s="65">
        <f>IF(G932&lt;=0,0,IF(Materiales!$G$136&lt;=0,G932,ROUNDUP(G932/Materiales!$G$136,0)*Materiales!$G$136))</f>
        <v/>
      </c>
      <c r="H933" s="65">
        <f>IF(H932&lt;=0,0,IF(Materiales!$G$136&lt;=0,H932,ROUNDUP(H932/Materiales!$G$136,0)*Materiales!$G$136))</f>
        <v/>
      </c>
      <c r="I933" s="65">
        <f>IF(I932&lt;=0,0,IF(Materiales!$G$136&lt;=0,I932,ROUNDUP(I932/Materiales!$G$136,0)*Materiales!$G$136))</f>
        <v/>
      </c>
      <c r="J933" s="65">
        <f>IF(J932&lt;=0,0,IF(Materiales!$G$136&lt;=0,J932,ROUNDUP(J932/Materiales!$G$136,0)*Materiales!$G$136))</f>
        <v/>
      </c>
      <c r="K933" s="65">
        <f>IF(K932&lt;=0,0,IF(Materiales!$G$136&lt;=0,K932,ROUNDUP(K932/Materiales!$G$136,0)*Materiales!$G$136))</f>
        <v/>
      </c>
      <c r="L933" s="65">
        <f>IF(L932&lt;=0,0,IF(Materiales!$G$136&lt;=0,L932,ROUNDUP(L932/Materiales!$G$136,0)*Materiales!$G$136))</f>
        <v/>
      </c>
      <c r="M933" s="66" t="n"/>
    </row>
    <row r="934">
      <c r="C934" s="70" t="inlineStr">
        <is>
          <t>LANZAMIENTO DE ORDEN — pedir esta semana</t>
        </is>
      </c>
      <c r="D934" s="64" t="n"/>
      <c r="E934" s="71">
        <f>IF(1+Materiales!$F$136&gt;8,0,INDEX($E$933:$L$933,1,1+Materiales!$F$136))</f>
        <v/>
      </c>
      <c r="F934" s="71">
        <f>IF(2+Materiales!$F$136&gt;8,0,INDEX($E$933:$L$933,1,2+Materiales!$F$136))</f>
        <v/>
      </c>
      <c r="G934" s="71">
        <f>IF(3+Materiales!$F$136&gt;8,0,INDEX($E$933:$L$933,1,3+Materiales!$F$136))</f>
        <v/>
      </c>
      <c r="H934" s="71">
        <f>IF(4+Materiales!$F$136&gt;8,0,INDEX($E$933:$L$933,1,4+Materiales!$F$136))</f>
        <v/>
      </c>
      <c r="I934" s="71">
        <f>IF(5+Materiales!$F$136&gt;8,0,INDEX($E$933:$L$933,1,5+Materiales!$F$136))</f>
        <v/>
      </c>
      <c r="J934" s="71">
        <f>IF(6+Materiales!$F$136&gt;8,0,INDEX($E$933:$L$933,1,6+Materiales!$F$136))</f>
        <v/>
      </c>
      <c r="K934" s="71">
        <f>IF(7+Materiales!$F$136&gt;8,0,INDEX($E$933:$L$933,1,7+Materiales!$F$136))</f>
        <v/>
      </c>
      <c r="L934" s="71">
        <f>IF(8+Materiales!$F$136&gt;8,0,INDEX($E$933:$L$933,1,8+Materiales!$F$136))</f>
        <v/>
      </c>
      <c r="M934" s="72">
        <f>IF($A929="","",IF(SUMPRODUCT((COLUMN($E$933:$L$933)-4&lt;=Materiales!$F$136)*$E$933:$L$933)&gt;0,"PEDIR YA (atrasado)","OK"))</f>
        <v/>
      </c>
    </row>
    <row r="935" ht="6" customHeight="1"/>
    <row r="936">
      <c r="A936" s="62">
        <f>IF(Materiales!$A$137="","",Materiales!$A$137)</f>
        <v/>
      </c>
      <c r="B936" s="62">
        <f>IF(Materiales!$B$137="","",Materiales!$B$137)</f>
        <v/>
      </c>
      <c r="C936" s="63" t="inlineStr">
        <is>
          <t>Necesidad bruta</t>
        </is>
      </c>
      <c r="D936" s="64" t="n"/>
      <c r="E936" s="65">
        <f>ROUND(SUMIF(Consumo!$P$4:$P$189,"#"&amp;$A936,Consumo!H$4:H$189),4)</f>
        <v/>
      </c>
      <c r="F936" s="65">
        <f>ROUND(SUMIF(Consumo!$P$4:$P$189,"#"&amp;$A936,Consumo!I$4:I$189),4)</f>
        <v/>
      </c>
      <c r="G936" s="65">
        <f>ROUND(SUMIF(Consumo!$P$4:$P$189,"#"&amp;$A936,Consumo!J$4:J$189),4)</f>
        <v/>
      </c>
      <c r="H936" s="65">
        <f>ROUND(SUMIF(Consumo!$P$4:$P$189,"#"&amp;$A936,Consumo!K$4:K$189),4)</f>
        <v/>
      </c>
      <c r="I936" s="65">
        <f>ROUND(SUMIF(Consumo!$P$4:$P$189,"#"&amp;$A936,Consumo!L$4:L$189),4)</f>
        <v/>
      </c>
      <c r="J936" s="65">
        <f>ROUND(SUMIF(Consumo!$P$4:$P$189,"#"&amp;$A936,Consumo!M$4:M$189),4)</f>
        <v/>
      </c>
      <c r="K936" s="65">
        <f>ROUND(SUMIF(Consumo!$P$4:$P$189,"#"&amp;$A936,Consumo!N$4:N$189),4)</f>
        <v/>
      </c>
      <c r="L936" s="65">
        <f>ROUND(SUMIF(Consumo!$P$4:$P$189,"#"&amp;$A936,Consumo!O$4:O$189),4)</f>
        <v/>
      </c>
      <c r="M936" s="66" t="n"/>
    </row>
    <row r="937">
      <c r="C937" s="63" t="inlineStr">
        <is>
          <t>Recepciones programadas (ya pedido)</t>
        </is>
      </c>
      <c r="D937" s="64" t="n"/>
      <c r="E937" s="65">
        <f>SUMIF(Inventario!$M$5:$M$505,"#"&amp;$A936,Inventario!E$5:E$505)</f>
        <v/>
      </c>
      <c r="F937" s="65">
        <f>SUMIF(Inventario!$M$5:$M$505,"#"&amp;$A936,Inventario!F$5:F$505)</f>
        <v/>
      </c>
      <c r="G937" s="65">
        <f>SUMIF(Inventario!$M$5:$M$505,"#"&amp;$A936,Inventario!G$5:G$505)</f>
        <v/>
      </c>
      <c r="H937" s="65">
        <f>SUMIF(Inventario!$M$5:$M$505,"#"&amp;$A936,Inventario!H$5:H$505)</f>
        <v/>
      </c>
      <c r="I937" s="65">
        <f>SUMIF(Inventario!$M$5:$M$505,"#"&amp;$A936,Inventario!I$5:I$505)</f>
        <v/>
      </c>
      <c r="J937" s="65">
        <f>SUMIF(Inventario!$M$5:$M$505,"#"&amp;$A936,Inventario!J$5:J$505)</f>
        <v/>
      </c>
      <c r="K937" s="65">
        <f>SUMIF(Inventario!$M$5:$M$505,"#"&amp;$A936,Inventario!K$5:K$505)</f>
        <v/>
      </c>
      <c r="L937" s="65">
        <f>SUMIF(Inventario!$M$5:$M$505,"#"&amp;$A936,Inventario!L$5:L$505)</f>
        <v/>
      </c>
      <c r="M937" s="66" t="n"/>
    </row>
    <row r="938">
      <c r="C938" s="63" t="inlineStr">
        <is>
          <t>Stock proyectado disponible</t>
        </is>
      </c>
      <c r="D938" s="67">
        <f>SUMIF(Inventario!$M$5:$M$505,"#"&amp;$A936,Inventario!$C$5:$C$505)</f>
        <v/>
      </c>
      <c r="E938" s="68">
        <f>D938+E937+E940-E936</f>
        <v/>
      </c>
      <c r="F938" s="68">
        <f>E938+F937+F940-F936</f>
        <v/>
      </c>
      <c r="G938" s="68">
        <f>F938+G937+G940-G936</f>
        <v/>
      </c>
      <c r="H938" s="68">
        <f>G938+H937+H940-H936</f>
        <v/>
      </c>
      <c r="I938" s="68">
        <f>H938+I937+I940-I936</f>
        <v/>
      </c>
      <c r="J938" s="68">
        <f>I938+J937+J940-J936</f>
        <v/>
      </c>
      <c r="K938" s="68">
        <f>J938+K937+K940-K936</f>
        <v/>
      </c>
      <c r="L938" s="68">
        <f>K938+L937+L940-L936</f>
        <v/>
      </c>
      <c r="M938" s="66" t="n"/>
    </row>
    <row r="939">
      <c r="C939" s="63" t="inlineStr">
        <is>
          <t>Necesidad neta</t>
        </is>
      </c>
      <c r="D939" s="64" t="n"/>
      <c r="E939" s="69">
        <f>MAX(0,ROUND(E936+Materiales!$H$137-D938-E937,4))</f>
        <v/>
      </c>
      <c r="F939" s="69">
        <f>MAX(0,ROUND(F936+Materiales!$H$137-E938-F937,4))</f>
        <v/>
      </c>
      <c r="G939" s="69">
        <f>MAX(0,ROUND(G936+Materiales!$H$137-F938-G937,4))</f>
        <v/>
      </c>
      <c r="H939" s="69">
        <f>MAX(0,ROUND(H936+Materiales!$H$137-G938-H937,4))</f>
        <v/>
      </c>
      <c r="I939" s="69">
        <f>MAX(0,ROUND(I936+Materiales!$H$137-H938-I937,4))</f>
        <v/>
      </c>
      <c r="J939" s="69">
        <f>MAX(0,ROUND(J936+Materiales!$H$137-I938-J937,4))</f>
        <v/>
      </c>
      <c r="K939" s="69">
        <f>MAX(0,ROUND(K936+Materiales!$H$137-J938-K937,4))</f>
        <v/>
      </c>
      <c r="L939" s="69">
        <f>MAX(0,ROUND(L936+Materiales!$H$137-K938-L937,4))</f>
        <v/>
      </c>
      <c r="M939" s="66" t="n"/>
    </row>
    <row r="940">
      <c r="C940" s="63" t="inlineStr">
        <is>
          <t>Recepcion de orden planificada</t>
        </is>
      </c>
      <c r="D940" s="64" t="n"/>
      <c r="E940" s="65">
        <f>IF(E939&lt;=0,0,IF(Materiales!$G$137&lt;=0,E939,ROUNDUP(E939/Materiales!$G$137,0)*Materiales!$G$137))</f>
        <v/>
      </c>
      <c r="F940" s="65">
        <f>IF(F939&lt;=0,0,IF(Materiales!$G$137&lt;=0,F939,ROUNDUP(F939/Materiales!$G$137,0)*Materiales!$G$137))</f>
        <v/>
      </c>
      <c r="G940" s="65">
        <f>IF(G939&lt;=0,0,IF(Materiales!$G$137&lt;=0,G939,ROUNDUP(G939/Materiales!$G$137,0)*Materiales!$G$137))</f>
        <v/>
      </c>
      <c r="H940" s="65">
        <f>IF(H939&lt;=0,0,IF(Materiales!$G$137&lt;=0,H939,ROUNDUP(H939/Materiales!$G$137,0)*Materiales!$G$137))</f>
        <v/>
      </c>
      <c r="I940" s="65">
        <f>IF(I939&lt;=0,0,IF(Materiales!$G$137&lt;=0,I939,ROUNDUP(I939/Materiales!$G$137,0)*Materiales!$G$137))</f>
        <v/>
      </c>
      <c r="J940" s="65">
        <f>IF(J939&lt;=0,0,IF(Materiales!$G$137&lt;=0,J939,ROUNDUP(J939/Materiales!$G$137,0)*Materiales!$G$137))</f>
        <v/>
      </c>
      <c r="K940" s="65">
        <f>IF(K939&lt;=0,0,IF(Materiales!$G$137&lt;=0,K939,ROUNDUP(K939/Materiales!$G$137,0)*Materiales!$G$137))</f>
        <v/>
      </c>
      <c r="L940" s="65">
        <f>IF(L939&lt;=0,0,IF(Materiales!$G$137&lt;=0,L939,ROUNDUP(L939/Materiales!$G$137,0)*Materiales!$G$137))</f>
        <v/>
      </c>
      <c r="M940" s="66" t="n"/>
    </row>
    <row r="941">
      <c r="C941" s="70" t="inlineStr">
        <is>
          <t>LANZAMIENTO DE ORDEN — pedir esta semana</t>
        </is>
      </c>
      <c r="D941" s="64" t="n"/>
      <c r="E941" s="71">
        <f>IF(1+Materiales!$F$137&gt;8,0,INDEX($E$940:$L$940,1,1+Materiales!$F$137))</f>
        <v/>
      </c>
      <c r="F941" s="71">
        <f>IF(2+Materiales!$F$137&gt;8,0,INDEX($E$940:$L$940,1,2+Materiales!$F$137))</f>
        <v/>
      </c>
      <c r="G941" s="71">
        <f>IF(3+Materiales!$F$137&gt;8,0,INDEX($E$940:$L$940,1,3+Materiales!$F$137))</f>
        <v/>
      </c>
      <c r="H941" s="71">
        <f>IF(4+Materiales!$F$137&gt;8,0,INDEX($E$940:$L$940,1,4+Materiales!$F$137))</f>
        <v/>
      </c>
      <c r="I941" s="71">
        <f>IF(5+Materiales!$F$137&gt;8,0,INDEX($E$940:$L$940,1,5+Materiales!$F$137))</f>
        <v/>
      </c>
      <c r="J941" s="71">
        <f>IF(6+Materiales!$F$137&gt;8,0,INDEX($E$940:$L$940,1,6+Materiales!$F$137))</f>
        <v/>
      </c>
      <c r="K941" s="71">
        <f>IF(7+Materiales!$F$137&gt;8,0,INDEX($E$940:$L$940,1,7+Materiales!$F$137))</f>
        <v/>
      </c>
      <c r="L941" s="71">
        <f>IF(8+Materiales!$F$137&gt;8,0,INDEX($E$940:$L$940,1,8+Materiales!$F$137))</f>
        <v/>
      </c>
      <c r="M941" s="72">
        <f>IF($A936="","",IF(SUMPRODUCT((COLUMN($E$940:$L$940)-4&lt;=Materiales!$F$137)*$E$940:$L$940)&gt;0,"PEDIR YA (atrasado)","OK"))</f>
        <v/>
      </c>
    </row>
    <row r="942" ht="6" customHeight="1"/>
    <row r="943">
      <c r="A943" s="62">
        <f>IF(Materiales!$A$138="","",Materiales!$A$138)</f>
        <v/>
      </c>
      <c r="B943" s="62">
        <f>IF(Materiales!$B$138="","",Materiales!$B$138)</f>
        <v/>
      </c>
      <c r="C943" s="63" t="inlineStr">
        <is>
          <t>Necesidad bruta</t>
        </is>
      </c>
      <c r="D943" s="64" t="n"/>
      <c r="E943" s="65">
        <f>ROUND(SUMIF(Consumo!$P$4:$P$189,"#"&amp;$A943,Consumo!H$4:H$189),4)</f>
        <v/>
      </c>
      <c r="F943" s="65">
        <f>ROUND(SUMIF(Consumo!$P$4:$P$189,"#"&amp;$A943,Consumo!I$4:I$189),4)</f>
        <v/>
      </c>
      <c r="G943" s="65">
        <f>ROUND(SUMIF(Consumo!$P$4:$P$189,"#"&amp;$A943,Consumo!J$4:J$189),4)</f>
        <v/>
      </c>
      <c r="H943" s="65">
        <f>ROUND(SUMIF(Consumo!$P$4:$P$189,"#"&amp;$A943,Consumo!K$4:K$189),4)</f>
        <v/>
      </c>
      <c r="I943" s="65">
        <f>ROUND(SUMIF(Consumo!$P$4:$P$189,"#"&amp;$A943,Consumo!L$4:L$189),4)</f>
        <v/>
      </c>
      <c r="J943" s="65">
        <f>ROUND(SUMIF(Consumo!$P$4:$P$189,"#"&amp;$A943,Consumo!M$4:M$189),4)</f>
        <v/>
      </c>
      <c r="K943" s="65">
        <f>ROUND(SUMIF(Consumo!$P$4:$P$189,"#"&amp;$A943,Consumo!N$4:N$189),4)</f>
        <v/>
      </c>
      <c r="L943" s="65">
        <f>ROUND(SUMIF(Consumo!$P$4:$P$189,"#"&amp;$A943,Consumo!O$4:O$189),4)</f>
        <v/>
      </c>
      <c r="M943" s="66" t="n"/>
    </row>
    <row r="944">
      <c r="C944" s="63" t="inlineStr">
        <is>
          <t>Recepciones programadas (ya pedido)</t>
        </is>
      </c>
      <c r="D944" s="64" t="n"/>
      <c r="E944" s="65">
        <f>SUMIF(Inventario!$M$5:$M$505,"#"&amp;$A943,Inventario!E$5:E$505)</f>
        <v/>
      </c>
      <c r="F944" s="65">
        <f>SUMIF(Inventario!$M$5:$M$505,"#"&amp;$A943,Inventario!F$5:F$505)</f>
        <v/>
      </c>
      <c r="G944" s="65">
        <f>SUMIF(Inventario!$M$5:$M$505,"#"&amp;$A943,Inventario!G$5:G$505)</f>
        <v/>
      </c>
      <c r="H944" s="65">
        <f>SUMIF(Inventario!$M$5:$M$505,"#"&amp;$A943,Inventario!H$5:H$505)</f>
        <v/>
      </c>
      <c r="I944" s="65">
        <f>SUMIF(Inventario!$M$5:$M$505,"#"&amp;$A943,Inventario!I$5:I$505)</f>
        <v/>
      </c>
      <c r="J944" s="65">
        <f>SUMIF(Inventario!$M$5:$M$505,"#"&amp;$A943,Inventario!J$5:J$505)</f>
        <v/>
      </c>
      <c r="K944" s="65">
        <f>SUMIF(Inventario!$M$5:$M$505,"#"&amp;$A943,Inventario!K$5:K$505)</f>
        <v/>
      </c>
      <c r="L944" s="65">
        <f>SUMIF(Inventario!$M$5:$M$505,"#"&amp;$A943,Inventario!L$5:L$505)</f>
        <v/>
      </c>
      <c r="M944" s="66" t="n"/>
    </row>
    <row r="945">
      <c r="C945" s="63" t="inlineStr">
        <is>
          <t>Stock proyectado disponible</t>
        </is>
      </c>
      <c r="D945" s="67">
        <f>SUMIF(Inventario!$M$5:$M$505,"#"&amp;$A943,Inventario!$C$5:$C$505)</f>
        <v/>
      </c>
      <c r="E945" s="68">
        <f>D945+E944+E947-E943</f>
        <v/>
      </c>
      <c r="F945" s="68">
        <f>E945+F944+F947-F943</f>
        <v/>
      </c>
      <c r="G945" s="68">
        <f>F945+G944+G947-G943</f>
        <v/>
      </c>
      <c r="H945" s="68">
        <f>G945+H944+H947-H943</f>
        <v/>
      </c>
      <c r="I945" s="68">
        <f>H945+I944+I947-I943</f>
        <v/>
      </c>
      <c r="J945" s="68">
        <f>I945+J944+J947-J943</f>
        <v/>
      </c>
      <c r="K945" s="68">
        <f>J945+K944+K947-K943</f>
        <v/>
      </c>
      <c r="L945" s="68">
        <f>K945+L944+L947-L943</f>
        <v/>
      </c>
      <c r="M945" s="66" t="n"/>
    </row>
    <row r="946">
      <c r="C946" s="63" t="inlineStr">
        <is>
          <t>Necesidad neta</t>
        </is>
      </c>
      <c r="D946" s="64" t="n"/>
      <c r="E946" s="69">
        <f>MAX(0,ROUND(E943+Materiales!$H$138-D945-E944,4))</f>
        <v/>
      </c>
      <c r="F946" s="69">
        <f>MAX(0,ROUND(F943+Materiales!$H$138-E945-F944,4))</f>
        <v/>
      </c>
      <c r="G946" s="69">
        <f>MAX(0,ROUND(G943+Materiales!$H$138-F945-G944,4))</f>
        <v/>
      </c>
      <c r="H946" s="69">
        <f>MAX(0,ROUND(H943+Materiales!$H$138-G945-H944,4))</f>
        <v/>
      </c>
      <c r="I946" s="69">
        <f>MAX(0,ROUND(I943+Materiales!$H$138-H945-I944,4))</f>
        <v/>
      </c>
      <c r="J946" s="69">
        <f>MAX(0,ROUND(J943+Materiales!$H$138-I945-J944,4))</f>
        <v/>
      </c>
      <c r="K946" s="69">
        <f>MAX(0,ROUND(K943+Materiales!$H$138-J945-K944,4))</f>
        <v/>
      </c>
      <c r="L946" s="69">
        <f>MAX(0,ROUND(L943+Materiales!$H$138-K945-L944,4))</f>
        <v/>
      </c>
      <c r="M946" s="66" t="n"/>
    </row>
    <row r="947">
      <c r="C947" s="63" t="inlineStr">
        <is>
          <t>Recepcion de orden planificada</t>
        </is>
      </c>
      <c r="D947" s="64" t="n"/>
      <c r="E947" s="65">
        <f>IF(E946&lt;=0,0,IF(Materiales!$G$138&lt;=0,E946,ROUNDUP(E946/Materiales!$G$138,0)*Materiales!$G$138))</f>
        <v/>
      </c>
      <c r="F947" s="65">
        <f>IF(F946&lt;=0,0,IF(Materiales!$G$138&lt;=0,F946,ROUNDUP(F946/Materiales!$G$138,0)*Materiales!$G$138))</f>
        <v/>
      </c>
      <c r="G947" s="65">
        <f>IF(G946&lt;=0,0,IF(Materiales!$G$138&lt;=0,G946,ROUNDUP(G946/Materiales!$G$138,0)*Materiales!$G$138))</f>
        <v/>
      </c>
      <c r="H947" s="65">
        <f>IF(H946&lt;=0,0,IF(Materiales!$G$138&lt;=0,H946,ROUNDUP(H946/Materiales!$G$138,0)*Materiales!$G$138))</f>
        <v/>
      </c>
      <c r="I947" s="65">
        <f>IF(I946&lt;=0,0,IF(Materiales!$G$138&lt;=0,I946,ROUNDUP(I946/Materiales!$G$138,0)*Materiales!$G$138))</f>
        <v/>
      </c>
      <c r="J947" s="65">
        <f>IF(J946&lt;=0,0,IF(Materiales!$G$138&lt;=0,J946,ROUNDUP(J946/Materiales!$G$138,0)*Materiales!$G$138))</f>
        <v/>
      </c>
      <c r="K947" s="65">
        <f>IF(K946&lt;=0,0,IF(Materiales!$G$138&lt;=0,K946,ROUNDUP(K946/Materiales!$G$138,0)*Materiales!$G$138))</f>
        <v/>
      </c>
      <c r="L947" s="65">
        <f>IF(L946&lt;=0,0,IF(Materiales!$G$138&lt;=0,L946,ROUNDUP(L946/Materiales!$G$138,0)*Materiales!$G$138))</f>
        <v/>
      </c>
      <c r="M947" s="66" t="n"/>
    </row>
    <row r="948">
      <c r="C948" s="70" t="inlineStr">
        <is>
          <t>LANZAMIENTO DE ORDEN — pedir esta semana</t>
        </is>
      </c>
      <c r="D948" s="64" t="n"/>
      <c r="E948" s="71">
        <f>IF(1+Materiales!$F$138&gt;8,0,INDEX($E$947:$L$947,1,1+Materiales!$F$138))</f>
        <v/>
      </c>
      <c r="F948" s="71">
        <f>IF(2+Materiales!$F$138&gt;8,0,INDEX($E$947:$L$947,1,2+Materiales!$F$138))</f>
        <v/>
      </c>
      <c r="G948" s="71">
        <f>IF(3+Materiales!$F$138&gt;8,0,INDEX($E$947:$L$947,1,3+Materiales!$F$138))</f>
        <v/>
      </c>
      <c r="H948" s="71">
        <f>IF(4+Materiales!$F$138&gt;8,0,INDEX($E$947:$L$947,1,4+Materiales!$F$138))</f>
        <v/>
      </c>
      <c r="I948" s="71">
        <f>IF(5+Materiales!$F$138&gt;8,0,INDEX($E$947:$L$947,1,5+Materiales!$F$138))</f>
        <v/>
      </c>
      <c r="J948" s="71">
        <f>IF(6+Materiales!$F$138&gt;8,0,INDEX($E$947:$L$947,1,6+Materiales!$F$138))</f>
        <v/>
      </c>
      <c r="K948" s="71">
        <f>IF(7+Materiales!$F$138&gt;8,0,INDEX($E$947:$L$947,1,7+Materiales!$F$138))</f>
        <v/>
      </c>
      <c r="L948" s="71">
        <f>IF(8+Materiales!$F$138&gt;8,0,INDEX($E$947:$L$947,1,8+Materiales!$F$138))</f>
        <v/>
      </c>
      <c r="M948" s="72">
        <f>IF($A943="","",IF(SUMPRODUCT((COLUMN($E$947:$L$947)-4&lt;=Materiales!$F$138)*$E$947:$L$947)&gt;0,"PEDIR YA (atrasado)","OK"))</f>
        <v/>
      </c>
    </row>
    <row r="949" ht="6" customHeight="1"/>
    <row r="950">
      <c r="A950" s="62">
        <f>IF(Materiales!$A$139="","",Materiales!$A$139)</f>
        <v/>
      </c>
      <c r="B950" s="62">
        <f>IF(Materiales!$B$139="","",Materiales!$B$139)</f>
        <v/>
      </c>
      <c r="C950" s="63" t="inlineStr">
        <is>
          <t>Necesidad bruta</t>
        </is>
      </c>
      <c r="D950" s="64" t="n"/>
      <c r="E950" s="65">
        <f>ROUND(SUMIF(Consumo!$P$4:$P$189,"#"&amp;$A950,Consumo!H$4:H$189),4)</f>
        <v/>
      </c>
      <c r="F950" s="65">
        <f>ROUND(SUMIF(Consumo!$P$4:$P$189,"#"&amp;$A950,Consumo!I$4:I$189),4)</f>
        <v/>
      </c>
      <c r="G950" s="65">
        <f>ROUND(SUMIF(Consumo!$P$4:$P$189,"#"&amp;$A950,Consumo!J$4:J$189),4)</f>
        <v/>
      </c>
      <c r="H950" s="65">
        <f>ROUND(SUMIF(Consumo!$P$4:$P$189,"#"&amp;$A950,Consumo!K$4:K$189),4)</f>
        <v/>
      </c>
      <c r="I950" s="65">
        <f>ROUND(SUMIF(Consumo!$P$4:$P$189,"#"&amp;$A950,Consumo!L$4:L$189),4)</f>
        <v/>
      </c>
      <c r="J950" s="65">
        <f>ROUND(SUMIF(Consumo!$P$4:$P$189,"#"&amp;$A950,Consumo!M$4:M$189),4)</f>
        <v/>
      </c>
      <c r="K950" s="65">
        <f>ROUND(SUMIF(Consumo!$P$4:$P$189,"#"&amp;$A950,Consumo!N$4:N$189),4)</f>
        <v/>
      </c>
      <c r="L950" s="65">
        <f>ROUND(SUMIF(Consumo!$P$4:$P$189,"#"&amp;$A950,Consumo!O$4:O$189),4)</f>
        <v/>
      </c>
      <c r="M950" s="66" t="n"/>
    </row>
    <row r="951">
      <c r="C951" s="63" t="inlineStr">
        <is>
          <t>Recepciones programadas (ya pedido)</t>
        </is>
      </c>
      <c r="D951" s="64" t="n"/>
      <c r="E951" s="65">
        <f>SUMIF(Inventario!$M$5:$M$505,"#"&amp;$A950,Inventario!E$5:E$505)</f>
        <v/>
      </c>
      <c r="F951" s="65">
        <f>SUMIF(Inventario!$M$5:$M$505,"#"&amp;$A950,Inventario!F$5:F$505)</f>
        <v/>
      </c>
      <c r="G951" s="65">
        <f>SUMIF(Inventario!$M$5:$M$505,"#"&amp;$A950,Inventario!G$5:G$505)</f>
        <v/>
      </c>
      <c r="H951" s="65">
        <f>SUMIF(Inventario!$M$5:$M$505,"#"&amp;$A950,Inventario!H$5:H$505)</f>
        <v/>
      </c>
      <c r="I951" s="65">
        <f>SUMIF(Inventario!$M$5:$M$505,"#"&amp;$A950,Inventario!I$5:I$505)</f>
        <v/>
      </c>
      <c r="J951" s="65">
        <f>SUMIF(Inventario!$M$5:$M$505,"#"&amp;$A950,Inventario!J$5:J$505)</f>
        <v/>
      </c>
      <c r="K951" s="65">
        <f>SUMIF(Inventario!$M$5:$M$505,"#"&amp;$A950,Inventario!K$5:K$505)</f>
        <v/>
      </c>
      <c r="L951" s="65">
        <f>SUMIF(Inventario!$M$5:$M$505,"#"&amp;$A950,Inventario!L$5:L$505)</f>
        <v/>
      </c>
      <c r="M951" s="66" t="n"/>
    </row>
    <row r="952">
      <c r="C952" s="63" t="inlineStr">
        <is>
          <t>Stock proyectado disponible</t>
        </is>
      </c>
      <c r="D952" s="67">
        <f>SUMIF(Inventario!$M$5:$M$505,"#"&amp;$A950,Inventario!$C$5:$C$505)</f>
        <v/>
      </c>
      <c r="E952" s="68">
        <f>D952+E951+E954-E950</f>
        <v/>
      </c>
      <c r="F952" s="68">
        <f>E952+F951+F954-F950</f>
        <v/>
      </c>
      <c r="G952" s="68">
        <f>F952+G951+G954-G950</f>
        <v/>
      </c>
      <c r="H952" s="68">
        <f>G952+H951+H954-H950</f>
        <v/>
      </c>
      <c r="I952" s="68">
        <f>H952+I951+I954-I950</f>
        <v/>
      </c>
      <c r="J952" s="68">
        <f>I952+J951+J954-J950</f>
        <v/>
      </c>
      <c r="K952" s="68">
        <f>J952+K951+K954-K950</f>
        <v/>
      </c>
      <c r="L952" s="68">
        <f>K952+L951+L954-L950</f>
        <v/>
      </c>
      <c r="M952" s="66" t="n"/>
    </row>
    <row r="953">
      <c r="C953" s="63" t="inlineStr">
        <is>
          <t>Necesidad neta</t>
        </is>
      </c>
      <c r="D953" s="64" t="n"/>
      <c r="E953" s="69">
        <f>MAX(0,ROUND(E950+Materiales!$H$139-D952-E951,4))</f>
        <v/>
      </c>
      <c r="F953" s="69">
        <f>MAX(0,ROUND(F950+Materiales!$H$139-E952-F951,4))</f>
        <v/>
      </c>
      <c r="G953" s="69">
        <f>MAX(0,ROUND(G950+Materiales!$H$139-F952-G951,4))</f>
        <v/>
      </c>
      <c r="H953" s="69">
        <f>MAX(0,ROUND(H950+Materiales!$H$139-G952-H951,4))</f>
        <v/>
      </c>
      <c r="I953" s="69">
        <f>MAX(0,ROUND(I950+Materiales!$H$139-H952-I951,4))</f>
        <v/>
      </c>
      <c r="J953" s="69">
        <f>MAX(0,ROUND(J950+Materiales!$H$139-I952-J951,4))</f>
        <v/>
      </c>
      <c r="K953" s="69">
        <f>MAX(0,ROUND(K950+Materiales!$H$139-J952-K951,4))</f>
        <v/>
      </c>
      <c r="L953" s="69">
        <f>MAX(0,ROUND(L950+Materiales!$H$139-K952-L951,4))</f>
        <v/>
      </c>
      <c r="M953" s="66" t="n"/>
    </row>
    <row r="954">
      <c r="C954" s="63" t="inlineStr">
        <is>
          <t>Recepcion de orden planificada</t>
        </is>
      </c>
      <c r="D954" s="64" t="n"/>
      <c r="E954" s="65">
        <f>IF(E953&lt;=0,0,IF(Materiales!$G$139&lt;=0,E953,ROUNDUP(E953/Materiales!$G$139,0)*Materiales!$G$139))</f>
        <v/>
      </c>
      <c r="F954" s="65">
        <f>IF(F953&lt;=0,0,IF(Materiales!$G$139&lt;=0,F953,ROUNDUP(F953/Materiales!$G$139,0)*Materiales!$G$139))</f>
        <v/>
      </c>
      <c r="G954" s="65">
        <f>IF(G953&lt;=0,0,IF(Materiales!$G$139&lt;=0,G953,ROUNDUP(G953/Materiales!$G$139,0)*Materiales!$G$139))</f>
        <v/>
      </c>
      <c r="H954" s="65">
        <f>IF(H953&lt;=0,0,IF(Materiales!$G$139&lt;=0,H953,ROUNDUP(H953/Materiales!$G$139,0)*Materiales!$G$139))</f>
        <v/>
      </c>
      <c r="I954" s="65">
        <f>IF(I953&lt;=0,0,IF(Materiales!$G$139&lt;=0,I953,ROUNDUP(I953/Materiales!$G$139,0)*Materiales!$G$139))</f>
        <v/>
      </c>
      <c r="J954" s="65">
        <f>IF(J953&lt;=0,0,IF(Materiales!$G$139&lt;=0,J953,ROUNDUP(J953/Materiales!$G$139,0)*Materiales!$G$139))</f>
        <v/>
      </c>
      <c r="K954" s="65">
        <f>IF(K953&lt;=0,0,IF(Materiales!$G$139&lt;=0,K953,ROUNDUP(K953/Materiales!$G$139,0)*Materiales!$G$139))</f>
        <v/>
      </c>
      <c r="L954" s="65">
        <f>IF(L953&lt;=0,0,IF(Materiales!$G$139&lt;=0,L953,ROUNDUP(L953/Materiales!$G$139,0)*Materiales!$G$139))</f>
        <v/>
      </c>
      <c r="M954" s="66" t="n"/>
    </row>
    <row r="955">
      <c r="C955" s="70" t="inlineStr">
        <is>
          <t>LANZAMIENTO DE ORDEN — pedir esta semana</t>
        </is>
      </c>
      <c r="D955" s="64" t="n"/>
      <c r="E955" s="71">
        <f>IF(1+Materiales!$F$139&gt;8,0,INDEX($E$954:$L$954,1,1+Materiales!$F$139))</f>
        <v/>
      </c>
      <c r="F955" s="71">
        <f>IF(2+Materiales!$F$139&gt;8,0,INDEX($E$954:$L$954,1,2+Materiales!$F$139))</f>
        <v/>
      </c>
      <c r="G955" s="71">
        <f>IF(3+Materiales!$F$139&gt;8,0,INDEX($E$954:$L$954,1,3+Materiales!$F$139))</f>
        <v/>
      </c>
      <c r="H955" s="71">
        <f>IF(4+Materiales!$F$139&gt;8,0,INDEX($E$954:$L$954,1,4+Materiales!$F$139))</f>
        <v/>
      </c>
      <c r="I955" s="71">
        <f>IF(5+Materiales!$F$139&gt;8,0,INDEX($E$954:$L$954,1,5+Materiales!$F$139))</f>
        <v/>
      </c>
      <c r="J955" s="71">
        <f>IF(6+Materiales!$F$139&gt;8,0,INDEX($E$954:$L$954,1,6+Materiales!$F$139))</f>
        <v/>
      </c>
      <c r="K955" s="71">
        <f>IF(7+Materiales!$F$139&gt;8,0,INDEX($E$954:$L$954,1,7+Materiales!$F$139))</f>
        <v/>
      </c>
      <c r="L955" s="71">
        <f>IF(8+Materiales!$F$139&gt;8,0,INDEX($E$954:$L$954,1,8+Materiales!$F$139))</f>
        <v/>
      </c>
      <c r="M955" s="72">
        <f>IF($A950="","",IF(SUMPRODUCT((COLUMN($E$954:$L$954)-4&lt;=Materiales!$F$139)*$E$954:$L$954)&gt;0,"PEDIR YA (atrasado)","OK"))</f>
        <v/>
      </c>
    </row>
    <row r="956" ht="6" customHeight="1"/>
    <row r="957">
      <c r="A957" s="62">
        <f>IF(Materiales!$A$140="","",Materiales!$A$140)</f>
        <v/>
      </c>
      <c r="B957" s="62">
        <f>IF(Materiales!$B$140="","",Materiales!$B$140)</f>
        <v/>
      </c>
      <c r="C957" s="63" t="inlineStr">
        <is>
          <t>Necesidad bruta</t>
        </is>
      </c>
      <c r="D957" s="64" t="n"/>
      <c r="E957" s="65">
        <f>ROUND(SUMIF(Consumo!$P$4:$P$189,"#"&amp;$A957,Consumo!H$4:H$189),4)</f>
        <v/>
      </c>
      <c r="F957" s="65">
        <f>ROUND(SUMIF(Consumo!$P$4:$P$189,"#"&amp;$A957,Consumo!I$4:I$189),4)</f>
        <v/>
      </c>
      <c r="G957" s="65">
        <f>ROUND(SUMIF(Consumo!$P$4:$P$189,"#"&amp;$A957,Consumo!J$4:J$189),4)</f>
        <v/>
      </c>
      <c r="H957" s="65">
        <f>ROUND(SUMIF(Consumo!$P$4:$P$189,"#"&amp;$A957,Consumo!K$4:K$189),4)</f>
        <v/>
      </c>
      <c r="I957" s="65">
        <f>ROUND(SUMIF(Consumo!$P$4:$P$189,"#"&amp;$A957,Consumo!L$4:L$189),4)</f>
        <v/>
      </c>
      <c r="J957" s="65">
        <f>ROUND(SUMIF(Consumo!$P$4:$P$189,"#"&amp;$A957,Consumo!M$4:M$189),4)</f>
        <v/>
      </c>
      <c r="K957" s="65">
        <f>ROUND(SUMIF(Consumo!$P$4:$P$189,"#"&amp;$A957,Consumo!N$4:N$189),4)</f>
        <v/>
      </c>
      <c r="L957" s="65">
        <f>ROUND(SUMIF(Consumo!$P$4:$P$189,"#"&amp;$A957,Consumo!O$4:O$189),4)</f>
        <v/>
      </c>
      <c r="M957" s="66" t="n"/>
    </row>
    <row r="958">
      <c r="C958" s="63" t="inlineStr">
        <is>
          <t>Recepciones programadas (ya pedido)</t>
        </is>
      </c>
      <c r="D958" s="64" t="n"/>
      <c r="E958" s="65">
        <f>SUMIF(Inventario!$M$5:$M$505,"#"&amp;$A957,Inventario!E$5:E$505)</f>
        <v/>
      </c>
      <c r="F958" s="65">
        <f>SUMIF(Inventario!$M$5:$M$505,"#"&amp;$A957,Inventario!F$5:F$505)</f>
        <v/>
      </c>
      <c r="G958" s="65">
        <f>SUMIF(Inventario!$M$5:$M$505,"#"&amp;$A957,Inventario!G$5:G$505)</f>
        <v/>
      </c>
      <c r="H958" s="65">
        <f>SUMIF(Inventario!$M$5:$M$505,"#"&amp;$A957,Inventario!H$5:H$505)</f>
        <v/>
      </c>
      <c r="I958" s="65">
        <f>SUMIF(Inventario!$M$5:$M$505,"#"&amp;$A957,Inventario!I$5:I$505)</f>
        <v/>
      </c>
      <c r="J958" s="65">
        <f>SUMIF(Inventario!$M$5:$M$505,"#"&amp;$A957,Inventario!J$5:J$505)</f>
        <v/>
      </c>
      <c r="K958" s="65">
        <f>SUMIF(Inventario!$M$5:$M$505,"#"&amp;$A957,Inventario!K$5:K$505)</f>
        <v/>
      </c>
      <c r="L958" s="65">
        <f>SUMIF(Inventario!$M$5:$M$505,"#"&amp;$A957,Inventario!L$5:L$505)</f>
        <v/>
      </c>
      <c r="M958" s="66" t="n"/>
    </row>
    <row r="959">
      <c r="C959" s="63" t="inlineStr">
        <is>
          <t>Stock proyectado disponible</t>
        </is>
      </c>
      <c r="D959" s="67">
        <f>SUMIF(Inventario!$M$5:$M$505,"#"&amp;$A957,Inventario!$C$5:$C$505)</f>
        <v/>
      </c>
      <c r="E959" s="68">
        <f>D959+E958+E961-E957</f>
        <v/>
      </c>
      <c r="F959" s="68">
        <f>E959+F958+F961-F957</f>
        <v/>
      </c>
      <c r="G959" s="68">
        <f>F959+G958+G961-G957</f>
        <v/>
      </c>
      <c r="H959" s="68">
        <f>G959+H958+H961-H957</f>
        <v/>
      </c>
      <c r="I959" s="68">
        <f>H959+I958+I961-I957</f>
        <v/>
      </c>
      <c r="J959" s="68">
        <f>I959+J958+J961-J957</f>
        <v/>
      </c>
      <c r="K959" s="68">
        <f>J959+K958+K961-K957</f>
        <v/>
      </c>
      <c r="L959" s="68">
        <f>K959+L958+L961-L957</f>
        <v/>
      </c>
      <c r="M959" s="66" t="n"/>
    </row>
    <row r="960">
      <c r="C960" s="63" t="inlineStr">
        <is>
          <t>Necesidad neta</t>
        </is>
      </c>
      <c r="D960" s="64" t="n"/>
      <c r="E960" s="69">
        <f>MAX(0,ROUND(E957+Materiales!$H$140-D959-E958,4))</f>
        <v/>
      </c>
      <c r="F960" s="69">
        <f>MAX(0,ROUND(F957+Materiales!$H$140-E959-F958,4))</f>
        <v/>
      </c>
      <c r="G960" s="69">
        <f>MAX(0,ROUND(G957+Materiales!$H$140-F959-G958,4))</f>
        <v/>
      </c>
      <c r="H960" s="69">
        <f>MAX(0,ROUND(H957+Materiales!$H$140-G959-H958,4))</f>
        <v/>
      </c>
      <c r="I960" s="69">
        <f>MAX(0,ROUND(I957+Materiales!$H$140-H959-I958,4))</f>
        <v/>
      </c>
      <c r="J960" s="69">
        <f>MAX(0,ROUND(J957+Materiales!$H$140-I959-J958,4))</f>
        <v/>
      </c>
      <c r="K960" s="69">
        <f>MAX(0,ROUND(K957+Materiales!$H$140-J959-K958,4))</f>
        <v/>
      </c>
      <c r="L960" s="69">
        <f>MAX(0,ROUND(L957+Materiales!$H$140-K959-L958,4))</f>
        <v/>
      </c>
      <c r="M960" s="66" t="n"/>
    </row>
    <row r="961">
      <c r="C961" s="63" t="inlineStr">
        <is>
          <t>Recepcion de orden planificada</t>
        </is>
      </c>
      <c r="D961" s="64" t="n"/>
      <c r="E961" s="65">
        <f>IF(E960&lt;=0,0,IF(Materiales!$G$140&lt;=0,E960,ROUNDUP(E960/Materiales!$G$140,0)*Materiales!$G$140))</f>
        <v/>
      </c>
      <c r="F961" s="65">
        <f>IF(F960&lt;=0,0,IF(Materiales!$G$140&lt;=0,F960,ROUNDUP(F960/Materiales!$G$140,0)*Materiales!$G$140))</f>
        <v/>
      </c>
      <c r="G961" s="65">
        <f>IF(G960&lt;=0,0,IF(Materiales!$G$140&lt;=0,G960,ROUNDUP(G960/Materiales!$G$140,0)*Materiales!$G$140))</f>
        <v/>
      </c>
      <c r="H961" s="65">
        <f>IF(H960&lt;=0,0,IF(Materiales!$G$140&lt;=0,H960,ROUNDUP(H960/Materiales!$G$140,0)*Materiales!$G$140))</f>
        <v/>
      </c>
      <c r="I961" s="65">
        <f>IF(I960&lt;=0,0,IF(Materiales!$G$140&lt;=0,I960,ROUNDUP(I960/Materiales!$G$140,0)*Materiales!$G$140))</f>
        <v/>
      </c>
      <c r="J961" s="65">
        <f>IF(J960&lt;=0,0,IF(Materiales!$G$140&lt;=0,J960,ROUNDUP(J960/Materiales!$G$140,0)*Materiales!$G$140))</f>
        <v/>
      </c>
      <c r="K961" s="65">
        <f>IF(K960&lt;=0,0,IF(Materiales!$G$140&lt;=0,K960,ROUNDUP(K960/Materiales!$G$140,0)*Materiales!$G$140))</f>
        <v/>
      </c>
      <c r="L961" s="65">
        <f>IF(L960&lt;=0,0,IF(Materiales!$G$140&lt;=0,L960,ROUNDUP(L960/Materiales!$G$140,0)*Materiales!$G$140))</f>
        <v/>
      </c>
      <c r="M961" s="66" t="n"/>
    </row>
    <row r="962">
      <c r="C962" s="70" t="inlineStr">
        <is>
          <t>LANZAMIENTO DE ORDEN — pedir esta semana</t>
        </is>
      </c>
      <c r="D962" s="64" t="n"/>
      <c r="E962" s="71">
        <f>IF(1+Materiales!$F$140&gt;8,0,INDEX($E$961:$L$961,1,1+Materiales!$F$140))</f>
        <v/>
      </c>
      <c r="F962" s="71">
        <f>IF(2+Materiales!$F$140&gt;8,0,INDEX($E$961:$L$961,1,2+Materiales!$F$140))</f>
        <v/>
      </c>
      <c r="G962" s="71">
        <f>IF(3+Materiales!$F$140&gt;8,0,INDEX($E$961:$L$961,1,3+Materiales!$F$140))</f>
        <v/>
      </c>
      <c r="H962" s="71">
        <f>IF(4+Materiales!$F$140&gt;8,0,INDEX($E$961:$L$961,1,4+Materiales!$F$140))</f>
        <v/>
      </c>
      <c r="I962" s="71">
        <f>IF(5+Materiales!$F$140&gt;8,0,INDEX($E$961:$L$961,1,5+Materiales!$F$140))</f>
        <v/>
      </c>
      <c r="J962" s="71">
        <f>IF(6+Materiales!$F$140&gt;8,0,INDEX($E$961:$L$961,1,6+Materiales!$F$140))</f>
        <v/>
      </c>
      <c r="K962" s="71">
        <f>IF(7+Materiales!$F$140&gt;8,0,INDEX($E$961:$L$961,1,7+Materiales!$F$140))</f>
        <v/>
      </c>
      <c r="L962" s="71">
        <f>IF(8+Materiales!$F$140&gt;8,0,INDEX($E$961:$L$961,1,8+Materiales!$F$140))</f>
        <v/>
      </c>
      <c r="M962" s="72">
        <f>IF($A957="","",IF(SUMPRODUCT((COLUMN($E$961:$L$961)-4&lt;=Materiales!$F$140)*$E$961:$L$961)&gt;0,"PEDIR YA (atrasado)","OK"))</f>
        <v/>
      </c>
    </row>
    <row r="963" ht="6" customHeight="1"/>
    <row r="964">
      <c r="A964" s="62">
        <f>IF(Materiales!$A$141="","",Materiales!$A$141)</f>
        <v/>
      </c>
      <c r="B964" s="62">
        <f>IF(Materiales!$B$141="","",Materiales!$B$141)</f>
        <v/>
      </c>
      <c r="C964" s="63" t="inlineStr">
        <is>
          <t>Necesidad bruta</t>
        </is>
      </c>
      <c r="D964" s="64" t="n"/>
      <c r="E964" s="65">
        <f>ROUND(SUMIF(Consumo!$P$4:$P$189,"#"&amp;$A964,Consumo!H$4:H$189),4)</f>
        <v/>
      </c>
      <c r="F964" s="65">
        <f>ROUND(SUMIF(Consumo!$P$4:$P$189,"#"&amp;$A964,Consumo!I$4:I$189),4)</f>
        <v/>
      </c>
      <c r="G964" s="65">
        <f>ROUND(SUMIF(Consumo!$P$4:$P$189,"#"&amp;$A964,Consumo!J$4:J$189),4)</f>
        <v/>
      </c>
      <c r="H964" s="65">
        <f>ROUND(SUMIF(Consumo!$P$4:$P$189,"#"&amp;$A964,Consumo!K$4:K$189),4)</f>
        <v/>
      </c>
      <c r="I964" s="65">
        <f>ROUND(SUMIF(Consumo!$P$4:$P$189,"#"&amp;$A964,Consumo!L$4:L$189),4)</f>
        <v/>
      </c>
      <c r="J964" s="65">
        <f>ROUND(SUMIF(Consumo!$P$4:$P$189,"#"&amp;$A964,Consumo!M$4:M$189),4)</f>
        <v/>
      </c>
      <c r="K964" s="65">
        <f>ROUND(SUMIF(Consumo!$P$4:$P$189,"#"&amp;$A964,Consumo!N$4:N$189),4)</f>
        <v/>
      </c>
      <c r="L964" s="65">
        <f>ROUND(SUMIF(Consumo!$P$4:$P$189,"#"&amp;$A964,Consumo!O$4:O$189),4)</f>
        <v/>
      </c>
      <c r="M964" s="66" t="n"/>
    </row>
    <row r="965">
      <c r="C965" s="63" t="inlineStr">
        <is>
          <t>Recepciones programadas (ya pedido)</t>
        </is>
      </c>
      <c r="D965" s="64" t="n"/>
      <c r="E965" s="65">
        <f>SUMIF(Inventario!$M$5:$M$505,"#"&amp;$A964,Inventario!E$5:E$505)</f>
        <v/>
      </c>
      <c r="F965" s="65">
        <f>SUMIF(Inventario!$M$5:$M$505,"#"&amp;$A964,Inventario!F$5:F$505)</f>
        <v/>
      </c>
      <c r="G965" s="65">
        <f>SUMIF(Inventario!$M$5:$M$505,"#"&amp;$A964,Inventario!G$5:G$505)</f>
        <v/>
      </c>
      <c r="H965" s="65">
        <f>SUMIF(Inventario!$M$5:$M$505,"#"&amp;$A964,Inventario!H$5:H$505)</f>
        <v/>
      </c>
      <c r="I965" s="65">
        <f>SUMIF(Inventario!$M$5:$M$505,"#"&amp;$A964,Inventario!I$5:I$505)</f>
        <v/>
      </c>
      <c r="J965" s="65">
        <f>SUMIF(Inventario!$M$5:$M$505,"#"&amp;$A964,Inventario!J$5:J$505)</f>
        <v/>
      </c>
      <c r="K965" s="65">
        <f>SUMIF(Inventario!$M$5:$M$505,"#"&amp;$A964,Inventario!K$5:K$505)</f>
        <v/>
      </c>
      <c r="L965" s="65">
        <f>SUMIF(Inventario!$M$5:$M$505,"#"&amp;$A964,Inventario!L$5:L$505)</f>
        <v/>
      </c>
      <c r="M965" s="66" t="n"/>
    </row>
    <row r="966">
      <c r="C966" s="63" t="inlineStr">
        <is>
          <t>Stock proyectado disponible</t>
        </is>
      </c>
      <c r="D966" s="67">
        <f>SUMIF(Inventario!$M$5:$M$505,"#"&amp;$A964,Inventario!$C$5:$C$505)</f>
        <v/>
      </c>
      <c r="E966" s="68">
        <f>D966+E965+E968-E964</f>
        <v/>
      </c>
      <c r="F966" s="68">
        <f>E966+F965+F968-F964</f>
        <v/>
      </c>
      <c r="G966" s="68">
        <f>F966+G965+G968-G964</f>
        <v/>
      </c>
      <c r="H966" s="68">
        <f>G966+H965+H968-H964</f>
        <v/>
      </c>
      <c r="I966" s="68">
        <f>H966+I965+I968-I964</f>
        <v/>
      </c>
      <c r="J966" s="68">
        <f>I966+J965+J968-J964</f>
        <v/>
      </c>
      <c r="K966" s="68">
        <f>J966+K965+K968-K964</f>
        <v/>
      </c>
      <c r="L966" s="68">
        <f>K966+L965+L968-L964</f>
        <v/>
      </c>
      <c r="M966" s="66" t="n"/>
    </row>
    <row r="967">
      <c r="C967" s="63" t="inlineStr">
        <is>
          <t>Necesidad neta</t>
        </is>
      </c>
      <c r="D967" s="64" t="n"/>
      <c r="E967" s="69">
        <f>MAX(0,ROUND(E964+Materiales!$H$141-D966-E965,4))</f>
        <v/>
      </c>
      <c r="F967" s="69">
        <f>MAX(0,ROUND(F964+Materiales!$H$141-E966-F965,4))</f>
        <v/>
      </c>
      <c r="G967" s="69">
        <f>MAX(0,ROUND(G964+Materiales!$H$141-F966-G965,4))</f>
        <v/>
      </c>
      <c r="H967" s="69">
        <f>MAX(0,ROUND(H964+Materiales!$H$141-G966-H965,4))</f>
        <v/>
      </c>
      <c r="I967" s="69">
        <f>MAX(0,ROUND(I964+Materiales!$H$141-H966-I965,4))</f>
        <v/>
      </c>
      <c r="J967" s="69">
        <f>MAX(0,ROUND(J964+Materiales!$H$141-I966-J965,4))</f>
        <v/>
      </c>
      <c r="K967" s="69">
        <f>MAX(0,ROUND(K964+Materiales!$H$141-J966-K965,4))</f>
        <v/>
      </c>
      <c r="L967" s="69">
        <f>MAX(0,ROUND(L964+Materiales!$H$141-K966-L965,4))</f>
        <v/>
      </c>
      <c r="M967" s="66" t="n"/>
    </row>
    <row r="968">
      <c r="C968" s="63" t="inlineStr">
        <is>
          <t>Recepcion de orden planificada</t>
        </is>
      </c>
      <c r="D968" s="64" t="n"/>
      <c r="E968" s="65">
        <f>IF(E967&lt;=0,0,IF(Materiales!$G$141&lt;=0,E967,ROUNDUP(E967/Materiales!$G$141,0)*Materiales!$G$141))</f>
        <v/>
      </c>
      <c r="F968" s="65">
        <f>IF(F967&lt;=0,0,IF(Materiales!$G$141&lt;=0,F967,ROUNDUP(F967/Materiales!$G$141,0)*Materiales!$G$141))</f>
        <v/>
      </c>
      <c r="G968" s="65">
        <f>IF(G967&lt;=0,0,IF(Materiales!$G$141&lt;=0,G967,ROUNDUP(G967/Materiales!$G$141,0)*Materiales!$G$141))</f>
        <v/>
      </c>
      <c r="H968" s="65">
        <f>IF(H967&lt;=0,0,IF(Materiales!$G$141&lt;=0,H967,ROUNDUP(H967/Materiales!$G$141,0)*Materiales!$G$141))</f>
        <v/>
      </c>
      <c r="I968" s="65">
        <f>IF(I967&lt;=0,0,IF(Materiales!$G$141&lt;=0,I967,ROUNDUP(I967/Materiales!$G$141,0)*Materiales!$G$141))</f>
        <v/>
      </c>
      <c r="J968" s="65">
        <f>IF(J967&lt;=0,0,IF(Materiales!$G$141&lt;=0,J967,ROUNDUP(J967/Materiales!$G$141,0)*Materiales!$G$141))</f>
        <v/>
      </c>
      <c r="K968" s="65">
        <f>IF(K967&lt;=0,0,IF(Materiales!$G$141&lt;=0,K967,ROUNDUP(K967/Materiales!$G$141,0)*Materiales!$G$141))</f>
        <v/>
      </c>
      <c r="L968" s="65">
        <f>IF(L967&lt;=0,0,IF(Materiales!$G$141&lt;=0,L967,ROUNDUP(L967/Materiales!$G$141,0)*Materiales!$G$141))</f>
        <v/>
      </c>
      <c r="M968" s="66" t="n"/>
    </row>
    <row r="969">
      <c r="C969" s="70" t="inlineStr">
        <is>
          <t>LANZAMIENTO DE ORDEN — pedir esta semana</t>
        </is>
      </c>
      <c r="D969" s="64" t="n"/>
      <c r="E969" s="71">
        <f>IF(1+Materiales!$F$141&gt;8,0,INDEX($E$968:$L$968,1,1+Materiales!$F$141))</f>
        <v/>
      </c>
      <c r="F969" s="71">
        <f>IF(2+Materiales!$F$141&gt;8,0,INDEX($E$968:$L$968,1,2+Materiales!$F$141))</f>
        <v/>
      </c>
      <c r="G969" s="71">
        <f>IF(3+Materiales!$F$141&gt;8,0,INDEX($E$968:$L$968,1,3+Materiales!$F$141))</f>
        <v/>
      </c>
      <c r="H969" s="71">
        <f>IF(4+Materiales!$F$141&gt;8,0,INDEX($E$968:$L$968,1,4+Materiales!$F$141))</f>
        <v/>
      </c>
      <c r="I969" s="71">
        <f>IF(5+Materiales!$F$141&gt;8,0,INDEX($E$968:$L$968,1,5+Materiales!$F$141))</f>
        <v/>
      </c>
      <c r="J969" s="71">
        <f>IF(6+Materiales!$F$141&gt;8,0,INDEX($E$968:$L$968,1,6+Materiales!$F$141))</f>
        <v/>
      </c>
      <c r="K969" s="71">
        <f>IF(7+Materiales!$F$141&gt;8,0,INDEX($E$968:$L$968,1,7+Materiales!$F$141))</f>
        <v/>
      </c>
      <c r="L969" s="71">
        <f>IF(8+Materiales!$F$141&gt;8,0,INDEX($E$968:$L$968,1,8+Materiales!$F$141))</f>
        <v/>
      </c>
      <c r="M969" s="72">
        <f>IF($A964="","",IF(SUMPRODUCT((COLUMN($E$968:$L$968)-4&lt;=Materiales!$F$141)*$E$968:$L$968)&gt;0,"PEDIR YA (atrasado)","OK"))</f>
        <v/>
      </c>
    </row>
    <row r="970" ht="6" customHeight="1"/>
    <row r="971">
      <c r="A971" s="62">
        <f>IF(Materiales!$A$142="","",Materiales!$A$142)</f>
        <v/>
      </c>
      <c r="B971" s="62">
        <f>IF(Materiales!$B$142="","",Materiales!$B$142)</f>
        <v/>
      </c>
      <c r="C971" s="63" t="inlineStr">
        <is>
          <t>Necesidad bruta</t>
        </is>
      </c>
      <c r="D971" s="64" t="n"/>
      <c r="E971" s="65">
        <f>ROUND(SUMIF(Consumo!$P$4:$P$189,"#"&amp;$A971,Consumo!H$4:H$189),4)</f>
        <v/>
      </c>
      <c r="F971" s="65">
        <f>ROUND(SUMIF(Consumo!$P$4:$P$189,"#"&amp;$A971,Consumo!I$4:I$189),4)</f>
        <v/>
      </c>
      <c r="G971" s="65">
        <f>ROUND(SUMIF(Consumo!$P$4:$P$189,"#"&amp;$A971,Consumo!J$4:J$189),4)</f>
        <v/>
      </c>
      <c r="H971" s="65">
        <f>ROUND(SUMIF(Consumo!$P$4:$P$189,"#"&amp;$A971,Consumo!K$4:K$189),4)</f>
        <v/>
      </c>
      <c r="I971" s="65">
        <f>ROUND(SUMIF(Consumo!$P$4:$P$189,"#"&amp;$A971,Consumo!L$4:L$189),4)</f>
        <v/>
      </c>
      <c r="J971" s="65">
        <f>ROUND(SUMIF(Consumo!$P$4:$P$189,"#"&amp;$A971,Consumo!M$4:M$189),4)</f>
        <v/>
      </c>
      <c r="K971" s="65">
        <f>ROUND(SUMIF(Consumo!$P$4:$P$189,"#"&amp;$A971,Consumo!N$4:N$189),4)</f>
        <v/>
      </c>
      <c r="L971" s="65">
        <f>ROUND(SUMIF(Consumo!$P$4:$P$189,"#"&amp;$A971,Consumo!O$4:O$189),4)</f>
        <v/>
      </c>
      <c r="M971" s="66" t="n"/>
    </row>
    <row r="972">
      <c r="C972" s="63" t="inlineStr">
        <is>
          <t>Recepciones programadas (ya pedido)</t>
        </is>
      </c>
      <c r="D972" s="64" t="n"/>
      <c r="E972" s="65">
        <f>SUMIF(Inventario!$M$5:$M$505,"#"&amp;$A971,Inventario!E$5:E$505)</f>
        <v/>
      </c>
      <c r="F972" s="65">
        <f>SUMIF(Inventario!$M$5:$M$505,"#"&amp;$A971,Inventario!F$5:F$505)</f>
        <v/>
      </c>
      <c r="G972" s="65">
        <f>SUMIF(Inventario!$M$5:$M$505,"#"&amp;$A971,Inventario!G$5:G$505)</f>
        <v/>
      </c>
      <c r="H972" s="65">
        <f>SUMIF(Inventario!$M$5:$M$505,"#"&amp;$A971,Inventario!H$5:H$505)</f>
        <v/>
      </c>
      <c r="I972" s="65">
        <f>SUMIF(Inventario!$M$5:$M$505,"#"&amp;$A971,Inventario!I$5:I$505)</f>
        <v/>
      </c>
      <c r="J972" s="65">
        <f>SUMIF(Inventario!$M$5:$M$505,"#"&amp;$A971,Inventario!J$5:J$505)</f>
        <v/>
      </c>
      <c r="K972" s="65">
        <f>SUMIF(Inventario!$M$5:$M$505,"#"&amp;$A971,Inventario!K$5:K$505)</f>
        <v/>
      </c>
      <c r="L972" s="65">
        <f>SUMIF(Inventario!$M$5:$M$505,"#"&amp;$A971,Inventario!L$5:L$505)</f>
        <v/>
      </c>
      <c r="M972" s="66" t="n"/>
    </row>
    <row r="973">
      <c r="C973" s="63" t="inlineStr">
        <is>
          <t>Stock proyectado disponible</t>
        </is>
      </c>
      <c r="D973" s="67">
        <f>SUMIF(Inventario!$M$5:$M$505,"#"&amp;$A971,Inventario!$C$5:$C$505)</f>
        <v/>
      </c>
      <c r="E973" s="68">
        <f>D973+E972+E975-E971</f>
        <v/>
      </c>
      <c r="F973" s="68">
        <f>E973+F972+F975-F971</f>
        <v/>
      </c>
      <c r="G973" s="68">
        <f>F973+G972+G975-G971</f>
        <v/>
      </c>
      <c r="H973" s="68">
        <f>G973+H972+H975-H971</f>
        <v/>
      </c>
      <c r="I973" s="68">
        <f>H973+I972+I975-I971</f>
        <v/>
      </c>
      <c r="J973" s="68">
        <f>I973+J972+J975-J971</f>
        <v/>
      </c>
      <c r="K973" s="68">
        <f>J973+K972+K975-K971</f>
        <v/>
      </c>
      <c r="L973" s="68">
        <f>K973+L972+L975-L971</f>
        <v/>
      </c>
      <c r="M973" s="66" t="n"/>
    </row>
    <row r="974">
      <c r="C974" s="63" t="inlineStr">
        <is>
          <t>Necesidad neta</t>
        </is>
      </c>
      <c r="D974" s="64" t="n"/>
      <c r="E974" s="69">
        <f>MAX(0,ROUND(E971+Materiales!$H$142-D973-E972,4))</f>
        <v/>
      </c>
      <c r="F974" s="69">
        <f>MAX(0,ROUND(F971+Materiales!$H$142-E973-F972,4))</f>
        <v/>
      </c>
      <c r="G974" s="69">
        <f>MAX(0,ROUND(G971+Materiales!$H$142-F973-G972,4))</f>
        <v/>
      </c>
      <c r="H974" s="69">
        <f>MAX(0,ROUND(H971+Materiales!$H$142-G973-H972,4))</f>
        <v/>
      </c>
      <c r="I974" s="69">
        <f>MAX(0,ROUND(I971+Materiales!$H$142-H973-I972,4))</f>
        <v/>
      </c>
      <c r="J974" s="69">
        <f>MAX(0,ROUND(J971+Materiales!$H$142-I973-J972,4))</f>
        <v/>
      </c>
      <c r="K974" s="69">
        <f>MAX(0,ROUND(K971+Materiales!$H$142-J973-K972,4))</f>
        <v/>
      </c>
      <c r="L974" s="69">
        <f>MAX(0,ROUND(L971+Materiales!$H$142-K973-L972,4))</f>
        <v/>
      </c>
      <c r="M974" s="66" t="n"/>
    </row>
    <row r="975">
      <c r="C975" s="63" t="inlineStr">
        <is>
          <t>Recepcion de orden planificada</t>
        </is>
      </c>
      <c r="D975" s="64" t="n"/>
      <c r="E975" s="65">
        <f>IF(E974&lt;=0,0,IF(Materiales!$G$142&lt;=0,E974,ROUNDUP(E974/Materiales!$G$142,0)*Materiales!$G$142))</f>
        <v/>
      </c>
      <c r="F975" s="65">
        <f>IF(F974&lt;=0,0,IF(Materiales!$G$142&lt;=0,F974,ROUNDUP(F974/Materiales!$G$142,0)*Materiales!$G$142))</f>
        <v/>
      </c>
      <c r="G975" s="65">
        <f>IF(G974&lt;=0,0,IF(Materiales!$G$142&lt;=0,G974,ROUNDUP(G974/Materiales!$G$142,0)*Materiales!$G$142))</f>
        <v/>
      </c>
      <c r="H975" s="65">
        <f>IF(H974&lt;=0,0,IF(Materiales!$G$142&lt;=0,H974,ROUNDUP(H974/Materiales!$G$142,0)*Materiales!$G$142))</f>
        <v/>
      </c>
      <c r="I975" s="65">
        <f>IF(I974&lt;=0,0,IF(Materiales!$G$142&lt;=0,I974,ROUNDUP(I974/Materiales!$G$142,0)*Materiales!$G$142))</f>
        <v/>
      </c>
      <c r="J975" s="65">
        <f>IF(J974&lt;=0,0,IF(Materiales!$G$142&lt;=0,J974,ROUNDUP(J974/Materiales!$G$142,0)*Materiales!$G$142))</f>
        <v/>
      </c>
      <c r="K975" s="65">
        <f>IF(K974&lt;=0,0,IF(Materiales!$G$142&lt;=0,K974,ROUNDUP(K974/Materiales!$G$142,0)*Materiales!$G$142))</f>
        <v/>
      </c>
      <c r="L975" s="65">
        <f>IF(L974&lt;=0,0,IF(Materiales!$G$142&lt;=0,L974,ROUNDUP(L974/Materiales!$G$142,0)*Materiales!$G$142))</f>
        <v/>
      </c>
      <c r="M975" s="66" t="n"/>
    </row>
    <row r="976">
      <c r="C976" s="70" t="inlineStr">
        <is>
          <t>LANZAMIENTO DE ORDEN — pedir esta semana</t>
        </is>
      </c>
      <c r="D976" s="64" t="n"/>
      <c r="E976" s="71">
        <f>IF(1+Materiales!$F$142&gt;8,0,INDEX($E$975:$L$975,1,1+Materiales!$F$142))</f>
        <v/>
      </c>
      <c r="F976" s="71">
        <f>IF(2+Materiales!$F$142&gt;8,0,INDEX($E$975:$L$975,1,2+Materiales!$F$142))</f>
        <v/>
      </c>
      <c r="G976" s="71">
        <f>IF(3+Materiales!$F$142&gt;8,0,INDEX($E$975:$L$975,1,3+Materiales!$F$142))</f>
        <v/>
      </c>
      <c r="H976" s="71">
        <f>IF(4+Materiales!$F$142&gt;8,0,INDEX($E$975:$L$975,1,4+Materiales!$F$142))</f>
        <v/>
      </c>
      <c r="I976" s="71">
        <f>IF(5+Materiales!$F$142&gt;8,0,INDEX($E$975:$L$975,1,5+Materiales!$F$142))</f>
        <v/>
      </c>
      <c r="J976" s="71">
        <f>IF(6+Materiales!$F$142&gt;8,0,INDEX($E$975:$L$975,1,6+Materiales!$F$142))</f>
        <v/>
      </c>
      <c r="K976" s="71">
        <f>IF(7+Materiales!$F$142&gt;8,0,INDEX($E$975:$L$975,1,7+Materiales!$F$142))</f>
        <v/>
      </c>
      <c r="L976" s="71">
        <f>IF(8+Materiales!$F$142&gt;8,0,INDEX($E$975:$L$975,1,8+Materiales!$F$142))</f>
        <v/>
      </c>
      <c r="M976" s="72">
        <f>IF($A971="","",IF(SUMPRODUCT((COLUMN($E$975:$L$975)-4&lt;=Materiales!$F$142)*$E$975:$L$975)&gt;0,"PEDIR YA (atrasado)","OK"))</f>
        <v/>
      </c>
    </row>
    <row r="977" ht="6" customHeight="1"/>
    <row r="978">
      <c r="A978" s="62">
        <f>IF(Materiales!$A$143="","",Materiales!$A$143)</f>
        <v/>
      </c>
      <c r="B978" s="62">
        <f>IF(Materiales!$B$143="","",Materiales!$B$143)</f>
        <v/>
      </c>
      <c r="C978" s="63" t="inlineStr">
        <is>
          <t>Necesidad bruta</t>
        </is>
      </c>
      <c r="D978" s="64" t="n"/>
      <c r="E978" s="65">
        <f>ROUND(SUMIF(Consumo!$P$4:$P$189,"#"&amp;$A978,Consumo!H$4:H$189),4)</f>
        <v/>
      </c>
      <c r="F978" s="65">
        <f>ROUND(SUMIF(Consumo!$P$4:$P$189,"#"&amp;$A978,Consumo!I$4:I$189),4)</f>
        <v/>
      </c>
      <c r="G978" s="65">
        <f>ROUND(SUMIF(Consumo!$P$4:$P$189,"#"&amp;$A978,Consumo!J$4:J$189),4)</f>
        <v/>
      </c>
      <c r="H978" s="65">
        <f>ROUND(SUMIF(Consumo!$P$4:$P$189,"#"&amp;$A978,Consumo!K$4:K$189),4)</f>
        <v/>
      </c>
      <c r="I978" s="65">
        <f>ROUND(SUMIF(Consumo!$P$4:$P$189,"#"&amp;$A978,Consumo!L$4:L$189),4)</f>
        <v/>
      </c>
      <c r="J978" s="65">
        <f>ROUND(SUMIF(Consumo!$P$4:$P$189,"#"&amp;$A978,Consumo!M$4:M$189),4)</f>
        <v/>
      </c>
      <c r="K978" s="65">
        <f>ROUND(SUMIF(Consumo!$P$4:$P$189,"#"&amp;$A978,Consumo!N$4:N$189),4)</f>
        <v/>
      </c>
      <c r="L978" s="65">
        <f>ROUND(SUMIF(Consumo!$P$4:$P$189,"#"&amp;$A978,Consumo!O$4:O$189),4)</f>
        <v/>
      </c>
      <c r="M978" s="66" t="n"/>
    </row>
    <row r="979">
      <c r="C979" s="63" t="inlineStr">
        <is>
          <t>Recepciones programadas (ya pedido)</t>
        </is>
      </c>
      <c r="D979" s="64" t="n"/>
      <c r="E979" s="65">
        <f>SUMIF(Inventario!$M$5:$M$505,"#"&amp;$A978,Inventario!E$5:E$505)</f>
        <v/>
      </c>
      <c r="F979" s="65">
        <f>SUMIF(Inventario!$M$5:$M$505,"#"&amp;$A978,Inventario!F$5:F$505)</f>
        <v/>
      </c>
      <c r="G979" s="65">
        <f>SUMIF(Inventario!$M$5:$M$505,"#"&amp;$A978,Inventario!G$5:G$505)</f>
        <v/>
      </c>
      <c r="H979" s="65">
        <f>SUMIF(Inventario!$M$5:$M$505,"#"&amp;$A978,Inventario!H$5:H$505)</f>
        <v/>
      </c>
      <c r="I979" s="65">
        <f>SUMIF(Inventario!$M$5:$M$505,"#"&amp;$A978,Inventario!I$5:I$505)</f>
        <v/>
      </c>
      <c r="J979" s="65">
        <f>SUMIF(Inventario!$M$5:$M$505,"#"&amp;$A978,Inventario!J$5:J$505)</f>
        <v/>
      </c>
      <c r="K979" s="65">
        <f>SUMIF(Inventario!$M$5:$M$505,"#"&amp;$A978,Inventario!K$5:K$505)</f>
        <v/>
      </c>
      <c r="L979" s="65">
        <f>SUMIF(Inventario!$M$5:$M$505,"#"&amp;$A978,Inventario!L$5:L$505)</f>
        <v/>
      </c>
      <c r="M979" s="66" t="n"/>
    </row>
    <row r="980">
      <c r="C980" s="63" t="inlineStr">
        <is>
          <t>Stock proyectado disponible</t>
        </is>
      </c>
      <c r="D980" s="67">
        <f>SUMIF(Inventario!$M$5:$M$505,"#"&amp;$A978,Inventario!$C$5:$C$505)</f>
        <v/>
      </c>
      <c r="E980" s="68">
        <f>D980+E979+E982-E978</f>
        <v/>
      </c>
      <c r="F980" s="68">
        <f>E980+F979+F982-F978</f>
        <v/>
      </c>
      <c r="G980" s="68">
        <f>F980+G979+G982-G978</f>
        <v/>
      </c>
      <c r="H980" s="68">
        <f>G980+H979+H982-H978</f>
        <v/>
      </c>
      <c r="I980" s="68">
        <f>H980+I979+I982-I978</f>
        <v/>
      </c>
      <c r="J980" s="68">
        <f>I980+J979+J982-J978</f>
        <v/>
      </c>
      <c r="K980" s="68">
        <f>J980+K979+K982-K978</f>
        <v/>
      </c>
      <c r="L980" s="68">
        <f>K980+L979+L982-L978</f>
        <v/>
      </c>
      <c r="M980" s="66" t="n"/>
    </row>
    <row r="981">
      <c r="C981" s="63" t="inlineStr">
        <is>
          <t>Necesidad neta</t>
        </is>
      </c>
      <c r="D981" s="64" t="n"/>
      <c r="E981" s="69">
        <f>MAX(0,ROUND(E978+Materiales!$H$143-D980-E979,4))</f>
        <v/>
      </c>
      <c r="F981" s="69">
        <f>MAX(0,ROUND(F978+Materiales!$H$143-E980-F979,4))</f>
        <v/>
      </c>
      <c r="G981" s="69">
        <f>MAX(0,ROUND(G978+Materiales!$H$143-F980-G979,4))</f>
        <v/>
      </c>
      <c r="H981" s="69">
        <f>MAX(0,ROUND(H978+Materiales!$H$143-G980-H979,4))</f>
        <v/>
      </c>
      <c r="I981" s="69">
        <f>MAX(0,ROUND(I978+Materiales!$H$143-H980-I979,4))</f>
        <v/>
      </c>
      <c r="J981" s="69">
        <f>MAX(0,ROUND(J978+Materiales!$H$143-I980-J979,4))</f>
        <v/>
      </c>
      <c r="K981" s="69">
        <f>MAX(0,ROUND(K978+Materiales!$H$143-J980-K979,4))</f>
        <v/>
      </c>
      <c r="L981" s="69">
        <f>MAX(0,ROUND(L978+Materiales!$H$143-K980-L979,4))</f>
        <v/>
      </c>
      <c r="M981" s="66" t="n"/>
    </row>
    <row r="982">
      <c r="C982" s="63" t="inlineStr">
        <is>
          <t>Recepcion de orden planificada</t>
        </is>
      </c>
      <c r="D982" s="64" t="n"/>
      <c r="E982" s="65">
        <f>IF(E981&lt;=0,0,IF(Materiales!$G$143&lt;=0,E981,ROUNDUP(E981/Materiales!$G$143,0)*Materiales!$G$143))</f>
        <v/>
      </c>
      <c r="F982" s="65">
        <f>IF(F981&lt;=0,0,IF(Materiales!$G$143&lt;=0,F981,ROUNDUP(F981/Materiales!$G$143,0)*Materiales!$G$143))</f>
        <v/>
      </c>
      <c r="G982" s="65">
        <f>IF(G981&lt;=0,0,IF(Materiales!$G$143&lt;=0,G981,ROUNDUP(G981/Materiales!$G$143,0)*Materiales!$G$143))</f>
        <v/>
      </c>
      <c r="H982" s="65">
        <f>IF(H981&lt;=0,0,IF(Materiales!$G$143&lt;=0,H981,ROUNDUP(H981/Materiales!$G$143,0)*Materiales!$G$143))</f>
        <v/>
      </c>
      <c r="I982" s="65">
        <f>IF(I981&lt;=0,0,IF(Materiales!$G$143&lt;=0,I981,ROUNDUP(I981/Materiales!$G$143,0)*Materiales!$G$143))</f>
        <v/>
      </c>
      <c r="J982" s="65">
        <f>IF(J981&lt;=0,0,IF(Materiales!$G$143&lt;=0,J981,ROUNDUP(J981/Materiales!$G$143,0)*Materiales!$G$143))</f>
        <v/>
      </c>
      <c r="K982" s="65">
        <f>IF(K981&lt;=0,0,IF(Materiales!$G$143&lt;=0,K981,ROUNDUP(K981/Materiales!$G$143,0)*Materiales!$G$143))</f>
        <v/>
      </c>
      <c r="L982" s="65">
        <f>IF(L981&lt;=0,0,IF(Materiales!$G$143&lt;=0,L981,ROUNDUP(L981/Materiales!$G$143,0)*Materiales!$G$143))</f>
        <v/>
      </c>
      <c r="M982" s="66" t="n"/>
    </row>
    <row r="983">
      <c r="C983" s="70" t="inlineStr">
        <is>
          <t>LANZAMIENTO DE ORDEN — pedir esta semana</t>
        </is>
      </c>
      <c r="D983" s="64" t="n"/>
      <c r="E983" s="71">
        <f>IF(1+Materiales!$F$143&gt;8,0,INDEX($E$982:$L$982,1,1+Materiales!$F$143))</f>
        <v/>
      </c>
      <c r="F983" s="71">
        <f>IF(2+Materiales!$F$143&gt;8,0,INDEX($E$982:$L$982,1,2+Materiales!$F$143))</f>
        <v/>
      </c>
      <c r="G983" s="71">
        <f>IF(3+Materiales!$F$143&gt;8,0,INDEX($E$982:$L$982,1,3+Materiales!$F$143))</f>
        <v/>
      </c>
      <c r="H983" s="71">
        <f>IF(4+Materiales!$F$143&gt;8,0,INDEX($E$982:$L$982,1,4+Materiales!$F$143))</f>
        <v/>
      </c>
      <c r="I983" s="71">
        <f>IF(5+Materiales!$F$143&gt;8,0,INDEX($E$982:$L$982,1,5+Materiales!$F$143))</f>
        <v/>
      </c>
      <c r="J983" s="71">
        <f>IF(6+Materiales!$F$143&gt;8,0,INDEX($E$982:$L$982,1,6+Materiales!$F$143))</f>
        <v/>
      </c>
      <c r="K983" s="71">
        <f>IF(7+Materiales!$F$143&gt;8,0,INDEX($E$982:$L$982,1,7+Materiales!$F$143))</f>
        <v/>
      </c>
      <c r="L983" s="71">
        <f>IF(8+Materiales!$F$143&gt;8,0,INDEX($E$982:$L$982,1,8+Materiales!$F$143))</f>
        <v/>
      </c>
      <c r="M983" s="72">
        <f>IF($A978="","",IF(SUMPRODUCT((COLUMN($E$982:$L$982)-4&lt;=Materiales!$F$143)*$E$982:$L$982)&gt;0,"PEDIR YA (atrasado)","OK"))</f>
        <v/>
      </c>
    </row>
    <row r="984" ht="6" customHeight="1"/>
    <row r="985">
      <c r="A985" s="62">
        <f>IF(Materiales!$A$144="","",Materiales!$A$144)</f>
        <v/>
      </c>
      <c r="B985" s="62">
        <f>IF(Materiales!$B$144="","",Materiales!$B$144)</f>
        <v/>
      </c>
      <c r="C985" s="63" t="inlineStr">
        <is>
          <t>Necesidad bruta</t>
        </is>
      </c>
      <c r="D985" s="64" t="n"/>
      <c r="E985" s="65">
        <f>ROUND(SUMIF(Consumo!$P$4:$P$189,"#"&amp;$A985,Consumo!H$4:H$189),4)</f>
        <v/>
      </c>
      <c r="F985" s="65">
        <f>ROUND(SUMIF(Consumo!$P$4:$P$189,"#"&amp;$A985,Consumo!I$4:I$189),4)</f>
        <v/>
      </c>
      <c r="G985" s="65">
        <f>ROUND(SUMIF(Consumo!$P$4:$P$189,"#"&amp;$A985,Consumo!J$4:J$189),4)</f>
        <v/>
      </c>
      <c r="H985" s="65">
        <f>ROUND(SUMIF(Consumo!$P$4:$P$189,"#"&amp;$A985,Consumo!K$4:K$189),4)</f>
        <v/>
      </c>
      <c r="I985" s="65">
        <f>ROUND(SUMIF(Consumo!$P$4:$P$189,"#"&amp;$A985,Consumo!L$4:L$189),4)</f>
        <v/>
      </c>
      <c r="J985" s="65">
        <f>ROUND(SUMIF(Consumo!$P$4:$P$189,"#"&amp;$A985,Consumo!M$4:M$189),4)</f>
        <v/>
      </c>
      <c r="K985" s="65">
        <f>ROUND(SUMIF(Consumo!$P$4:$P$189,"#"&amp;$A985,Consumo!N$4:N$189),4)</f>
        <v/>
      </c>
      <c r="L985" s="65">
        <f>ROUND(SUMIF(Consumo!$P$4:$P$189,"#"&amp;$A985,Consumo!O$4:O$189),4)</f>
        <v/>
      </c>
      <c r="M985" s="66" t="n"/>
    </row>
    <row r="986">
      <c r="C986" s="63" t="inlineStr">
        <is>
          <t>Recepciones programadas (ya pedido)</t>
        </is>
      </c>
      <c r="D986" s="64" t="n"/>
      <c r="E986" s="65">
        <f>SUMIF(Inventario!$M$5:$M$505,"#"&amp;$A985,Inventario!E$5:E$505)</f>
        <v/>
      </c>
      <c r="F986" s="65">
        <f>SUMIF(Inventario!$M$5:$M$505,"#"&amp;$A985,Inventario!F$5:F$505)</f>
        <v/>
      </c>
      <c r="G986" s="65">
        <f>SUMIF(Inventario!$M$5:$M$505,"#"&amp;$A985,Inventario!G$5:G$505)</f>
        <v/>
      </c>
      <c r="H986" s="65">
        <f>SUMIF(Inventario!$M$5:$M$505,"#"&amp;$A985,Inventario!H$5:H$505)</f>
        <v/>
      </c>
      <c r="I986" s="65">
        <f>SUMIF(Inventario!$M$5:$M$505,"#"&amp;$A985,Inventario!I$5:I$505)</f>
        <v/>
      </c>
      <c r="J986" s="65">
        <f>SUMIF(Inventario!$M$5:$M$505,"#"&amp;$A985,Inventario!J$5:J$505)</f>
        <v/>
      </c>
      <c r="K986" s="65">
        <f>SUMIF(Inventario!$M$5:$M$505,"#"&amp;$A985,Inventario!K$5:K$505)</f>
        <v/>
      </c>
      <c r="L986" s="65">
        <f>SUMIF(Inventario!$M$5:$M$505,"#"&amp;$A985,Inventario!L$5:L$505)</f>
        <v/>
      </c>
      <c r="M986" s="66" t="n"/>
    </row>
    <row r="987">
      <c r="C987" s="63" t="inlineStr">
        <is>
          <t>Stock proyectado disponible</t>
        </is>
      </c>
      <c r="D987" s="67">
        <f>SUMIF(Inventario!$M$5:$M$505,"#"&amp;$A985,Inventario!$C$5:$C$505)</f>
        <v/>
      </c>
      <c r="E987" s="68">
        <f>D987+E986+E989-E985</f>
        <v/>
      </c>
      <c r="F987" s="68">
        <f>E987+F986+F989-F985</f>
        <v/>
      </c>
      <c r="G987" s="68">
        <f>F987+G986+G989-G985</f>
        <v/>
      </c>
      <c r="H987" s="68">
        <f>G987+H986+H989-H985</f>
        <v/>
      </c>
      <c r="I987" s="68">
        <f>H987+I986+I989-I985</f>
        <v/>
      </c>
      <c r="J987" s="68">
        <f>I987+J986+J989-J985</f>
        <v/>
      </c>
      <c r="K987" s="68">
        <f>J987+K986+K989-K985</f>
        <v/>
      </c>
      <c r="L987" s="68">
        <f>K987+L986+L989-L985</f>
        <v/>
      </c>
      <c r="M987" s="66" t="n"/>
    </row>
    <row r="988">
      <c r="C988" s="63" t="inlineStr">
        <is>
          <t>Necesidad neta</t>
        </is>
      </c>
      <c r="D988" s="64" t="n"/>
      <c r="E988" s="69">
        <f>MAX(0,ROUND(E985+Materiales!$H$144-D987-E986,4))</f>
        <v/>
      </c>
      <c r="F988" s="69">
        <f>MAX(0,ROUND(F985+Materiales!$H$144-E987-F986,4))</f>
        <v/>
      </c>
      <c r="G988" s="69">
        <f>MAX(0,ROUND(G985+Materiales!$H$144-F987-G986,4))</f>
        <v/>
      </c>
      <c r="H988" s="69">
        <f>MAX(0,ROUND(H985+Materiales!$H$144-G987-H986,4))</f>
        <v/>
      </c>
      <c r="I988" s="69">
        <f>MAX(0,ROUND(I985+Materiales!$H$144-H987-I986,4))</f>
        <v/>
      </c>
      <c r="J988" s="69">
        <f>MAX(0,ROUND(J985+Materiales!$H$144-I987-J986,4))</f>
        <v/>
      </c>
      <c r="K988" s="69">
        <f>MAX(0,ROUND(K985+Materiales!$H$144-J987-K986,4))</f>
        <v/>
      </c>
      <c r="L988" s="69">
        <f>MAX(0,ROUND(L985+Materiales!$H$144-K987-L986,4))</f>
        <v/>
      </c>
      <c r="M988" s="66" t="n"/>
    </row>
    <row r="989">
      <c r="C989" s="63" t="inlineStr">
        <is>
          <t>Recepcion de orden planificada</t>
        </is>
      </c>
      <c r="D989" s="64" t="n"/>
      <c r="E989" s="65">
        <f>IF(E988&lt;=0,0,IF(Materiales!$G$144&lt;=0,E988,ROUNDUP(E988/Materiales!$G$144,0)*Materiales!$G$144))</f>
        <v/>
      </c>
      <c r="F989" s="65">
        <f>IF(F988&lt;=0,0,IF(Materiales!$G$144&lt;=0,F988,ROUNDUP(F988/Materiales!$G$144,0)*Materiales!$G$144))</f>
        <v/>
      </c>
      <c r="G989" s="65">
        <f>IF(G988&lt;=0,0,IF(Materiales!$G$144&lt;=0,G988,ROUNDUP(G988/Materiales!$G$144,0)*Materiales!$G$144))</f>
        <v/>
      </c>
      <c r="H989" s="65">
        <f>IF(H988&lt;=0,0,IF(Materiales!$G$144&lt;=0,H988,ROUNDUP(H988/Materiales!$G$144,0)*Materiales!$G$144))</f>
        <v/>
      </c>
      <c r="I989" s="65">
        <f>IF(I988&lt;=0,0,IF(Materiales!$G$144&lt;=0,I988,ROUNDUP(I988/Materiales!$G$144,0)*Materiales!$G$144))</f>
        <v/>
      </c>
      <c r="J989" s="65">
        <f>IF(J988&lt;=0,0,IF(Materiales!$G$144&lt;=0,J988,ROUNDUP(J988/Materiales!$G$144,0)*Materiales!$G$144))</f>
        <v/>
      </c>
      <c r="K989" s="65">
        <f>IF(K988&lt;=0,0,IF(Materiales!$G$144&lt;=0,K988,ROUNDUP(K988/Materiales!$G$144,0)*Materiales!$G$144))</f>
        <v/>
      </c>
      <c r="L989" s="65">
        <f>IF(L988&lt;=0,0,IF(Materiales!$G$144&lt;=0,L988,ROUNDUP(L988/Materiales!$G$144,0)*Materiales!$G$144))</f>
        <v/>
      </c>
      <c r="M989" s="66" t="n"/>
    </row>
    <row r="990">
      <c r="C990" s="70" t="inlineStr">
        <is>
          <t>LANZAMIENTO DE ORDEN — pedir esta semana</t>
        </is>
      </c>
      <c r="D990" s="64" t="n"/>
      <c r="E990" s="71">
        <f>IF(1+Materiales!$F$144&gt;8,0,INDEX($E$989:$L$989,1,1+Materiales!$F$144))</f>
        <v/>
      </c>
      <c r="F990" s="71">
        <f>IF(2+Materiales!$F$144&gt;8,0,INDEX($E$989:$L$989,1,2+Materiales!$F$144))</f>
        <v/>
      </c>
      <c r="G990" s="71">
        <f>IF(3+Materiales!$F$144&gt;8,0,INDEX($E$989:$L$989,1,3+Materiales!$F$144))</f>
        <v/>
      </c>
      <c r="H990" s="71">
        <f>IF(4+Materiales!$F$144&gt;8,0,INDEX($E$989:$L$989,1,4+Materiales!$F$144))</f>
        <v/>
      </c>
      <c r="I990" s="71">
        <f>IF(5+Materiales!$F$144&gt;8,0,INDEX($E$989:$L$989,1,5+Materiales!$F$144))</f>
        <v/>
      </c>
      <c r="J990" s="71">
        <f>IF(6+Materiales!$F$144&gt;8,0,INDEX($E$989:$L$989,1,6+Materiales!$F$144))</f>
        <v/>
      </c>
      <c r="K990" s="71">
        <f>IF(7+Materiales!$F$144&gt;8,0,INDEX($E$989:$L$989,1,7+Materiales!$F$144))</f>
        <v/>
      </c>
      <c r="L990" s="71">
        <f>IF(8+Materiales!$F$144&gt;8,0,INDEX($E$989:$L$989,1,8+Materiales!$F$144))</f>
        <v/>
      </c>
      <c r="M990" s="72">
        <f>IF($A985="","",IF(SUMPRODUCT((COLUMN($E$989:$L$989)-4&lt;=Materiales!$F$144)*$E$989:$L$989)&gt;0,"PEDIR YA (atrasado)","OK"))</f>
        <v/>
      </c>
    </row>
    <row r="991" ht="6" customHeight="1"/>
    <row r="992">
      <c r="A992" s="62">
        <f>IF(Materiales!$A$145="","",Materiales!$A$145)</f>
        <v/>
      </c>
      <c r="B992" s="62">
        <f>IF(Materiales!$B$145="","",Materiales!$B$145)</f>
        <v/>
      </c>
      <c r="C992" s="63" t="inlineStr">
        <is>
          <t>Necesidad bruta</t>
        </is>
      </c>
      <c r="D992" s="64" t="n"/>
      <c r="E992" s="65">
        <f>ROUND(SUMIF(Consumo!$P$4:$P$189,"#"&amp;$A992,Consumo!H$4:H$189),4)</f>
        <v/>
      </c>
      <c r="F992" s="65">
        <f>ROUND(SUMIF(Consumo!$P$4:$P$189,"#"&amp;$A992,Consumo!I$4:I$189),4)</f>
        <v/>
      </c>
      <c r="G992" s="65">
        <f>ROUND(SUMIF(Consumo!$P$4:$P$189,"#"&amp;$A992,Consumo!J$4:J$189),4)</f>
        <v/>
      </c>
      <c r="H992" s="65">
        <f>ROUND(SUMIF(Consumo!$P$4:$P$189,"#"&amp;$A992,Consumo!K$4:K$189),4)</f>
        <v/>
      </c>
      <c r="I992" s="65">
        <f>ROUND(SUMIF(Consumo!$P$4:$P$189,"#"&amp;$A992,Consumo!L$4:L$189),4)</f>
        <v/>
      </c>
      <c r="J992" s="65">
        <f>ROUND(SUMIF(Consumo!$P$4:$P$189,"#"&amp;$A992,Consumo!M$4:M$189),4)</f>
        <v/>
      </c>
      <c r="K992" s="65">
        <f>ROUND(SUMIF(Consumo!$P$4:$P$189,"#"&amp;$A992,Consumo!N$4:N$189),4)</f>
        <v/>
      </c>
      <c r="L992" s="65">
        <f>ROUND(SUMIF(Consumo!$P$4:$P$189,"#"&amp;$A992,Consumo!O$4:O$189),4)</f>
        <v/>
      </c>
      <c r="M992" s="66" t="n"/>
    </row>
    <row r="993">
      <c r="C993" s="63" t="inlineStr">
        <is>
          <t>Recepciones programadas (ya pedido)</t>
        </is>
      </c>
      <c r="D993" s="64" t="n"/>
      <c r="E993" s="65">
        <f>SUMIF(Inventario!$M$5:$M$505,"#"&amp;$A992,Inventario!E$5:E$505)</f>
        <v/>
      </c>
      <c r="F993" s="65">
        <f>SUMIF(Inventario!$M$5:$M$505,"#"&amp;$A992,Inventario!F$5:F$505)</f>
        <v/>
      </c>
      <c r="G993" s="65">
        <f>SUMIF(Inventario!$M$5:$M$505,"#"&amp;$A992,Inventario!G$5:G$505)</f>
        <v/>
      </c>
      <c r="H993" s="65">
        <f>SUMIF(Inventario!$M$5:$M$505,"#"&amp;$A992,Inventario!H$5:H$505)</f>
        <v/>
      </c>
      <c r="I993" s="65">
        <f>SUMIF(Inventario!$M$5:$M$505,"#"&amp;$A992,Inventario!I$5:I$505)</f>
        <v/>
      </c>
      <c r="J993" s="65">
        <f>SUMIF(Inventario!$M$5:$M$505,"#"&amp;$A992,Inventario!J$5:J$505)</f>
        <v/>
      </c>
      <c r="K993" s="65">
        <f>SUMIF(Inventario!$M$5:$M$505,"#"&amp;$A992,Inventario!K$5:K$505)</f>
        <v/>
      </c>
      <c r="L993" s="65">
        <f>SUMIF(Inventario!$M$5:$M$505,"#"&amp;$A992,Inventario!L$5:L$505)</f>
        <v/>
      </c>
      <c r="M993" s="66" t="n"/>
    </row>
    <row r="994">
      <c r="C994" s="63" t="inlineStr">
        <is>
          <t>Stock proyectado disponible</t>
        </is>
      </c>
      <c r="D994" s="67">
        <f>SUMIF(Inventario!$M$5:$M$505,"#"&amp;$A992,Inventario!$C$5:$C$505)</f>
        <v/>
      </c>
      <c r="E994" s="68">
        <f>D994+E993+E996-E992</f>
        <v/>
      </c>
      <c r="F994" s="68">
        <f>E994+F993+F996-F992</f>
        <v/>
      </c>
      <c r="G994" s="68">
        <f>F994+G993+G996-G992</f>
        <v/>
      </c>
      <c r="H994" s="68">
        <f>G994+H993+H996-H992</f>
        <v/>
      </c>
      <c r="I994" s="68">
        <f>H994+I993+I996-I992</f>
        <v/>
      </c>
      <c r="J994" s="68">
        <f>I994+J993+J996-J992</f>
        <v/>
      </c>
      <c r="K994" s="68">
        <f>J994+K993+K996-K992</f>
        <v/>
      </c>
      <c r="L994" s="68">
        <f>K994+L993+L996-L992</f>
        <v/>
      </c>
      <c r="M994" s="66" t="n"/>
    </row>
    <row r="995">
      <c r="C995" s="63" t="inlineStr">
        <is>
          <t>Necesidad neta</t>
        </is>
      </c>
      <c r="D995" s="64" t="n"/>
      <c r="E995" s="69">
        <f>MAX(0,ROUND(E992+Materiales!$H$145-D994-E993,4))</f>
        <v/>
      </c>
      <c r="F995" s="69">
        <f>MAX(0,ROUND(F992+Materiales!$H$145-E994-F993,4))</f>
        <v/>
      </c>
      <c r="G995" s="69">
        <f>MAX(0,ROUND(G992+Materiales!$H$145-F994-G993,4))</f>
        <v/>
      </c>
      <c r="H995" s="69">
        <f>MAX(0,ROUND(H992+Materiales!$H$145-G994-H993,4))</f>
        <v/>
      </c>
      <c r="I995" s="69">
        <f>MAX(0,ROUND(I992+Materiales!$H$145-H994-I993,4))</f>
        <v/>
      </c>
      <c r="J995" s="69">
        <f>MAX(0,ROUND(J992+Materiales!$H$145-I994-J993,4))</f>
        <v/>
      </c>
      <c r="K995" s="69">
        <f>MAX(0,ROUND(K992+Materiales!$H$145-J994-K993,4))</f>
        <v/>
      </c>
      <c r="L995" s="69">
        <f>MAX(0,ROUND(L992+Materiales!$H$145-K994-L993,4))</f>
        <v/>
      </c>
      <c r="M995" s="66" t="n"/>
    </row>
    <row r="996">
      <c r="C996" s="63" t="inlineStr">
        <is>
          <t>Recepcion de orden planificada</t>
        </is>
      </c>
      <c r="D996" s="64" t="n"/>
      <c r="E996" s="65">
        <f>IF(E995&lt;=0,0,IF(Materiales!$G$145&lt;=0,E995,ROUNDUP(E995/Materiales!$G$145,0)*Materiales!$G$145))</f>
        <v/>
      </c>
      <c r="F996" s="65">
        <f>IF(F995&lt;=0,0,IF(Materiales!$G$145&lt;=0,F995,ROUNDUP(F995/Materiales!$G$145,0)*Materiales!$G$145))</f>
        <v/>
      </c>
      <c r="G996" s="65">
        <f>IF(G995&lt;=0,0,IF(Materiales!$G$145&lt;=0,G995,ROUNDUP(G995/Materiales!$G$145,0)*Materiales!$G$145))</f>
        <v/>
      </c>
      <c r="H996" s="65">
        <f>IF(H995&lt;=0,0,IF(Materiales!$G$145&lt;=0,H995,ROUNDUP(H995/Materiales!$G$145,0)*Materiales!$G$145))</f>
        <v/>
      </c>
      <c r="I996" s="65">
        <f>IF(I995&lt;=0,0,IF(Materiales!$G$145&lt;=0,I995,ROUNDUP(I995/Materiales!$G$145,0)*Materiales!$G$145))</f>
        <v/>
      </c>
      <c r="J996" s="65">
        <f>IF(J995&lt;=0,0,IF(Materiales!$G$145&lt;=0,J995,ROUNDUP(J995/Materiales!$G$145,0)*Materiales!$G$145))</f>
        <v/>
      </c>
      <c r="K996" s="65">
        <f>IF(K995&lt;=0,0,IF(Materiales!$G$145&lt;=0,K995,ROUNDUP(K995/Materiales!$G$145,0)*Materiales!$G$145))</f>
        <v/>
      </c>
      <c r="L996" s="65">
        <f>IF(L995&lt;=0,0,IF(Materiales!$G$145&lt;=0,L995,ROUNDUP(L995/Materiales!$G$145,0)*Materiales!$G$145))</f>
        <v/>
      </c>
      <c r="M996" s="66" t="n"/>
    </row>
    <row r="997">
      <c r="C997" s="70" t="inlineStr">
        <is>
          <t>LANZAMIENTO DE ORDEN — pedir esta semana</t>
        </is>
      </c>
      <c r="D997" s="64" t="n"/>
      <c r="E997" s="71">
        <f>IF(1+Materiales!$F$145&gt;8,0,INDEX($E$996:$L$996,1,1+Materiales!$F$145))</f>
        <v/>
      </c>
      <c r="F997" s="71">
        <f>IF(2+Materiales!$F$145&gt;8,0,INDEX($E$996:$L$996,1,2+Materiales!$F$145))</f>
        <v/>
      </c>
      <c r="G997" s="71">
        <f>IF(3+Materiales!$F$145&gt;8,0,INDEX($E$996:$L$996,1,3+Materiales!$F$145))</f>
        <v/>
      </c>
      <c r="H997" s="71">
        <f>IF(4+Materiales!$F$145&gt;8,0,INDEX($E$996:$L$996,1,4+Materiales!$F$145))</f>
        <v/>
      </c>
      <c r="I997" s="71">
        <f>IF(5+Materiales!$F$145&gt;8,0,INDEX($E$996:$L$996,1,5+Materiales!$F$145))</f>
        <v/>
      </c>
      <c r="J997" s="71">
        <f>IF(6+Materiales!$F$145&gt;8,0,INDEX($E$996:$L$996,1,6+Materiales!$F$145))</f>
        <v/>
      </c>
      <c r="K997" s="71">
        <f>IF(7+Materiales!$F$145&gt;8,0,INDEX($E$996:$L$996,1,7+Materiales!$F$145))</f>
        <v/>
      </c>
      <c r="L997" s="71">
        <f>IF(8+Materiales!$F$145&gt;8,0,INDEX($E$996:$L$996,1,8+Materiales!$F$145))</f>
        <v/>
      </c>
      <c r="M997" s="72">
        <f>IF($A992="","",IF(SUMPRODUCT((COLUMN($E$996:$L$996)-4&lt;=Materiales!$F$145)*$E$996:$L$996)&gt;0,"PEDIR YA (atrasado)","OK"))</f>
        <v/>
      </c>
    </row>
    <row r="998" ht="6" customHeight="1"/>
    <row r="999">
      <c r="A999" s="62">
        <f>IF(Materiales!$A$146="","",Materiales!$A$146)</f>
        <v/>
      </c>
      <c r="B999" s="62">
        <f>IF(Materiales!$B$146="","",Materiales!$B$146)</f>
        <v/>
      </c>
      <c r="C999" s="63" t="inlineStr">
        <is>
          <t>Necesidad bruta</t>
        </is>
      </c>
      <c r="D999" s="64" t="n"/>
      <c r="E999" s="65">
        <f>ROUND(SUMIF(Consumo!$P$4:$P$189,"#"&amp;$A999,Consumo!H$4:H$189),4)</f>
        <v/>
      </c>
      <c r="F999" s="65">
        <f>ROUND(SUMIF(Consumo!$P$4:$P$189,"#"&amp;$A999,Consumo!I$4:I$189),4)</f>
        <v/>
      </c>
      <c r="G999" s="65">
        <f>ROUND(SUMIF(Consumo!$P$4:$P$189,"#"&amp;$A999,Consumo!J$4:J$189),4)</f>
        <v/>
      </c>
      <c r="H999" s="65">
        <f>ROUND(SUMIF(Consumo!$P$4:$P$189,"#"&amp;$A999,Consumo!K$4:K$189),4)</f>
        <v/>
      </c>
      <c r="I999" s="65">
        <f>ROUND(SUMIF(Consumo!$P$4:$P$189,"#"&amp;$A999,Consumo!L$4:L$189),4)</f>
        <v/>
      </c>
      <c r="J999" s="65">
        <f>ROUND(SUMIF(Consumo!$P$4:$P$189,"#"&amp;$A999,Consumo!M$4:M$189),4)</f>
        <v/>
      </c>
      <c r="K999" s="65">
        <f>ROUND(SUMIF(Consumo!$P$4:$P$189,"#"&amp;$A999,Consumo!N$4:N$189),4)</f>
        <v/>
      </c>
      <c r="L999" s="65">
        <f>ROUND(SUMIF(Consumo!$P$4:$P$189,"#"&amp;$A999,Consumo!O$4:O$189),4)</f>
        <v/>
      </c>
      <c r="M999" s="66" t="n"/>
    </row>
    <row r="1000">
      <c r="C1000" s="63" t="inlineStr">
        <is>
          <t>Recepciones programadas (ya pedido)</t>
        </is>
      </c>
      <c r="D1000" s="64" t="n"/>
      <c r="E1000" s="65">
        <f>SUMIF(Inventario!$M$5:$M$505,"#"&amp;$A999,Inventario!E$5:E$505)</f>
        <v/>
      </c>
      <c r="F1000" s="65">
        <f>SUMIF(Inventario!$M$5:$M$505,"#"&amp;$A999,Inventario!F$5:F$505)</f>
        <v/>
      </c>
      <c r="G1000" s="65">
        <f>SUMIF(Inventario!$M$5:$M$505,"#"&amp;$A999,Inventario!G$5:G$505)</f>
        <v/>
      </c>
      <c r="H1000" s="65">
        <f>SUMIF(Inventario!$M$5:$M$505,"#"&amp;$A999,Inventario!H$5:H$505)</f>
        <v/>
      </c>
      <c r="I1000" s="65">
        <f>SUMIF(Inventario!$M$5:$M$505,"#"&amp;$A999,Inventario!I$5:I$505)</f>
        <v/>
      </c>
      <c r="J1000" s="65">
        <f>SUMIF(Inventario!$M$5:$M$505,"#"&amp;$A999,Inventario!J$5:J$505)</f>
        <v/>
      </c>
      <c r="K1000" s="65">
        <f>SUMIF(Inventario!$M$5:$M$505,"#"&amp;$A999,Inventario!K$5:K$505)</f>
        <v/>
      </c>
      <c r="L1000" s="65">
        <f>SUMIF(Inventario!$M$5:$M$505,"#"&amp;$A999,Inventario!L$5:L$505)</f>
        <v/>
      </c>
      <c r="M1000" s="66" t="n"/>
    </row>
    <row r="1001">
      <c r="C1001" s="63" t="inlineStr">
        <is>
          <t>Stock proyectado disponible</t>
        </is>
      </c>
      <c r="D1001" s="67">
        <f>SUMIF(Inventario!$M$5:$M$505,"#"&amp;$A999,Inventario!$C$5:$C$505)</f>
        <v/>
      </c>
      <c r="E1001" s="68">
        <f>D1001+E1000+E1003-E999</f>
        <v/>
      </c>
      <c r="F1001" s="68">
        <f>E1001+F1000+F1003-F999</f>
        <v/>
      </c>
      <c r="G1001" s="68">
        <f>F1001+G1000+G1003-G999</f>
        <v/>
      </c>
      <c r="H1001" s="68">
        <f>G1001+H1000+H1003-H999</f>
        <v/>
      </c>
      <c r="I1001" s="68">
        <f>H1001+I1000+I1003-I999</f>
        <v/>
      </c>
      <c r="J1001" s="68">
        <f>I1001+J1000+J1003-J999</f>
        <v/>
      </c>
      <c r="K1001" s="68">
        <f>J1001+K1000+K1003-K999</f>
        <v/>
      </c>
      <c r="L1001" s="68">
        <f>K1001+L1000+L1003-L999</f>
        <v/>
      </c>
      <c r="M1001" s="66" t="n"/>
    </row>
    <row r="1002">
      <c r="C1002" s="63" t="inlineStr">
        <is>
          <t>Necesidad neta</t>
        </is>
      </c>
      <c r="D1002" s="64" t="n"/>
      <c r="E1002" s="69">
        <f>MAX(0,ROUND(E999+Materiales!$H$146-D1001-E1000,4))</f>
        <v/>
      </c>
      <c r="F1002" s="69">
        <f>MAX(0,ROUND(F999+Materiales!$H$146-E1001-F1000,4))</f>
        <v/>
      </c>
      <c r="G1002" s="69">
        <f>MAX(0,ROUND(G999+Materiales!$H$146-F1001-G1000,4))</f>
        <v/>
      </c>
      <c r="H1002" s="69">
        <f>MAX(0,ROUND(H999+Materiales!$H$146-G1001-H1000,4))</f>
        <v/>
      </c>
      <c r="I1002" s="69">
        <f>MAX(0,ROUND(I999+Materiales!$H$146-H1001-I1000,4))</f>
        <v/>
      </c>
      <c r="J1002" s="69">
        <f>MAX(0,ROUND(J999+Materiales!$H$146-I1001-J1000,4))</f>
        <v/>
      </c>
      <c r="K1002" s="69">
        <f>MAX(0,ROUND(K999+Materiales!$H$146-J1001-K1000,4))</f>
        <v/>
      </c>
      <c r="L1002" s="69">
        <f>MAX(0,ROUND(L999+Materiales!$H$146-K1001-L1000,4))</f>
        <v/>
      </c>
      <c r="M1002" s="66" t="n"/>
    </row>
    <row r="1003">
      <c r="C1003" s="63" t="inlineStr">
        <is>
          <t>Recepcion de orden planificada</t>
        </is>
      </c>
      <c r="D1003" s="64" t="n"/>
      <c r="E1003" s="65">
        <f>IF(E1002&lt;=0,0,IF(Materiales!$G$146&lt;=0,E1002,ROUNDUP(E1002/Materiales!$G$146,0)*Materiales!$G$146))</f>
        <v/>
      </c>
      <c r="F1003" s="65">
        <f>IF(F1002&lt;=0,0,IF(Materiales!$G$146&lt;=0,F1002,ROUNDUP(F1002/Materiales!$G$146,0)*Materiales!$G$146))</f>
        <v/>
      </c>
      <c r="G1003" s="65">
        <f>IF(G1002&lt;=0,0,IF(Materiales!$G$146&lt;=0,G1002,ROUNDUP(G1002/Materiales!$G$146,0)*Materiales!$G$146))</f>
        <v/>
      </c>
      <c r="H1003" s="65">
        <f>IF(H1002&lt;=0,0,IF(Materiales!$G$146&lt;=0,H1002,ROUNDUP(H1002/Materiales!$G$146,0)*Materiales!$G$146))</f>
        <v/>
      </c>
      <c r="I1003" s="65">
        <f>IF(I1002&lt;=0,0,IF(Materiales!$G$146&lt;=0,I1002,ROUNDUP(I1002/Materiales!$G$146,0)*Materiales!$G$146))</f>
        <v/>
      </c>
      <c r="J1003" s="65">
        <f>IF(J1002&lt;=0,0,IF(Materiales!$G$146&lt;=0,J1002,ROUNDUP(J1002/Materiales!$G$146,0)*Materiales!$G$146))</f>
        <v/>
      </c>
      <c r="K1003" s="65">
        <f>IF(K1002&lt;=0,0,IF(Materiales!$G$146&lt;=0,K1002,ROUNDUP(K1002/Materiales!$G$146,0)*Materiales!$G$146))</f>
        <v/>
      </c>
      <c r="L1003" s="65">
        <f>IF(L1002&lt;=0,0,IF(Materiales!$G$146&lt;=0,L1002,ROUNDUP(L1002/Materiales!$G$146,0)*Materiales!$G$146))</f>
        <v/>
      </c>
      <c r="M1003" s="66" t="n"/>
    </row>
    <row r="1004">
      <c r="C1004" s="70" t="inlineStr">
        <is>
          <t>LANZAMIENTO DE ORDEN — pedir esta semana</t>
        </is>
      </c>
      <c r="D1004" s="64" t="n"/>
      <c r="E1004" s="71">
        <f>IF(1+Materiales!$F$146&gt;8,0,INDEX($E$1003:$L$1003,1,1+Materiales!$F$146))</f>
        <v/>
      </c>
      <c r="F1004" s="71">
        <f>IF(2+Materiales!$F$146&gt;8,0,INDEX($E$1003:$L$1003,1,2+Materiales!$F$146))</f>
        <v/>
      </c>
      <c r="G1004" s="71">
        <f>IF(3+Materiales!$F$146&gt;8,0,INDEX($E$1003:$L$1003,1,3+Materiales!$F$146))</f>
        <v/>
      </c>
      <c r="H1004" s="71">
        <f>IF(4+Materiales!$F$146&gt;8,0,INDEX($E$1003:$L$1003,1,4+Materiales!$F$146))</f>
        <v/>
      </c>
      <c r="I1004" s="71">
        <f>IF(5+Materiales!$F$146&gt;8,0,INDEX($E$1003:$L$1003,1,5+Materiales!$F$146))</f>
        <v/>
      </c>
      <c r="J1004" s="71">
        <f>IF(6+Materiales!$F$146&gt;8,0,INDEX($E$1003:$L$1003,1,6+Materiales!$F$146))</f>
        <v/>
      </c>
      <c r="K1004" s="71">
        <f>IF(7+Materiales!$F$146&gt;8,0,INDEX($E$1003:$L$1003,1,7+Materiales!$F$146))</f>
        <v/>
      </c>
      <c r="L1004" s="71">
        <f>IF(8+Materiales!$F$146&gt;8,0,INDEX($E$1003:$L$1003,1,8+Materiales!$F$146))</f>
        <v/>
      </c>
      <c r="M1004" s="72">
        <f>IF($A999="","",IF(SUMPRODUCT((COLUMN($E$1003:$L$1003)-4&lt;=Materiales!$F$146)*$E$1003:$L$1003)&gt;0,"PEDIR YA (atrasado)","OK"))</f>
        <v/>
      </c>
    </row>
    <row r="1005" ht="6" customHeight="1"/>
    <row r="1006">
      <c r="A1006" s="62">
        <f>IF(Materiales!$A$147="","",Materiales!$A$147)</f>
        <v/>
      </c>
      <c r="B1006" s="62">
        <f>IF(Materiales!$B$147="","",Materiales!$B$147)</f>
        <v/>
      </c>
      <c r="C1006" s="63" t="inlineStr">
        <is>
          <t>Necesidad bruta</t>
        </is>
      </c>
      <c r="D1006" s="64" t="n"/>
      <c r="E1006" s="65">
        <f>ROUND(SUMIF(Consumo!$P$4:$P$189,"#"&amp;$A1006,Consumo!H$4:H$189),4)</f>
        <v/>
      </c>
      <c r="F1006" s="65">
        <f>ROUND(SUMIF(Consumo!$P$4:$P$189,"#"&amp;$A1006,Consumo!I$4:I$189),4)</f>
        <v/>
      </c>
      <c r="G1006" s="65">
        <f>ROUND(SUMIF(Consumo!$P$4:$P$189,"#"&amp;$A1006,Consumo!J$4:J$189),4)</f>
        <v/>
      </c>
      <c r="H1006" s="65">
        <f>ROUND(SUMIF(Consumo!$P$4:$P$189,"#"&amp;$A1006,Consumo!K$4:K$189),4)</f>
        <v/>
      </c>
      <c r="I1006" s="65">
        <f>ROUND(SUMIF(Consumo!$P$4:$P$189,"#"&amp;$A1006,Consumo!L$4:L$189),4)</f>
        <v/>
      </c>
      <c r="J1006" s="65">
        <f>ROUND(SUMIF(Consumo!$P$4:$P$189,"#"&amp;$A1006,Consumo!M$4:M$189),4)</f>
        <v/>
      </c>
      <c r="K1006" s="65">
        <f>ROUND(SUMIF(Consumo!$P$4:$P$189,"#"&amp;$A1006,Consumo!N$4:N$189),4)</f>
        <v/>
      </c>
      <c r="L1006" s="65">
        <f>ROUND(SUMIF(Consumo!$P$4:$P$189,"#"&amp;$A1006,Consumo!O$4:O$189),4)</f>
        <v/>
      </c>
      <c r="M1006" s="66" t="n"/>
    </row>
    <row r="1007">
      <c r="C1007" s="63" t="inlineStr">
        <is>
          <t>Recepciones programadas (ya pedido)</t>
        </is>
      </c>
      <c r="D1007" s="64" t="n"/>
      <c r="E1007" s="65">
        <f>SUMIF(Inventario!$M$5:$M$505,"#"&amp;$A1006,Inventario!E$5:E$505)</f>
        <v/>
      </c>
      <c r="F1007" s="65">
        <f>SUMIF(Inventario!$M$5:$M$505,"#"&amp;$A1006,Inventario!F$5:F$505)</f>
        <v/>
      </c>
      <c r="G1007" s="65">
        <f>SUMIF(Inventario!$M$5:$M$505,"#"&amp;$A1006,Inventario!G$5:G$505)</f>
        <v/>
      </c>
      <c r="H1007" s="65">
        <f>SUMIF(Inventario!$M$5:$M$505,"#"&amp;$A1006,Inventario!H$5:H$505)</f>
        <v/>
      </c>
      <c r="I1007" s="65">
        <f>SUMIF(Inventario!$M$5:$M$505,"#"&amp;$A1006,Inventario!I$5:I$505)</f>
        <v/>
      </c>
      <c r="J1007" s="65">
        <f>SUMIF(Inventario!$M$5:$M$505,"#"&amp;$A1006,Inventario!J$5:J$505)</f>
        <v/>
      </c>
      <c r="K1007" s="65">
        <f>SUMIF(Inventario!$M$5:$M$505,"#"&amp;$A1006,Inventario!K$5:K$505)</f>
        <v/>
      </c>
      <c r="L1007" s="65">
        <f>SUMIF(Inventario!$M$5:$M$505,"#"&amp;$A1006,Inventario!L$5:L$505)</f>
        <v/>
      </c>
      <c r="M1007" s="66" t="n"/>
    </row>
    <row r="1008">
      <c r="C1008" s="63" t="inlineStr">
        <is>
          <t>Stock proyectado disponible</t>
        </is>
      </c>
      <c r="D1008" s="67">
        <f>SUMIF(Inventario!$M$5:$M$505,"#"&amp;$A1006,Inventario!$C$5:$C$505)</f>
        <v/>
      </c>
      <c r="E1008" s="68">
        <f>D1008+E1007+E1010-E1006</f>
        <v/>
      </c>
      <c r="F1008" s="68">
        <f>E1008+F1007+F1010-F1006</f>
        <v/>
      </c>
      <c r="G1008" s="68">
        <f>F1008+G1007+G1010-G1006</f>
        <v/>
      </c>
      <c r="H1008" s="68">
        <f>G1008+H1007+H1010-H1006</f>
        <v/>
      </c>
      <c r="I1008" s="68">
        <f>H1008+I1007+I1010-I1006</f>
        <v/>
      </c>
      <c r="J1008" s="68">
        <f>I1008+J1007+J1010-J1006</f>
        <v/>
      </c>
      <c r="K1008" s="68">
        <f>J1008+K1007+K1010-K1006</f>
        <v/>
      </c>
      <c r="L1008" s="68">
        <f>K1008+L1007+L1010-L1006</f>
        <v/>
      </c>
      <c r="M1008" s="66" t="n"/>
    </row>
    <row r="1009">
      <c r="C1009" s="63" t="inlineStr">
        <is>
          <t>Necesidad neta</t>
        </is>
      </c>
      <c r="D1009" s="64" t="n"/>
      <c r="E1009" s="69">
        <f>MAX(0,ROUND(E1006+Materiales!$H$147-D1008-E1007,4))</f>
        <v/>
      </c>
      <c r="F1009" s="69">
        <f>MAX(0,ROUND(F1006+Materiales!$H$147-E1008-F1007,4))</f>
        <v/>
      </c>
      <c r="G1009" s="69">
        <f>MAX(0,ROUND(G1006+Materiales!$H$147-F1008-G1007,4))</f>
        <v/>
      </c>
      <c r="H1009" s="69">
        <f>MAX(0,ROUND(H1006+Materiales!$H$147-G1008-H1007,4))</f>
        <v/>
      </c>
      <c r="I1009" s="69">
        <f>MAX(0,ROUND(I1006+Materiales!$H$147-H1008-I1007,4))</f>
        <v/>
      </c>
      <c r="J1009" s="69">
        <f>MAX(0,ROUND(J1006+Materiales!$H$147-I1008-J1007,4))</f>
        <v/>
      </c>
      <c r="K1009" s="69">
        <f>MAX(0,ROUND(K1006+Materiales!$H$147-J1008-K1007,4))</f>
        <v/>
      </c>
      <c r="L1009" s="69">
        <f>MAX(0,ROUND(L1006+Materiales!$H$147-K1008-L1007,4))</f>
        <v/>
      </c>
      <c r="M1009" s="66" t="n"/>
    </row>
    <row r="1010">
      <c r="C1010" s="63" t="inlineStr">
        <is>
          <t>Recepcion de orden planificada</t>
        </is>
      </c>
      <c r="D1010" s="64" t="n"/>
      <c r="E1010" s="65">
        <f>IF(E1009&lt;=0,0,IF(Materiales!$G$147&lt;=0,E1009,ROUNDUP(E1009/Materiales!$G$147,0)*Materiales!$G$147))</f>
        <v/>
      </c>
      <c r="F1010" s="65">
        <f>IF(F1009&lt;=0,0,IF(Materiales!$G$147&lt;=0,F1009,ROUNDUP(F1009/Materiales!$G$147,0)*Materiales!$G$147))</f>
        <v/>
      </c>
      <c r="G1010" s="65">
        <f>IF(G1009&lt;=0,0,IF(Materiales!$G$147&lt;=0,G1009,ROUNDUP(G1009/Materiales!$G$147,0)*Materiales!$G$147))</f>
        <v/>
      </c>
      <c r="H1010" s="65">
        <f>IF(H1009&lt;=0,0,IF(Materiales!$G$147&lt;=0,H1009,ROUNDUP(H1009/Materiales!$G$147,0)*Materiales!$G$147))</f>
        <v/>
      </c>
      <c r="I1010" s="65">
        <f>IF(I1009&lt;=0,0,IF(Materiales!$G$147&lt;=0,I1009,ROUNDUP(I1009/Materiales!$G$147,0)*Materiales!$G$147))</f>
        <v/>
      </c>
      <c r="J1010" s="65">
        <f>IF(J1009&lt;=0,0,IF(Materiales!$G$147&lt;=0,J1009,ROUNDUP(J1009/Materiales!$G$147,0)*Materiales!$G$147))</f>
        <v/>
      </c>
      <c r="K1010" s="65">
        <f>IF(K1009&lt;=0,0,IF(Materiales!$G$147&lt;=0,K1009,ROUNDUP(K1009/Materiales!$G$147,0)*Materiales!$G$147))</f>
        <v/>
      </c>
      <c r="L1010" s="65">
        <f>IF(L1009&lt;=0,0,IF(Materiales!$G$147&lt;=0,L1009,ROUNDUP(L1009/Materiales!$G$147,0)*Materiales!$G$147))</f>
        <v/>
      </c>
      <c r="M1010" s="66" t="n"/>
    </row>
    <row r="1011">
      <c r="C1011" s="70" t="inlineStr">
        <is>
          <t>LANZAMIENTO DE ORDEN — pedir esta semana</t>
        </is>
      </c>
      <c r="D1011" s="64" t="n"/>
      <c r="E1011" s="71">
        <f>IF(1+Materiales!$F$147&gt;8,0,INDEX($E$1010:$L$1010,1,1+Materiales!$F$147))</f>
        <v/>
      </c>
      <c r="F1011" s="71">
        <f>IF(2+Materiales!$F$147&gt;8,0,INDEX($E$1010:$L$1010,1,2+Materiales!$F$147))</f>
        <v/>
      </c>
      <c r="G1011" s="71">
        <f>IF(3+Materiales!$F$147&gt;8,0,INDEX($E$1010:$L$1010,1,3+Materiales!$F$147))</f>
        <v/>
      </c>
      <c r="H1011" s="71">
        <f>IF(4+Materiales!$F$147&gt;8,0,INDEX($E$1010:$L$1010,1,4+Materiales!$F$147))</f>
        <v/>
      </c>
      <c r="I1011" s="71">
        <f>IF(5+Materiales!$F$147&gt;8,0,INDEX($E$1010:$L$1010,1,5+Materiales!$F$147))</f>
        <v/>
      </c>
      <c r="J1011" s="71">
        <f>IF(6+Materiales!$F$147&gt;8,0,INDEX($E$1010:$L$1010,1,6+Materiales!$F$147))</f>
        <v/>
      </c>
      <c r="K1011" s="71">
        <f>IF(7+Materiales!$F$147&gt;8,0,INDEX($E$1010:$L$1010,1,7+Materiales!$F$147))</f>
        <v/>
      </c>
      <c r="L1011" s="71">
        <f>IF(8+Materiales!$F$147&gt;8,0,INDEX($E$1010:$L$1010,1,8+Materiales!$F$147))</f>
        <v/>
      </c>
      <c r="M1011" s="72">
        <f>IF($A1006="","",IF(SUMPRODUCT((COLUMN($E$1010:$L$1010)-4&lt;=Materiales!$F$147)*$E$1010:$L$1010)&gt;0,"PEDIR YA (atrasado)","OK"))</f>
        <v/>
      </c>
    </row>
    <row r="1012" ht="6" customHeight="1"/>
    <row r="1013">
      <c r="A1013" s="62">
        <f>IF(Materiales!$A$148="","",Materiales!$A$148)</f>
        <v/>
      </c>
      <c r="B1013" s="62">
        <f>IF(Materiales!$B$148="","",Materiales!$B$148)</f>
        <v/>
      </c>
      <c r="C1013" s="63" t="inlineStr">
        <is>
          <t>Necesidad bruta</t>
        </is>
      </c>
      <c r="D1013" s="64" t="n"/>
      <c r="E1013" s="65">
        <f>ROUND(SUMIF(Consumo!$P$4:$P$189,"#"&amp;$A1013,Consumo!H$4:H$189),4)</f>
        <v/>
      </c>
      <c r="F1013" s="65">
        <f>ROUND(SUMIF(Consumo!$P$4:$P$189,"#"&amp;$A1013,Consumo!I$4:I$189),4)</f>
        <v/>
      </c>
      <c r="G1013" s="65">
        <f>ROUND(SUMIF(Consumo!$P$4:$P$189,"#"&amp;$A1013,Consumo!J$4:J$189),4)</f>
        <v/>
      </c>
      <c r="H1013" s="65">
        <f>ROUND(SUMIF(Consumo!$P$4:$P$189,"#"&amp;$A1013,Consumo!K$4:K$189),4)</f>
        <v/>
      </c>
      <c r="I1013" s="65">
        <f>ROUND(SUMIF(Consumo!$P$4:$P$189,"#"&amp;$A1013,Consumo!L$4:L$189),4)</f>
        <v/>
      </c>
      <c r="J1013" s="65">
        <f>ROUND(SUMIF(Consumo!$P$4:$P$189,"#"&amp;$A1013,Consumo!M$4:M$189),4)</f>
        <v/>
      </c>
      <c r="K1013" s="65">
        <f>ROUND(SUMIF(Consumo!$P$4:$P$189,"#"&amp;$A1013,Consumo!N$4:N$189),4)</f>
        <v/>
      </c>
      <c r="L1013" s="65">
        <f>ROUND(SUMIF(Consumo!$P$4:$P$189,"#"&amp;$A1013,Consumo!O$4:O$189),4)</f>
        <v/>
      </c>
      <c r="M1013" s="66" t="n"/>
    </row>
    <row r="1014">
      <c r="C1014" s="63" t="inlineStr">
        <is>
          <t>Recepciones programadas (ya pedido)</t>
        </is>
      </c>
      <c r="D1014" s="64" t="n"/>
      <c r="E1014" s="65">
        <f>SUMIF(Inventario!$M$5:$M$505,"#"&amp;$A1013,Inventario!E$5:E$505)</f>
        <v/>
      </c>
      <c r="F1014" s="65">
        <f>SUMIF(Inventario!$M$5:$M$505,"#"&amp;$A1013,Inventario!F$5:F$505)</f>
        <v/>
      </c>
      <c r="G1014" s="65">
        <f>SUMIF(Inventario!$M$5:$M$505,"#"&amp;$A1013,Inventario!G$5:G$505)</f>
        <v/>
      </c>
      <c r="H1014" s="65">
        <f>SUMIF(Inventario!$M$5:$M$505,"#"&amp;$A1013,Inventario!H$5:H$505)</f>
        <v/>
      </c>
      <c r="I1014" s="65">
        <f>SUMIF(Inventario!$M$5:$M$505,"#"&amp;$A1013,Inventario!I$5:I$505)</f>
        <v/>
      </c>
      <c r="J1014" s="65">
        <f>SUMIF(Inventario!$M$5:$M$505,"#"&amp;$A1013,Inventario!J$5:J$505)</f>
        <v/>
      </c>
      <c r="K1014" s="65">
        <f>SUMIF(Inventario!$M$5:$M$505,"#"&amp;$A1013,Inventario!K$5:K$505)</f>
        <v/>
      </c>
      <c r="L1014" s="65">
        <f>SUMIF(Inventario!$M$5:$M$505,"#"&amp;$A1013,Inventario!L$5:L$505)</f>
        <v/>
      </c>
      <c r="M1014" s="66" t="n"/>
    </row>
    <row r="1015">
      <c r="C1015" s="63" t="inlineStr">
        <is>
          <t>Stock proyectado disponible</t>
        </is>
      </c>
      <c r="D1015" s="67">
        <f>SUMIF(Inventario!$M$5:$M$505,"#"&amp;$A1013,Inventario!$C$5:$C$505)</f>
        <v/>
      </c>
      <c r="E1015" s="68">
        <f>D1015+E1014+E1017-E1013</f>
        <v/>
      </c>
      <c r="F1015" s="68">
        <f>E1015+F1014+F1017-F1013</f>
        <v/>
      </c>
      <c r="G1015" s="68">
        <f>F1015+G1014+G1017-G1013</f>
        <v/>
      </c>
      <c r="H1015" s="68">
        <f>G1015+H1014+H1017-H1013</f>
        <v/>
      </c>
      <c r="I1015" s="68">
        <f>H1015+I1014+I1017-I1013</f>
        <v/>
      </c>
      <c r="J1015" s="68">
        <f>I1015+J1014+J1017-J1013</f>
        <v/>
      </c>
      <c r="K1015" s="68">
        <f>J1015+K1014+K1017-K1013</f>
        <v/>
      </c>
      <c r="L1015" s="68">
        <f>K1015+L1014+L1017-L1013</f>
        <v/>
      </c>
      <c r="M1015" s="66" t="n"/>
    </row>
    <row r="1016">
      <c r="C1016" s="63" t="inlineStr">
        <is>
          <t>Necesidad neta</t>
        </is>
      </c>
      <c r="D1016" s="64" t="n"/>
      <c r="E1016" s="69">
        <f>MAX(0,ROUND(E1013+Materiales!$H$148-D1015-E1014,4))</f>
        <v/>
      </c>
      <c r="F1016" s="69">
        <f>MAX(0,ROUND(F1013+Materiales!$H$148-E1015-F1014,4))</f>
        <v/>
      </c>
      <c r="G1016" s="69">
        <f>MAX(0,ROUND(G1013+Materiales!$H$148-F1015-G1014,4))</f>
        <v/>
      </c>
      <c r="H1016" s="69">
        <f>MAX(0,ROUND(H1013+Materiales!$H$148-G1015-H1014,4))</f>
        <v/>
      </c>
      <c r="I1016" s="69">
        <f>MAX(0,ROUND(I1013+Materiales!$H$148-H1015-I1014,4))</f>
        <v/>
      </c>
      <c r="J1016" s="69">
        <f>MAX(0,ROUND(J1013+Materiales!$H$148-I1015-J1014,4))</f>
        <v/>
      </c>
      <c r="K1016" s="69">
        <f>MAX(0,ROUND(K1013+Materiales!$H$148-J1015-K1014,4))</f>
        <v/>
      </c>
      <c r="L1016" s="69">
        <f>MAX(0,ROUND(L1013+Materiales!$H$148-K1015-L1014,4))</f>
        <v/>
      </c>
      <c r="M1016" s="66" t="n"/>
    </row>
    <row r="1017">
      <c r="C1017" s="63" t="inlineStr">
        <is>
          <t>Recepcion de orden planificada</t>
        </is>
      </c>
      <c r="D1017" s="64" t="n"/>
      <c r="E1017" s="65">
        <f>IF(E1016&lt;=0,0,IF(Materiales!$G$148&lt;=0,E1016,ROUNDUP(E1016/Materiales!$G$148,0)*Materiales!$G$148))</f>
        <v/>
      </c>
      <c r="F1017" s="65">
        <f>IF(F1016&lt;=0,0,IF(Materiales!$G$148&lt;=0,F1016,ROUNDUP(F1016/Materiales!$G$148,0)*Materiales!$G$148))</f>
        <v/>
      </c>
      <c r="G1017" s="65">
        <f>IF(G1016&lt;=0,0,IF(Materiales!$G$148&lt;=0,G1016,ROUNDUP(G1016/Materiales!$G$148,0)*Materiales!$G$148))</f>
        <v/>
      </c>
      <c r="H1017" s="65">
        <f>IF(H1016&lt;=0,0,IF(Materiales!$G$148&lt;=0,H1016,ROUNDUP(H1016/Materiales!$G$148,0)*Materiales!$G$148))</f>
        <v/>
      </c>
      <c r="I1017" s="65">
        <f>IF(I1016&lt;=0,0,IF(Materiales!$G$148&lt;=0,I1016,ROUNDUP(I1016/Materiales!$G$148,0)*Materiales!$G$148))</f>
        <v/>
      </c>
      <c r="J1017" s="65">
        <f>IF(J1016&lt;=0,0,IF(Materiales!$G$148&lt;=0,J1016,ROUNDUP(J1016/Materiales!$G$148,0)*Materiales!$G$148))</f>
        <v/>
      </c>
      <c r="K1017" s="65">
        <f>IF(K1016&lt;=0,0,IF(Materiales!$G$148&lt;=0,K1016,ROUNDUP(K1016/Materiales!$G$148,0)*Materiales!$G$148))</f>
        <v/>
      </c>
      <c r="L1017" s="65">
        <f>IF(L1016&lt;=0,0,IF(Materiales!$G$148&lt;=0,L1016,ROUNDUP(L1016/Materiales!$G$148,0)*Materiales!$G$148))</f>
        <v/>
      </c>
      <c r="M1017" s="66" t="n"/>
    </row>
    <row r="1018">
      <c r="C1018" s="70" t="inlineStr">
        <is>
          <t>LANZAMIENTO DE ORDEN — pedir esta semana</t>
        </is>
      </c>
      <c r="D1018" s="64" t="n"/>
      <c r="E1018" s="71">
        <f>IF(1+Materiales!$F$148&gt;8,0,INDEX($E$1017:$L$1017,1,1+Materiales!$F$148))</f>
        <v/>
      </c>
      <c r="F1018" s="71">
        <f>IF(2+Materiales!$F$148&gt;8,0,INDEX($E$1017:$L$1017,1,2+Materiales!$F$148))</f>
        <v/>
      </c>
      <c r="G1018" s="71">
        <f>IF(3+Materiales!$F$148&gt;8,0,INDEX($E$1017:$L$1017,1,3+Materiales!$F$148))</f>
        <v/>
      </c>
      <c r="H1018" s="71">
        <f>IF(4+Materiales!$F$148&gt;8,0,INDEX($E$1017:$L$1017,1,4+Materiales!$F$148))</f>
        <v/>
      </c>
      <c r="I1018" s="71">
        <f>IF(5+Materiales!$F$148&gt;8,0,INDEX($E$1017:$L$1017,1,5+Materiales!$F$148))</f>
        <v/>
      </c>
      <c r="J1018" s="71">
        <f>IF(6+Materiales!$F$148&gt;8,0,INDEX($E$1017:$L$1017,1,6+Materiales!$F$148))</f>
        <v/>
      </c>
      <c r="K1018" s="71">
        <f>IF(7+Materiales!$F$148&gt;8,0,INDEX($E$1017:$L$1017,1,7+Materiales!$F$148))</f>
        <v/>
      </c>
      <c r="L1018" s="71">
        <f>IF(8+Materiales!$F$148&gt;8,0,INDEX($E$1017:$L$1017,1,8+Materiales!$F$148))</f>
        <v/>
      </c>
      <c r="M1018" s="72">
        <f>IF($A1013="","",IF(SUMPRODUCT((COLUMN($E$1017:$L$1017)-4&lt;=Materiales!$F$148)*$E$1017:$L$1017)&gt;0,"PEDIR YA (atrasado)","OK"))</f>
        <v/>
      </c>
    </row>
    <row r="1019" ht="6" customHeight="1"/>
    <row r="1020">
      <c r="A1020" s="62">
        <f>IF(Materiales!$A$149="","",Materiales!$A$149)</f>
        <v/>
      </c>
      <c r="B1020" s="62">
        <f>IF(Materiales!$B$149="","",Materiales!$B$149)</f>
        <v/>
      </c>
      <c r="C1020" s="63" t="inlineStr">
        <is>
          <t>Necesidad bruta</t>
        </is>
      </c>
      <c r="D1020" s="64" t="n"/>
      <c r="E1020" s="65">
        <f>ROUND(SUMIF(Consumo!$P$4:$P$189,"#"&amp;$A1020,Consumo!H$4:H$189),4)</f>
        <v/>
      </c>
      <c r="F1020" s="65">
        <f>ROUND(SUMIF(Consumo!$P$4:$P$189,"#"&amp;$A1020,Consumo!I$4:I$189),4)</f>
        <v/>
      </c>
      <c r="G1020" s="65">
        <f>ROUND(SUMIF(Consumo!$P$4:$P$189,"#"&amp;$A1020,Consumo!J$4:J$189),4)</f>
        <v/>
      </c>
      <c r="H1020" s="65">
        <f>ROUND(SUMIF(Consumo!$P$4:$P$189,"#"&amp;$A1020,Consumo!K$4:K$189),4)</f>
        <v/>
      </c>
      <c r="I1020" s="65">
        <f>ROUND(SUMIF(Consumo!$P$4:$P$189,"#"&amp;$A1020,Consumo!L$4:L$189),4)</f>
        <v/>
      </c>
      <c r="J1020" s="65">
        <f>ROUND(SUMIF(Consumo!$P$4:$P$189,"#"&amp;$A1020,Consumo!M$4:M$189),4)</f>
        <v/>
      </c>
      <c r="K1020" s="65">
        <f>ROUND(SUMIF(Consumo!$P$4:$P$189,"#"&amp;$A1020,Consumo!N$4:N$189),4)</f>
        <v/>
      </c>
      <c r="L1020" s="65">
        <f>ROUND(SUMIF(Consumo!$P$4:$P$189,"#"&amp;$A1020,Consumo!O$4:O$189),4)</f>
        <v/>
      </c>
      <c r="M1020" s="66" t="n"/>
    </row>
    <row r="1021">
      <c r="C1021" s="63" t="inlineStr">
        <is>
          <t>Recepciones programadas (ya pedido)</t>
        </is>
      </c>
      <c r="D1021" s="64" t="n"/>
      <c r="E1021" s="65">
        <f>SUMIF(Inventario!$M$5:$M$505,"#"&amp;$A1020,Inventario!E$5:E$505)</f>
        <v/>
      </c>
      <c r="F1021" s="65">
        <f>SUMIF(Inventario!$M$5:$M$505,"#"&amp;$A1020,Inventario!F$5:F$505)</f>
        <v/>
      </c>
      <c r="G1021" s="65">
        <f>SUMIF(Inventario!$M$5:$M$505,"#"&amp;$A1020,Inventario!G$5:G$505)</f>
        <v/>
      </c>
      <c r="H1021" s="65">
        <f>SUMIF(Inventario!$M$5:$M$505,"#"&amp;$A1020,Inventario!H$5:H$505)</f>
        <v/>
      </c>
      <c r="I1021" s="65">
        <f>SUMIF(Inventario!$M$5:$M$505,"#"&amp;$A1020,Inventario!I$5:I$505)</f>
        <v/>
      </c>
      <c r="J1021" s="65">
        <f>SUMIF(Inventario!$M$5:$M$505,"#"&amp;$A1020,Inventario!J$5:J$505)</f>
        <v/>
      </c>
      <c r="K1021" s="65">
        <f>SUMIF(Inventario!$M$5:$M$505,"#"&amp;$A1020,Inventario!K$5:K$505)</f>
        <v/>
      </c>
      <c r="L1021" s="65">
        <f>SUMIF(Inventario!$M$5:$M$505,"#"&amp;$A1020,Inventario!L$5:L$505)</f>
        <v/>
      </c>
      <c r="M1021" s="66" t="n"/>
    </row>
    <row r="1022">
      <c r="C1022" s="63" t="inlineStr">
        <is>
          <t>Stock proyectado disponible</t>
        </is>
      </c>
      <c r="D1022" s="67">
        <f>SUMIF(Inventario!$M$5:$M$505,"#"&amp;$A1020,Inventario!$C$5:$C$505)</f>
        <v/>
      </c>
      <c r="E1022" s="68">
        <f>D1022+E1021+E1024-E1020</f>
        <v/>
      </c>
      <c r="F1022" s="68">
        <f>E1022+F1021+F1024-F1020</f>
        <v/>
      </c>
      <c r="G1022" s="68">
        <f>F1022+G1021+G1024-G1020</f>
        <v/>
      </c>
      <c r="H1022" s="68">
        <f>G1022+H1021+H1024-H1020</f>
        <v/>
      </c>
      <c r="I1022" s="68">
        <f>H1022+I1021+I1024-I1020</f>
        <v/>
      </c>
      <c r="J1022" s="68">
        <f>I1022+J1021+J1024-J1020</f>
        <v/>
      </c>
      <c r="K1022" s="68">
        <f>J1022+K1021+K1024-K1020</f>
        <v/>
      </c>
      <c r="L1022" s="68">
        <f>K1022+L1021+L1024-L1020</f>
        <v/>
      </c>
      <c r="M1022" s="66" t="n"/>
    </row>
    <row r="1023">
      <c r="C1023" s="63" t="inlineStr">
        <is>
          <t>Necesidad neta</t>
        </is>
      </c>
      <c r="D1023" s="64" t="n"/>
      <c r="E1023" s="69">
        <f>MAX(0,ROUND(E1020+Materiales!$H$149-D1022-E1021,4))</f>
        <v/>
      </c>
      <c r="F1023" s="69">
        <f>MAX(0,ROUND(F1020+Materiales!$H$149-E1022-F1021,4))</f>
        <v/>
      </c>
      <c r="G1023" s="69">
        <f>MAX(0,ROUND(G1020+Materiales!$H$149-F1022-G1021,4))</f>
        <v/>
      </c>
      <c r="H1023" s="69">
        <f>MAX(0,ROUND(H1020+Materiales!$H$149-G1022-H1021,4))</f>
        <v/>
      </c>
      <c r="I1023" s="69">
        <f>MAX(0,ROUND(I1020+Materiales!$H$149-H1022-I1021,4))</f>
        <v/>
      </c>
      <c r="J1023" s="69">
        <f>MAX(0,ROUND(J1020+Materiales!$H$149-I1022-J1021,4))</f>
        <v/>
      </c>
      <c r="K1023" s="69">
        <f>MAX(0,ROUND(K1020+Materiales!$H$149-J1022-K1021,4))</f>
        <v/>
      </c>
      <c r="L1023" s="69">
        <f>MAX(0,ROUND(L1020+Materiales!$H$149-K1022-L1021,4))</f>
        <v/>
      </c>
      <c r="M1023" s="66" t="n"/>
    </row>
    <row r="1024">
      <c r="C1024" s="63" t="inlineStr">
        <is>
          <t>Recepcion de orden planificada</t>
        </is>
      </c>
      <c r="D1024" s="64" t="n"/>
      <c r="E1024" s="65">
        <f>IF(E1023&lt;=0,0,IF(Materiales!$G$149&lt;=0,E1023,ROUNDUP(E1023/Materiales!$G$149,0)*Materiales!$G$149))</f>
        <v/>
      </c>
      <c r="F1024" s="65">
        <f>IF(F1023&lt;=0,0,IF(Materiales!$G$149&lt;=0,F1023,ROUNDUP(F1023/Materiales!$G$149,0)*Materiales!$G$149))</f>
        <v/>
      </c>
      <c r="G1024" s="65">
        <f>IF(G1023&lt;=0,0,IF(Materiales!$G$149&lt;=0,G1023,ROUNDUP(G1023/Materiales!$G$149,0)*Materiales!$G$149))</f>
        <v/>
      </c>
      <c r="H1024" s="65">
        <f>IF(H1023&lt;=0,0,IF(Materiales!$G$149&lt;=0,H1023,ROUNDUP(H1023/Materiales!$G$149,0)*Materiales!$G$149))</f>
        <v/>
      </c>
      <c r="I1024" s="65">
        <f>IF(I1023&lt;=0,0,IF(Materiales!$G$149&lt;=0,I1023,ROUNDUP(I1023/Materiales!$G$149,0)*Materiales!$G$149))</f>
        <v/>
      </c>
      <c r="J1024" s="65">
        <f>IF(J1023&lt;=0,0,IF(Materiales!$G$149&lt;=0,J1023,ROUNDUP(J1023/Materiales!$G$149,0)*Materiales!$G$149))</f>
        <v/>
      </c>
      <c r="K1024" s="65">
        <f>IF(K1023&lt;=0,0,IF(Materiales!$G$149&lt;=0,K1023,ROUNDUP(K1023/Materiales!$G$149,0)*Materiales!$G$149))</f>
        <v/>
      </c>
      <c r="L1024" s="65">
        <f>IF(L1023&lt;=0,0,IF(Materiales!$G$149&lt;=0,L1023,ROUNDUP(L1023/Materiales!$G$149,0)*Materiales!$G$149))</f>
        <v/>
      </c>
      <c r="M1024" s="66" t="n"/>
    </row>
    <row r="1025">
      <c r="C1025" s="70" t="inlineStr">
        <is>
          <t>LANZAMIENTO DE ORDEN — pedir esta semana</t>
        </is>
      </c>
      <c r="D1025" s="64" t="n"/>
      <c r="E1025" s="71">
        <f>IF(1+Materiales!$F$149&gt;8,0,INDEX($E$1024:$L$1024,1,1+Materiales!$F$149))</f>
        <v/>
      </c>
      <c r="F1025" s="71">
        <f>IF(2+Materiales!$F$149&gt;8,0,INDEX($E$1024:$L$1024,1,2+Materiales!$F$149))</f>
        <v/>
      </c>
      <c r="G1025" s="71">
        <f>IF(3+Materiales!$F$149&gt;8,0,INDEX($E$1024:$L$1024,1,3+Materiales!$F$149))</f>
        <v/>
      </c>
      <c r="H1025" s="71">
        <f>IF(4+Materiales!$F$149&gt;8,0,INDEX($E$1024:$L$1024,1,4+Materiales!$F$149))</f>
        <v/>
      </c>
      <c r="I1025" s="71">
        <f>IF(5+Materiales!$F$149&gt;8,0,INDEX($E$1024:$L$1024,1,5+Materiales!$F$149))</f>
        <v/>
      </c>
      <c r="J1025" s="71">
        <f>IF(6+Materiales!$F$149&gt;8,0,INDEX($E$1024:$L$1024,1,6+Materiales!$F$149))</f>
        <v/>
      </c>
      <c r="K1025" s="71">
        <f>IF(7+Materiales!$F$149&gt;8,0,INDEX($E$1024:$L$1024,1,7+Materiales!$F$149))</f>
        <v/>
      </c>
      <c r="L1025" s="71">
        <f>IF(8+Materiales!$F$149&gt;8,0,INDEX($E$1024:$L$1024,1,8+Materiales!$F$149))</f>
        <v/>
      </c>
      <c r="M1025" s="72">
        <f>IF($A1020="","",IF(SUMPRODUCT((COLUMN($E$1024:$L$1024)-4&lt;=Materiales!$F$149)*$E$1024:$L$1024)&gt;0,"PEDIR YA (atrasado)","OK"))</f>
        <v/>
      </c>
    </row>
    <row r="1026" ht="6" customHeight="1"/>
    <row r="1027">
      <c r="A1027" s="62">
        <f>IF(Materiales!$A$150="","",Materiales!$A$150)</f>
        <v/>
      </c>
      <c r="B1027" s="62">
        <f>IF(Materiales!$B$150="","",Materiales!$B$150)</f>
        <v/>
      </c>
      <c r="C1027" s="63" t="inlineStr">
        <is>
          <t>Necesidad bruta</t>
        </is>
      </c>
      <c r="D1027" s="64" t="n"/>
      <c r="E1027" s="65">
        <f>ROUND(SUMIF(Consumo!$P$4:$P$189,"#"&amp;$A1027,Consumo!H$4:H$189),4)</f>
        <v/>
      </c>
      <c r="F1027" s="65">
        <f>ROUND(SUMIF(Consumo!$P$4:$P$189,"#"&amp;$A1027,Consumo!I$4:I$189),4)</f>
        <v/>
      </c>
      <c r="G1027" s="65">
        <f>ROUND(SUMIF(Consumo!$P$4:$P$189,"#"&amp;$A1027,Consumo!J$4:J$189),4)</f>
        <v/>
      </c>
      <c r="H1027" s="65">
        <f>ROUND(SUMIF(Consumo!$P$4:$P$189,"#"&amp;$A1027,Consumo!K$4:K$189),4)</f>
        <v/>
      </c>
      <c r="I1027" s="65">
        <f>ROUND(SUMIF(Consumo!$P$4:$P$189,"#"&amp;$A1027,Consumo!L$4:L$189),4)</f>
        <v/>
      </c>
      <c r="J1027" s="65">
        <f>ROUND(SUMIF(Consumo!$P$4:$P$189,"#"&amp;$A1027,Consumo!M$4:M$189),4)</f>
        <v/>
      </c>
      <c r="K1027" s="65">
        <f>ROUND(SUMIF(Consumo!$P$4:$P$189,"#"&amp;$A1027,Consumo!N$4:N$189),4)</f>
        <v/>
      </c>
      <c r="L1027" s="65">
        <f>ROUND(SUMIF(Consumo!$P$4:$P$189,"#"&amp;$A1027,Consumo!O$4:O$189),4)</f>
        <v/>
      </c>
      <c r="M1027" s="66" t="n"/>
    </row>
    <row r="1028">
      <c r="C1028" s="63" t="inlineStr">
        <is>
          <t>Recepciones programadas (ya pedido)</t>
        </is>
      </c>
      <c r="D1028" s="64" t="n"/>
      <c r="E1028" s="65">
        <f>SUMIF(Inventario!$M$5:$M$505,"#"&amp;$A1027,Inventario!E$5:E$505)</f>
        <v/>
      </c>
      <c r="F1028" s="65">
        <f>SUMIF(Inventario!$M$5:$M$505,"#"&amp;$A1027,Inventario!F$5:F$505)</f>
        <v/>
      </c>
      <c r="G1028" s="65">
        <f>SUMIF(Inventario!$M$5:$M$505,"#"&amp;$A1027,Inventario!G$5:G$505)</f>
        <v/>
      </c>
      <c r="H1028" s="65">
        <f>SUMIF(Inventario!$M$5:$M$505,"#"&amp;$A1027,Inventario!H$5:H$505)</f>
        <v/>
      </c>
      <c r="I1028" s="65">
        <f>SUMIF(Inventario!$M$5:$M$505,"#"&amp;$A1027,Inventario!I$5:I$505)</f>
        <v/>
      </c>
      <c r="J1028" s="65">
        <f>SUMIF(Inventario!$M$5:$M$505,"#"&amp;$A1027,Inventario!J$5:J$505)</f>
        <v/>
      </c>
      <c r="K1028" s="65">
        <f>SUMIF(Inventario!$M$5:$M$505,"#"&amp;$A1027,Inventario!K$5:K$505)</f>
        <v/>
      </c>
      <c r="L1028" s="65">
        <f>SUMIF(Inventario!$M$5:$M$505,"#"&amp;$A1027,Inventario!L$5:L$505)</f>
        <v/>
      </c>
      <c r="M1028" s="66" t="n"/>
    </row>
    <row r="1029">
      <c r="C1029" s="63" t="inlineStr">
        <is>
          <t>Stock proyectado disponible</t>
        </is>
      </c>
      <c r="D1029" s="67">
        <f>SUMIF(Inventario!$M$5:$M$505,"#"&amp;$A1027,Inventario!$C$5:$C$505)</f>
        <v/>
      </c>
      <c r="E1029" s="68">
        <f>D1029+E1028+E1031-E1027</f>
        <v/>
      </c>
      <c r="F1029" s="68">
        <f>E1029+F1028+F1031-F1027</f>
        <v/>
      </c>
      <c r="G1029" s="68">
        <f>F1029+G1028+G1031-G1027</f>
        <v/>
      </c>
      <c r="H1029" s="68">
        <f>G1029+H1028+H1031-H1027</f>
        <v/>
      </c>
      <c r="I1029" s="68">
        <f>H1029+I1028+I1031-I1027</f>
        <v/>
      </c>
      <c r="J1029" s="68">
        <f>I1029+J1028+J1031-J1027</f>
        <v/>
      </c>
      <c r="K1029" s="68">
        <f>J1029+K1028+K1031-K1027</f>
        <v/>
      </c>
      <c r="L1029" s="68">
        <f>K1029+L1028+L1031-L1027</f>
        <v/>
      </c>
      <c r="M1029" s="66" t="n"/>
    </row>
    <row r="1030">
      <c r="C1030" s="63" t="inlineStr">
        <is>
          <t>Necesidad neta</t>
        </is>
      </c>
      <c r="D1030" s="64" t="n"/>
      <c r="E1030" s="69">
        <f>MAX(0,ROUND(E1027+Materiales!$H$150-D1029-E1028,4))</f>
        <v/>
      </c>
      <c r="F1030" s="69">
        <f>MAX(0,ROUND(F1027+Materiales!$H$150-E1029-F1028,4))</f>
        <v/>
      </c>
      <c r="G1030" s="69">
        <f>MAX(0,ROUND(G1027+Materiales!$H$150-F1029-G1028,4))</f>
        <v/>
      </c>
      <c r="H1030" s="69">
        <f>MAX(0,ROUND(H1027+Materiales!$H$150-G1029-H1028,4))</f>
        <v/>
      </c>
      <c r="I1030" s="69">
        <f>MAX(0,ROUND(I1027+Materiales!$H$150-H1029-I1028,4))</f>
        <v/>
      </c>
      <c r="J1030" s="69">
        <f>MAX(0,ROUND(J1027+Materiales!$H$150-I1029-J1028,4))</f>
        <v/>
      </c>
      <c r="K1030" s="69">
        <f>MAX(0,ROUND(K1027+Materiales!$H$150-J1029-K1028,4))</f>
        <v/>
      </c>
      <c r="L1030" s="69">
        <f>MAX(0,ROUND(L1027+Materiales!$H$150-K1029-L1028,4))</f>
        <v/>
      </c>
      <c r="M1030" s="66" t="n"/>
    </row>
    <row r="1031">
      <c r="C1031" s="63" t="inlineStr">
        <is>
          <t>Recepcion de orden planificada</t>
        </is>
      </c>
      <c r="D1031" s="64" t="n"/>
      <c r="E1031" s="65">
        <f>IF(E1030&lt;=0,0,IF(Materiales!$G$150&lt;=0,E1030,ROUNDUP(E1030/Materiales!$G$150,0)*Materiales!$G$150))</f>
        <v/>
      </c>
      <c r="F1031" s="65">
        <f>IF(F1030&lt;=0,0,IF(Materiales!$G$150&lt;=0,F1030,ROUNDUP(F1030/Materiales!$G$150,0)*Materiales!$G$150))</f>
        <v/>
      </c>
      <c r="G1031" s="65">
        <f>IF(G1030&lt;=0,0,IF(Materiales!$G$150&lt;=0,G1030,ROUNDUP(G1030/Materiales!$G$150,0)*Materiales!$G$150))</f>
        <v/>
      </c>
      <c r="H1031" s="65">
        <f>IF(H1030&lt;=0,0,IF(Materiales!$G$150&lt;=0,H1030,ROUNDUP(H1030/Materiales!$G$150,0)*Materiales!$G$150))</f>
        <v/>
      </c>
      <c r="I1031" s="65">
        <f>IF(I1030&lt;=0,0,IF(Materiales!$G$150&lt;=0,I1030,ROUNDUP(I1030/Materiales!$G$150,0)*Materiales!$G$150))</f>
        <v/>
      </c>
      <c r="J1031" s="65">
        <f>IF(J1030&lt;=0,0,IF(Materiales!$G$150&lt;=0,J1030,ROUNDUP(J1030/Materiales!$G$150,0)*Materiales!$G$150))</f>
        <v/>
      </c>
      <c r="K1031" s="65">
        <f>IF(K1030&lt;=0,0,IF(Materiales!$G$150&lt;=0,K1030,ROUNDUP(K1030/Materiales!$G$150,0)*Materiales!$G$150))</f>
        <v/>
      </c>
      <c r="L1031" s="65">
        <f>IF(L1030&lt;=0,0,IF(Materiales!$G$150&lt;=0,L1030,ROUNDUP(L1030/Materiales!$G$150,0)*Materiales!$G$150))</f>
        <v/>
      </c>
      <c r="M1031" s="66" t="n"/>
    </row>
    <row r="1032">
      <c r="C1032" s="70" t="inlineStr">
        <is>
          <t>LANZAMIENTO DE ORDEN — pedir esta semana</t>
        </is>
      </c>
      <c r="D1032" s="64" t="n"/>
      <c r="E1032" s="71">
        <f>IF(1+Materiales!$F$150&gt;8,0,INDEX($E$1031:$L$1031,1,1+Materiales!$F$150))</f>
        <v/>
      </c>
      <c r="F1032" s="71">
        <f>IF(2+Materiales!$F$150&gt;8,0,INDEX($E$1031:$L$1031,1,2+Materiales!$F$150))</f>
        <v/>
      </c>
      <c r="G1032" s="71">
        <f>IF(3+Materiales!$F$150&gt;8,0,INDEX($E$1031:$L$1031,1,3+Materiales!$F$150))</f>
        <v/>
      </c>
      <c r="H1032" s="71">
        <f>IF(4+Materiales!$F$150&gt;8,0,INDEX($E$1031:$L$1031,1,4+Materiales!$F$150))</f>
        <v/>
      </c>
      <c r="I1032" s="71">
        <f>IF(5+Materiales!$F$150&gt;8,0,INDEX($E$1031:$L$1031,1,5+Materiales!$F$150))</f>
        <v/>
      </c>
      <c r="J1032" s="71">
        <f>IF(6+Materiales!$F$150&gt;8,0,INDEX($E$1031:$L$1031,1,6+Materiales!$F$150))</f>
        <v/>
      </c>
      <c r="K1032" s="71">
        <f>IF(7+Materiales!$F$150&gt;8,0,INDEX($E$1031:$L$1031,1,7+Materiales!$F$150))</f>
        <v/>
      </c>
      <c r="L1032" s="71">
        <f>IF(8+Materiales!$F$150&gt;8,0,INDEX($E$1031:$L$1031,1,8+Materiales!$F$150))</f>
        <v/>
      </c>
      <c r="M1032" s="72">
        <f>IF($A1027="","",IF(SUMPRODUCT((COLUMN($E$1031:$L$1031)-4&lt;=Materiales!$F$150)*$E$1031:$L$1031)&gt;0,"PEDIR YA (atrasado)","OK"))</f>
        <v/>
      </c>
    </row>
    <row r="1033" ht="6" customHeight="1"/>
    <row r="1034">
      <c r="A1034" s="62">
        <f>IF(Materiales!$A$151="","",Materiales!$A$151)</f>
        <v/>
      </c>
      <c r="B1034" s="62">
        <f>IF(Materiales!$B$151="","",Materiales!$B$151)</f>
        <v/>
      </c>
      <c r="C1034" s="63" t="inlineStr">
        <is>
          <t>Necesidad bruta</t>
        </is>
      </c>
      <c r="D1034" s="64" t="n"/>
      <c r="E1034" s="65">
        <f>ROUND(SUMIF(Consumo!$P$4:$P$189,"#"&amp;$A1034,Consumo!H$4:H$189),4)</f>
        <v/>
      </c>
      <c r="F1034" s="65">
        <f>ROUND(SUMIF(Consumo!$P$4:$P$189,"#"&amp;$A1034,Consumo!I$4:I$189),4)</f>
        <v/>
      </c>
      <c r="G1034" s="65">
        <f>ROUND(SUMIF(Consumo!$P$4:$P$189,"#"&amp;$A1034,Consumo!J$4:J$189),4)</f>
        <v/>
      </c>
      <c r="H1034" s="65">
        <f>ROUND(SUMIF(Consumo!$P$4:$P$189,"#"&amp;$A1034,Consumo!K$4:K$189),4)</f>
        <v/>
      </c>
      <c r="I1034" s="65">
        <f>ROUND(SUMIF(Consumo!$P$4:$P$189,"#"&amp;$A1034,Consumo!L$4:L$189),4)</f>
        <v/>
      </c>
      <c r="J1034" s="65">
        <f>ROUND(SUMIF(Consumo!$P$4:$P$189,"#"&amp;$A1034,Consumo!M$4:M$189),4)</f>
        <v/>
      </c>
      <c r="K1034" s="65">
        <f>ROUND(SUMIF(Consumo!$P$4:$P$189,"#"&amp;$A1034,Consumo!N$4:N$189),4)</f>
        <v/>
      </c>
      <c r="L1034" s="65">
        <f>ROUND(SUMIF(Consumo!$P$4:$P$189,"#"&amp;$A1034,Consumo!O$4:O$189),4)</f>
        <v/>
      </c>
      <c r="M1034" s="66" t="n"/>
    </row>
    <row r="1035">
      <c r="C1035" s="63" t="inlineStr">
        <is>
          <t>Recepciones programadas (ya pedido)</t>
        </is>
      </c>
      <c r="D1035" s="64" t="n"/>
      <c r="E1035" s="65">
        <f>SUMIF(Inventario!$M$5:$M$505,"#"&amp;$A1034,Inventario!E$5:E$505)</f>
        <v/>
      </c>
      <c r="F1035" s="65">
        <f>SUMIF(Inventario!$M$5:$M$505,"#"&amp;$A1034,Inventario!F$5:F$505)</f>
        <v/>
      </c>
      <c r="G1035" s="65">
        <f>SUMIF(Inventario!$M$5:$M$505,"#"&amp;$A1034,Inventario!G$5:G$505)</f>
        <v/>
      </c>
      <c r="H1035" s="65">
        <f>SUMIF(Inventario!$M$5:$M$505,"#"&amp;$A1034,Inventario!H$5:H$505)</f>
        <v/>
      </c>
      <c r="I1035" s="65">
        <f>SUMIF(Inventario!$M$5:$M$505,"#"&amp;$A1034,Inventario!I$5:I$505)</f>
        <v/>
      </c>
      <c r="J1035" s="65">
        <f>SUMIF(Inventario!$M$5:$M$505,"#"&amp;$A1034,Inventario!J$5:J$505)</f>
        <v/>
      </c>
      <c r="K1035" s="65">
        <f>SUMIF(Inventario!$M$5:$M$505,"#"&amp;$A1034,Inventario!K$5:K$505)</f>
        <v/>
      </c>
      <c r="L1035" s="65">
        <f>SUMIF(Inventario!$M$5:$M$505,"#"&amp;$A1034,Inventario!L$5:L$505)</f>
        <v/>
      </c>
      <c r="M1035" s="66" t="n"/>
    </row>
    <row r="1036">
      <c r="C1036" s="63" t="inlineStr">
        <is>
          <t>Stock proyectado disponible</t>
        </is>
      </c>
      <c r="D1036" s="67">
        <f>SUMIF(Inventario!$M$5:$M$505,"#"&amp;$A1034,Inventario!$C$5:$C$505)</f>
        <v/>
      </c>
      <c r="E1036" s="68">
        <f>D1036+E1035+E1038-E1034</f>
        <v/>
      </c>
      <c r="F1036" s="68">
        <f>E1036+F1035+F1038-F1034</f>
        <v/>
      </c>
      <c r="G1036" s="68">
        <f>F1036+G1035+G1038-G1034</f>
        <v/>
      </c>
      <c r="H1036" s="68">
        <f>G1036+H1035+H1038-H1034</f>
        <v/>
      </c>
      <c r="I1036" s="68">
        <f>H1036+I1035+I1038-I1034</f>
        <v/>
      </c>
      <c r="J1036" s="68">
        <f>I1036+J1035+J1038-J1034</f>
        <v/>
      </c>
      <c r="K1036" s="68">
        <f>J1036+K1035+K1038-K1034</f>
        <v/>
      </c>
      <c r="L1036" s="68">
        <f>K1036+L1035+L1038-L1034</f>
        <v/>
      </c>
      <c r="M1036" s="66" t="n"/>
    </row>
    <row r="1037">
      <c r="C1037" s="63" t="inlineStr">
        <is>
          <t>Necesidad neta</t>
        </is>
      </c>
      <c r="D1037" s="64" t="n"/>
      <c r="E1037" s="69">
        <f>MAX(0,ROUND(E1034+Materiales!$H$151-D1036-E1035,4))</f>
        <v/>
      </c>
      <c r="F1037" s="69">
        <f>MAX(0,ROUND(F1034+Materiales!$H$151-E1036-F1035,4))</f>
        <v/>
      </c>
      <c r="G1037" s="69">
        <f>MAX(0,ROUND(G1034+Materiales!$H$151-F1036-G1035,4))</f>
        <v/>
      </c>
      <c r="H1037" s="69">
        <f>MAX(0,ROUND(H1034+Materiales!$H$151-G1036-H1035,4))</f>
        <v/>
      </c>
      <c r="I1037" s="69">
        <f>MAX(0,ROUND(I1034+Materiales!$H$151-H1036-I1035,4))</f>
        <v/>
      </c>
      <c r="J1037" s="69">
        <f>MAX(0,ROUND(J1034+Materiales!$H$151-I1036-J1035,4))</f>
        <v/>
      </c>
      <c r="K1037" s="69">
        <f>MAX(0,ROUND(K1034+Materiales!$H$151-J1036-K1035,4))</f>
        <v/>
      </c>
      <c r="L1037" s="69">
        <f>MAX(0,ROUND(L1034+Materiales!$H$151-K1036-L1035,4))</f>
        <v/>
      </c>
      <c r="M1037" s="66" t="n"/>
    </row>
    <row r="1038">
      <c r="C1038" s="63" t="inlineStr">
        <is>
          <t>Recepcion de orden planificada</t>
        </is>
      </c>
      <c r="D1038" s="64" t="n"/>
      <c r="E1038" s="65">
        <f>IF(E1037&lt;=0,0,IF(Materiales!$G$151&lt;=0,E1037,ROUNDUP(E1037/Materiales!$G$151,0)*Materiales!$G$151))</f>
        <v/>
      </c>
      <c r="F1038" s="65">
        <f>IF(F1037&lt;=0,0,IF(Materiales!$G$151&lt;=0,F1037,ROUNDUP(F1037/Materiales!$G$151,0)*Materiales!$G$151))</f>
        <v/>
      </c>
      <c r="G1038" s="65">
        <f>IF(G1037&lt;=0,0,IF(Materiales!$G$151&lt;=0,G1037,ROUNDUP(G1037/Materiales!$G$151,0)*Materiales!$G$151))</f>
        <v/>
      </c>
      <c r="H1038" s="65">
        <f>IF(H1037&lt;=0,0,IF(Materiales!$G$151&lt;=0,H1037,ROUNDUP(H1037/Materiales!$G$151,0)*Materiales!$G$151))</f>
        <v/>
      </c>
      <c r="I1038" s="65">
        <f>IF(I1037&lt;=0,0,IF(Materiales!$G$151&lt;=0,I1037,ROUNDUP(I1037/Materiales!$G$151,0)*Materiales!$G$151))</f>
        <v/>
      </c>
      <c r="J1038" s="65">
        <f>IF(J1037&lt;=0,0,IF(Materiales!$G$151&lt;=0,J1037,ROUNDUP(J1037/Materiales!$G$151,0)*Materiales!$G$151))</f>
        <v/>
      </c>
      <c r="K1038" s="65">
        <f>IF(K1037&lt;=0,0,IF(Materiales!$G$151&lt;=0,K1037,ROUNDUP(K1037/Materiales!$G$151,0)*Materiales!$G$151))</f>
        <v/>
      </c>
      <c r="L1038" s="65">
        <f>IF(L1037&lt;=0,0,IF(Materiales!$G$151&lt;=0,L1037,ROUNDUP(L1037/Materiales!$G$151,0)*Materiales!$G$151))</f>
        <v/>
      </c>
      <c r="M1038" s="66" t="n"/>
    </row>
    <row r="1039">
      <c r="C1039" s="70" t="inlineStr">
        <is>
          <t>LANZAMIENTO DE ORDEN — pedir esta semana</t>
        </is>
      </c>
      <c r="D1039" s="64" t="n"/>
      <c r="E1039" s="71">
        <f>IF(1+Materiales!$F$151&gt;8,0,INDEX($E$1038:$L$1038,1,1+Materiales!$F$151))</f>
        <v/>
      </c>
      <c r="F1039" s="71">
        <f>IF(2+Materiales!$F$151&gt;8,0,INDEX($E$1038:$L$1038,1,2+Materiales!$F$151))</f>
        <v/>
      </c>
      <c r="G1039" s="71">
        <f>IF(3+Materiales!$F$151&gt;8,0,INDEX($E$1038:$L$1038,1,3+Materiales!$F$151))</f>
        <v/>
      </c>
      <c r="H1039" s="71">
        <f>IF(4+Materiales!$F$151&gt;8,0,INDEX($E$1038:$L$1038,1,4+Materiales!$F$151))</f>
        <v/>
      </c>
      <c r="I1039" s="71">
        <f>IF(5+Materiales!$F$151&gt;8,0,INDEX($E$1038:$L$1038,1,5+Materiales!$F$151))</f>
        <v/>
      </c>
      <c r="J1039" s="71">
        <f>IF(6+Materiales!$F$151&gt;8,0,INDEX($E$1038:$L$1038,1,6+Materiales!$F$151))</f>
        <v/>
      </c>
      <c r="K1039" s="71">
        <f>IF(7+Materiales!$F$151&gt;8,0,INDEX($E$1038:$L$1038,1,7+Materiales!$F$151))</f>
        <v/>
      </c>
      <c r="L1039" s="71">
        <f>IF(8+Materiales!$F$151&gt;8,0,INDEX($E$1038:$L$1038,1,8+Materiales!$F$151))</f>
        <v/>
      </c>
      <c r="M1039" s="72">
        <f>IF($A1034="","",IF(SUMPRODUCT((COLUMN($E$1038:$L$1038)-4&lt;=Materiales!$F$151)*$E$1038:$L$1038)&gt;0,"PEDIR YA (atrasado)","OK"))</f>
        <v/>
      </c>
    </row>
    <row r="1040" ht="6" customHeight="1"/>
    <row r="1041">
      <c r="A1041" s="62">
        <f>IF(Materiales!$A$152="","",Materiales!$A$152)</f>
        <v/>
      </c>
      <c r="B1041" s="62">
        <f>IF(Materiales!$B$152="","",Materiales!$B$152)</f>
        <v/>
      </c>
      <c r="C1041" s="63" t="inlineStr">
        <is>
          <t>Necesidad bruta</t>
        </is>
      </c>
      <c r="D1041" s="64" t="n"/>
      <c r="E1041" s="65">
        <f>ROUND(SUMIF(Consumo!$P$4:$P$189,"#"&amp;$A1041,Consumo!H$4:H$189),4)</f>
        <v/>
      </c>
      <c r="F1041" s="65">
        <f>ROUND(SUMIF(Consumo!$P$4:$P$189,"#"&amp;$A1041,Consumo!I$4:I$189),4)</f>
        <v/>
      </c>
      <c r="G1041" s="65">
        <f>ROUND(SUMIF(Consumo!$P$4:$P$189,"#"&amp;$A1041,Consumo!J$4:J$189),4)</f>
        <v/>
      </c>
      <c r="H1041" s="65">
        <f>ROUND(SUMIF(Consumo!$P$4:$P$189,"#"&amp;$A1041,Consumo!K$4:K$189),4)</f>
        <v/>
      </c>
      <c r="I1041" s="65">
        <f>ROUND(SUMIF(Consumo!$P$4:$P$189,"#"&amp;$A1041,Consumo!L$4:L$189),4)</f>
        <v/>
      </c>
      <c r="J1041" s="65">
        <f>ROUND(SUMIF(Consumo!$P$4:$P$189,"#"&amp;$A1041,Consumo!M$4:M$189),4)</f>
        <v/>
      </c>
      <c r="K1041" s="65">
        <f>ROUND(SUMIF(Consumo!$P$4:$P$189,"#"&amp;$A1041,Consumo!N$4:N$189),4)</f>
        <v/>
      </c>
      <c r="L1041" s="65">
        <f>ROUND(SUMIF(Consumo!$P$4:$P$189,"#"&amp;$A1041,Consumo!O$4:O$189),4)</f>
        <v/>
      </c>
      <c r="M1041" s="66" t="n"/>
    </row>
    <row r="1042">
      <c r="C1042" s="63" t="inlineStr">
        <is>
          <t>Recepciones programadas (ya pedido)</t>
        </is>
      </c>
      <c r="D1042" s="64" t="n"/>
      <c r="E1042" s="65">
        <f>SUMIF(Inventario!$M$5:$M$505,"#"&amp;$A1041,Inventario!E$5:E$505)</f>
        <v/>
      </c>
      <c r="F1042" s="65">
        <f>SUMIF(Inventario!$M$5:$M$505,"#"&amp;$A1041,Inventario!F$5:F$505)</f>
        <v/>
      </c>
      <c r="G1042" s="65">
        <f>SUMIF(Inventario!$M$5:$M$505,"#"&amp;$A1041,Inventario!G$5:G$505)</f>
        <v/>
      </c>
      <c r="H1042" s="65">
        <f>SUMIF(Inventario!$M$5:$M$505,"#"&amp;$A1041,Inventario!H$5:H$505)</f>
        <v/>
      </c>
      <c r="I1042" s="65">
        <f>SUMIF(Inventario!$M$5:$M$505,"#"&amp;$A1041,Inventario!I$5:I$505)</f>
        <v/>
      </c>
      <c r="J1042" s="65">
        <f>SUMIF(Inventario!$M$5:$M$505,"#"&amp;$A1041,Inventario!J$5:J$505)</f>
        <v/>
      </c>
      <c r="K1042" s="65">
        <f>SUMIF(Inventario!$M$5:$M$505,"#"&amp;$A1041,Inventario!K$5:K$505)</f>
        <v/>
      </c>
      <c r="L1042" s="65">
        <f>SUMIF(Inventario!$M$5:$M$505,"#"&amp;$A1041,Inventario!L$5:L$505)</f>
        <v/>
      </c>
      <c r="M1042" s="66" t="n"/>
    </row>
    <row r="1043">
      <c r="C1043" s="63" t="inlineStr">
        <is>
          <t>Stock proyectado disponible</t>
        </is>
      </c>
      <c r="D1043" s="67">
        <f>SUMIF(Inventario!$M$5:$M$505,"#"&amp;$A1041,Inventario!$C$5:$C$505)</f>
        <v/>
      </c>
      <c r="E1043" s="68">
        <f>D1043+E1042+E1045-E1041</f>
        <v/>
      </c>
      <c r="F1043" s="68">
        <f>E1043+F1042+F1045-F1041</f>
        <v/>
      </c>
      <c r="G1043" s="68">
        <f>F1043+G1042+G1045-G1041</f>
        <v/>
      </c>
      <c r="H1043" s="68">
        <f>G1043+H1042+H1045-H1041</f>
        <v/>
      </c>
      <c r="I1043" s="68">
        <f>H1043+I1042+I1045-I1041</f>
        <v/>
      </c>
      <c r="J1043" s="68">
        <f>I1043+J1042+J1045-J1041</f>
        <v/>
      </c>
      <c r="K1043" s="68">
        <f>J1043+K1042+K1045-K1041</f>
        <v/>
      </c>
      <c r="L1043" s="68">
        <f>K1043+L1042+L1045-L1041</f>
        <v/>
      </c>
      <c r="M1043" s="66" t="n"/>
    </row>
    <row r="1044">
      <c r="C1044" s="63" t="inlineStr">
        <is>
          <t>Necesidad neta</t>
        </is>
      </c>
      <c r="D1044" s="64" t="n"/>
      <c r="E1044" s="69">
        <f>MAX(0,ROUND(E1041+Materiales!$H$152-D1043-E1042,4))</f>
        <v/>
      </c>
      <c r="F1044" s="69">
        <f>MAX(0,ROUND(F1041+Materiales!$H$152-E1043-F1042,4))</f>
        <v/>
      </c>
      <c r="G1044" s="69">
        <f>MAX(0,ROUND(G1041+Materiales!$H$152-F1043-G1042,4))</f>
        <v/>
      </c>
      <c r="H1044" s="69">
        <f>MAX(0,ROUND(H1041+Materiales!$H$152-G1043-H1042,4))</f>
        <v/>
      </c>
      <c r="I1044" s="69">
        <f>MAX(0,ROUND(I1041+Materiales!$H$152-H1043-I1042,4))</f>
        <v/>
      </c>
      <c r="J1044" s="69">
        <f>MAX(0,ROUND(J1041+Materiales!$H$152-I1043-J1042,4))</f>
        <v/>
      </c>
      <c r="K1044" s="69">
        <f>MAX(0,ROUND(K1041+Materiales!$H$152-J1043-K1042,4))</f>
        <v/>
      </c>
      <c r="L1044" s="69">
        <f>MAX(0,ROUND(L1041+Materiales!$H$152-K1043-L1042,4))</f>
        <v/>
      </c>
      <c r="M1044" s="66" t="n"/>
    </row>
    <row r="1045">
      <c r="C1045" s="63" t="inlineStr">
        <is>
          <t>Recepcion de orden planificada</t>
        </is>
      </c>
      <c r="D1045" s="64" t="n"/>
      <c r="E1045" s="65">
        <f>IF(E1044&lt;=0,0,IF(Materiales!$G$152&lt;=0,E1044,ROUNDUP(E1044/Materiales!$G$152,0)*Materiales!$G$152))</f>
        <v/>
      </c>
      <c r="F1045" s="65">
        <f>IF(F1044&lt;=0,0,IF(Materiales!$G$152&lt;=0,F1044,ROUNDUP(F1044/Materiales!$G$152,0)*Materiales!$G$152))</f>
        <v/>
      </c>
      <c r="G1045" s="65">
        <f>IF(G1044&lt;=0,0,IF(Materiales!$G$152&lt;=0,G1044,ROUNDUP(G1044/Materiales!$G$152,0)*Materiales!$G$152))</f>
        <v/>
      </c>
      <c r="H1045" s="65">
        <f>IF(H1044&lt;=0,0,IF(Materiales!$G$152&lt;=0,H1044,ROUNDUP(H1044/Materiales!$G$152,0)*Materiales!$G$152))</f>
        <v/>
      </c>
      <c r="I1045" s="65">
        <f>IF(I1044&lt;=0,0,IF(Materiales!$G$152&lt;=0,I1044,ROUNDUP(I1044/Materiales!$G$152,0)*Materiales!$G$152))</f>
        <v/>
      </c>
      <c r="J1045" s="65">
        <f>IF(J1044&lt;=0,0,IF(Materiales!$G$152&lt;=0,J1044,ROUNDUP(J1044/Materiales!$G$152,0)*Materiales!$G$152))</f>
        <v/>
      </c>
      <c r="K1045" s="65">
        <f>IF(K1044&lt;=0,0,IF(Materiales!$G$152&lt;=0,K1044,ROUNDUP(K1044/Materiales!$G$152,0)*Materiales!$G$152))</f>
        <v/>
      </c>
      <c r="L1045" s="65">
        <f>IF(L1044&lt;=0,0,IF(Materiales!$G$152&lt;=0,L1044,ROUNDUP(L1044/Materiales!$G$152,0)*Materiales!$G$152))</f>
        <v/>
      </c>
      <c r="M1045" s="66" t="n"/>
    </row>
    <row r="1046">
      <c r="C1046" s="70" t="inlineStr">
        <is>
          <t>LANZAMIENTO DE ORDEN — pedir esta semana</t>
        </is>
      </c>
      <c r="D1046" s="64" t="n"/>
      <c r="E1046" s="71">
        <f>IF(1+Materiales!$F$152&gt;8,0,INDEX($E$1045:$L$1045,1,1+Materiales!$F$152))</f>
        <v/>
      </c>
      <c r="F1046" s="71">
        <f>IF(2+Materiales!$F$152&gt;8,0,INDEX($E$1045:$L$1045,1,2+Materiales!$F$152))</f>
        <v/>
      </c>
      <c r="G1046" s="71">
        <f>IF(3+Materiales!$F$152&gt;8,0,INDEX($E$1045:$L$1045,1,3+Materiales!$F$152))</f>
        <v/>
      </c>
      <c r="H1046" s="71">
        <f>IF(4+Materiales!$F$152&gt;8,0,INDEX($E$1045:$L$1045,1,4+Materiales!$F$152))</f>
        <v/>
      </c>
      <c r="I1046" s="71">
        <f>IF(5+Materiales!$F$152&gt;8,0,INDEX($E$1045:$L$1045,1,5+Materiales!$F$152))</f>
        <v/>
      </c>
      <c r="J1046" s="71">
        <f>IF(6+Materiales!$F$152&gt;8,0,INDEX($E$1045:$L$1045,1,6+Materiales!$F$152))</f>
        <v/>
      </c>
      <c r="K1046" s="71">
        <f>IF(7+Materiales!$F$152&gt;8,0,INDEX($E$1045:$L$1045,1,7+Materiales!$F$152))</f>
        <v/>
      </c>
      <c r="L1046" s="71">
        <f>IF(8+Materiales!$F$152&gt;8,0,INDEX($E$1045:$L$1045,1,8+Materiales!$F$152))</f>
        <v/>
      </c>
      <c r="M1046" s="72">
        <f>IF($A1041="","",IF(SUMPRODUCT((COLUMN($E$1045:$L$1045)-4&lt;=Materiales!$F$152)*$E$1045:$L$1045)&gt;0,"PEDIR YA (atrasado)","OK"))</f>
        <v/>
      </c>
    </row>
    <row r="1047" ht="6" customHeight="1"/>
    <row r="1048">
      <c r="A1048" s="62">
        <f>IF(Materiales!$A$153="","",Materiales!$A$153)</f>
        <v/>
      </c>
      <c r="B1048" s="62">
        <f>IF(Materiales!$B$153="","",Materiales!$B$153)</f>
        <v/>
      </c>
      <c r="C1048" s="63" t="inlineStr">
        <is>
          <t>Necesidad bruta</t>
        </is>
      </c>
      <c r="D1048" s="64" t="n"/>
      <c r="E1048" s="65">
        <f>ROUND(SUMIF(Consumo!$P$4:$P$189,"#"&amp;$A1048,Consumo!H$4:H$189),4)</f>
        <v/>
      </c>
      <c r="F1048" s="65">
        <f>ROUND(SUMIF(Consumo!$P$4:$P$189,"#"&amp;$A1048,Consumo!I$4:I$189),4)</f>
        <v/>
      </c>
      <c r="G1048" s="65">
        <f>ROUND(SUMIF(Consumo!$P$4:$P$189,"#"&amp;$A1048,Consumo!J$4:J$189),4)</f>
        <v/>
      </c>
      <c r="H1048" s="65">
        <f>ROUND(SUMIF(Consumo!$P$4:$P$189,"#"&amp;$A1048,Consumo!K$4:K$189),4)</f>
        <v/>
      </c>
      <c r="I1048" s="65">
        <f>ROUND(SUMIF(Consumo!$P$4:$P$189,"#"&amp;$A1048,Consumo!L$4:L$189),4)</f>
        <v/>
      </c>
      <c r="J1048" s="65">
        <f>ROUND(SUMIF(Consumo!$P$4:$P$189,"#"&amp;$A1048,Consumo!M$4:M$189),4)</f>
        <v/>
      </c>
      <c r="K1048" s="65">
        <f>ROUND(SUMIF(Consumo!$P$4:$P$189,"#"&amp;$A1048,Consumo!N$4:N$189),4)</f>
        <v/>
      </c>
      <c r="L1048" s="65">
        <f>ROUND(SUMIF(Consumo!$P$4:$P$189,"#"&amp;$A1048,Consumo!O$4:O$189),4)</f>
        <v/>
      </c>
      <c r="M1048" s="66" t="n"/>
    </row>
    <row r="1049">
      <c r="C1049" s="63" t="inlineStr">
        <is>
          <t>Recepciones programadas (ya pedido)</t>
        </is>
      </c>
      <c r="D1049" s="64" t="n"/>
      <c r="E1049" s="65">
        <f>SUMIF(Inventario!$M$5:$M$505,"#"&amp;$A1048,Inventario!E$5:E$505)</f>
        <v/>
      </c>
      <c r="F1049" s="65">
        <f>SUMIF(Inventario!$M$5:$M$505,"#"&amp;$A1048,Inventario!F$5:F$505)</f>
        <v/>
      </c>
      <c r="G1049" s="65">
        <f>SUMIF(Inventario!$M$5:$M$505,"#"&amp;$A1048,Inventario!G$5:G$505)</f>
        <v/>
      </c>
      <c r="H1049" s="65">
        <f>SUMIF(Inventario!$M$5:$M$505,"#"&amp;$A1048,Inventario!H$5:H$505)</f>
        <v/>
      </c>
      <c r="I1049" s="65">
        <f>SUMIF(Inventario!$M$5:$M$505,"#"&amp;$A1048,Inventario!I$5:I$505)</f>
        <v/>
      </c>
      <c r="J1049" s="65">
        <f>SUMIF(Inventario!$M$5:$M$505,"#"&amp;$A1048,Inventario!J$5:J$505)</f>
        <v/>
      </c>
      <c r="K1049" s="65">
        <f>SUMIF(Inventario!$M$5:$M$505,"#"&amp;$A1048,Inventario!K$5:K$505)</f>
        <v/>
      </c>
      <c r="L1049" s="65">
        <f>SUMIF(Inventario!$M$5:$M$505,"#"&amp;$A1048,Inventario!L$5:L$505)</f>
        <v/>
      </c>
      <c r="M1049" s="66" t="n"/>
    </row>
    <row r="1050">
      <c r="C1050" s="63" t="inlineStr">
        <is>
          <t>Stock proyectado disponible</t>
        </is>
      </c>
      <c r="D1050" s="67">
        <f>SUMIF(Inventario!$M$5:$M$505,"#"&amp;$A1048,Inventario!$C$5:$C$505)</f>
        <v/>
      </c>
      <c r="E1050" s="68">
        <f>D1050+E1049+E1052-E1048</f>
        <v/>
      </c>
      <c r="F1050" s="68">
        <f>E1050+F1049+F1052-F1048</f>
        <v/>
      </c>
      <c r="G1050" s="68">
        <f>F1050+G1049+G1052-G1048</f>
        <v/>
      </c>
      <c r="H1050" s="68">
        <f>G1050+H1049+H1052-H1048</f>
        <v/>
      </c>
      <c r="I1050" s="68">
        <f>H1050+I1049+I1052-I1048</f>
        <v/>
      </c>
      <c r="J1050" s="68">
        <f>I1050+J1049+J1052-J1048</f>
        <v/>
      </c>
      <c r="K1050" s="68">
        <f>J1050+K1049+K1052-K1048</f>
        <v/>
      </c>
      <c r="L1050" s="68">
        <f>K1050+L1049+L1052-L1048</f>
        <v/>
      </c>
      <c r="M1050" s="66" t="n"/>
    </row>
    <row r="1051">
      <c r="C1051" s="63" t="inlineStr">
        <is>
          <t>Necesidad neta</t>
        </is>
      </c>
      <c r="D1051" s="64" t="n"/>
      <c r="E1051" s="69">
        <f>MAX(0,ROUND(E1048+Materiales!$H$153-D1050-E1049,4))</f>
        <v/>
      </c>
      <c r="F1051" s="69">
        <f>MAX(0,ROUND(F1048+Materiales!$H$153-E1050-F1049,4))</f>
        <v/>
      </c>
      <c r="G1051" s="69">
        <f>MAX(0,ROUND(G1048+Materiales!$H$153-F1050-G1049,4))</f>
        <v/>
      </c>
      <c r="H1051" s="69">
        <f>MAX(0,ROUND(H1048+Materiales!$H$153-G1050-H1049,4))</f>
        <v/>
      </c>
      <c r="I1051" s="69">
        <f>MAX(0,ROUND(I1048+Materiales!$H$153-H1050-I1049,4))</f>
        <v/>
      </c>
      <c r="J1051" s="69">
        <f>MAX(0,ROUND(J1048+Materiales!$H$153-I1050-J1049,4))</f>
        <v/>
      </c>
      <c r="K1051" s="69">
        <f>MAX(0,ROUND(K1048+Materiales!$H$153-J1050-K1049,4))</f>
        <v/>
      </c>
      <c r="L1051" s="69">
        <f>MAX(0,ROUND(L1048+Materiales!$H$153-K1050-L1049,4))</f>
        <v/>
      </c>
      <c r="M1051" s="66" t="n"/>
    </row>
    <row r="1052">
      <c r="C1052" s="63" t="inlineStr">
        <is>
          <t>Recepcion de orden planificada</t>
        </is>
      </c>
      <c r="D1052" s="64" t="n"/>
      <c r="E1052" s="65">
        <f>IF(E1051&lt;=0,0,IF(Materiales!$G$153&lt;=0,E1051,ROUNDUP(E1051/Materiales!$G$153,0)*Materiales!$G$153))</f>
        <v/>
      </c>
      <c r="F1052" s="65">
        <f>IF(F1051&lt;=0,0,IF(Materiales!$G$153&lt;=0,F1051,ROUNDUP(F1051/Materiales!$G$153,0)*Materiales!$G$153))</f>
        <v/>
      </c>
      <c r="G1052" s="65">
        <f>IF(G1051&lt;=0,0,IF(Materiales!$G$153&lt;=0,G1051,ROUNDUP(G1051/Materiales!$G$153,0)*Materiales!$G$153))</f>
        <v/>
      </c>
      <c r="H1052" s="65">
        <f>IF(H1051&lt;=0,0,IF(Materiales!$G$153&lt;=0,H1051,ROUNDUP(H1051/Materiales!$G$153,0)*Materiales!$G$153))</f>
        <v/>
      </c>
      <c r="I1052" s="65">
        <f>IF(I1051&lt;=0,0,IF(Materiales!$G$153&lt;=0,I1051,ROUNDUP(I1051/Materiales!$G$153,0)*Materiales!$G$153))</f>
        <v/>
      </c>
      <c r="J1052" s="65">
        <f>IF(J1051&lt;=0,0,IF(Materiales!$G$153&lt;=0,J1051,ROUNDUP(J1051/Materiales!$G$153,0)*Materiales!$G$153))</f>
        <v/>
      </c>
      <c r="K1052" s="65">
        <f>IF(K1051&lt;=0,0,IF(Materiales!$G$153&lt;=0,K1051,ROUNDUP(K1051/Materiales!$G$153,0)*Materiales!$G$153))</f>
        <v/>
      </c>
      <c r="L1052" s="65">
        <f>IF(L1051&lt;=0,0,IF(Materiales!$G$153&lt;=0,L1051,ROUNDUP(L1051/Materiales!$G$153,0)*Materiales!$G$153))</f>
        <v/>
      </c>
      <c r="M1052" s="66" t="n"/>
    </row>
    <row r="1053">
      <c r="C1053" s="70" t="inlineStr">
        <is>
          <t>LANZAMIENTO DE ORDEN — pedir esta semana</t>
        </is>
      </c>
      <c r="D1053" s="64" t="n"/>
      <c r="E1053" s="71">
        <f>IF(1+Materiales!$F$153&gt;8,0,INDEX($E$1052:$L$1052,1,1+Materiales!$F$153))</f>
        <v/>
      </c>
      <c r="F1053" s="71">
        <f>IF(2+Materiales!$F$153&gt;8,0,INDEX($E$1052:$L$1052,1,2+Materiales!$F$153))</f>
        <v/>
      </c>
      <c r="G1053" s="71">
        <f>IF(3+Materiales!$F$153&gt;8,0,INDEX($E$1052:$L$1052,1,3+Materiales!$F$153))</f>
        <v/>
      </c>
      <c r="H1053" s="71">
        <f>IF(4+Materiales!$F$153&gt;8,0,INDEX($E$1052:$L$1052,1,4+Materiales!$F$153))</f>
        <v/>
      </c>
      <c r="I1053" s="71">
        <f>IF(5+Materiales!$F$153&gt;8,0,INDEX($E$1052:$L$1052,1,5+Materiales!$F$153))</f>
        <v/>
      </c>
      <c r="J1053" s="71">
        <f>IF(6+Materiales!$F$153&gt;8,0,INDEX($E$1052:$L$1052,1,6+Materiales!$F$153))</f>
        <v/>
      </c>
      <c r="K1053" s="71">
        <f>IF(7+Materiales!$F$153&gt;8,0,INDEX($E$1052:$L$1052,1,7+Materiales!$F$153))</f>
        <v/>
      </c>
      <c r="L1053" s="71">
        <f>IF(8+Materiales!$F$153&gt;8,0,INDEX($E$1052:$L$1052,1,8+Materiales!$F$153))</f>
        <v/>
      </c>
      <c r="M1053" s="72">
        <f>IF($A1048="","",IF(SUMPRODUCT((COLUMN($E$1052:$L$1052)-4&lt;=Materiales!$F$153)*$E$1052:$L$1052)&gt;0,"PEDIR YA (atrasado)","OK"))</f>
        <v/>
      </c>
    </row>
    <row r="1054" ht="6" customHeight="1"/>
    <row r="1055">
      <c r="A1055" s="62">
        <f>IF(Materiales!$A$154="","",Materiales!$A$154)</f>
        <v/>
      </c>
      <c r="B1055" s="62">
        <f>IF(Materiales!$B$154="","",Materiales!$B$154)</f>
        <v/>
      </c>
      <c r="C1055" s="63" t="inlineStr">
        <is>
          <t>Necesidad bruta</t>
        </is>
      </c>
      <c r="D1055" s="64" t="n"/>
      <c r="E1055" s="65">
        <f>ROUND(SUMIF(Consumo!$P$4:$P$189,"#"&amp;$A1055,Consumo!H$4:H$189),4)</f>
        <v/>
      </c>
      <c r="F1055" s="65">
        <f>ROUND(SUMIF(Consumo!$P$4:$P$189,"#"&amp;$A1055,Consumo!I$4:I$189),4)</f>
        <v/>
      </c>
      <c r="G1055" s="65">
        <f>ROUND(SUMIF(Consumo!$P$4:$P$189,"#"&amp;$A1055,Consumo!J$4:J$189),4)</f>
        <v/>
      </c>
      <c r="H1055" s="65">
        <f>ROUND(SUMIF(Consumo!$P$4:$P$189,"#"&amp;$A1055,Consumo!K$4:K$189),4)</f>
        <v/>
      </c>
      <c r="I1055" s="65">
        <f>ROUND(SUMIF(Consumo!$P$4:$P$189,"#"&amp;$A1055,Consumo!L$4:L$189),4)</f>
        <v/>
      </c>
      <c r="J1055" s="65">
        <f>ROUND(SUMIF(Consumo!$P$4:$P$189,"#"&amp;$A1055,Consumo!M$4:M$189),4)</f>
        <v/>
      </c>
      <c r="K1055" s="65">
        <f>ROUND(SUMIF(Consumo!$P$4:$P$189,"#"&amp;$A1055,Consumo!N$4:N$189),4)</f>
        <v/>
      </c>
      <c r="L1055" s="65">
        <f>ROUND(SUMIF(Consumo!$P$4:$P$189,"#"&amp;$A1055,Consumo!O$4:O$189),4)</f>
        <v/>
      </c>
      <c r="M1055" s="66" t="n"/>
    </row>
    <row r="1056">
      <c r="C1056" s="63" t="inlineStr">
        <is>
          <t>Recepciones programadas (ya pedido)</t>
        </is>
      </c>
      <c r="D1056" s="64" t="n"/>
      <c r="E1056" s="65">
        <f>SUMIF(Inventario!$M$5:$M$505,"#"&amp;$A1055,Inventario!E$5:E$505)</f>
        <v/>
      </c>
      <c r="F1056" s="65">
        <f>SUMIF(Inventario!$M$5:$M$505,"#"&amp;$A1055,Inventario!F$5:F$505)</f>
        <v/>
      </c>
      <c r="G1056" s="65">
        <f>SUMIF(Inventario!$M$5:$M$505,"#"&amp;$A1055,Inventario!G$5:G$505)</f>
        <v/>
      </c>
      <c r="H1056" s="65">
        <f>SUMIF(Inventario!$M$5:$M$505,"#"&amp;$A1055,Inventario!H$5:H$505)</f>
        <v/>
      </c>
      <c r="I1056" s="65">
        <f>SUMIF(Inventario!$M$5:$M$505,"#"&amp;$A1055,Inventario!I$5:I$505)</f>
        <v/>
      </c>
      <c r="J1056" s="65">
        <f>SUMIF(Inventario!$M$5:$M$505,"#"&amp;$A1055,Inventario!J$5:J$505)</f>
        <v/>
      </c>
      <c r="K1056" s="65">
        <f>SUMIF(Inventario!$M$5:$M$505,"#"&amp;$A1055,Inventario!K$5:K$505)</f>
        <v/>
      </c>
      <c r="L1056" s="65">
        <f>SUMIF(Inventario!$M$5:$M$505,"#"&amp;$A1055,Inventario!L$5:L$505)</f>
        <v/>
      </c>
      <c r="M1056" s="66" t="n"/>
    </row>
    <row r="1057">
      <c r="C1057" s="63" t="inlineStr">
        <is>
          <t>Stock proyectado disponible</t>
        </is>
      </c>
      <c r="D1057" s="67">
        <f>SUMIF(Inventario!$M$5:$M$505,"#"&amp;$A1055,Inventario!$C$5:$C$505)</f>
        <v/>
      </c>
      <c r="E1057" s="68">
        <f>D1057+E1056+E1059-E1055</f>
        <v/>
      </c>
      <c r="F1057" s="68">
        <f>E1057+F1056+F1059-F1055</f>
        <v/>
      </c>
      <c r="G1057" s="68">
        <f>F1057+G1056+G1059-G1055</f>
        <v/>
      </c>
      <c r="H1057" s="68">
        <f>G1057+H1056+H1059-H1055</f>
        <v/>
      </c>
      <c r="I1057" s="68">
        <f>H1057+I1056+I1059-I1055</f>
        <v/>
      </c>
      <c r="J1057" s="68">
        <f>I1057+J1056+J1059-J1055</f>
        <v/>
      </c>
      <c r="K1057" s="68">
        <f>J1057+K1056+K1059-K1055</f>
        <v/>
      </c>
      <c r="L1057" s="68">
        <f>K1057+L1056+L1059-L1055</f>
        <v/>
      </c>
      <c r="M1057" s="66" t="n"/>
    </row>
    <row r="1058">
      <c r="C1058" s="63" t="inlineStr">
        <is>
          <t>Necesidad neta</t>
        </is>
      </c>
      <c r="D1058" s="64" t="n"/>
      <c r="E1058" s="69">
        <f>MAX(0,ROUND(E1055+Materiales!$H$154-D1057-E1056,4))</f>
        <v/>
      </c>
      <c r="F1058" s="69">
        <f>MAX(0,ROUND(F1055+Materiales!$H$154-E1057-F1056,4))</f>
        <v/>
      </c>
      <c r="G1058" s="69">
        <f>MAX(0,ROUND(G1055+Materiales!$H$154-F1057-G1056,4))</f>
        <v/>
      </c>
      <c r="H1058" s="69">
        <f>MAX(0,ROUND(H1055+Materiales!$H$154-G1057-H1056,4))</f>
        <v/>
      </c>
      <c r="I1058" s="69">
        <f>MAX(0,ROUND(I1055+Materiales!$H$154-H1057-I1056,4))</f>
        <v/>
      </c>
      <c r="J1058" s="69">
        <f>MAX(0,ROUND(J1055+Materiales!$H$154-I1057-J1056,4))</f>
        <v/>
      </c>
      <c r="K1058" s="69">
        <f>MAX(0,ROUND(K1055+Materiales!$H$154-J1057-K1056,4))</f>
        <v/>
      </c>
      <c r="L1058" s="69">
        <f>MAX(0,ROUND(L1055+Materiales!$H$154-K1057-L1056,4))</f>
        <v/>
      </c>
      <c r="M1058" s="66" t="n"/>
    </row>
    <row r="1059">
      <c r="C1059" s="63" t="inlineStr">
        <is>
          <t>Recepcion de orden planificada</t>
        </is>
      </c>
      <c r="D1059" s="64" t="n"/>
      <c r="E1059" s="65">
        <f>IF(E1058&lt;=0,0,IF(Materiales!$G$154&lt;=0,E1058,ROUNDUP(E1058/Materiales!$G$154,0)*Materiales!$G$154))</f>
        <v/>
      </c>
      <c r="F1059" s="65">
        <f>IF(F1058&lt;=0,0,IF(Materiales!$G$154&lt;=0,F1058,ROUNDUP(F1058/Materiales!$G$154,0)*Materiales!$G$154))</f>
        <v/>
      </c>
      <c r="G1059" s="65">
        <f>IF(G1058&lt;=0,0,IF(Materiales!$G$154&lt;=0,G1058,ROUNDUP(G1058/Materiales!$G$154,0)*Materiales!$G$154))</f>
        <v/>
      </c>
      <c r="H1059" s="65">
        <f>IF(H1058&lt;=0,0,IF(Materiales!$G$154&lt;=0,H1058,ROUNDUP(H1058/Materiales!$G$154,0)*Materiales!$G$154))</f>
        <v/>
      </c>
      <c r="I1059" s="65">
        <f>IF(I1058&lt;=0,0,IF(Materiales!$G$154&lt;=0,I1058,ROUNDUP(I1058/Materiales!$G$154,0)*Materiales!$G$154))</f>
        <v/>
      </c>
      <c r="J1059" s="65">
        <f>IF(J1058&lt;=0,0,IF(Materiales!$G$154&lt;=0,J1058,ROUNDUP(J1058/Materiales!$G$154,0)*Materiales!$G$154))</f>
        <v/>
      </c>
      <c r="K1059" s="65">
        <f>IF(K1058&lt;=0,0,IF(Materiales!$G$154&lt;=0,K1058,ROUNDUP(K1058/Materiales!$G$154,0)*Materiales!$G$154))</f>
        <v/>
      </c>
      <c r="L1059" s="65">
        <f>IF(L1058&lt;=0,0,IF(Materiales!$G$154&lt;=0,L1058,ROUNDUP(L1058/Materiales!$G$154,0)*Materiales!$G$154))</f>
        <v/>
      </c>
      <c r="M1059" s="66" t="n"/>
    </row>
    <row r="1060">
      <c r="C1060" s="70" t="inlineStr">
        <is>
          <t>LANZAMIENTO DE ORDEN — pedir esta semana</t>
        </is>
      </c>
      <c r="D1060" s="64" t="n"/>
      <c r="E1060" s="71">
        <f>IF(1+Materiales!$F$154&gt;8,0,INDEX($E$1059:$L$1059,1,1+Materiales!$F$154))</f>
        <v/>
      </c>
      <c r="F1060" s="71">
        <f>IF(2+Materiales!$F$154&gt;8,0,INDEX($E$1059:$L$1059,1,2+Materiales!$F$154))</f>
        <v/>
      </c>
      <c r="G1060" s="71">
        <f>IF(3+Materiales!$F$154&gt;8,0,INDEX($E$1059:$L$1059,1,3+Materiales!$F$154))</f>
        <v/>
      </c>
      <c r="H1060" s="71">
        <f>IF(4+Materiales!$F$154&gt;8,0,INDEX($E$1059:$L$1059,1,4+Materiales!$F$154))</f>
        <v/>
      </c>
      <c r="I1060" s="71">
        <f>IF(5+Materiales!$F$154&gt;8,0,INDEX($E$1059:$L$1059,1,5+Materiales!$F$154))</f>
        <v/>
      </c>
      <c r="J1060" s="71">
        <f>IF(6+Materiales!$F$154&gt;8,0,INDEX($E$1059:$L$1059,1,6+Materiales!$F$154))</f>
        <v/>
      </c>
      <c r="K1060" s="71">
        <f>IF(7+Materiales!$F$154&gt;8,0,INDEX($E$1059:$L$1059,1,7+Materiales!$F$154))</f>
        <v/>
      </c>
      <c r="L1060" s="71">
        <f>IF(8+Materiales!$F$154&gt;8,0,INDEX($E$1059:$L$1059,1,8+Materiales!$F$154))</f>
        <v/>
      </c>
      <c r="M1060" s="72">
        <f>IF($A1055="","",IF(SUMPRODUCT((COLUMN($E$1059:$L$1059)-4&lt;=Materiales!$F$154)*$E$1059:$L$1059)&gt;0,"PEDIR YA (atrasado)","OK"))</f>
        <v/>
      </c>
    </row>
    <row r="1061" ht="6" customHeight="1"/>
    <row r="1062">
      <c r="A1062" s="62">
        <f>IF(Materiales!$A$155="","",Materiales!$A$155)</f>
        <v/>
      </c>
      <c r="B1062" s="62">
        <f>IF(Materiales!$B$155="","",Materiales!$B$155)</f>
        <v/>
      </c>
      <c r="C1062" s="63" t="inlineStr">
        <is>
          <t>Necesidad bruta</t>
        </is>
      </c>
      <c r="D1062" s="64" t="n"/>
      <c r="E1062" s="65">
        <f>ROUND(SUMIF(Consumo!$P$4:$P$189,"#"&amp;$A1062,Consumo!H$4:H$189),4)</f>
        <v/>
      </c>
      <c r="F1062" s="65">
        <f>ROUND(SUMIF(Consumo!$P$4:$P$189,"#"&amp;$A1062,Consumo!I$4:I$189),4)</f>
        <v/>
      </c>
      <c r="G1062" s="65">
        <f>ROUND(SUMIF(Consumo!$P$4:$P$189,"#"&amp;$A1062,Consumo!J$4:J$189),4)</f>
        <v/>
      </c>
      <c r="H1062" s="65">
        <f>ROUND(SUMIF(Consumo!$P$4:$P$189,"#"&amp;$A1062,Consumo!K$4:K$189),4)</f>
        <v/>
      </c>
      <c r="I1062" s="65">
        <f>ROUND(SUMIF(Consumo!$P$4:$P$189,"#"&amp;$A1062,Consumo!L$4:L$189),4)</f>
        <v/>
      </c>
      <c r="J1062" s="65">
        <f>ROUND(SUMIF(Consumo!$P$4:$P$189,"#"&amp;$A1062,Consumo!M$4:M$189),4)</f>
        <v/>
      </c>
      <c r="K1062" s="65">
        <f>ROUND(SUMIF(Consumo!$P$4:$P$189,"#"&amp;$A1062,Consumo!N$4:N$189),4)</f>
        <v/>
      </c>
      <c r="L1062" s="65">
        <f>ROUND(SUMIF(Consumo!$P$4:$P$189,"#"&amp;$A1062,Consumo!O$4:O$189),4)</f>
        <v/>
      </c>
      <c r="M1062" s="66" t="n"/>
    </row>
    <row r="1063">
      <c r="C1063" s="63" t="inlineStr">
        <is>
          <t>Recepciones programadas (ya pedido)</t>
        </is>
      </c>
      <c r="D1063" s="64" t="n"/>
      <c r="E1063" s="65">
        <f>SUMIF(Inventario!$M$5:$M$505,"#"&amp;$A1062,Inventario!E$5:E$505)</f>
        <v/>
      </c>
      <c r="F1063" s="65">
        <f>SUMIF(Inventario!$M$5:$M$505,"#"&amp;$A1062,Inventario!F$5:F$505)</f>
        <v/>
      </c>
      <c r="G1063" s="65">
        <f>SUMIF(Inventario!$M$5:$M$505,"#"&amp;$A1062,Inventario!G$5:G$505)</f>
        <v/>
      </c>
      <c r="H1063" s="65">
        <f>SUMIF(Inventario!$M$5:$M$505,"#"&amp;$A1062,Inventario!H$5:H$505)</f>
        <v/>
      </c>
      <c r="I1063" s="65">
        <f>SUMIF(Inventario!$M$5:$M$505,"#"&amp;$A1062,Inventario!I$5:I$505)</f>
        <v/>
      </c>
      <c r="J1063" s="65">
        <f>SUMIF(Inventario!$M$5:$M$505,"#"&amp;$A1062,Inventario!J$5:J$505)</f>
        <v/>
      </c>
      <c r="K1063" s="65">
        <f>SUMIF(Inventario!$M$5:$M$505,"#"&amp;$A1062,Inventario!K$5:K$505)</f>
        <v/>
      </c>
      <c r="L1063" s="65">
        <f>SUMIF(Inventario!$M$5:$M$505,"#"&amp;$A1062,Inventario!L$5:L$505)</f>
        <v/>
      </c>
      <c r="M1063" s="66" t="n"/>
    </row>
    <row r="1064">
      <c r="C1064" s="63" t="inlineStr">
        <is>
          <t>Stock proyectado disponible</t>
        </is>
      </c>
      <c r="D1064" s="67">
        <f>SUMIF(Inventario!$M$5:$M$505,"#"&amp;$A1062,Inventario!$C$5:$C$505)</f>
        <v/>
      </c>
      <c r="E1064" s="68">
        <f>D1064+E1063+E1066-E1062</f>
        <v/>
      </c>
      <c r="F1064" s="68">
        <f>E1064+F1063+F1066-F1062</f>
        <v/>
      </c>
      <c r="G1064" s="68">
        <f>F1064+G1063+G1066-G1062</f>
        <v/>
      </c>
      <c r="H1064" s="68">
        <f>G1064+H1063+H1066-H1062</f>
        <v/>
      </c>
      <c r="I1064" s="68">
        <f>H1064+I1063+I1066-I1062</f>
        <v/>
      </c>
      <c r="J1064" s="68">
        <f>I1064+J1063+J1066-J1062</f>
        <v/>
      </c>
      <c r="K1064" s="68">
        <f>J1064+K1063+K1066-K1062</f>
        <v/>
      </c>
      <c r="L1064" s="68">
        <f>K1064+L1063+L1066-L1062</f>
        <v/>
      </c>
      <c r="M1064" s="66" t="n"/>
    </row>
    <row r="1065">
      <c r="C1065" s="63" t="inlineStr">
        <is>
          <t>Necesidad neta</t>
        </is>
      </c>
      <c r="D1065" s="64" t="n"/>
      <c r="E1065" s="69">
        <f>MAX(0,ROUND(E1062+Materiales!$H$155-D1064-E1063,4))</f>
        <v/>
      </c>
      <c r="F1065" s="69">
        <f>MAX(0,ROUND(F1062+Materiales!$H$155-E1064-F1063,4))</f>
        <v/>
      </c>
      <c r="G1065" s="69">
        <f>MAX(0,ROUND(G1062+Materiales!$H$155-F1064-G1063,4))</f>
        <v/>
      </c>
      <c r="H1065" s="69">
        <f>MAX(0,ROUND(H1062+Materiales!$H$155-G1064-H1063,4))</f>
        <v/>
      </c>
      <c r="I1065" s="69">
        <f>MAX(0,ROUND(I1062+Materiales!$H$155-H1064-I1063,4))</f>
        <v/>
      </c>
      <c r="J1065" s="69">
        <f>MAX(0,ROUND(J1062+Materiales!$H$155-I1064-J1063,4))</f>
        <v/>
      </c>
      <c r="K1065" s="69">
        <f>MAX(0,ROUND(K1062+Materiales!$H$155-J1064-K1063,4))</f>
        <v/>
      </c>
      <c r="L1065" s="69">
        <f>MAX(0,ROUND(L1062+Materiales!$H$155-K1064-L1063,4))</f>
        <v/>
      </c>
      <c r="M1065" s="66" t="n"/>
    </row>
    <row r="1066">
      <c r="C1066" s="63" t="inlineStr">
        <is>
          <t>Recepcion de orden planificada</t>
        </is>
      </c>
      <c r="D1066" s="64" t="n"/>
      <c r="E1066" s="65">
        <f>IF(E1065&lt;=0,0,IF(Materiales!$G$155&lt;=0,E1065,ROUNDUP(E1065/Materiales!$G$155,0)*Materiales!$G$155))</f>
        <v/>
      </c>
      <c r="F1066" s="65">
        <f>IF(F1065&lt;=0,0,IF(Materiales!$G$155&lt;=0,F1065,ROUNDUP(F1065/Materiales!$G$155,0)*Materiales!$G$155))</f>
        <v/>
      </c>
      <c r="G1066" s="65">
        <f>IF(G1065&lt;=0,0,IF(Materiales!$G$155&lt;=0,G1065,ROUNDUP(G1065/Materiales!$G$155,0)*Materiales!$G$155))</f>
        <v/>
      </c>
      <c r="H1066" s="65">
        <f>IF(H1065&lt;=0,0,IF(Materiales!$G$155&lt;=0,H1065,ROUNDUP(H1065/Materiales!$G$155,0)*Materiales!$G$155))</f>
        <v/>
      </c>
      <c r="I1066" s="65">
        <f>IF(I1065&lt;=0,0,IF(Materiales!$G$155&lt;=0,I1065,ROUNDUP(I1065/Materiales!$G$155,0)*Materiales!$G$155))</f>
        <v/>
      </c>
      <c r="J1066" s="65">
        <f>IF(J1065&lt;=0,0,IF(Materiales!$G$155&lt;=0,J1065,ROUNDUP(J1065/Materiales!$G$155,0)*Materiales!$G$155))</f>
        <v/>
      </c>
      <c r="K1066" s="65">
        <f>IF(K1065&lt;=0,0,IF(Materiales!$G$155&lt;=0,K1065,ROUNDUP(K1065/Materiales!$G$155,0)*Materiales!$G$155))</f>
        <v/>
      </c>
      <c r="L1066" s="65">
        <f>IF(L1065&lt;=0,0,IF(Materiales!$G$155&lt;=0,L1065,ROUNDUP(L1065/Materiales!$G$155,0)*Materiales!$G$155))</f>
        <v/>
      </c>
      <c r="M1066" s="66" t="n"/>
    </row>
    <row r="1067">
      <c r="C1067" s="70" t="inlineStr">
        <is>
          <t>LANZAMIENTO DE ORDEN — pedir esta semana</t>
        </is>
      </c>
      <c r="D1067" s="64" t="n"/>
      <c r="E1067" s="71">
        <f>IF(1+Materiales!$F$155&gt;8,0,INDEX($E$1066:$L$1066,1,1+Materiales!$F$155))</f>
        <v/>
      </c>
      <c r="F1067" s="71">
        <f>IF(2+Materiales!$F$155&gt;8,0,INDEX($E$1066:$L$1066,1,2+Materiales!$F$155))</f>
        <v/>
      </c>
      <c r="G1067" s="71">
        <f>IF(3+Materiales!$F$155&gt;8,0,INDEX($E$1066:$L$1066,1,3+Materiales!$F$155))</f>
        <v/>
      </c>
      <c r="H1067" s="71">
        <f>IF(4+Materiales!$F$155&gt;8,0,INDEX($E$1066:$L$1066,1,4+Materiales!$F$155))</f>
        <v/>
      </c>
      <c r="I1067" s="71">
        <f>IF(5+Materiales!$F$155&gt;8,0,INDEX($E$1066:$L$1066,1,5+Materiales!$F$155))</f>
        <v/>
      </c>
      <c r="J1067" s="71">
        <f>IF(6+Materiales!$F$155&gt;8,0,INDEX($E$1066:$L$1066,1,6+Materiales!$F$155))</f>
        <v/>
      </c>
      <c r="K1067" s="71">
        <f>IF(7+Materiales!$F$155&gt;8,0,INDEX($E$1066:$L$1066,1,7+Materiales!$F$155))</f>
        <v/>
      </c>
      <c r="L1067" s="71">
        <f>IF(8+Materiales!$F$155&gt;8,0,INDEX($E$1066:$L$1066,1,8+Materiales!$F$155))</f>
        <v/>
      </c>
      <c r="M1067" s="72">
        <f>IF($A1062="","",IF(SUMPRODUCT((COLUMN($E$1066:$L$1066)-4&lt;=Materiales!$F$155)*$E$1066:$L$1066)&gt;0,"PEDIR YA (atrasado)","OK"))</f>
        <v/>
      </c>
    </row>
    <row r="1068" ht="6" customHeight="1"/>
    <row r="1069">
      <c r="A1069" s="62">
        <f>IF(Materiales!$A$156="","",Materiales!$A$156)</f>
        <v/>
      </c>
      <c r="B1069" s="62">
        <f>IF(Materiales!$B$156="","",Materiales!$B$156)</f>
        <v/>
      </c>
      <c r="C1069" s="63" t="inlineStr">
        <is>
          <t>Necesidad bruta</t>
        </is>
      </c>
      <c r="D1069" s="64" t="n"/>
      <c r="E1069" s="65">
        <f>ROUND(SUMIF(Consumo!$P$4:$P$189,"#"&amp;$A1069,Consumo!H$4:H$189),4)</f>
        <v/>
      </c>
      <c r="F1069" s="65">
        <f>ROUND(SUMIF(Consumo!$P$4:$P$189,"#"&amp;$A1069,Consumo!I$4:I$189),4)</f>
        <v/>
      </c>
      <c r="G1069" s="65">
        <f>ROUND(SUMIF(Consumo!$P$4:$P$189,"#"&amp;$A1069,Consumo!J$4:J$189),4)</f>
        <v/>
      </c>
      <c r="H1069" s="65">
        <f>ROUND(SUMIF(Consumo!$P$4:$P$189,"#"&amp;$A1069,Consumo!K$4:K$189),4)</f>
        <v/>
      </c>
      <c r="I1069" s="65">
        <f>ROUND(SUMIF(Consumo!$P$4:$P$189,"#"&amp;$A1069,Consumo!L$4:L$189),4)</f>
        <v/>
      </c>
      <c r="J1069" s="65">
        <f>ROUND(SUMIF(Consumo!$P$4:$P$189,"#"&amp;$A1069,Consumo!M$4:M$189),4)</f>
        <v/>
      </c>
      <c r="K1069" s="65">
        <f>ROUND(SUMIF(Consumo!$P$4:$P$189,"#"&amp;$A1069,Consumo!N$4:N$189),4)</f>
        <v/>
      </c>
      <c r="L1069" s="65">
        <f>ROUND(SUMIF(Consumo!$P$4:$P$189,"#"&amp;$A1069,Consumo!O$4:O$189),4)</f>
        <v/>
      </c>
      <c r="M1069" s="66" t="n"/>
    </row>
    <row r="1070">
      <c r="C1070" s="63" t="inlineStr">
        <is>
          <t>Recepciones programadas (ya pedido)</t>
        </is>
      </c>
      <c r="D1070" s="64" t="n"/>
      <c r="E1070" s="65">
        <f>SUMIF(Inventario!$M$5:$M$505,"#"&amp;$A1069,Inventario!E$5:E$505)</f>
        <v/>
      </c>
      <c r="F1070" s="65">
        <f>SUMIF(Inventario!$M$5:$M$505,"#"&amp;$A1069,Inventario!F$5:F$505)</f>
        <v/>
      </c>
      <c r="G1070" s="65">
        <f>SUMIF(Inventario!$M$5:$M$505,"#"&amp;$A1069,Inventario!G$5:G$505)</f>
        <v/>
      </c>
      <c r="H1070" s="65">
        <f>SUMIF(Inventario!$M$5:$M$505,"#"&amp;$A1069,Inventario!H$5:H$505)</f>
        <v/>
      </c>
      <c r="I1070" s="65">
        <f>SUMIF(Inventario!$M$5:$M$505,"#"&amp;$A1069,Inventario!I$5:I$505)</f>
        <v/>
      </c>
      <c r="J1070" s="65">
        <f>SUMIF(Inventario!$M$5:$M$505,"#"&amp;$A1069,Inventario!J$5:J$505)</f>
        <v/>
      </c>
      <c r="K1070" s="65">
        <f>SUMIF(Inventario!$M$5:$M$505,"#"&amp;$A1069,Inventario!K$5:K$505)</f>
        <v/>
      </c>
      <c r="L1070" s="65">
        <f>SUMIF(Inventario!$M$5:$M$505,"#"&amp;$A1069,Inventario!L$5:L$505)</f>
        <v/>
      </c>
      <c r="M1070" s="66" t="n"/>
    </row>
    <row r="1071">
      <c r="C1071" s="63" t="inlineStr">
        <is>
          <t>Stock proyectado disponible</t>
        </is>
      </c>
      <c r="D1071" s="67">
        <f>SUMIF(Inventario!$M$5:$M$505,"#"&amp;$A1069,Inventario!$C$5:$C$505)</f>
        <v/>
      </c>
      <c r="E1071" s="68">
        <f>D1071+E1070+E1073-E1069</f>
        <v/>
      </c>
      <c r="F1071" s="68">
        <f>E1071+F1070+F1073-F1069</f>
        <v/>
      </c>
      <c r="G1071" s="68">
        <f>F1071+G1070+G1073-G1069</f>
        <v/>
      </c>
      <c r="H1071" s="68">
        <f>G1071+H1070+H1073-H1069</f>
        <v/>
      </c>
      <c r="I1071" s="68">
        <f>H1071+I1070+I1073-I1069</f>
        <v/>
      </c>
      <c r="J1071" s="68">
        <f>I1071+J1070+J1073-J1069</f>
        <v/>
      </c>
      <c r="K1071" s="68">
        <f>J1071+K1070+K1073-K1069</f>
        <v/>
      </c>
      <c r="L1071" s="68">
        <f>K1071+L1070+L1073-L1069</f>
        <v/>
      </c>
      <c r="M1071" s="66" t="n"/>
    </row>
    <row r="1072">
      <c r="C1072" s="63" t="inlineStr">
        <is>
          <t>Necesidad neta</t>
        </is>
      </c>
      <c r="D1072" s="64" t="n"/>
      <c r="E1072" s="69">
        <f>MAX(0,ROUND(E1069+Materiales!$H$156-D1071-E1070,4))</f>
        <v/>
      </c>
      <c r="F1072" s="69">
        <f>MAX(0,ROUND(F1069+Materiales!$H$156-E1071-F1070,4))</f>
        <v/>
      </c>
      <c r="G1072" s="69">
        <f>MAX(0,ROUND(G1069+Materiales!$H$156-F1071-G1070,4))</f>
        <v/>
      </c>
      <c r="H1072" s="69">
        <f>MAX(0,ROUND(H1069+Materiales!$H$156-G1071-H1070,4))</f>
        <v/>
      </c>
      <c r="I1072" s="69">
        <f>MAX(0,ROUND(I1069+Materiales!$H$156-H1071-I1070,4))</f>
        <v/>
      </c>
      <c r="J1072" s="69">
        <f>MAX(0,ROUND(J1069+Materiales!$H$156-I1071-J1070,4))</f>
        <v/>
      </c>
      <c r="K1072" s="69">
        <f>MAX(0,ROUND(K1069+Materiales!$H$156-J1071-K1070,4))</f>
        <v/>
      </c>
      <c r="L1072" s="69">
        <f>MAX(0,ROUND(L1069+Materiales!$H$156-K1071-L1070,4))</f>
        <v/>
      </c>
      <c r="M1072" s="66" t="n"/>
    </row>
    <row r="1073">
      <c r="C1073" s="63" t="inlineStr">
        <is>
          <t>Recepcion de orden planificada</t>
        </is>
      </c>
      <c r="D1073" s="64" t="n"/>
      <c r="E1073" s="65">
        <f>IF(E1072&lt;=0,0,IF(Materiales!$G$156&lt;=0,E1072,ROUNDUP(E1072/Materiales!$G$156,0)*Materiales!$G$156))</f>
        <v/>
      </c>
      <c r="F1073" s="65">
        <f>IF(F1072&lt;=0,0,IF(Materiales!$G$156&lt;=0,F1072,ROUNDUP(F1072/Materiales!$G$156,0)*Materiales!$G$156))</f>
        <v/>
      </c>
      <c r="G1073" s="65">
        <f>IF(G1072&lt;=0,0,IF(Materiales!$G$156&lt;=0,G1072,ROUNDUP(G1072/Materiales!$G$156,0)*Materiales!$G$156))</f>
        <v/>
      </c>
      <c r="H1073" s="65">
        <f>IF(H1072&lt;=0,0,IF(Materiales!$G$156&lt;=0,H1072,ROUNDUP(H1072/Materiales!$G$156,0)*Materiales!$G$156))</f>
        <v/>
      </c>
      <c r="I1073" s="65">
        <f>IF(I1072&lt;=0,0,IF(Materiales!$G$156&lt;=0,I1072,ROUNDUP(I1072/Materiales!$G$156,0)*Materiales!$G$156))</f>
        <v/>
      </c>
      <c r="J1073" s="65">
        <f>IF(J1072&lt;=0,0,IF(Materiales!$G$156&lt;=0,J1072,ROUNDUP(J1072/Materiales!$G$156,0)*Materiales!$G$156))</f>
        <v/>
      </c>
      <c r="K1073" s="65">
        <f>IF(K1072&lt;=0,0,IF(Materiales!$G$156&lt;=0,K1072,ROUNDUP(K1072/Materiales!$G$156,0)*Materiales!$G$156))</f>
        <v/>
      </c>
      <c r="L1073" s="65">
        <f>IF(L1072&lt;=0,0,IF(Materiales!$G$156&lt;=0,L1072,ROUNDUP(L1072/Materiales!$G$156,0)*Materiales!$G$156))</f>
        <v/>
      </c>
      <c r="M1073" s="66" t="n"/>
    </row>
    <row r="1074">
      <c r="C1074" s="70" t="inlineStr">
        <is>
          <t>LANZAMIENTO DE ORDEN — pedir esta semana</t>
        </is>
      </c>
      <c r="D1074" s="64" t="n"/>
      <c r="E1074" s="71">
        <f>IF(1+Materiales!$F$156&gt;8,0,INDEX($E$1073:$L$1073,1,1+Materiales!$F$156))</f>
        <v/>
      </c>
      <c r="F1074" s="71">
        <f>IF(2+Materiales!$F$156&gt;8,0,INDEX($E$1073:$L$1073,1,2+Materiales!$F$156))</f>
        <v/>
      </c>
      <c r="G1074" s="71">
        <f>IF(3+Materiales!$F$156&gt;8,0,INDEX($E$1073:$L$1073,1,3+Materiales!$F$156))</f>
        <v/>
      </c>
      <c r="H1074" s="71">
        <f>IF(4+Materiales!$F$156&gt;8,0,INDEX($E$1073:$L$1073,1,4+Materiales!$F$156))</f>
        <v/>
      </c>
      <c r="I1074" s="71">
        <f>IF(5+Materiales!$F$156&gt;8,0,INDEX($E$1073:$L$1073,1,5+Materiales!$F$156))</f>
        <v/>
      </c>
      <c r="J1074" s="71">
        <f>IF(6+Materiales!$F$156&gt;8,0,INDEX($E$1073:$L$1073,1,6+Materiales!$F$156))</f>
        <v/>
      </c>
      <c r="K1074" s="71">
        <f>IF(7+Materiales!$F$156&gt;8,0,INDEX($E$1073:$L$1073,1,7+Materiales!$F$156))</f>
        <v/>
      </c>
      <c r="L1074" s="71">
        <f>IF(8+Materiales!$F$156&gt;8,0,INDEX($E$1073:$L$1073,1,8+Materiales!$F$156))</f>
        <v/>
      </c>
      <c r="M1074" s="72">
        <f>IF($A1069="","",IF(SUMPRODUCT((COLUMN($E$1073:$L$1073)-4&lt;=Materiales!$F$156)*$E$1073:$L$1073)&gt;0,"PEDIR YA (atrasado)","OK"))</f>
        <v/>
      </c>
    </row>
    <row r="1075" ht="6" customHeight="1"/>
    <row r="1076">
      <c r="A1076" s="62">
        <f>IF(Materiales!$A$157="","",Materiales!$A$157)</f>
        <v/>
      </c>
      <c r="B1076" s="62">
        <f>IF(Materiales!$B$157="","",Materiales!$B$157)</f>
        <v/>
      </c>
      <c r="C1076" s="63" t="inlineStr">
        <is>
          <t>Necesidad bruta</t>
        </is>
      </c>
      <c r="D1076" s="64" t="n"/>
      <c r="E1076" s="65">
        <f>ROUND(SUMIF(Consumo!$P$4:$P$189,"#"&amp;$A1076,Consumo!H$4:H$189),4)</f>
        <v/>
      </c>
      <c r="F1076" s="65">
        <f>ROUND(SUMIF(Consumo!$P$4:$P$189,"#"&amp;$A1076,Consumo!I$4:I$189),4)</f>
        <v/>
      </c>
      <c r="G1076" s="65">
        <f>ROUND(SUMIF(Consumo!$P$4:$P$189,"#"&amp;$A1076,Consumo!J$4:J$189),4)</f>
        <v/>
      </c>
      <c r="H1076" s="65">
        <f>ROUND(SUMIF(Consumo!$P$4:$P$189,"#"&amp;$A1076,Consumo!K$4:K$189),4)</f>
        <v/>
      </c>
      <c r="I1076" s="65">
        <f>ROUND(SUMIF(Consumo!$P$4:$P$189,"#"&amp;$A1076,Consumo!L$4:L$189),4)</f>
        <v/>
      </c>
      <c r="J1076" s="65">
        <f>ROUND(SUMIF(Consumo!$P$4:$P$189,"#"&amp;$A1076,Consumo!M$4:M$189),4)</f>
        <v/>
      </c>
      <c r="K1076" s="65">
        <f>ROUND(SUMIF(Consumo!$P$4:$P$189,"#"&amp;$A1076,Consumo!N$4:N$189),4)</f>
        <v/>
      </c>
      <c r="L1076" s="65">
        <f>ROUND(SUMIF(Consumo!$P$4:$P$189,"#"&amp;$A1076,Consumo!O$4:O$189),4)</f>
        <v/>
      </c>
      <c r="M1076" s="66" t="n"/>
    </row>
    <row r="1077">
      <c r="C1077" s="63" t="inlineStr">
        <is>
          <t>Recepciones programadas (ya pedido)</t>
        </is>
      </c>
      <c r="D1077" s="64" t="n"/>
      <c r="E1077" s="65">
        <f>SUMIF(Inventario!$M$5:$M$505,"#"&amp;$A1076,Inventario!E$5:E$505)</f>
        <v/>
      </c>
      <c r="F1077" s="65">
        <f>SUMIF(Inventario!$M$5:$M$505,"#"&amp;$A1076,Inventario!F$5:F$505)</f>
        <v/>
      </c>
      <c r="G1077" s="65">
        <f>SUMIF(Inventario!$M$5:$M$505,"#"&amp;$A1076,Inventario!G$5:G$505)</f>
        <v/>
      </c>
      <c r="H1077" s="65">
        <f>SUMIF(Inventario!$M$5:$M$505,"#"&amp;$A1076,Inventario!H$5:H$505)</f>
        <v/>
      </c>
      <c r="I1077" s="65">
        <f>SUMIF(Inventario!$M$5:$M$505,"#"&amp;$A1076,Inventario!I$5:I$505)</f>
        <v/>
      </c>
      <c r="J1077" s="65">
        <f>SUMIF(Inventario!$M$5:$M$505,"#"&amp;$A1076,Inventario!J$5:J$505)</f>
        <v/>
      </c>
      <c r="K1077" s="65">
        <f>SUMIF(Inventario!$M$5:$M$505,"#"&amp;$A1076,Inventario!K$5:K$505)</f>
        <v/>
      </c>
      <c r="L1077" s="65">
        <f>SUMIF(Inventario!$M$5:$M$505,"#"&amp;$A1076,Inventario!L$5:L$505)</f>
        <v/>
      </c>
      <c r="M1077" s="66" t="n"/>
    </row>
    <row r="1078">
      <c r="C1078" s="63" t="inlineStr">
        <is>
          <t>Stock proyectado disponible</t>
        </is>
      </c>
      <c r="D1078" s="67">
        <f>SUMIF(Inventario!$M$5:$M$505,"#"&amp;$A1076,Inventario!$C$5:$C$505)</f>
        <v/>
      </c>
      <c r="E1078" s="68">
        <f>D1078+E1077+E1080-E1076</f>
        <v/>
      </c>
      <c r="F1078" s="68">
        <f>E1078+F1077+F1080-F1076</f>
        <v/>
      </c>
      <c r="G1078" s="68">
        <f>F1078+G1077+G1080-G1076</f>
        <v/>
      </c>
      <c r="H1078" s="68">
        <f>G1078+H1077+H1080-H1076</f>
        <v/>
      </c>
      <c r="I1078" s="68">
        <f>H1078+I1077+I1080-I1076</f>
        <v/>
      </c>
      <c r="J1078" s="68">
        <f>I1078+J1077+J1080-J1076</f>
        <v/>
      </c>
      <c r="K1078" s="68">
        <f>J1078+K1077+K1080-K1076</f>
        <v/>
      </c>
      <c r="L1078" s="68">
        <f>K1078+L1077+L1080-L1076</f>
        <v/>
      </c>
      <c r="M1078" s="66" t="n"/>
    </row>
    <row r="1079">
      <c r="C1079" s="63" t="inlineStr">
        <is>
          <t>Necesidad neta</t>
        </is>
      </c>
      <c r="D1079" s="64" t="n"/>
      <c r="E1079" s="69">
        <f>MAX(0,ROUND(E1076+Materiales!$H$157-D1078-E1077,4))</f>
        <v/>
      </c>
      <c r="F1079" s="69">
        <f>MAX(0,ROUND(F1076+Materiales!$H$157-E1078-F1077,4))</f>
        <v/>
      </c>
      <c r="G1079" s="69">
        <f>MAX(0,ROUND(G1076+Materiales!$H$157-F1078-G1077,4))</f>
        <v/>
      </c>
      <c r="H1079" s="69">
        <f>MAX(0,ROUND(H1076+Materiales!$H$157-G1078-H1077,4))</f>
        <v/>
      </c>
      <c r="I1079" s="69">
        <f>MAX(0,ROUND(I1076+Materiales!$H$157-H1078-I1077,4))</f>
        <v/>
      </c>
      <c r="J1079" s="69">
        <f>MAX(0,ROUND(J1076+Materiales!$H$157-I1078-J1077,4))</f>
        <v/>
      </c>
      <c r="K1079" s="69">
        <f>MAX(0,ROUND(K1076+Materiales!$H$157-J1078-K1077,4))</f>
        <v/>
      </c>
      <c r="L1079" s="69">
        <f>MAX(0,ROUND(L1076+Materiales!$H$157-K1078-L1077,4))</f>
        <v/>
      </c>
      <c r="M1079" s="66" t="n"/>
    </row>
    <row r="1080">
      <c r="C1080" s="63" t="inlineStr">
        <is>
          <t>Recepcion de orden planificada</t>
        </is>
      </c>
      <c r="D1080" s="64" t="n"/>
      <c r="E1080" s="65">
        <f>IF(E1079&lt;=0,0,IF(Materiales!$G$157&lt;=0,E1079,ROUNDUP(E1079/Materiales!$G$157,0)*Materiales!$G$157))</f>
        <v/>
      </c>
      <c r="F1080" s="65">
        <f>IF(F1079&lt;=0,0,IF(Materiales!$G$157&lt;=0,F1079,ROUNDUP(F1079/Materiales!$G$157,0)*Materiales!$G$157))</f>
        <v/>
      </c>
      <c r="G1080" s="65">
        <f>IF(G1079&lt;=0,0,IF(Materiales!$G$157&lt;=0,G1079,ROUNDUP(G1079/Materiales!$G$157,0)*Materiales!$G$157))</f>
        <v/>
      </c>
      <c r="H1080" s="65">
        <f>IF(H1079&lt;=0,0,IF(Materiales!$G$157&lt;=0,H1079,ROUNDUP(H1079/Materiales!$G$157,0)*Materiales!$G$157))</f>
        <v/>
      </c>
      <c r="I1080" s="65">
        <f>IF(I1079&lt;=0,0,IF(Materiales!$G$157&lt;=0,I1079,ROUNDUP(I1079/Materiales!$G$157,0)*Materiales!$G$157))</f>
        <v/>
      </c>
      <c r="J1080" s="65">
        <f>IF(J1079&lt;=0,0,IF(Materiales!$G$157&lt;=0,J1079,ROUNDUP(J1079/Materiales!$G$157,0)*Materiales!$G$157))</f>
        <v/>
      </c>
      <c r="K1080" s="65">
        <f>IF(K1079&lt;=0,0,IF(Materiales!$G$157&lt;=0,K1079,ROUNDUP(K1079/Materiales!$G$157,0)*Materiales!$G$157))</f>
        <v/>
      </c>
      <c r="L1080" s="65">
        <f>IF(L1079&lt;=0,0,IF(Materiales!$G$157&lt;=0,L1079,ROUNDUP(L1079/Materiales!$G$157,0)*Materiales!$G$157))</f>
        <v/>
      </c>
      <c r="M1080" s="66" t="n"/>
    </row>
    <row r="1081">
      <c r="C1081" s="70" t="inlineStr">
        <is>
          <t>LANZAMIENTO DE ORDEN — pedir esta semana</t>
        </is>
      </c>
      <c r="D1081" s="64" t="n"/>
      <c r="E1081" s="71">
        <f>IF(1+Materiales!$F$157&gt;8,0,INDEX($E$1080:$L$1080,1,1+Materiales!$F$157))</f>
        <v/>
      </c>
      <c r="F1081" s="71">
        <f>IF(2+Materiales!$F$157&gt;8,0,INDEX($E$1080:$L$1080,1,2+Materiales!$F$157))</f>
        <v/>
      </c>
      <c r="G1081" s="71">
        <f>IF(3+Materiales!$F$157&gt;8,0,INDEX($E$1080:$L$1080,1,3+Materiales!$F$157))</f>
        <v/>
      </c>
      <c r="H1081" s="71">
        <f>IF(4+Materiales!$F$157&gt;8,0,INDEX($E$1080:$L$1080,1,4+Materiales!$F$157))</f>
        <v/>
      </c>
      <c r="I1081" s="71">
        <f>IF(5+Materiales!$F$157&gt;8,0,INDEX($E$1080:$L$1080,1,5+Materiales!$F$157))</f>
        <v/>
      </c>
      <c r="J1081" s="71">
        <f>IF(6+Materiales!$F$157&gt;8,0,INDEX($E$1080:$L$1080,1,6+Materiales!$F$157))</f>
        <v/>
      </c>
      <c r="K1081" s="71">
        <f>IF(7+Materiales!$F$157&gt;8,0,INDEX($E$1080:$L$1080,1,7+Materiales!$F$157))</f>
        <v/>
      </c>
      <c r="L1081" s="71">
        <f>IF(8+Materiales!$F$157&gt;8,0,INDEX($E$1080:$L$1080,1,8+Materiales!$F$157))</f>
        <v/>
      </c>
      <c r="M1081" s="72">
        <f>IF($A1076="","",IF(SUMPRODUCT((COLUMN($E$1080:$L$1080)-4&lt;=Materiales!$F$157)*$E$1080:$L$1080)&gt;0,"PEDIR YA (atrasado)","OK"))</f>
        <v/>
      </c>
    </row>
    <row r="1082" ht="6" customHeight="1"/>
    <row r="1083">
      <c r="A1083" s="62">
        <f>IF(Materiales!$A$158="","",Materiales!$A$158)</f>
        <v/>
      </c>
      <c r="B1083" s="62">
        <f>IF(Materiales!$B$158="","",Materiales!$B$158)</f>
        <v/>
      </c>
      <c r="C1083" s="63" t="inlineStr">
        <is>
          <t>Necesidad bruta</t>
        </is>
      </c>
      <c r="D1083" s="64" t="n"/>
      <c r="E1083" s="65">
        <f>ROUND(SUMIF(Consumo!$P$4:$P$189,"#"&amp;$A1083,Consumo!H$4:H$189),4)</f>
        <v/>
      </c>
      <c r="F1083" s="65">
        <f>ROUND(SUMIF(Consumo!$P$4:$P$189,"#"&amp;$A1083,Consumo!I$4:I$189),4)</f>
        <v/>
      </c>
      <c r="G1083" s="65">
        <f>ROUND(SUMIF(Consumo!$P$4:$P$189,"#"&amp;$A1083,Consumo!J$4:J$189),4)</f>
        <v/>
      </c>
      <c r="H1083" s="65">
        <f>ROUND(SUMIF(Consumo!$P$4:$P$189,"#"&amp;$A1083,Consumo!K$4:K$189),4)</f>
        <v/>
      </c>
      <c r="I1083" s="65">
        <f>ROUND(SUMIF(Consumo!$P$4:$P$189,"#"&amp;$A1083,Consumo!L$4:L$189),4)</f>
        <v/>
      </c>
      <c r="J1083" s="65">
        <f>ROUND(SUMIF(Consumo!$P$4:$P$189,"#"&amp;$A1083,Consumo!M$4:M$189),4)</f>
        <v/>
      </c>
      <c r="K1083" s="65">
        <f>ROUND(SUMIF(Consumo!$P$4:$P$189,"#"&amp;$A1083,Consumo!N$4:N$189),4)</f>
        <v/>
      </c>
      <c r="L1083" s="65">
        <f>ROUND(SUMIF(Consumo!$P$4:$P$189,"#"&amp;$A1083,Consumo!O$4:O$189),4)</f>
        <v/>
      </c>
      <c r="M1083" s="66" t="n"/>
    </row>
    <row r="1084">
      <c r="C1084" s="63" t="inlineStr">
        <is>
          <t>Recepciones programadas (ya pedido)</t>
        </is>
      </c>
      <c r="D1084" s="64" t="n"/>
      <c r="E1084" s="65">
        <f>SUMIF(Inventario!$M$5:$M$505,"#"&amp;$A1083,Inventario!E$5:E$505)</f>
        <v/>
      </c>
      <c r="F1084" s="65">
        <f>SUMIF(Inventario!$M$5:$M$505,"#"&amp;$A1083,Inventario!F$5:F$505)</f>
        <v/>
      </c>
      <c r="G1084" s="65">
        <f>SUMIF(Inventario!$M$5:$M$505,"#"&amp;$A1083,Inventario!G$5:G$505)</f>
        <v/>
      </c>
      <c r="H1084" s="65">
        <f>SUMIF(Inventario!$M$5:$M$505,"#"&amp;$A1083,Inventario!H$5:H$505)</f>
        <v/>
      </c>
      <c r="I1084" s="65">
        <f>SUMIF(Inventario!$M$5:$M$505,"#"&amp;$A1083,Inventario!I$5:I$505)</f>
        <v/>
      </c>
      <c r="J1084" s="65">
        <f>SUMIF(Inventario!$M$5:$M$505,"#"&amp;$A1083,Inventario!J$5:J$505)</f>
        <v/>
      </c>
      <c r="K1084" s="65">
        <f>SUMIF(Inventario!$M$5:$M$505,"#"&amp;$A1083,Inventario!K$5:K$505)</f>
        <v/>
      </c>
      <c r="L1084" s="65">
        <f>SUMIF(Inventario!$M$5:$M$505,"#"&amp;$A1083,Inventario!L$5:L$505)</f>
        <v/>
      </c>
      <c r="M1084" s="66" t="n"/>
    </row>
    <row r="1085">
      <c r="C1085" s="63" t="inlineStr">
        <is>
          <t>Stock proyectado disponible</t>
        </is>
      </c>
      <c r="D1085" s="67">
        <f>SUMIF(Inventario!$M$5:$M$505,"#"&amp;$A1083,Inventario!$C$5:$C$505)</f>
        <v/>
      </c>
      <c r="E1085" s="68">
        <f>D1085+E1084+E1087-E1083</f>
        <v/>
      </c>
      <c r="F1085" s="68">
        <f>E1085+F1084+F1087-F1083</f>
        <v/>
      </c>
      <c r="G1085" s="68">
        <f>F1085+G1084+G1087-G1083</f>
        <v/>
      </c>
      <c r="H1085" s="68">
        <f>G1085+H1084+H1087-H1083</f>
        <v/>
      </c>
      <c r="I1085" s="68">
        <f>H1085+I1084+I1087-I1083</f>
        <v/>
      </c>
      <c r="J1085" s="68">
        <f>I1085+J1084+J1087-J1083</f>
        <v/>
      </c>
      <c r="K1085" s="68">
        <f>J1085+K1084+K1087-K1083</f>
        <v/>
      </c>
      <c r="L1085" s="68">
        <f>K1085+L1084+L1087-L1083</f>
        <v/>
      </c>
      <c r="M1085" s="66" t="n"/>
    </row>
    <row r="1086">
      <c r="C1086" s="63" t="inlineStr">
        <is>
          <t>Necesidad neta</t>
        </is>
      </c>
      <c r="D1086" s="64" t="n"/>
      <c r="E1086" s="69">
        <f>MAX(0,ROUND(E1083+Materiales!$H$158-D1085-E1084,4))</f>
        <v/>
      </c>
      <c r="F1086" s="69">
        <f>MAX(0,ROUND(F1083+Materiales!$H$158-E1085-F1084,4))</f>
        <v/>
      </c>
      <c r="G1086" s="69">
        <f>MAX(0,ROUND(G1083+Materiales!$H$158-F1085-G1084,4))</f>
        <v/>
      </c>
      <c r="H1086" s="69">
        <f>MAX(0,ROUND(H1083+Materiales!$H$158-G1085-H1084,4))</f>
        <v/>
      </c>
      <c r="I1086" s="69">
        <f>MAX(0,ROUND(I1083+Materiales!$H$158-H1085-I1084,4))</f>
        <v/>
      </c>
      <c r="J1086" s="69">
        <f>MAX(0,ROUND(J1083+Materiales!$H$158-I1085-J1084,4))</f>
        <v/>
      </c>
      <c r="K1086" s="69">
        <f>MAX(0,ROUND(K1083+Materiales!$H$158-J1085-K1084,4))</f>
        <v/>
      </c>
      <c r="L1086" s="69">
        <f>MAX(0,ROUND(L1083+Materiales!$H$158-K1085-L1084,4))</f>
        <v/>
      </c>
      <c r="M1086" s="66" t="n"/>
    </row>
    <row r="1087">
      <c r="C1087" s="63" t="inlineStr">
        <is>
          <t>Recepcion de orden planificada</t>
        </is>
      </c>
      <c r="D1087" s="64" t="n"/>
      <c r="E1087" s="65">
        <f>IF(E1086&lt;=0,0,IF(Materiales!$G$158&lt;=0,E1086,ROUNDUP(E1086/Materiales!$G$158,0)*Materiales!$G$158))</f>
        <v/>
      </c>
      <c r="F1087" s="65">
        <f>IF(F1086&lt;=0,0,IF(Materiales!$G$158&lt;=0,F1086,ROUNDUP(F1086/Materiales!$G$158,0)*Materiales!$G$158))</f>
        <v/>
      </c>
      <c r="G1087" s="65">
        <f>IF(G1086&lt;=0,0,IF(Materiales!$G$158&lt;=0,G1086,ROUNDUP(G1086/Materiales!$G$158,0)*Materiales!$G$158))</f>
        <v/>
      </c>
      <c r="H1087" s="65">
        <f>IF(H1086&lt;=0,0,IF(Materiales!$G$158&lt;=0,H1086,ROUNDUP(H1086/Materiales!$G$158,0)*Materiales!$G$158))</f>
        <v/>
      </c>
      <c r="I1087" s="65">
        <f>IF(I1086&lt;=0,0,IF(Materiales!$G$158&lt;=0,I1086,ROUNDUP(I1086/Materiales!$G$158,0)*Materiales!$G$158))</f>
        <v/>
      </c>
      <c r="J1087" s="65">
        <f>IF(J1086&lt;=0,0,IF(Materiales!$G$158&lt;=0,J1086,ROUNDUP(J1086/Materiales!$G$158,0)*Materiales!$G$158))</f>
        <v/>
      </c>
      <c r="K1087" s="65">
        <f>IF(K1086&lt;=0,0,IF(Materiales!$G$158&lt;=0,K1086,ROUNDUP(K1086/Materiales!$G$158,0)*Materiales!$G$158))</f>
        <v/>
      </c>
      <c r="L1087" s="65">
        <f>IF(L1086&lt;=0,0,IF(Materiales!$G$158&lt;=0,L1086,ROUNDUP(L1086/Materiales!$G$158,0)*Materiales!$G$158))</f>
        <v/>
      </c>
      <c r="M1087" s="66" t="n"/>
    </row>
    <row r="1088">
      <c r="C1088" s="70" t="inlineStr">
        <is>
          <t>LANZAMIENTO DE ORDEN — pedir esta semana</t>
        </is>
      </c>
      <c r="D1088" s="64" t="n"/>
      <c r="E1088" s="71">
        <f>IF(1+Materiales!$F$158&gt;8,0,INDEX($E$1087:$L$1087,1,1+Materiales!$F$158))</f>
        <v/>
      </c>
      <c r="F1088" s="71">
        <f>IF(2+Materiales!$F$158&gt;8,0,INDEX($E$1087:$L$1087,1,2+Materiales!$F$158))</f>
        <v/>
      </c>
      <c r="G1088" s="71">
        <f>IF(3+Materiales!$F$158&gt;8,0,INDEX($E$1087:$L$1087,1,3+Materiales!$F$158))</f>
        <v/>
      </c>
      <c r="H1088" s="71">
        <f>IF(4+Materiales!$F$158&gt;8,0,INDEX($E$1087:$L$1087,1,4+Materiales!$F$158))</f>
        <v/>
      </c>
      <c r="I1088" s="71">
        <f>IF(5+Materiales!$F$158&gt;8,0,INDEX($E$1087:$L$1087,1,5+Materiales!$F$158))</f>
        <v/>
      </c>
      <c r="J1088" s="71">
        <f>IF(6+Materiales!$F$158&gt;8,0,INDEX($E$1087:$L$1087,1,6+Materiales!$F$158))</f>
        <v/>
      </c>
      <c r="K1088" s="71">
        <f>IF(7+Materiales!$F$158&gt;8,0,INDEX($E$1087:$L$1087,1,7+Materiales!$F$158))</f>
        <v/>
      </c>
      <c r="L1088" s="71">
        <f>IF(8+Materiales!$F$158&gt;8,0,INDEX($E$1087:$L$1087,1,8+Materiales!$F$158))</f>
        <v/>
      </c>
      <c r="M1088" s="72">
        <f>IF($A1083="","",IF(SUMPRODUCT((COLUMN($E$1087:$L$1087)-4&lt;=Materiales!$F$158)*$E$1087:$L$1087)&gt;0,"PEDIR YA (atrasado)","OK"))</f>
        <v/>
      </c>
    </row>
    <row r="1089" ht="6" customHeight="1"/>
    <row r="1090">
      <c r="A1090" s="62">
        <f>IF(Materiales!$A$159="","",Materiales!$A$159)</f>
        <v/>
      </c>
      <c r="B1090" s="62">
        <f>IF(Materiales!$B$159="","",Materiales!$B$159)</f>
        <v/>
      </c>
      <c r="C1090" s="63" t="inlineStr">
        <is>
          <t>Necesidad bruta</t>
        </is>
      </c>
      <c r="D1090" s="64" t="n"/>
      <c r="E1090" s="65">
        <f>ROUND(SUMIF(Consumo!$P$4:$P$189,"#"&amp;$A1090,Consumo!H$4:H$189),4)</f>
        <v/>
      </c>
      <c r="F1090" s="65">
        <f>ROUND(SUMIF(Consumo!$P$4:$P$189,"#"&amp;$A1090,Consumo!I$4:I$189),4)</f>
        <v/>
      </c>
      <c r="G1090" s="65">
        <f>ROUND(SUMIF(Consumo!$P$4:$P$189,"#"&amp;$A1090,Consumo!J$4:J$189),4)</f>
        <v/>
      </c>
      <c r="H1090" s="65">
        <f>ROUND(SUMIF(Consumo!$P$4:$P$189,"#"&amp;$A1090,Consumo!K$4:K$189),4)</f>
        <v/>
      </c>
      <c r="I1090" s="65">
        <f>ROUND(SUMIF(Consumo!$P$4:$P$189,"#"&amp;$A1090,Consumo!L$4:L$189),4)</f>
        <v/>
      </c>
      <c r="J1090" s="65">
        <f>ROUND(SUMIF(Consumo!$P$4:$P$189,"#"&amp;$A1090,Consumo!M$4:M$189),4)</f>
        <v/>
      </c>
      <c r="K1090" s="65">
        <f>ROUND(SUMIF(Consumo!$P$4:$P$189,"#"&amp;$A1090,Consumo!N$4:N$189),4)</f>
        <v/>
      </c>
      <c r="L1090" s="65">
        <f>ROUND(SUMIF(Consumo!$P$4:$P$189,"#"&amp;$A1090,Consumo!O$4:O$189),4)</f>
        <v/>
      </c>
      <c r="M1090" s="66" t="n"/>
    </row>
    <row r="1091">
      <c r="C1091" s="63" t="inlineStr">
        <is>
          <t>Recepciones programadas (ya pedido)</t>
        </is>
      </c>
      <c r="D1091" s="64" t="n"/>
      <c r="E1091" s="65">
        <f>SUMIF(Inventario!$M$5:$M$505,"#"&amp;$A1090,Inventario!E$5:E$505)</f>
        <v/>
      </c>
      <c r="F1091" s="65">
        <f>SUMIF(Inventario!$M$5:$M$505,"#"&amp;$A1090,Inventario!F$5:F$505)</f>
        <v/>
      </c>
      <c r="G1091" s="65">
        <f>SUMIF(Inventario!$M$5:$M$505,"#"&amp;$A1090,Inventario!G$5:G$505)</f>
        <v/>
      </c>
      <c r="H1091" s="65">
        <f>SUMIF(Inventario!$M$5:$M$505,"#"&amp;$A1090,Inventario!H$5:H$505)</f>
        <v/>
      </c>
      <c r="I1091" s="65">
        <f>SUMIF(Inventario!$M$5:$M$505,"#"&amp;$A1090,Inventario!I$5:I$505)</f>
        <v/>
      </c>
      <c r="J1091" s="65">
        <f>SUMIF(Inventario!$M$5:$M$505,"#"&amp;$A1090,Inventario!J$5:J$505)</f>
        <v/>
      </c>
      <c r="K1091" s="65">
        <f>SUMIF(Inventario!$M$5:$M$505,"#"&amp;$A1090,Inventario!K$5:K$505)</f>
        <v/>
      </c>
      <c r="L1091" s="65">
        <f>SUMIF(Inventario!$M$5:$M$505,"#"&amp;$A1090,Inventario!L$5:L$505)</f>
        <v/>
      </c>
      <c r="M1091" s="66" t="n"/>
    </row>
    <row r="1092">
      <c r="C1092" s="63" t="inlineStr">
        <is>
          <t>Stock proyectado disponible</t>
        </is>
      </c>
      <c r="D1092" s="67">
        <f>SUMIF(Inventario!$M$5:$M$505,"#"&amp;$A1090,Inventario!$C$5:$C$505)</f>
        <v/>
      </c>
      <c r="E1092" s="68">
        <f>D1092+E1091+E1094-E1090</f>
        <v/>
      </c>
      <c r="F1092" s="68">
        <f>E1092+F1091+F1094-F1090</f>
        <v/>
      </c>
      <c r="G1092" s="68">
        <f>F1092+G1091+G1094-G1090</f>
        <v/>
      </c>
      <c r="H1092" s="68">
        <f>G1092+H1091+H1094-H1090</f>
        <v/>
      </c>
      <c r="I1092" s="68">
        <f>H1092+I1091+I1094-I1090</f>
        <v/>
      </c>
      <c r="J1092" s="68">
        <f>I1092+J1091+J1094-J1090</f>
        <v/>
      </c>
      <c r="K1092" s="68">
        <f>J1092+K1091+K1094-K1090</f>
        <v/>
      </c>
      <c r="L1092" s="68">
        <f>K1092+L1091+L1094-L1090</f>
        <v/>
      </c>
      <c r="M1092" s="66" t="n"/>
    </row>
    <row r="1093">
      <c r="C1093" s="63" t="inlineStr">
        <is>
          <t>Necesidad neta</t>
        </is>
      </c>
      <c r="D1093" s="64" t="n"/>
      <c r="E1093" s="69">
        <f>MAX(0,ROUND(E1090+Materiales!$H$159-D1092-E1091,4))</f>
        <v/>
      </c>
      <c r="F1093" s="69">
        <f>MAX(0,ROUND(F1090+Materiales!$H$159-E1092-F1091,4))</f>
        <v/>
      </c>
      <c r="G1093" s="69">
        <f>MAX(0,ROUND(G1090+Materiales!$H$159-F1092-G1091,4))</f>
        <v/>
      </c>
      <c r="H1093" s="69">
        <f>MAX(0,ROUND(H1090+Materiales!$H$159-G1092-H1091,4))</f>
        <v/>
      </c>
      <c r="I1093" s="69">
        <f>MAX(0,ROUND(I1090+Materiales!$H$159-H1092-I1091,4))</f>
        <v/>
      </c>
      <c r="J1093" s="69">
        <f>MAX(0,ROUND(J1090+Materiales!$H$159-I1092-J1091,4))</f>
        <v/>
      </c>
      <c r="K1093" s="69">
        <f>MAX(0,ROUND(K1090+Materiales!$H$159-J1092-K1091,4))</f>
        <v/>
      </c>
      <c r="L1093" s="69">
        <f>MAX(0,ROUND(L1090+Materiales!$H$159-K1092-L1091,4))</f>
        <v/>
      </c>
      <c r="M1093" s="66" t="n"/>
    </row>
    <row r="1094">
      <c r="C1094" s="63" t="inlineStr">
        <is>
          <t>Recepcion de orden planificada</t>
        </is>
      </c>
      <c r="D1094" s="64" t="n"/>
      <c r="E1094" s="65">
        <f>IF(E1093&lt;=0,0,IF(Materiales!$G$159&lt;=0,E1093,ROUNDUP(E1093/Materiales!$G$159,0)*Materiales!$G$159))</f>
        <v/>
      </c>
      <c r="F1094" s="65">
        <f>IF(F1093&lt;=0,0,IF(Materiales!$G$159&lt;=0,F1093,ROUNDUP(F1093/Materiales!$G$159,0)*Materiales!$G$159))</f>
        <v/>
      </c>
      <c r="G1094" s="65">
        <f>IF(G1093&lt;=0,0,IF(Materiales!$G$159&lt;=0,G1093,ROUNDUP(G1093/Materiales!$G$159,0)*Materiales!$G$159))</f>
        <v/>
      </c>
      <c r="H1094" s="65">
        <f>IF(H1093&lt;=0,0,IF(Materiales!$G$159&lt;=0,H1093,ROUNDUP(H1093/Materiales!$G$159,0)*Materiales!$G$159))</f>
        <v/>
      </c>
      <c r="I1094" s="65">
        <f>IF(I1093&lt;=0,0,IF(Materiales!$G$159&lt;=0,I1093,ROUNDUP(I1093/Materiales!$G$159,0)*Materiales!$G$159))</f>
        <v/>
      </c>
      <c r="J1094" s="65">
        <f>IF(J1093&lt;=0,0,IF(Materiales!$G$159&lt;=0,J1093,ROUNDUP(J1093/Materiales!$G$159,0)*Materiales!$G$159))</f>
        <v/>
      </c>
      <c r="K1094" s="65">
        <f>IF(K1093&lt;=0,0,IF(Materiales!$G$159&lt;=0,K1093,ROUNDUP(K1093/Materiales!$G$159,0)*Materiales!$G$159))</f>
        <v/>
      </c>
      <c r="L1094" s="65">
        <f>IF(L1093&lt;=0,0,IF(Materiales!$G$159&lt;=0,L1093,ROUNDUP(L1093/Materiales!$G$159,0)*Materiales!$G$159))</f>
        <v/>
      </c>
      <c r="M1094" s="66" t="n"/>
    </row>
    <row r="1095">
      <c r="C1095" s="70" t="inlineStr">
        <is>
          <t>LANZAMIENTO DE ORDEN — pedir esta semana</t>
        </is>
      </c>
      <c r="D1095" s="64" t="n"/>
      <c r="E1095" s="71">
        <f>IF(1+Materiales!$F$159&gt;8,0,INDEX($E$1094:$L$1094,1,1+Materiales!$F$159))</f>
        <v/>
      </c>
      <c r="F1095" s="71">
        <f>IF(2+Materiales!$F$159&gt;8,0,INDEX($E$1094:$L$1094,1,2+Materiales!$F$159))</f>
        <v/>
      </c>
      <c r="G1095" s="71">
        <f>IF(3+Materiales!$F$159&gt;8,0,INDEX($E$1094:$L$1094,1,3+Materiales!$F$159))</f>
        <v/>
      </c>
      <c r="H1095" s="71">
        <f>IF(4+Materiales!$F$159&gt;8,0,INDEX($E$1094:$L$1094,1,4+Materiales!$F$159))</f>
        <v/>
      </c>
      <c r="I1095" s="71">
        <f>IF(5+Materiales!$F$159&gt;8,0,INDEX($E$1094:$L$1094,1,5+Materiales!$F$159))</f>
        <v/>
      </c>
      <c r="J1095" s="71">
        <f>IF(6+Materiales!$F$159&gt;8,0,INDEX($E$1094:$L$1094,1,6+Materiales!$F$159))</f>
        <v/>
      </c>
      <c r="K1095" s="71">
        <f>IF(7+Materiales!$F$159&gt;8,0,INDEX($E$1094:$L$1094,1,7+Materiales!$F$159))</f>
        <v/>
      </c>
      <c r="L1095" s="71">
        <f>IF(8+Materiales!$F$159&gt;8,0,INDEX($E$1094:$L$1094,1,8+Materiales!$F$159))</f>
        <v/>
      </c>
      <c r="M1095" s="72">
        <f>IF($A1090="","",IF(SUMPRODUCT((COLUMN($E$1094:$L$1094)-4&lt;=Materiales!$F$159)*$E$1094:$L$1094)&gt;0,"PEDIR YA (atrasado)","OK"))</f>
        <v/>
      </c>
    </row>
    <row r="1096" ht="6" customHeight="1"/>
    <row r="1097">
      <c r="A1097" s="62">
        <f>IF(Materiales!$A$160="","",Materiales!$A$160)</f>
        <v/>
      </c>
      <c r="B1097" s="62">
        <f>IF(Materiales!$B$160="","",Materiales!$B$160)</f>
        <v/>
      </c>
      <c r="C1097" s="63" t="inlineStr">
        <is>
          <t>Necesidad bruta</t>
        </is>
      </c>
      <c r="D1097" s="64" t="n"/>
      <c r="E1097" s="65">
        <f>ROUND(SUMIF(Consumo!$P$4:$P$189,"#"&amp;$A1097,Consumo!H$4:H$189),4)</f>
        <v/>
      </c>
      <c r="F1097" s="65">
        <f>ROUND(SUMIF(Consumo!$P$4:$P$189,"#"&amp;$A1097,Consumo!I$4:I$189),4)</f>
        <v/>
      </c>
      <c r="G1097" s="65">
        <f>ROUND(SUMIF(Consumo!$P$4:$P$189,"#"&amp;$A1097,Consumo!J$4:J$189),4)</f>
        <v/>
      </c>
      <c r="H1097" s="65">
        <f>ROUND(SUMIF(Consumo!$P$4:$P$189,"#"&amp;$A1097,Consumo!K$4:K$189),4)</f>
        <v/>
      </c>
      <c r="I1097" s="65">
        <f>ROUND(SUMIF(Consumo!$P$4:$P$189,"#"&amp;$A1097,Consumo!L$4:L$189),4)</f>
        <v/>
      </c>
      <c r="J1097" s="65">
        <f>ROUND(SUMIF(Consumo!$P$4:$P$189,"#"&amp;$A1097,Consumo!M$4:M$189),4)</f>
        <v/>
      </c>
      <c r="K1097" s="65">
        <f>ROUND(SUMIF(Consumo!$P$4:$P$189,"#"&amp;$A1097,Consumo!N$4:N$189),4)</f>
        <v/>
      </c>
      <c r="L1097" s="65">
        <f>ROUND(SUMIF(Consumo!$P$4:$P$189,"#"&amp;$A1097,Consumo!O$4:O$189),4)</f>
        <v/>
      </c>
      <c r="M1097" s="66" t="n"/>
    </row>
    <row r="1098">
      <c r="C1098" s="63" t="inlineStr">
        <is>
          <t>Recepciones programadas (ya pedido)</t>
        </is>
      </c>
      <c r="D1098" s="64" t="n"/>
      <c r="E1098" s="65">
        <f>SUMIF(Inventario!$M$5:$M$505,"#"&amp;$A1097,Inventario!E$5:E$505)</f>
        <v/>
      </c>
      <c r="F1098" s="65">
        <f>SUMIF(Inventario!$M$5:$M$505,"#"&amp;$A1097,Inventario!F$5:F$505)</f>
        <v/>
      </c>
      <c r="G1098" s="65">
        <f>SUMIF(Inventario!$M$5:$M$505,"#"&amp;$A1097,Inventario!G$5:G$505)</f>
        <v/>
      </c>
      <c r="H1098" s="65">
        <f>SUMIF(Inventario!$M$5:$M$505,"#"&amp;$A1097,Inventario!H$5:H$505)</f>
        <v/>
      </c>
      <c r="I1098" s="65">
        <f>SUMIF(Inventario!$M$5:$M$505,"#"&amp;$A1097,Inventario!I$5:I$505)</f>
        <v/>
      </c>
      <c r="J1098" s="65">
        <f>SUMIF(Inventario!$M$5:$M$505,"#"&amp;$A1097,Inventario!J$5:J$505)</f>
        <v/>
      </c>
      <c r="K1098" s="65">
        <f>SUMIF(Inventario!$M$5:$M$505,"#"&amp;$A1097,Inventario!K$5:K$505)</f>
        <v/>
      </c>
      <c r="L1098" s="65">
        <f>SUMIF(Inventario!$M$5:$M$505,"#"&amp;$A1097,Inventario!L$5:L$505)</f>
        <v/>
      </c>
      <c r="M1098" s="66" t="n"/>
    </row>
    <row r="1099">
      <c r="C1099" s="63" t="inlineStr">
        <is>
          <t>Stock proyectado disponible</t>
        </is>
      </c>
      <c r="D1099" s="67">
        <f>SUMIF(Inventario!$M$5:$M$505,"#"&amp;$A1097,Inventario!$C$5:$C$505)</f>
        <v/>
      </c>
      <c r="E1099" s="68">
        <f>D1099+E1098+E1101-E1097</f>
        <v/>
      </c>
      <c r="F1099" s="68">
        <f>E1099+F1098+F1101-F1097</f>
        <v/>
      </c>
      <c r="G1099" s="68">
        <f>F1099+G1098+G1101-G1097</f>
        <v/>
      </c>
      <c r="H1099" s="68">
        <f>G1099+H1098+H1101-H1097</f>
        <v/>
      </c>
      <c r="I1099" s="68">
        <f>H1099+I1098+I1101-I1097</f>
        <v/>
      </c>
      <c r="J1099" s="68">
        <f>I1099+J1098+J1101-J1097</f>
        <v/>
      </c>
      <c r="K1099" s="68">
        <f>J1099+K1098+K1101-K1097</f>
        <v/>
      </c>
      <c r="L1099" s="68">
        <f>K1099+L1098+L1101-L1097</f>
        <v/>
      </c>
      <c r="M1099" s="66" t="n"/>
    </row>
    <row r="1100">
      <c r="C1100" s="63" t="inlineStr">
        <is>
          <t>Necesidad neta</t>
        </is>
      </c>
      <c r="D1100" s="64" t="n"/>
      <c r="E1100" s="69">
        <f>MAX(0,ROUND(E1097+Materiales!$H$160-D1099-E1098,4))</f>
        <v/>
      </c>
      <c r="F1100" s="69">
        <f>MAX(0,ROUND(F1097+Materiales!$H$160-E1099-F1098,4))</f>
        <v/>
      </c>
      <c r="G1100" s="69">
        <f>MAX(0,ROUND(G1097+Materiales!$H$160-F1099-G1098,4))</f>
        <v/>
      </c>
      <c r="H1100" s="69">
        <f>MAX(0,ROUND(H1097+Materiales!$H$160-G1099-H1098,4))</f>
        <v/>
      </c>
      <c r="I1100" s="69">
        <f>MAX(0,ROUND(I1097+Materiales!$H$160-H1099-I1098,4))</f>
        <v/>
      </c>
      <c r="J1100" s="69">
        <f>MAX(0,ROUND(J1097+Materiales!$H$160-I1099-J1098,4))</f>
        <v/>
      </c>
      <c r="K1100" s="69">
        <f>MAX(0,ROUND(K1097+Materiales!$H$160-J1099-K1098,4))</f>
        <v/>
      </c>
      <c r="L1100" s="69">
        <f>MAX(0,ROUND(L1097+Materiales!$H$160-K1099-L1098,4))</f>
        <v/>
      </c>
      <c r="M1100" s="66" t="n"/>
    </row>
    <row r="1101">
      <c r="C1101" s="63" t="inlineStr">
        <is>
          <t>Recepcion de orden planificada</t>
        </is>
      </c>
      <c r="D1101" s="64" t="n"/>
      <c r="E1101" s="65">
        <f>IF(E1100&lt;=0,0,IF(Materiales!$G$160&lt;=0,E1100,ROUNDUP(E1100/Materiales!$G$160,0)*Materiales!$G$160))</f>
        <v/>
      </c>
      <c r="F1101" s="65">
        <f>IF(F1100&lt;=0,0,IF(Materiales!$G$160&lt;=0,F1100,ROUNDUP(F1100/Materiales!$G$160,0)*Materiales!$G$160))</f>
        <v/>
      </c>
      <c r="G1101" s="65">
        <f>IF(G1100&lt;=0,0,IF(Materiales!$G$160&lt;=0,G1100,ROUNDUP(G1100/Materiales!$G$160,0)*Materiales!$G$160))</f>
        <v/>
      </c>
      <c r="H1101" s="65">
        <f>IF(H1100&lt;=0,0,IF(Materiales!$G$160&lt;=0,H1100,ROUNDUP(H1100/Materiales!$G$160,0)*Materiales!$G$160))</f>
        <v/>
      </c>
      <c r="I1101" s="65">
        <f>IF(I1100&lt;=0,0,IF(Materiales!$G$160&lt;=0,I1100,ROUNDUP(I1100/Materiales!$G$160,0)*Materiales!$G$160))</f>
        <v/>
      </c>
      <c r="J1101" s="65">
        <f>IF(J1100&lt;=0,0,IF(Materiales!$G$160&lt;=0,J1100,ROUNDUP(J1100/Materiales!$G$160,0)*Materiales!$G$160))</f>
        <v/>
      </c>
      <c r="K1101" s="65">
        <f>IF(K1100&lt;=0,0,IF(Materiales!$G$160&lt;=0,K1100,ROUNDUP(K1100/Materiales!$G$160,0)*Materiales!$G$160))</f>
        <v/>
      </c>
      <c r="L1101" s="65">
        <f>IF(L1100&lt;=0,0,IF(Materiales!$G$160&lt;=0,L1100,ROUNDUP(L1100/Materiales!$G$160,0)*Materiales!$G$160))</f>
        <v/>
      </c>
      <c r="M1101" s="66" t="n"/>
    </row>
    <row r="1102">
      <c r="C1102" s="70" t="inlineStr">
        <is>
          <t>LANZAMIENTO DE ORDEN — pedir esta semana</t>
        </is>
      </c>
      <c r="D1102" s="64" t="n"/>
      <c r="E1102" s="71">
        <f>IF(1+Materiales!$F$160&gt;8,0,INDEX($E$1101:$L$1101,1,1+Materiales!$F$160))</f>
        <v/>
      </c>
      <c r="F1102" s="71">
        <f>IF(2+Materiales!$F$160&gt;8,0,INDEX($E$1101:$L$1101,1,2+Materiales!$F$160))</f>
        <v/>
      </c>
      <c r="G1102" s="71">
        <f>IF(3+Materiales!$F$160&gt;8,0,INDEX($E$1101:$L$1101,1,3+Materiales!$F$160))</f>
        <v/>
      </c>
      <c r="H1102" s="71">
        <f>IF(4+Materiales!$F$160&gt;8,0,INDEX($E$1101:$L$1101,1,4+Materiales!$F$160))</f>
        <v/>
      </c>
      <c r="I1102" s="71">
        <f>IF(5+Materiales!$F$160&gt;8,0,INDEX($E$1101:$L$1101,1,5+Materiales!$F$160))</f>
        <v/>
      </c>
      <c r="J1102" s="71">
        <f>IF(6+Materiales!$F$160&gt;8,0,INDEX($E$1101:$L$1101,1,6+Materiales!$F$160))</f>
        <v/>
      </c>
      <c r="K1102" s="71">
        <f>IF(7+Materiales!$F$160&gt;8,0,INDEX($E$1101:$L$1101,1,7+Materiales!$F$160))</f>
        <v/>
      </c>
      <c r="L1102" s="71">
        <f>IF(8+Materiales!$F$160&gt;8,0,INDEX($E$1101:$L$1101,1,8+Materiales!$F$160))</f>
        <v/>
      </c>
      <c r="M1102" s="72">
        <f>IF($A1097="","",IF(SUMPRODUCT((COLUMN($E$1101:$L$1101)-4&lt;=Materiales!$F$160)*$E$1101:$L$1101)&gt;0,"PEDIR YA (atrasado)","OK"))</f>
        <v/>
      </c>
    </row>
    <row r="1103" ht="6" customHeight="1"/>
    <row r="1104">
      <c r="A1104" s="62">
        <f>IF(Materiales!$A$161="","",Materiales!$A$161)</f>
        <v/>
      </c>
      <c r="B1104" s="62">
        <f>IF(Materiales!$B$161="","",Materiales!$B$161)</f>
        <v/>
      </c>
      <c r="C1104" s="63" t="inlineStr">
        <is>
          <t>Necesidad bruta</t>
        </is>
      </c>
      <c r="D1104" s="64" t="n"/>
      <c r="E1104" s="65">
        <f>ROUND(SUMIF(Consumo!$P$4:$P$189,"#"&amp;$A1104,Consumo!H$4:H$189),4)</f>
        <v/>
      </c>
      <c r="F1104" s="65">
        <f>ROUND(SUMIF(Consumo!$P$4:$P$189,"#"&amp;$A1104,Consumo!I$4:I$189),4)</f>
        <v/>
      </c>
      <c r="G1104" s="65">
        <f>ROUND(SUMIF(Consumo!$P$4:$P$189,"#"&amp;$A1104,Consumo!J$4:J$189),4)</f>
        <v/>
      </c>
      <c r="H1104" s="65">
        <f>ROUND(SUMIF(Consumo!$P$4:$P$189,"#"&amp;$A1104,Consumo!K$4:K$189),4)</f>
        <v/>
      </c>
      <c r="I1104" s="65">
        <f>ROUND(SUMIF(Consumo!$P$4:$P$189,"#"&amp;$A1104,Consumo!L$4:L$189),4)</f>
        <v/>
      </c>
      <c r="J1104" s="65">
        <f>ROUND(SUMIF(Consumo!$P$4:$P$189,"#"&amp;$A1104,Consumo!M$4:M$189),4)</f>
        <v/>
      </c>
      <c r="K1104" s="65">
        <f>ROUND(SUMIF(Consumo!$P$4:$P$189,"#"&amp;$A1104,Consumo!N$4:N$189),4)</f>
        <v/>
      </c>
      <c r="L1104" s="65">
        <f>ROUND(SUMIF(Consumo!$P$4:$P$189,"#"&amp;$A1104,Consumo!O$4:O$189),4)</f>
        <v/>
      </c>
      <c r="M1104" s="66" t="n"/>
    </row>
    <row r="1105">
      <c r="C1105" s="63" t="inlineStr">
        <is>
          <t>Recepciones programadas (ya pedido)</t>
        </is>
      </c>
      <c r="D1105" s="64" t="n"/>
      <c r="E1105" s="65">
        <f>SUMIF(Inventario!$M$5:$M$505,"#"&amp;$A1104,Inventario!E$5:E$505)</f>
        <v/>
      </c>
      <c r="F1105" s="65">
        <f>SUMIF(Inventario!$M$5:$M$505,"#"&amp;$A1104,Inventario!F$5:F$505)</f>
        <v/>
      </c>
      <c r="G1105" s="65">
        <f>SUMIF(Inventario!$M$5:$M$505,"#"&amp;$A1104,Inventario!G$5:G$505)</f>
        <v/>
      </c>
      <c r="H1105" s="65">
        <f>SUMIF(Inventario!$M$5:$M$505,"#"&amp;$A1104,Inventario!H$5:H$505)</f>
        <v/>
      </c>
      <c r="I1105" s="65">
        <f>SUMIF(Inventario!$M$5:$M$505,"#"&amp;$A1104,Inventario!I$5:I$505)</f>
        <v/>
      </c>
      <c r="J1105" s="65">
        <f>SUMIF(Inventario!$M$5:$M$505,"#"&amp;$A1104,Inventario!J$5:J$505)</f>
        <v/>
      </c>
      <c r="K1105" s="65">
        <f>SUMIF(Inventario!$M$5:$M$505,"#"&amp;$A1104,Inventario!K$5:K$505)</f>
        <v/>
      </c>
      <c r="L1105" s="65">
        <f>SUMIF(Inventario!$M$5:$M$505,"#"&amp;$A1104,Inventario!L$5:L$505)</f>
        <v/>
      </c>
      <c r="M1105" s="66" t="n"/>
    </row>
    <row r="1106">
      <c r="C1106" s="63" t="inlineStr">
        <is>
          <t>Stock proyectado disponible</t>
        </is>
      </c>
      <c r="D1106" s="67">
        <f>SUMIF(Inventario!$M$5:$M$505,"#"&amp;$A1104,Inventario!$C$5:$C$505)</f>
        <v/>
      </c>
      <c r="E1106" s="68">
        <f>D1106+E1105+E1108-E1104</f>
        <v/>
      </c>
      <c r="F1106" s="68">
        <f>E1106+F1105+F1108-F1104</f>
        <v/>
      </c>
      <c r="G1106" s="68">
        <f>F1106+G1105+G1108-G1104</f>
        <v/>
      </c>
      <c r="H1106" s="68">
        <f>G1106+H1105+H1108-H1104</f>
        <v/>
      </c>
      <c r="I1106" s="68">
        <f>H1106+I1105+I1108-I1104</f>
        <v/>
      </c>
      <c r="J1106" s="68">
        <f>I1106+J1105+J1108-J1104</f>
        <v/>
      </c>
      <c r="K1106" s="68">
        <f>J1106+K1105+K1108-K1104</f>
        <v/>
      </c>
      <c r="L1106" s="68">
        <f>K1106+L1105+L1108-L1104</f>
        <v/>
      </c>
      <c r="M1106" s="66" t="n"/>
    </row>
    <row r="1107">
      <c r="C1107" s="63" t="inlineStr">
        <is>
          <t>Necesidad neta</t>
        </is>
      </c>
      <c r="D1107" s="64" t="n"/>
      <c r="E1107" s="69">
        <f>MAX(0,ROUND(E1104+Materiales!$H$161-D1106-E1105,4))</f>
        <v/>
      </c>
      <c r="F1107" s="69">
        <f>MAX(0,ROUND(F1104+Materiales!$H$161-E1106-F1105,4))</f>
        <v/>
      </c>
      <c r="G1107" s="69">
        <f>MAX(0,ROUND(G1104+Materiales!$H$161-F1106-G1105,4))</f>
        <v/>
      </c>
      <c r="H1107" s="69">
        <f>MAX(0,ROUND(H1104+Materiales!$H$161-G1106-H1105,4))</f>
        <v/>
      </c>
      <c r="I1107" s="69">
        <f>MAX(0,ROUND(I1104+Materiales!$H$161-H1106-I1105,4))</f>
        <v/>
      </c>
      <c r="J1107" s="69">
        <f>MAX(0,ROUND(J1104+Materiales!$H$161-I1106-J1105,4))</f>
        <v/>
      </c>
      <c r="K1107" s="69">
        <f>MAX(0,ROUND(K1104+Materiales!$H$161-J1106-K1105,4))</f>
        <v/>
      </c>
      <c r="L1107" s="69">
        <f>MAX(0,ROUND(L1104+Materiales!$H$161-K1106-L1105,4))</f>
        <v/>
      </c>
      <c r="M1107" s="66" t="n"/>
    </row>
    <row r="1108">
      <c r="C1108" s="63" t="inlineStr">
        <is>
          <t>Recepcion de orden planificada</t>
        </is>
      </c>
      <c r="D1108" s="64" t="n"/>
      <c r="E1108" s="65">
        <f>IF(E1107&lt;=0,0,IF(Materiales!$G$161&lt;=0,E1107,ROUNDUP(E1107/Materiales!$G$161,0)*Materiales!$G$161))</f>
        <v/>
      </c>
      <c r="F1108" s="65">
        <f>IF(F1107&lt;=0,0,IF(Materiales!$G$161&lt;=0,F1107,ROUNDUP(F1107/Materiales!$G$161,0)*Materiales!$G$161))</f>
        <v/>
      </c>
      <c r="G1108" s="65">
        <f>IF(G1107&lt;=0,0,IF(Materiales!$G$161&lt;=0,G1107,ROUNDUP(G1107/Materiales!$G$161,0)*Materiales!$G$161))</f>
        <v/>
      </c>
      <c r="H1108" s="65">
        <f>IF(H1107&lt;=0,0,IF(Materiales!$G$161&lt;=0,H1107,ROUNDUP(H1107/Materiales!$G$161,0)*Materiales!$G$161))</f>
        <v/>
      </c>
      <c r="I1108" s="65">
        <f>IF(I1107&lt;=0,0,IF(Materiales!$G$161&lt;=0,I1107,ROUNDUP(I1107/Materiales!$G$161,0)*Materiales!$G$161))</f>
        <v/>
      </c>
      <c r="J1108" s="65">
        <f>IF(J1107&lt;=0,0,IF(Materiales!$G$161&lt;=0,J1107,ROUNDUP(J1107/Materiales!$G$161,0)*Materiales!$G$161))</f>
        <v/>
      </c>
      <c r="K1108" s="65">
        <f>IF(K1107&lt;=0,0,IF(Materiales!$G$161&lt;=0,K1107,ROUNDUP(K1107/Materiales!$G$161,0)*Materiales!$G$161))</f>
        <v/>
      </c>
      <c r="L1108" s="65">
        <f>IF(L1107&lt;=0,0,IF(Materiales!$G$161&lt;=0,L1107,ROUNDUP(L1107/Materiales!$G$161,0)*Materiales!$G$161))</f>
        <v/>
      </c>
      <c r="M1108" s="66" t="n"/>
    </row>
    <row r="1109">
      <c r="C1109" s="70" t="inlineStr">
        <is>
          <t>LANZAMIENTO DE ORDEN — pedir esta semana</t>
        </is>
      </c>
      <c r="D1109" s="64" t="n"/>
      <c r="E1109" s="71">
        <f>IF(1+Materiales!$F$161&gt;8,0,INDEX($E$1108:$L$1108,1,1+Materiales!$F$161))</f>
        <v/>
      </c>
      <c r="F1109" s="71">
        <f>IF(2+Materiales!$F$161&gt;8,0,INDEX($E$1108:$L$1108,1,2+Materiales!$F$161))</f>
        <v/>
      </c>
      <c r="G1109" s="71">
        <f>IF(3+Materiales!$F$161&gt;8,0,INDEX($E$1108:$L$1108,1,3+Materiales!$F$161))</f>
        <v/>
      </c>
      <c r="H1109" s="71">
        <f>IF(4+Materiales!$F$161&gt;8,0,INDEX($E$1108:$L$1108,1,4+Materiales!$F$161))</f>
        <v/>
      </c>
      <c r="I1109" s="71">
        <f>IF(5+Materiales!$F$161&gt;8,0,INDEX($E$1108:$L$1108,1,5+Materiales!$F$161))</f>
        <v/>
      </c>
      <c r="J1109" s="71">
        <f>IF(6+Materiales!$F$161&gt;8,0,INDEX($E$1108:$L$1108,1,6+Materiales!$F$161))</f>
        <v/>
      </c>
      <c r="K1109" s="71">
        <f>IF(7+Materiales!$F$161&gt;8,0,INDEX($E$1108:$L$1108,1,7+Materiales!$F$161))</f>
        <v/>
      </c>
      <c r="L1109" s="71">
        <f>IF(8+Materiales!$F$161&gt;8,0,INDEX($E$1108:$L$1108,1,8+Materiales!$F$161))</f>
        <v/>
      </c>
      <c r="M1109" s="72">
        <f>IF($A1104="","",IF(SUMPRODUCT((COLUMN($E$1108:$L$1108)-4&lt;=Materiales!$F$161)*$E$1108:$L$1108)&gt;0,"PEDIR YA (atrasado)","OK"))</f>
        <v/>
      </c>
    </row>
    <row r="1110" ht="6" customHeight="1"/>
    <row r="1111">
      <c r="A1111" s="62">
        <f>IF(Materiales!$A$162="","",Materiales!$A$162)</f>
        <v/>
      </c>
      <c r="B1111" s="62">
        <f>IF(Materiales!$B$162="","",Materiales!$B$162)</f>
        <v/>
      </c>
      <c r="C1111" s="63" t="inlineStr">
        <is>
          <t>Necesidad bruta</t>
        </is>
      </c>
      <c r="D1111" s="64" t="n"/>
      <c r="E1111" s="65">
        <f>ROUND(SUMIF(Consumo!$P$4:$P$189,"#"&amp;$A1111,Consumo!H$4:H$189),4)</f>
        <v/>
      </c>
      <c r="F1111" s="65">
        <f>ROUND(SUMIF(Consumo!$P$4:$P$189,"#"&amp;$A1111,Consumo!I$4:I$189),4)</f>
        <v/>
      </c>
      <c r="G1111" s="65">
        <f>ROUND(SUMIF(Consumo!$P$4:$P$189,"#"&amp;$A1111,Consumo!J$4:J$189),4)</f>
        <v/>
      </c>
      <c r="H1111" s="65">
        <f>ROUND(SUMIF(Consumo!$P$4:$P$189,"#"&amp;$A1111,Consumo!K$4:K$189),4)</f>
        <v/>
      </c>
      <c r="I1111" s="65">
        <f>ROUND(SUMIF(Consumo!$P$4:$P$189,"#"&amp;$A1111,Consumo!L$4:L$189),4)</f>
        <v/>
      </c>
      <c r="J1111" s="65">
        <f>ROUND(SUMIF(Consumo!$P$4:$P$189,"#"&amp;$A1111,Consumo!M$4:M$189),4)</f>
        <v/>
      </c>
      <c r="K1111" s="65">
        <f>ROUND(SUMIF(Consumo!$P$4:$P$189,"#"&amp;$A1111,Consumo!N$4:N$189),4)</f>
        <v/>
      </c>
      <c r="L1111" s="65">
        <f>ROUND(SUMIF(Consumo!$P$4:$P$189,"#"&amp;$A1111,Consumo!O$4:O$189),4)</f>
        <v/>
      </c>
      <c r="M1111" s="66" t="n"/>
    </row>
    <row r="1112">
      <c r="C1112" s="63" t="inlineStr">
        <is>
          <t>Recepciones programadas (ya pedido)</t>
        </is>
      </c>
      <c r="D1112" s="64" t="n"/>
      <c r="E1112" s="65">
        <f>SUMIF(Inventario!$M$5:$M$505,"#"&amp;$A1111,Inventario!E$5:E$505)</f>
        <v/>
      </c>
      <c r="F1112" s="65">
        <f>SUMIF(Inventario!$M$5:$M$505,"#"&amp;$A1111,Inventario!F$5:F$505)</f>
        <v/>
      </c>
      <c r="G1112" s="65">
        <f>SUMIF(Inventario!$M$5:$M$505,"#"&amp;$A1111,Inventario!G$5:G$505)</f>
        <v/>
      </c>
      <c r="H1112" s="65">
        <f>SUMIF(Inventario!$M$5:$M$505,"#"&amp;$A1111,Inventario!H$5:H$505)</f>
        <v/>
      </c>
      <c r="I1112" s="65">
        <f>SUMIF(Inventario!$M$5:$M$505,"#"&amp;$A1111,Inventario!I$5:I$505)</f>
        <v/>
      </c>
      <c r="J1112" s="65">
        <f>SUMIF(Inventario!$M$5:$M$505,"#"&amp;$A1111,Inventario!J$5:J$505)</f>
        <v/>
      </c>
      <c r="K1112" s="65">
        <f>SUMIF(Inventario!$M$5:$M$505,"#"&amp;$A1111,Inventario!K$5:K$505)</f>
        <v/>
      </c>
      <c r="L1112" s="65">
        <f>SUMIF(Inventario!$M$5:$M$505,"#"&amp;$A1111,Inventario!L$5:L$505)</f>
        <v/>
      </c>
      <c r="M1112" s="66" t="n"/>
    </row>
    <row r="1113">
      <c r="C1113" s="63" t="inlineStr">
        <is>
          <t>Stock proyectado disponible</t>
        </is>
      </c>
      <c r="D1113" s="67">
        <f>SUMIF(Inventario!$M$5:$M$505,"#"&amp;$A1111,Inventario!$C$5:$C$505)</f>
        <v/>
      </c>
      <c r="E1113" s="68">
        <f>D1113+E1112+E1115-E1111</f>
        <v/>
      </c>
      <c r="F1113" s="68">
        <f>E1113+F1112+F1115-F1111</f>
        <v/>
      </c>
      <c r="G1113" s="68">
        <f>F1113+G1112+G1115-G1111</f>
        <v/>
      </c>
      <c r="H1113" s="68">
        <f>G1113+H1112+H1115-H1111</f>
        <v/>
      </c>
      <c r="I1113" s="68">
        <f>H1113+I1112+I1115-I1111</f>
        <v/>
      </c>
      <c r="J1113" s="68">
        <f>I1113+J1112+J1115-J1111</f>
        <v/>
      </c>
      <c r="K1113" s="68">
        <f>J1113+K1112+K1115-K1111</f>
        <v/>
      </c>
      <c r="L1113" s="68">
        <f>K1113+L1112+L1115-L1111</f>
        <v/>
      </c>
      <c r="M1113" s="66" t="n"/>
    </row>
    <row r="1114">
      <c r="C1114" s="63" t="inlineStr">
        <is>
          <t>Necesidad neta</t>
        </is>
      </c>
      <c r="D1114" s="64" t="n"/>
      <c r="E1114" s="69">
        <f>MAX(0,ROUND(E1111+Materiales!$H$162-D1113-E1112,4))</f>
        <v/>
      </c>
      <c r="F1114" s="69">
        <f>MAX(0,ROUND(F1111+Materiales!$H$162-E1113-F1112,4))</f>
        <v/>
      </c>
      <c r="G1114" s="69">
        <f>MAX(0,ROUND(G1111+Materiales!$H$162-F1113-G1112,4))</f>
        <v/>
      </c>
      <c r="H1114" s="69">
        <f>MAX(0,ROUND(H1111+Materiales!$H$162-G1113-H1112,4))</f>
        <v/>
      </c>
      <c r="I1114" s="69">
        <f>MAX(0,ROUND(I1111+Materiales!$H$162-H1113-I1112,4))</f>
        <v/>
      </c>
      <c r="J1114" s="69">
        <f>MAX(0,ROUND(J1111+Materiales!$H$162-I1113-J1112,4))</f>
        <v/>
      </c>
      <c r="K1114" s="69">
        <f>MAX(0,ROUND(K1111+Materiales!$H$162-J1113-K1112,4))</f>
        <v/>
      </c>
      <c r="L1114" s="69">
        <f>MAX(0,ROUND(L1111+Materiales!$H$162-K1113-L1112,4))</f>
        <v/>
      </c>
      <c r="M1114" s="66" t="n"/>
    </row>
    <row r="1115">
      <c r="C1115" s="63" t="inlineStr">
        <is>
          <t>Recepcion de orden planificada</t>
        </is>
      </c>
      <c r="D1115" s="64" t="n"/>
      <c r="E1115" s="65">
        <f>IF(E1114&lt;=0,0,IF(Materiales!$G$162&lt;=0,E1114,ROUNDUP(E1114/Materiales!$G$162,0)*Materiales!$G$162))</f>
        <v/>
      </c>
      <c r="F1115" s="65">
        <f>IF(F1114&lt;=0,0,IF(Materiales!$G$162&lt;=0,F1114,ROUNDUP(F1114/Materiales!$G$162,0)*Materiales!$G$162))</f>
        <v/>
      </c>
      <c r="G1115" s="65">
        <f>IF(G1114&lt;=0,0,IF(Materiales!$G$162&lt;=0,G1114,ROUNDUP(G1114/Materiales!$G$162,0)*Materiales!$G$162))</f>
        <v/>
      </c>
      <c r="H1115" s="65">
        <f>IF(H1114&lt;=0,0,IF(Materiales!$G$162&lt;=0,H1114,ROUNDUP(H1114/Materiales!$G$162,0)*Materiales!$G$162))</f>
        <v/>
      </c>
      <c r="I1115" s="65">
        <f>IF(I1114&lt;=0,0,IF(Materiales!$G$162&lt;=0,I1114,ROUNDUP(I1114/Materiales!$G$162,0)*Materiales!$G$162))</f>
        <v/>
      </c>
      <c r="J1115" s="65">
        <f>IF(J1114&lt;=0,0,IF(Materiales!$G$162&lt;=0,J1114,ROUNDUP(J1114/Materiales!$G$162,0)*Materiales!$G$162))</f>
        <v/>
      </c>
      <c r="K1115" s="65">
        <f>IF(K1114&lt;=0,0,IF(Materiales!$G$162&lt;=0,K1114,ROUNDUP(K1114/Materiales!$G$162,0)*Materiales!$G$162))</f>
        <v/>
      </c>
      <c r="L1115" s="65">
        <f>IF(L1114&lt;=0,0,IF(Materiales!$G$162&lt;=0,L1114,ROUNDUP(L1114/Materiales!$G$162,0)*Materiales!$G$162))</f>
        <v/>
      </c>
      <c r="M1115" s="66" t="n"/>
    </row>
    <row r="1116">
      <c r="C1116" s="70" t="inlineStr">
        <is>
          <t>LANZAMIENTO DE ORDEN — pedir esta semana</t>
        </is>
      </c>
      <c r="D1116" s="64" t="n"/>
      <c r="E1116" s="71">
        <f>IF(1+Materiales!$F$162&gt;8,0,INDEX($E$1115:$L$1115,1,1+Materiales!$F$162))</f>
        <v/>
      </c>
      <c r="F1116" s="71">
        <f>IF(2+Materiales!$F$162&gt;8,0,INDEX($E$1115:$L$1115,1,2+Materiales!$F$162))</f>
        <v/>
      </c>
      <c r="G1116" s="71">
        <f>IF(3+Materiales!$F$162&gt;8,0,INDEX($E$1115:$L$1115,1,3+Materiales!$F$162))</f>
        <v/>
      </c>
      <c r="H1116" s="71">
        <f>IF(4+Materiales!$F$162&gt;8,0,INDEX($E$1115:$L$1115,1,4+Materiales!$F$162))</f>
        <v/>
      </c>
      <c r="I1116" s="71">
        <f>IF(5+Materiales!$F$162&gt;8,0,INDEX($E$1115:$L$1115,1,5+Materiales!$F$162))</f>
        <v/>
      </c>
      <c r="J1116" s="71">
        <f>IF(6+Materiales!$F$162&gt;8,0,INDEX($E$1115:$L$1115,1,6+Materiales!$F$162))</f>
        <v/>
      </c>
      <c r="K1116" s="71">
        <f>IF(7+Materiales!$F$162&gt;8,0,INDEX($E$1115:$L$1115,1,7+Materiales!$F$162))</f>
        <v/>
      </c>
      <c r="L1116" s="71">
        <f>IF(8+Materiales!$F$162&gt;8,0,INDEX($E$1115:$L$1115,1,8+Materiales!$F$162))</f>
        <v/>
      </c>
      <c r="M1116" s="72">
        <f>IF($A1111="","",IF(SUMPRODUCT((COLUMN($E$1115:$L$1115)-4&lt;=Materiales!$F$162)*$E$1115:$L$1115)&gt;0,"PEDIR YA (atrasado)","OK"))</f>
        <v/>
      </c>
    </row>
    <row r="1117" ht="6" customHeight="1"/>
    <row r="1118">
      <c r="A1118" s="62">
        <f>IF(Materiales!$A$163="","",Materiales!$A$163)</f>
        <v/>
      </c>
      <c r="B1118" s="62">
        <f>IF(Materiales!$B$163="","",Materiales!$B$163)</f>
        <v/>
      </c>
      <c r="C1118" s="63" t="inlineStr">
        <is>
          <t>Necesidad bruta</t>
        </is>
      </c>
      <c r="D1118" s="64" t="n"/>
      <c r="E1118" s="65">
        <f>ROUND(SUMIF(Consumo!$P$4:$P$189,"#"&amp;$A1118,Consumo!H$4:H$189),4)</f>
        <v/>
      </c>
      <c r="F1118" s="65">
        <f>ROUND(SUMIF(Consumo!$P$4:$P$189,"#"&amp;$A1118,Consumo!I$4:I$189),4)</f>
        <v/>
      </c>
      <c r="G1118" s="65">
        <f>ROUND(SUMIF(Consumo!$P$4:$P$189,"#"&amp;$A1118,Consumo!J$4:J$189),4)</f>
        <v/>
      </c>
      <c r="H1118" s="65">
        <f>ROUND(SUMIF(Consumo!$P$4:$P$189,"#"&amp;$A1118,Consumo!K$4:K$189),4)</f>
        <v/>
      </c>
      <c r="I1118" s="65">
        <f>ROUND(SUMIF(Consumo!$P$4:$P$189,"#"&amp;$A1118,Consumo!L$4:L$189),4)</f>
        <v/>
      </c>
      <c r="J1118" s="65">
        <f>ROUND(SUMIF(Consumo!$P$4:$P$189,"#"&amp;$A1118,Consumo!M$4:M$189),4)</f>
        <v/>
      </c>
      <c r="K1118" s="65">
        <f>ROUND(SUMIF(Consumo!$P$4:$P$189,"#"&amp;$A1118,Consumo!N$4:N$189),4)</f>
        <v/>
      </c>
      <c r="L1118" s="65">
        <f>ROUND(SUMIF(Consumo!$P$4:$P$189,"#"&amp;$A1118,Consumo!O$4:O$189),4)</f>
        <v/>
      </c>
      <c r="M1118" s="66" t="n"/>
    </row>
    <row r="1119">
      <c r="C1119" s="63" t="inlineStr">
        <is>
          <t>Recepciones programadas (ya pedido)</t>
        </is>
      </c>
      <c r="D1119" s="64" t="n"/>
      <c r="E1119" s="65">
        <f>SUMIF(Inventario!$M$5:$M$505,"#"&amp;$A1118,Inventario!E$5:E$505)</f>
        <v/>
      </c>
      <c r="F1119" s="65">
        <f>SUMIF(Inventario!$M$5:$M$505,"#"&amp;$A1118,Inventario!F$5:F$505)</f>
        <v/>
      </c>
      <c r="G1119" s="65">
        <f>SUMIF(Inventario!$M$5:$M$505,"#"&amp;$A1118,Inventario!G$5:G$505)</f>
        <v/>
      </c>
      <c r="H1119" s="65">
        <f>SUMIF(Inventario!$M$5:$M$505,"#"&amp;$A1118,Inventario!H$5:H$505)</f>
        <v/>
      </c>
      <c r="I1119" s="65">
        <f>SUMIF(Inventario!$M$5:$M$505,"#"&amp;$A1118,Inventario!I$5:I$505)</f>
        <v/>
      </c>
      <c r="J1119" s="65">
        <f>SUMIF(Inventario!$M$5:$M$505,"#"&amp;$A1118,Inventario!J$5:J$505)</f>
        <v/>
      </c>
      <c r="K1119" s="65">
        <f>SUMIF(Inventario!$M$5:$M$505,"#"&amp;$A1118,Inventario!K$5:K$505)</f>
        <v/>
      </c>
      <c r="L1119" s="65">
        <f>SUMIF(Inventario!$M$5:$M$505,"#"&amp;$A1118,Inventario!L$5:L$505)</f>
        <v/>
      </c>
      <c r="M1119" s="66" t="n"/>
    </row>
    <row r="1120">
      <c r="C1120" s="63" t="inlineStr">
        <is>
          <t>Stock proyectado disponible</t>
        </is>
      </c>
      <c r="D1120" s="67">
        <f>SUMIF(Inventario!$M$5:$M$505,"#"&amp;$A1118,Inventario!$C$5:$C$505)</f>
        <v/>
      </c>
      <c r="E1120" s="68">
        <f>D1120+E1119+E1122-E1118</f>
        <v/>
      </c>
      <c r="F1120" s="68">
        <f>E1120+F1119+F1122-F1118</f>
        <v/>
      </c>
      <c r="G1120" s="68">
        <f>F1120+G1119+G1122-G1118</f>
        <v/>
      </c>
      <c r="H1120" s="68">
        <f>G1120+H1119+H1122-H1118</f>
        <v/>
      </c>
      <c r="I1120" s="68">
        <f>H1120+I1119+I1122-I1118</f>
        <v/>
      </c>
      <c r="J1120" s="68">
        <f>I1120+J1119+J1122-J1118</f>
        <v/>
      </c>
      <c r="K1120" s="68">
        <f>J1120+K1119+K1122-K1118</f>
        <v/>
      </c>
      <c r="L1120" s="68">
        <f>K1120+L1119+L1122-L1118</f>
        <v/>
      </c>
      <c r="M1120" s="66" t="n"/>
    </row>
    <row r="1121">
      <c r="C1121" s="63" t="inlineStr">
        <is>
          <t>Necesidad neta</t>
        </is>
      </c>
      <c r="D1121" s="64" t="n"/>
      <c r="E1121" s="69">
        <f>MAX(0,ROUND(E1118+Materiales!$H$163-D1120-E1119,4))</f>
        <v/>
      </c>
      <c r="F1121" s="69">
        <f>MAX(0,ROUND(F1118+Materiales!$H$163-E1120-F1119,4))</f>
        <v/>
      </c>
      <c r="G1121" s="69">
        <f>MAX(0,ROUND(G1118+Materiales!$H$163-F1120-G1119,4))</f>
        <v/>
      </c>
      <c r="H1121" s="69">
        <f>MAX(0,ROUND(H1118+Materiales!$H$163-G1120-H1119,4))</f>
        <v/>
      </c>
      <c r="I1121" s="69">
        <f>MAX(0,ROUND(I1118+Materiales!$H$163-H1120-I1119,4))</f>
        <v/>
      </c>
      <c r="J1121" s="69">
        <f>MAX(0,ROUND(J1118+Materiales!$H$163-I1120-J1119,4))</f>
        <v/>
      </c>
      <c r="K1121" s="69">
        <f>MAX(0,ROUND(K1118+Materiales!$H$163-J1120-K1119,4))</f>
        <v/>
      </c>
      <c r="L1121" s="69">
        <f>MAX(0,ROUND(L1118+Materiales!$H$163-K1120-L1119,4))</f>
        <v/>
      </c>
      <c r="M1121" s="66" t="n"/>
    </row>
    <row r="1122">
      <c r="C1122" s="63" t="inlineStr">
        <is>
          <t>Recepcion de orden planificada</t>
        </is>
      </c>
      <c r="D1122" s="64" t="n"/>
      <c r="E1122" s="65">
        <f>IF(E1121&lt;=0,0,IF(Materiales!$G$163&lt;=0,E1121,ROUNDUP(E1121/Materiales!$G$163,0)*Materiales!$G$163))</f>
        <v/>
      </c>
      <c r="F1122" s="65">
        <f>IF(F1121&lt;=0,0,IF(Materiales!$G$163&lt;=0,F1121,ROUNDUP(F1121/Materiales!$G$163,0)*Materiales!$G$163))</f>
        <v/>
      </c>
      <c r="G1122" s="65">
        <f>IF(G1121&lt;=0,0,IF(Materiales!$G$163&lt;=0,G1121,ROUNDUP(G1121/Materiales!$G$163,0)*Materiales!$G$163))</f>
        <v/>
      </c>
      <c r="H1122" s="65">
        <f>IF(H1121&lt;=0,0,IF(Materiales!$G$163&lt;=0,H1121,ROUNDUP(H1121/Materiales!$G$163,0)*Materiales!$G$163))</f>
        <v/>
      </c>
      <c r="I1122" s="65">
        <f>IF(I1121&lt;=0,0,IF(Materiales!$G$163&lt;=0,I1121,ROUNDUP(I1121/Materiales!$G$163,0)*Materiales!$G$163))</f>
        <v/>
      </c>
      <c r="J1122" s="65">
        <f>IF(J1121&lt;=0,0,IF(Materiales!$G$163&lt;=0,J1121,ROUNDUP(J1121/Materiales!$G$163,0)*Materiales!$G$163))</f>
        <v/>
      </c>
      <c r="K1122" s="65">
        <f>IF(K1121&lt;=0,0,IF(Materiales!$G$163&lt;=0,K1121,ROUNDUP(K1121/Materiales!$G$163,0)*Materiales!$G$163))</f>
        <v/>
      </c>
      <c r="L1122" s="65">
        <f>IF(L1121&lt;=0,0,IF(Materiales!$G$163&lt;=0,L1121,ROUNDUP(L1121/Materiales!$G$163,0)*Materiales!$G$163))</f>
        <v/>
      </c>
      <c r="M1122" s="66" t="n"/>
    </row>
    <row r="1123">
      <c r="C1123" s="70" t="inlineStr">
        <is>
          <t>LANZAMIENTO DE ORDEN — pedir esta semana</t>
        </is>
      </c>
      <c r="D1123" s="64" t="n"/>
      <c r="E1123" s="71">
        <f>IF(1+Materiales!$F$163&gt;8,0,INDEX($E$1122:$L$1122,1,1+Materiales!$F$163))</f>
        <v/>
      </c>
      <c r="F1123" s="71">
        <f>IF(2+Materiales!$F$163&gt;8,0,INDEX($E$1122:$L$1122,1,2+Materiales!$F$163))</f>
        <v/>
      </c>
      <c r="G1123" s="71">
        <f>IF(3+Materiales!$F$163&gt;8,0,INDEX($E$1122:$L$1122,1,3+Materiales!$F$163))</f>
        <v/>
      </c>
      <c r="H1123" s="71">
        <f>IF(4+Materiales!$F$163&gt;8,0,INDEX($E$1122:$L$1122,1,4+Materiales!$F$163))</f>
        <v/>
      </c>
      <c r="I1123" s="71">
        <f>IF(5+Materiales!$F$163&gt;8,0,INDEX($E$1122:$L$1122,1,5+Materiales!$F$163))</f>
        <v/>
      </c>
      <c r="J1123" s="71">
        <f>IF(6+Materiales!$F$163&gt;8,0,INDEX($E$1122:$L$1122,1,6+Materiales!$F$163))</f>
        <v/>
      </c>
      <c r="K1123" s="71">
        <f>IF(7+Materiales!$F$163&gt;8,0,INDEX($E$1122:$L$1122,1,7+Materiales!$F$163))</f>
        <v/>
      </c>
      <c r="L1123" s="71">
        <f>IF(8+Materiales!$F$163&gt;8,0,INDEX($E$1122:$L$1122,1,8+Materiales!$F$163))</f>
        <v/>
      </c>
      <c r="M1123" s="72">
        <f>IF($A1118="","",IF(SUMPRODUCT((COLUMN($E$1122:$L$1122)-4&lt;=Materiales!$F$163)*$E$1122:$L$1122)&gt;0,"PEDIR YA (atrasado)","OK"))</f>
        <v/>
      </c>
    </row>
    <row r="1124" ht="6" customHeight="1"/>
    <row r="1125">
      <c r="A1125" s="62">
        <f>IF(Materiales!$A$164="","",Materiales!$A$164)</f>
        <v/>
      </c>
      <c r="B1125" s="62">
        <f>IF(Materiales!$B$164="","",Materiales!$B$164)</f>
        <v/>
      </c>
      <c r="C1125" s="63" t="inlineStr">
        <is>
          <t>Necesidad bruta</t>
        </is>
      </c>
      <c r="D1125" s="64" t="n"/>
      <c r="E1125" s="65">
        <f>ROUND(SUMIF(Consumo!$P$4:$P$189,"#"&amp;$A1125,Consumo!H$4:H$189),4)</f>
        <v/>
      </c>
      <c r="F1125" s="65">
        <f>ROUND(SUMIF(Consumo!$P$4:$P$189,"#"&amp;$A1125,Consumo!I$4:I$189),4)</f>
        <v/>
      </c>
      <c r="G1125" s="65">
        <f>ROUND(SUMIF(Consumo!$P$4:$P$189,"#"&amp;$A1125,Consumo!J$4:J$189),4)</f>
        <v/>
      </c>
      <c r="H1125" s="65">
        <f>ROUND(SUMIF(Consumo!$P$4:$P$189,"#"&amp;$A1125,Consumo!K$4:K$189),4)</f>
        <v/>
      </c>
      <c r="I1125" s="65">
        <f>ROUND(SUMIF(Consumo!$P$4:$P$189,"#"&amp;$A1125,Consumo!L$4:L$189),4)</f>
        <v/>
      </c>
      <c r="J1125" s="65">
        <f>ROUND(SUMIF(Consumo!$P$4:$P$189,"#"&amp;$A1125,Consumo!M$4:M$189),4)</f>
        <v/>
      </c>
      <c r="K1125" s="65">
        <f>ROUND(SUMIF(Consumo!$P$4:$P$189,"#"&amp;$A1125,Consumo!N$4:N$189),4)</f>
        <v/>
      </c>
      <c r="L1125" s="65">
        <f>ROUND(SUMIF(Consumo!$P$4:$P$189,"#"&amp;$A1125,Consumo!O$4:O$189),4)</f>
        <v/>
      </c>
      <c r="M1125" s="66" t="n"/>
    </row>
    <row r="1126">
      <c r="C1126" s="63" t="inlineStr">
        <is>
          <t>Recepciones programadas (ya pedido)</t>
        </is>
      </c>
      <c r="D1126" s="64" t="n"/>
      <c r="E1126" s="65">
        <f>SUMIF(Inventario!$M$5:$M$505,"#"&amp;$A1125,Inventario!E$5:E$505)</f>
        <v/>
      </c>
      <c r="F1126" s="65">
        <f>SUMIF(Inventario!$M$5:$M$505,"#"&amp;$A1125,Inventario!F$5:F$505)</f>
        <v/>
      </c>
      <c r="G1126" s="65">
        <f>SUMIF(Inventario!$M$5:$M$505,"#"&amp;$A1125,Inventario!G$5:G$505)</f>
        <v/>
      </c>
      <c r="H1126" s="65">
        <f>SUMIF(Inventario!$M$5:$M$505,"#"&amp;$A1125,Inventario!H$5:H$505)</f>
        <v/>
      </c>
      <c r="I1126" s="65">
        <f>SUMIF(Inventario!$M$5:$M$505,"#"&amp;$A1125,Inventario!I$5:I$505)</f>
        <v/>
      </c>
      <c r="J1126" s="65">
        <f>SUMIF(Inventario!$M$5:$M$505,"#"&amp;$A1125,Inventario!J$5:J$505)</f>
        <v/>
      </c>
      <c r="K1126" s="65">
        <f>SUMIF(Inventario!$M$5:$M$505,"#"&amp;$A1125,Inventario!K$5:K$505)</f>
        <v/>
      </c>
      <c r="L1126" s="65">
        <f>SUMIF(Inventario!$M$5:$M$505,"#"&amp;$A1125,Inventario!L$5:L$505)</f>
        <v/>
      </c>
      <c r="M1126" s="66" t="n"/>
    </row>
    <row r="1127">
      <c r="C1127" s="63" t="inlineStr">
        <is>
          <t>Stock proyectado disponible</t>
        </is>
      </c>
      <c r="D1127" s="67">
        <f>SUMIF(Inventario!$M$5:$M$505,"#"&amp;$A1125,Inventario!$C$5:$C$505)</f>
        <v/>
      </c>
      <c r="E1127" s="68">
        <f>D1127+E1126+E1129-E1125</f>
        <v/>
      </c>
      <c r="F1127" s="68">
        <f>E1127+F1126+F1129-F1125</f>
        <v/>
      </c>
      <c r="G1127" s="68">
        <f>F1127+G1126+G1129-G1125</f>
        <v/>
      </c>
      <c r="H1127" s="68">
        <f>G1127+H1126+H1129-H1125</f>
        <v/>
      </c>
      <c r="I1127" s="68">
        <f>H1127+I1126+I1129-I1125</f>
        <v/>
      </c>
      <c r="J1127" s="68">
        <f>I1127+J1126+J1129-J1125</f>
        <v/>
      </c>
      <c r="K1127" s="68">
        <f>J1127+K1126+K1129-K1125</f>
        <v/>
      </c>
      <c r="L1127" s="68">
        <f>K1127+L1126+L1129-L1125</f>
        <v/>
      </c>
      <c r="M1127" s="66" t="n"/>
    </row>
    <row r="1128">
      <c r="C1128" s="63" t="inlineStr">
        <is>
          <t>Necesidad neta</t>
        </is>
      </c>
      <c r="D1128" s="64" t="n"/>
      <c r="E1128" s="69">
        <f>MAX(0,ROUND(E1125+Materiales!$H$164-D1127-E1126,4))</f>
        <v/>
      </c>
      <c r="F1128" s="69">
        <f>MAX(0,ROUND(F1125+Materiales!$H$164-E1127-F1126,4))</f>
        <v/>
      </c>
      <c r="G1128" s="69">
        <f>MAX(0,ROUND(G1125+Materiales!$H$164-F1127-G1126,4))</f>
        <v/>
      </c>
      <c r="H1128" s="69">
        <f>MAX(0,ROUND(H1125+Materiales!$H$164-G1127-H1126,4))</f>
        <v/>
      </c>
      <c r="I1128" s="69">
        <f>MAX(0,ROUND(I1125+Materiales!$H$164-H1127-I1126,4))</f>
        <v/>
      </c>
      <c r="J1128" s="69">
        <f>MAX(0,ROUND(J1125+Materiales!$H$164-I1127-J1126,4))</f>
        <v/>
      </c>
      <c r="K1128" s="69">
        <f>MAX(0,ROUND(K1125+Materiales!$H$164-J1127-K1126,4))</f>
        <v/>
      </c>
      <c r="L1128" s="69">
        <f>MAX(0,ROUND(L1125+Materiales!$H$164-K1127-L1126,4))</f>
        <v/>
      </c>
      <c r="M1128" s="66" t="n"/>
    </row>
    <row r="1129">
      <c r="C1129" s="63" t="inlineStr">
        <is>
          <t>Recepcion de orden planificada</t>
        </is>
      </c>
      <c r="D1129" s="64" t="n"/>
      <c r="E1129" s="65">
        <f>IF(E1128&lt;=0,0,IF(Materiales!$G$164&lt;=0,E1128,ROUNDUP(E1128/Materiales!$G$164,0)*Materiales!$G$164))</f>
        <v/>
      </c>
      <c r="F1129" s="65">
        <f>IF(F1128&lt;=0,0,IF(Materiales!$G$164&lt;=0,F1128,ROUNDUP(F1128/Materiales!$G$164,0)*Materiales!$G$164))</f>
        <v/>
      </c>
      <c r="G1129" s="65">
        <f>IF(G1128&lt;=0,0,IF(Materiales!$G$164&lt;=0,G1128,ROUNDUP(G1128/Materiales!$G$164,0)*Materiales!$G$164))</f>
        <v/>
      </c>
      <c r="H1129" s="65">
        <f>IF(H1128&lt;=0,0,IF(Materiales!$G$164&lt;=0,H1128,ROUNDUP(H1128/Materiales!$G$164,0)*Materiales!$G$164))</f>
        <v/>
      </c>
      <c r="I1129" s="65">
        <f>IF(I1128&lt;=0,0,IF(Materiales!$G$164&lt;=0,I1128,ROUNDUP(I1128/Materiales!$G$164,0)*Materiales!$G$164))</f>
        <v/>
      </c>
      <c r="J1129" s="65">
        <f>IF(J1128&lt;=0,0,IF(Materiales!$G$164&lt;=0,J1128,ROUNDUP(J1128/Materiales!$G$164,0)*Materiales!$G$164))</f>
        <v/>
      </c>
      <c r="K1129" s="65">
        <f>IF(K1128&lt;=0,0,IF(Materiales!$G$164&lt;=0,K1128,ROUNDUP(K1128/Materiales!$G$164,0)*Materiales!$G$164))</f>
        <v/>
      </c>
      <c r="L1129" s="65">
        <f>IF(L1128&lt;=0,0,IF(Materiales!$G$164&lt;=0,L1128,ROUNDUP(L1128/Materiales!$G$164,0)*Materiales!$G$164))</f>
        <v/>
      </c>
      <c r="M1129" s="66" t="n"/>
    </row>
    <row r="1130">
      <c r="C1130" s="70" t="inlineStr">
        <is>
          <t>LANZAMIENTO DE ORDEN — pedir esta semana</t>
        </is>
      </c>
      <c r="D1130" s="64" t="n"/>
      <c r="E1130" s="71">
        <f>IF(1+Materiales!$F$164&gt;8,0,INDEX($E$1129:$L$1129,1,1+Materiales!$F$164))</f>
        <v/>
      </c>
      <c r="F1130" s="71">
        <f>IF(2+Materiales!$F$164&gt;8,0,INDEX($E$1129:$L$1129,1,2+Materiales!$F$164))</f>
        <v/>
      </c>
      <c r="G1130" s="71">
        <f>IF(3+Materiales!$F$164&gt;8,0,INDEX($E$1129:$L$1129,1,3+Materiales!$F$164))</f>
        <v/>
      </c>
      <c r="H1130" s="71">
        <f>IF(4+Materiales!$F$164&gt;8,0,INDEX($E$1129:$L$1129,1,4+Materiales!$F$164))</f>
        <v/>
      </c>
      <c r="I1130" s="71">
        <f>IF(5+Materiales!$F$164&gt;8,0,INDEX($E$1129:$L$1129,1,5+Materiales!$F$164))</f>
        <v/>
      </c>
      <c r="J1130" s="71">
        <f>IF(6+Materiales!$F$164&gt;8,0,INDEX($E$1129:$L$1129,1,6+Materiales!$F$164))</f>
        <v/>
      </c>
      <c r="K1130" s="71">
        <f>IF(7+Materiales!$F$164&gt;8,0,INDEX($E$1129:$L$1129,1,7+Materiales!$F$164))</f>
        <v/>
      </c>
      <c r="L1130" s="71">
        <f>IF(8+Materiales!$F$164&gt;8,0,INDEX($E$1129:$L$1129,1,8+Materiales!$F$164))</f>
        <v/>
      </c>
      <c r="M1130" s="72">
        <f>IF($A1125="","",IF(SUMPRODUCT((COLUMN($E$1129:$L$1129)-4&lt;=Materiales!$F$164)*$E$1129:$L$1129)&gt;0,"PEDIR YA (atrasado)","OK"))</f>
        <v/>
      </c>
    </row>
    <row r="1131" ht="6" customHeight="1"/>
    <row r="1132">
      <c r="A1132" s="62">
        <f>IF(Materiales!$A$165="","",Materiales!$A$165)</f>
        <v/>
      </c>
      <c r="B1132" s="62">
        <f>IF(Materiales!$B$165="","",Materiales!$B$165)</f>
        <v/>
      </c>
      <c r="C1132" s="63" t="inlineStr">
        <is>
          <t>Necesidad bruta</t>
        </is>
      </c>
      <c r="D1132" s="64" t="n"/>
      <c r="E1132" s="65">
        <f>ROUND(SUMIF(Consumo!$P$4:$P$189,"#"&amp;$A1132,Consumo!H$4:H$189),4)</f>
        <v/>
      </c>
      <c r="F1132" s="65">
        <f>ROUND(SUMIF(Consumo!$P$4:$P$189,"#"&amp;$A1132,Consumo!I$4:I$189),4)</f>
        <v/>
      </c>
      <c r="G1132" s="65">
        <f>ROUND(SUMIF(Consumo!$P$4:$P$189,"#"&amp;$A1132,Consumo!J$4:J$189),4)</f>
        <v/>
      </c>
      <c r="H1132" s="65">
        <f>ROUND(SUMIF(Consumo!$P$4:$P$189,"#"&amp;$A1132,Consumo!K$4:K$189),4)</f>
        <v/>
      </c>
      <c r="I1132" s="65">
        <f>ROUND(SUMIF(Consumo!$P$4:$P$189,"#"&amp;$A1132,Consumo!L$4:L$189),4)</f>
        <v/>
      </c>
      <c r="J1132" s="65">
        <f>ROUND(SUMIF(Consumo!$P$4:$P$189,"#"&amp;$A1132,Consumo!M$4:M$189),4)</f>
        <v/>
      </c>
      <c r="K1132" s="65">
        <f>ROUND(SUMIF(Consumo!$P$4:$P$189,"#"&amp;$A1132,Consumo!N$4:N$189),4)</f>
        <v/>
      </c>
      <c r="L1132" s="65">
        <f>ROUND(SUMIF(Consumo!$P$4:$P$189,"#"&amp;$A1132,Consumo!O$4:O$189),4)</f>
        <v/>
      </c>
      <c r="M1132" s="66" t="n"/>
    </row>
    <row r="1133">
      <c r="C1133" s="63" t="inlineStr">
        <is>
          <t>Recepciones programadas (ya pedido)</t>
        </is>
      </c>
      <c r="D1133" s="64" t="n"/>
      <c r="E1133" s="65">
        <f>SUMIF(Inventario!$M$5:$M$505,"#"&amp;$A1132,Inventario!E$5:E$505)</f>
        <v/>
      </c>
      <c r="F1133" s="65">
        <f>SUMIF(Inventario!$M$5:$M$505,"#"&amp;$A1132,Inventario!F$5:F$505)</f>
        <v/>
      </c>
      <c r="G1133" s="65">
        <f>SUMIF(Inventario!$M$5:$M$505,"#"&amp;$A1132,Inventario!G$5:G$505)</f>
        <v/>
      </c>
      <c r="H1133" s="65">
        <f>SUMIF(Inventario!$M$5:$M$505,"#"&amp;$A1132,Inventario!H$5:H$505)</f>
        <v/>
      </c>
      <c r="I1133" s="65">
        <f>SUMIF(Inventario!$M$5:$M$505,"#"&amp;$A1132,Inventario!I$5:I$505)</f>
        <v/>
      </c>
      <c r="J1133" s="65">
        <f>SUMIF(Inventario!$M$5:$M$505,"#"&amp;$A1132,Inventario!J$5:J$505)</f>
        <v/>
      </c>
      <c r="K1133" s="65">
        <f>SUMIF(Inventario!$M$5:$M$505,"#"&amp;$A1132,Inventario!K$5:K$505)</f>
        <v/>
      </c>
      <c r="L1133" s="65">
        <f>SUMIF(Inventario!$M$5:$M$505,"#"&amp;$A1132,Inventario!L$5:L$505)</f>
        <v/>
      </c>
      <c r="M1133" s="66" t="n"/>
    </row>
    <row r="1134">
      <c r="C1134" s="63" t="inlineStr">
        <is>
          <t>Stock proyectado disponible</t>
        </is>
      </c>
      <c r="D1134" s="67">
        <f>SUMIF(Inventario!$M$5:$M$505,"#"&amp;$A1132,Inventario!$C$5:$C$505)</f>
        <v/>
      </c>
      <c r="E1134" s="68">
        <f>D1134+E1133+E1136-E1132</f>
        <v/>
      </c>
      <c r="F1134" s="68">
        <f>E1134+F1133+F1136-F1132</f>
        <v/>
      </c>
      <c r="G1134" s="68">
        <f>F1134+G1133+G1136-G1132</f>
        <v/>
      </c>
      <c r="H1134" s="68">
        <f>G1134+H1133+H1136-H1132</f>
        <v/>
      </c>
      <c r="I1134" s="68">
        <f>H1134+I1133+I1136-I1132</f>
        <v/>
      </c>
      <c r="J1134" s="68">
        <f>I1134+J1133+J1136-J1132</f>
        <v/>
      </c>
      <c r="K1134" s="68">
        <f>J1134+K1133+K1136-K1132</f>
        <v/>
      </c>
      <c r="L1134" s="68">
        <f>K1134+L1133+L1136-L1132</f>
        <v/>
      </c>
      <c r="M1134" s="66" t="n"/>
    </row>
    <row r="1135">
      <c r="C1135" s="63" t="inlineStr">
        <is>
          <t>Necesidad neta</t>
        </is>
      </c>
      <c r="D1135" s="64" t="n"/>
      <c r="E1135" s="69">
        <f>MAX(0,ROUND(E1132+Materiales!$H$165-D1134-E1133,4))</f>
        <v/>
      </c>
      <c r="F1135" s="69">
        <f>MAX(0,ROUND(F1132+Materiales!$H$165-E1134-F1133,4))</f>
        <v/>
      </c>
      <c r="G1135" s="69">
        <f>MAX(0,ROUND(G1132+Materiales!$H$165-F1134-G1133,4))</f>
        <v/>
      </c>
      <c r="H1135" s="69">
        <f>MAX(0,ROUND(H1132+Materiales!$H$165-G1134-H1133,4))</f>
        <v/>
      </c>
      <c r="I1135" s="69">
        <f>MAX(0,ROUND(I1132+Materiales!$H$165-H1134-I1133,4))</f>
        <v/>
      </c>
      <c r="J1135" s="69">
        <f>MAX(0,ROUND(J1132+Materiales!$H$165-I1134-J1133,4))</f>
        <v/>
      </c>
      <c r="K1135" s="69">
        <f>MAX(0,ROUND(K1132+Materiales!$H$165-J1134-K1133,4))</f>
        <v/>
      </c>
      <c r="L1135" s="69">
        <f>MAX(0,ROUND(L1132+Materiales!$H$165-K1134-L1133,4))</f>
        <v/>
      </c>
      <c r="M1135" s="66" t="n"/>
    </row>
    <row r="1136">
      <c r="C1136" s="63" t="inlineStr">
        <is>
          <t>Recepcion de orden planificada</t>
        </is>
      </c>
      <c r="D1136" s="64" t="n"/>
      <c r="E1136" s="65">
        <f>IF(E1135&lt;=0,0,IF(Materiales!$G$165&lt;=0,E1135,ROUNDUP(E1135/Materiales!$G$165,0)*Materiales!$G$165))</f>
        <v/>
      </c>
      <c r="F1136" s="65">
        <f>IF(F1135&lt;=0,0,IF(Materiales!$G$165&lt;=0,F1135,ROUNDUP(F1135/Materiales!$G$165,0)*Materiales!$G$165))</f>
        <v/>
      </c>
      <c r="G1136" s="65">
        <f>IF(G1135&lt;=0,0,IF(Materiales!$G$165&lt;=0,G1135,ROUNDUP(G1135/Materiales!$G$165,0)*Materiales!$G$165))</f>
        <v/>
      </c>
      <c r="H1136" s="65">
        <f>IF(H1135&lt;=0,0,IF(Materiales!$G$165&lt;=0,H1135,ROUNDUP(H1135/Materiales!$G$165,0)*Materiales!$G$165))</f>
        <v/>
      </c>
      <c r="I1136" s="65">
        <f>IF(I1135&lt;=0,0,IF(Materiales!$G$165&lt;=0,I1135,ROUNDUP(I1135/Materiales!$G$165,0)*Materiales!$G$165))</f>
        <v/>
      </c>
      <c r="J1136" s="65">
        <f>IF(J1135&lt;=0,0,IF(Materiales!$G$165&lt;=0,J1135,ROUNDUP(J1135/Materiales!$G$165,0)*Materiales!$G$165))</f>
        <v/>
      </c>
      <c r="K1136" s="65">
        <f>IF(K1135&lt;=0,0,IF(Materiales!$G$165&lt;=0,K1135,ROUNDUP(K1135/Materiales!$G$165,0)*Materiales!$G$165))</f>
        <v/>
      </c>
      <c r="L1136" s="65">
        <f>IF(L1135&lt;=0,0,IF(Materiales!$G$165&lt;=0,L1135,ROUNDUP(L1135/Materiales!$G$165,0)*Materiales!$G$165))</f>
        <v/>
      </c>
      <c r="M1136" s="66" t="n"/>
    </row>
    <row r="1137">
      <c r="C1137" s="70" t="inlineStr">
        <is>
          <t>LANZAMIENTO DE ORDEN — pedir esta semana</t>
        </is>
      </c>
      <c r="D1137" s="64" t="n"/>
      <c r="E1137" s="71">
        <f>IF(1+Materiales!$F$165&gt;8,0,INDEX($E$1136:$L$1136,1,1+Materiales!$F$165))</f>
        <v/>
      </c>
      <c r="F1137" s="71">
        <f>IF(2+Materiales!$F$165&gt;8,0,INDEX($E$1136:$L$1136,1,2+Materiales!$F$165))</f>
        <v/>
      </c>
      <c r="G1137" s="71">
        <f>IF(3+Materiales!$F$165&gt;8,0,INDEX($E$1136:$L$1136,1,3+Materiales!$F$165))</f>
        <v/>
      </c>
      <c r="H1137" s="71">
        <f>IF(4+Materiales!$F$165&gt;8,0,INDEX($E$1136:$L$1136,1,4+Materiales!$F$165))</f>
        <v/>
      </c>
      <c r="I1137" s="71">
        <f>IF(5+Materiales!$F$165&gt;8,0,INDEX($E$1136:$L$1136,1,5+Materiales!$F$165))</f>
        <v/>
      </c>
      <c r="J1137" s="71">
        <f>IF(6+Materiales!$F$165&gt;8,0,INDEX($E$1136:$L$1136,1,6+Materiales!$F$165))</f>
        <v/>
      </c>
      <c r="K1137" s="71">
        <f>IF(7+Materiales!$F$165&gt;8,0,INDEX($E$1136:$L$1136,1,7+Materiales!$F$165))</f>
        <v/>
      </c>
      <c r="L1137" s="71">
        <f>IF(8+Materiales!$F$165&gt;8,0,INDEX($E$1136:$L$1136,1,8+Materiales!$F$165))</f>
        <v/>
      </c>
      <c r="M1137" s="72">
        <f>IF($A1132="","",IF(SUMPRODUCT((COLUMN($E$1136:$L$1136)-4&lt;=Materiales!$F$165)*$E$1136:$L$1136)&gt;0,"PEDIR YA (atrasado)","OK"))</f>
        <v/>
      </c>
    </row>
    <row r="1138" ht="6" customHeight="1"/>
    <row r="1139">
      <c r="A1139" s="62">
        <f>IF(Materiales!$A$166="","",Materiales!$A$166)</f>
        <v/>
      </c>
      <c r="B1139" s="62">
        <f>IF(Materiales!$B$166="","",Materiales!$B$166)</f>
        <v/>
      </c>
      <c r="C1139" s="63" t="inlineStr">
        <is>
          <t>Necesidad bruta</t>
        </is>
      </c>
      <c r="D1139" s="64" t="n"/>
      <c r="E1139" s="65">
        <f>ROUND(SUMIF(Consumo!$P$4:$P$189,"#"&amp;$A1139,Consumo!H$4:H$189),4)</f>
        <v/>
      </c>
      <c r="F1139" s="65">
        <f>ROUND(SUMIF(Consumo!$P$4:$P$189,"#"&amp;$A1139,Consumo!I$4:I$189),4)</f>
        <v/>
      </c>
      <c r="G1139" s="65">
        <f>ROUND(SUMIF(Consumo!$P$4:$P$189,"#"&amp;$A1139,Consumo!J$4:J$189),4)</f>
        <v/>
      </c>
      <c r="H1139" s="65">
        <f>ROUND(SUMIF(Consumo!$P$4:$P$189,"#"&amp;$A1139,Consumo!K$4:K$189),4)</f>
        <v/>
      </c>
      <c r="I1139" s="65">
        <f>ROUND(SUMIF(Consumo!$P$4:$P$189,"#"&amp;$A1139,Consumo!L$4:L$189),4)</f>
        <v/>
      </c>
      <c r="J1139" s="65">
        <f>ROUND(SUMIF(Consumo!$P$4:$P$189,"#"&amp;$A1139,Consumo!M$4:M$189),4)</f>
        <v/>
      </c>
      <c r="K1139" s="65">
        <f>ROUND(SUMIF(Consumo!$P$4:$P$189,"#"&amp;$A1139,Consumo!N$4:N$189),4)</f>
        <v/>
      </c>
      <c r="L1139" s="65">
        <f>ROUND(SUMIF(Consumo!$P$4:$P$189,"#"&amp;$A1139,Consumo!O$4:O$189),4)</f>
        <v/>
      </c>
      <c r="M1139" s="66" t="n"/>
    </row>
    <row r="1140">
      <c r="C1140" s="63" t="inlineStr">
        <is>
          <t>Recepciones programadas (ya pedido)</t>
        </is>
      </c>
      <c r="D1140" s="64" t="n"/>
      <c r="E1140" s="65">
        <f>SUMIF(Inventario!$M$5:$M$505,"#"&amp;$A1139,Inventario!E$5:E$505)</f>
        <v/>
      </c>
      <c r="F1140" s="65">
        <f>SUMIF(Inventario!$M$5:$M$505,"#"&amp;$A1139,Inventario!F$5:F$505)</f>
        <v/>
      </c>
      <c r="G1140" s="65">
        <f>SUMIF(Inventario!$M$5:$M$505,"#"&amp;$A1139,Inventario!G$5:G$505)</f>
        <v/>
      </c>
      <c r="H1140" s="65">
        <f>SUMIF(Inventario!$M$5:$M$505,"#"&amp;$A1139,Inventario!H$5:H$505)</f>
        <v/>
      </c>
      <c r="I1140" s="65">
        <f>SUMIF(Inventario!$M$5:$M$505,"#"&amp;$A1139,Inventario!I$5:I$505)</f>
        <v/>
      </c>
      <c r="J1140" s="65">
        <f>SUMIF(Inventario!$M$5:$M$505,"#"&amp;$A1139,Inventario!J$5:J$505)</f>
        <v/>
      </c>
      <c r="K1140" s="65">
        <f>SUMIF(Inventario!$M$5:$M$505,"#"&amp;$A1139,Inventario!K$5:K$505)</f>
        <v/>
      </c>
      <c r="L1140" s="65">
        <f>SUMIF(Inventario!$M$5:$M$505,"#"&amp;$A1139,Inventario!L$5:L$505)</f>
        <v/>
      </c>
      <c r="M1140" s="66" t="n"/>
    </row>
    <row r="1141">
      <c r="C1141" s="63" t="inlineStr">
        <is>
          <t>Stock proyectado disponible</t>
        </is>
      </c>
      <c r="D1141" s="67">
        <f>SUMIF(Inventario!$M$5:$M$505,"#"&amp;$A1139,Inventario!$C$5:$C$505)</f>
        <v/>
      </c>
      <c r="E1141" s="68">
        <f>D1141+E1140+E1143-E1139</f>
        <v/>
      </c>
      <c r="F1141" s="68">
        <f>E1141+F1140+F1143-F1139</f>
        <v/>
      </c>
      <c r="G1141" s="68">
        <f>F1141+G1140+G1143-G1139</f>
        <v/>
      </c>
      <c r="H1141" s="68">
        <f>G1141+H1140+H1143-H1139</f>
        <v/>
      </c>
      <c r="I1141" s="68">
        <f>H1141+I1140+I1143-I1139</f>
        <v/>
      </c>
      <c r="J1141" s="68">
        <f>I1141+J1140+J1143-J1139</f>
        <v/>
      </c>
      <c r="K1141" s="68">
        <f>J1141+K1140+K1143-K1139</f>
        <v/>
      </c>
      <c r="L1141" s="68">
        <f>K1141+L1140+L1143-L1139</f>
        <v/>
      </c>
      <c r="M1141" s="66" t="n"/>
    </row>
    <row r="1142">
      <c r="C1142" s="63" t="inlineStr">
        <is>
          <t>Necesidad neta</t>
        </is>
      </c>
      <c r="D1142" s="64" t="n"/>
      <c r="E1142" s="69">
        <f>MAX(0,ROUND(E1139+Materiales!$H$166-D1141-E1140,4))</f>
        <v/>
      </c>
      <c r="F1142" s="69">
        <f>MAX(0,ROUND(F1139+Materiales!$H$166-E1141-F1140,4))</f>
        <v/>
      </c>
      <c r="G1142" s="69">
        <f>MAX(0,ROUND(G1139+Materiales!$H$166-F1141-G1140,4))</f>
        <v/>
      </c>
      <c r="H1142" s="69">
        <f>MAX(0,ROUND(H1139+Materiales!$H$166-G1141-H1140,4))</f>
        <v/>
      </c>
      <c r="I1142" s="69">
        <f>MAX(0,ROUND(I1139+Materiales!$H$166-H1141-I1140,4))</f>
        <v/>
      </c>
      <c r="J1142" s="69">
        <f>MAX(0,ROUND(J1139+Materiales!$H$166-I1141-J1140,4))</f>
        <v/>
      </c>
      <c r="K1142" s="69">
        <f>MAX(0,ROUND(K1139+Materiales!$H$166-J1141-K1140,4))</f>
        <v/>
      </c>
      <c r="L1142" s="69">
        <f>MAX(0,ROUND(L1139+Materiales!$H$166-K1141-L1140,4))</f>
        <v/>
      </c>
      <c r="M1142" s="66" t="n"/>
    </row>
    <row r="1143">
      <c r="C1143" s="63" t="inlineStr">
        <is>
          <t>Recepcion de orden planificada</t>
        </is>
      </c>
      <c r="D1143" s="64" t="n"/>
      <c r="E1143" s="65">
        <f>IF(E1142&lt;=0,0,IF(Materiales!$G$166&lt;=0,E1142,ROUNDUP(E1142/Materiales!$G$166,0)*Materiales!$G$166))</f>
        <v/>
      </c>
      <c r="F1143" s="65">
        <f>IF(F1142&lt;=0,0,IF(Materiales!$G$166&lt;=0,F1142,ROUNDUP(F1142/Materiales!$G$166,0)*Materiales!$G$166))</f>
        <v/>
      </c>
      <c r="G1143" s="65">
        <f>IF(G1142&lt;=0,0,IF(Materiales!$G$166&lt;=0,G1142,ROUNDUP(G1142/Materiales!$G$166,0)*Materiales!$G$166))</f>
        <v/>
      </c>
      <c r="H1143" s="65">
        <f>IF(H1142&lt;=0,0,IF(Materiales!$G$166&lt;=0,H1142,ROUNDUP(H1142/Materiales!$G$166,0)*Materiales!$G$166))</f>
        <v/>
      </c>
      <c r="I1143" s="65">
        <f>IF(I1142&lt;=0,0,IF(Materiales!$G$166&lt;=0,I1142,ROUNDUP(I1142/Materiales!$G$166,0)*Materiales!$G$166))</f>
        <v/>
      </c>
      <c r="J1143" s="65">
        <f>IF(J1142&lt;=0,0,IF(Materiales!$G$166&lt;=0,J1142,ROUNDUP(J1142/Materiales!$G$166,0)*Materiales!$G$166))</f>
        <v/>
      </c>
      <c r="K1143" s="65">
        <f>IF(K1142&lt;=0,0,IF(Materiales!$G$166&lt;=0,K1142,ROUNDUP(K1142/Materiales!$G$166,0)*Materiales!$G$166))</f>
        <v/>
      </c>
      <c r="L1143" s="65">
        <f>IF(L1142&lt;=0,0,IF(Materiales!$G$166&lt;=0,L1142,ROUNDUP(L1142/Materiales!$G$166,0)*Materiales!$G$166))</f>
        <v/>
      </c>
      <c r="M1143" s="66" t="n"/>
    </row>
    <row r="1144">
      <c r="C1144" s="70" t="inlineStr">
        <is>
          <t>LANZAMIENTO DE ORDEN — pedir esta semana</t>
        </is>
      </c>
      <c r="D1144" s="64" t="n"/>
      <c r="E1144" s="71">
        <f>IF(1+Materiales!$F$166&gt;8,0,INDEX($E$1143:$L$1143,1,1+Materiales!$F$166))</f>
        <v/>
      </c>
      <c r="F1144" s="71">
        <f>IF(2+Materiales!$F$166&gt;8,0,INDEX($E$1143:$L$1143,1,2+Materiales!$F$166))</f>
        <v/>
      </c>
      <c r="G1144" s="71">
        <f>IF(3+Materiales!$F$166&gt;8,0,INDEX($E$1143:$L$1143,1,3+Materiales!$F$166))</f>
        <v/>
      </c>
      <c r="H1144" s="71">
        <f>IF(4+Materiales!$F$166&gt;8,0,INDEX($E$1143:$L$1143,1,4+Materiales!$F$166))</f>
        <v/>
      </c>
      <c r="I1144" s="71">
        <f>IF(5+Materiales!$F$166&gt;8,0,INDEX($E$1143:$L$1143,1,5+Materiales!$F$166))</f>
        <v/>
      </c>
      <c r="J1144" s="71">
        <f>IF(6+Materiales!$F$166&gt;8,0,INDEX($E$1143:$L$1143,1,6+Materiales!$F$166))</f>
        <v/>
      </c>
      <c r="K1144" s="71">
        <f>IF(7+Materiales!$F$166&gt;8,0,INDEX($E$1143:$L$1143,1,7+Materiales!$F$166))</f>
        <v/>
      </c>
      <c r="L1144" s="71">
        <f>IF(8+Materiales!$F$166&gt;8,0,INDEX($E$1143:$L$1143,1,8+Materiales!$F$166))</f>
        <v/>
      </c>
      <c r="M1144" s="72">
        <f>IF($A1139="","",IF(SUMPRODUCT((COLUMN($E$1143:$L$1143)-4&lt;=Materiales!$F$166)*$E$1143:$L$1143)&gt;0,"PEDIR YA (atrasado)","OK"))</f>
        <v/>
      </c>
    </row>
    <row r="1145" ht="6" customHeight="1"/>
    <row r="1146">
      <c r="A1146" s="62">
        <f>IF(Materiales!$A$167="","",Materiales!$A$167)</f>
        <v/>
      </c>
      <c r="B1146" s="62">
        <f>IF(Materiales!$B$167="","",Materiales!$B$167)</f>
        <v/>
      </c>
      <c r="C1146" s="63" t="inlineStr">
        <is>
          <t>Necesidad bruta</t>
        </is>
      </c>
      <c r="D1146" s="64" t="n"/>
      <c r="E1146" s="65">
        <f>ROUND(SUMIF(Consumo!$P$4:$P$189,"#"&amp;$A1146,Consumo!H$4:H$189),4)</f>
        <v/>
      </c>
      <c r="F1146" s="65">
        <f>ROUND(SUMIF(Consumo!$P$4:$P$189,"#"&amp;$A1146,Consumo!I$4:I$189),4)</f>
        <v/>
      </c>
      <c r="G1146" s="65">
        <f>ROUND(SUMIF(Consumo!$P$4:$P$189,"#"&amp;$A1146,Consumo!J$4:J$189),4)</f>
        <v/>
      </c>
      <c r="H1146" s="65">
        <f>ROUND(SUMIF(Consumo!$P$4:$P$189,"#"&amp;$A1146,Consumo!K$4:K$189),4)</f>
        <v/>
      </c>
      <c r="I1146" s="65">
        <f>ROUND(SUMIF(Consumo!$P$4:$P$189,"#"&amp;$A1146,Consumo!L$4:L$189),4)</f>
        <v/>
      </c>
      <c r="J1146" s="65">
        <f>ROUND(SUMIF(Consumo!$P$4:$P$189,"#"&amp;$A1146,Consumo!M$4:M$189),4)</f>
        <v/>
      </c>
      <c r="K1146" s="65">
        <f>ROUND(SUMIF(Consumo!$P$4:$P$189,"#"&amp;$A1146,Consumo!N$4:N$189),4)</f>
        <v/>
      </c>
      <c r="L1146" s="65">
        <f>ROUND(SUMIF(Consumo!$P$4:$P$189,"#"&amp;$A1146,Consumo!O$4:O$189),4)</f>
        <v/>
      </c>
      <c r="M1146" s="66" t="n"/>
    </row>
    <row r="1147">
      <c r="C1147" s="63" t="inlineStr">
        <is>
          <t>Recepciones programadas (ya pedido)</t>
        </is>
      </c>
      <c r="D1147" s="64" t="n"/>
      <c r="E1147" s="65">
        <f>SUMIF(Inventario!$M$5:$M$505,"#"&amp;$A1146,Inventario!E$5:E$505)</f>
        <v/>
      </c>
      <c r="F1147" s="65">
        <f>SUMIF(Inventario!$M$5:$M$505,"#"&amp;$A1146,Inventario!F$5:F$505)</f>
        <v/>
      </c>
      <c r="G1147" s="65">
        <f>SUMIF(Inventario!$M$5:$M$505,"#"&amp;$A1146,Inventario!G$5:G$505)</f>
        <v/>
      </c>
      <c r="H1147" s="65">
        <f>SUMIF(Inventario!$M$5:$M$505,"#"&amp;$A1146,Inventario!H$5:H$505)</f>
        <v/>
      </c>
      <c r="I1147" s="65">
        <f>SUMIF(Inventario!$M$5:$M$505,"#"&amp;$A1146,Inventario!I$5:I$505)</f>
        <v/>
      </c>
      <c r="J1147" s="65">
        <f>SUMIF(Inventario!$M$5:$M$505,"#"&amp;$A1146,Inventario!J$5:J$505)</f>
        <v/>
      </c>
      <c r="K1147" s="65">
        <f>SUMIF(Inventario!$M$5:$M$505,"#"&amp;$A1146,Inventario!K$5:K$505)</f>
        <v/>
      </c>
      <c r="L1147" s="65">
        <f>SUMIF(Inventario!$M$5:$M$505,"#"&amp;$A1146,Inventario!L$5:L$505)</f>
        <v/>
      </c>
      <c r="M1147" s="66" t="n"/>
    </row>
    <row r="1148">
      <c r="C1148" s="63" t="inlineStr">
        <is>
          <t>Stock proyectado disponible</t>
        </is>
      </c>
      <c r="D1148" s="67">
        <f>SUMIF(Inventario!$M$5:$M$505,"#"&amp;$A1146,Inventario!$C$5:$C$505)</f>
        <v/>
      </c>
      <c r="E1148" s="68">
        <f>D1148+E1147+E1150-E1146</f>
        <v/>
      </c>
      <c r="F1148" s="68">
        <f>E1148+F1147+F1150-F1146</f>
        <v/>
      </c>
      <c r="G1148" s="68">
        <f>F1148+G1147+G1150-G1146</f>
        <v/>
      </c>
      <c r="H1148" s="68">
        <f>G1148+H1147+H1150-H1146</f>
        <v/>
      </c>
      <c r="I1148" s="68">
        <f>H1148+I1147+I1150-I1146</f>
        <v/>
      </c>
      <c r="J1148" s="68">
        <f>I1148+J1147+J1150-J1146</f>
        <v/>
      </c>
      <c r="K1148" s="68">
        <f>J1148+K1147+K1150-K1146</f>
        <v/>
      </c>
      <c r="L1148" s="68">
        <f>K1148+L1147+L1150-L1146</f>
        <v/>
      </c>
      <c r="M1148" s="66" t="n"/>
    </row>
    <row r="1149">
      <c r="C1149" s="63" t="inlineStr">
        <is>
          <t>Necesidad neta</t>
        </is>
      </c>
      <c r="D1149" s="64" t="n"/>
      <c r="E1149" s="69">
        <f>MAX(0,ROUND(E1146+Materiales!$H$167-D1148-E1147,4))</f>
        <v/>
      </c>
      <c r="F1149" s="69">
        <f>MAX(0,ROUND(F1146+Materiales!$H$167-E1148-F1147,4))</f>
        <v/>
      </c>
      <c r="G1149" s="69">
        <f>MAX(0,ROUND(G1146+Materiales!$H$167-F1148-G1147,4))</f>
        <v/>
      </c>
      <c r="H1149" s="69">
        <f>MAX(0,ROUND(H1146+Materiales!$H$167-G1148-H1147,4))</f>
        <v/>
      </c>
      <c r="I1149" s="69">
        <f>MAX(0,ROUND(I1146+Materiales!$H$167-H1148-I1147,4))</f>
        <v/>
      </c>
      <c r="J1149" s="69">
        <f>MAX(0,ROUND(J1146+Materiales!$H$167-I1148-J1147,4))</f>
        <v/>
      </c>
      <c r="K1149" s="69">
        <f>MAX(0,ROUND(K1146+Materiales!$H$167-J1148-K1147,4))</f>
        <v/>
      </c>
      <c r="L1149" s="69">
        <f>MAX(0,ROUND(L1146+Materiales!$H$167-K1148-L1147,4))</f>
        <v/>
      </c>
      <c r="M1149" s="66" t="n"/>
    </row>
    <row r="1150">
      <c r="C1150" s="63" t="inlineStr">
        <is>
          <t>Recepcion de orden planificada</t>
        </is>
      </c>
      <c r="D1150" s="64" t="n"/>
      <c r="E1150" s="65">
        <f>IF(E1149&lt;=0,0,IF(Materiales!$G$167&lt;=0,E1149,ROUNDUP(E1149/Materiales!$G$167,0)*Materiales!$G$167))</f>
        <v/>
      </c>
      <c r="F1150" s="65">
        <f>IF(F1149&lt;=0,0,IF(Materiales!$G$167&lt;=0,F1149,ROUNDUP(F1149/Materiales!$G$167,0)*Materiales!$G$167))</f>
        <v/>
      </c>
      <c r="G1150" s="65">
        <f>IF(G1149&lt;=0,0,IF(Materiales!$G$167&lt;=0,G1149,ROUNDUP(G1149/Materiales!$G$167,0)*Materiales!$G$167))</f>
        <v/>
      </c>
      <c r="H1150" s="65">
        <f>IF(H1149&lt;=0,0,IF(Materiales!$G$167&lt;=0,H1149,ROUNDUP(H1149/Materiales!$G$167,0)*Materiales!$G$167))</f>
        <v/>
      </c>
      <c r="I1150" s="65">
        <f>IF(I1149&lt;=0,0,IF(Materiales!$G$167&lt;=0,I1149,ROUNDUP(I1149/Materiales!$G$167,0)*Materiales!$G$167))</f>
        <v/>
      </c>
      <c r="J1150" s="65">
        <f>IF(J1149&lt;=0,0,IF(Materiales!$G$167&lt;=0,J1149,ROUNDUP(J1149/Materiales!$G$167,0)*Materiales!$G$167))</f>
        <v/>
      </c>
      <c r="K1150" s="65">
        <f>IF(K1149&lt;=0,0,IF(Materiales!$G$167&lt;=0,K1149,ROUNDUP(K1149/Materiales!$G$167,0)*Materiales!$G$167))</f>
        <v/>
      </c>
      <c r="L1150" s="65">
        <f>IF(L1149&lt;=0,0,IF(Materiales!$G$167&lt;=0,L1149,ROUNDUP(L1149/Materiales!$G$167,0)*Materiales!$G$167))</f>
        <v/>
      </c>
      <c r="M1150" s="66" t="n"/>
    </row>
    <row r="1151">
      <c r="C1151" s="70" t="inlineStr">
        <is>
          <t>LANZAMIENTO DE ORDEN — pedir esta semana</t>
        </is>
      </c>
      <c r="D1151" s="64" t="n"/>
      <c r="E1151" s="71">
        <f>IF(1+Materiales!$F$167&gt;8,0,INDEX($E$1150:$L$1150,1,1+Materiales!$F$167))</f>
        <v/>
      </c>
      <c r="F1151" s="71">
        <f>IF(2+Materiales!$F$167&gt;8,0,INDEX($E$1150:$L$1150,1,2+Materiales!$F$167))</f>
        <v/>
      </c>
      <c r="G1151" s="71">
        <f>IF(3+Materiales!$F$167&gt;8,0,INDEX($E$1150:$L$1150,1,3+Materiales!$F$167))</f>
        <v/>
      </c>
      <c r="H1151" s="71">
        <f>IF(4+Materiales!$F$167&gt;8,0,INDEX($E$1150:$L$1150,1,4+Materiales!$F$167))</f>
        <v/>
      </c>
      <c r="I1151" s="71">
        <f>IF(5+Materiales!$F$167&gt;8,0,INDEX($E$1150:$L$1150,1,5+Materiales!$F$167))</f>
        <v/>
      </c>
      <c r="J1151" s="71">
        <f>IF(6+Materiales!$F$167&gt;8,0,INDEX($E$1150:$L$1150,1,6+Materiales!$F$167))</f>
        <v/>
      </c>
      <c r="K1151" s="71">
        <f>IF(7+Materiales!$F$167&gt;8,0,INDEX($E$1150:$L$1150,1,7+Materiales!$F$167))</f>
        <v/>
      </c>
      <c r="L1151" s="71">
        <f>IF(8+Materiales!$F$167&gt;8,0,INDEX($E$1150:$L$1150,1,8+Materiales!$F$167))</f>
        <v/>
      </c>
      <c r="M1151" s="72">
        <f>IF($A1146="","",IF(SUMPRODUCT((COLUMN($E$1150:$L$1150)-4&lt;=Materiales!$F$167)*$E$1150:$L$1150)&gt;0,"PEDIR YA (atrasado)","OK"))</f>
        <v/>
      </c>
    </row>
    <row r="1152" ht="6" customHeight="1"/>
    <row r="1153">
      <c r="A1153" s="62">
        <f>IF(Materiales!$A$168="","",Materiales!$A$168)</f>
        <v/>
      </c>
      <c r="B1153" s="62">
        <f>IF(Materiales!$B$168="","",Materiales!$B$168)</f>
        <v/>
      </c>
      <c r="C1153" s="63" t="inlineStr">
        <is>
          <t>Necesidad bruta</t>
        </is>
      </c>
      <c r="D1153" s="64" t="n"/>
      <c r="E1153" s="65">
        <f>ROUND(SUMIF(Consumo!$P$4:$P$189,"#"&amp;$A1153,Consumo!H$4:H$189),4)</f>
        <v/>
      </c>
      <c r="F1153" s="65">
        <f>ROUND(SUMIF(Consumo!$P$4:$P$189,"#"&amp;$A1153,Consumo!I$4:I$189),4)</f>
        <v/>
      </c>
      <c r="G1153" s="65">
        <f>ROUND(SUMIF(Consumo!$P$4:$P$189,"#"&amp;$A1153,Consumo!J$4:J$189),4)</f>
        <v/>
      </c>
      <c r="H1153" s="65">
        <f>ROUND(SUMIF(Consumo!$P$4:$P$189,"#"&amp;$A1153,Consumo!K$4:K$189),4)</f>
        <v/>
      </c>
      <c r="I1153" s="65">
        <f>ROUND(SUMIF(Consumo!$P$4:$P$189,"#"&amp;$A1153,Consumo!L$4:L$189),4)</f>
        <v/>
      </c>
      <c r="J1153" s="65">
        <f>ROUND(SUMIF(Consumo!$P$4:$P$189,"#"&amp;$A1153,Consumo!M$4:M$189),4)</f>
        <v/>
      </c>
      <c r="K1153" s="65">
        <f>ROUND(SUMIF(Consumo!$P$4:$P$189,"#"&amp;$A1153,Consumo!N$4:N$189),4)</f>
        <v/>
      </c>
      <c r="L1153" s="65">
        <f>ROUND(SUMIF(Consumo!$P$4:$P$189,"#"&amp;$A1153,Consumo!O$4:O$189),4)</f>
        <v/>
      </c>
      <c r="M1153" s="66" t="n"/>
    </row>
    <row r="1154">
      <c r="C1154" s="63" t="inlineStr">
        <is>
          <t>Recepciones programadas (ya pedido)</t>
        </is>
      </c>
      <c r="D1154" s="64" t="n"/>
      <c r="E1154" s="65">
        <f>SUMIF(Inventario!$M$5:$M$505,"#"&amp;$A1153,Inventario!E$5:E$505)</f>
        <v/>
      </c>
      <c r="F1154" s="65">
        <f>SUMIF(Inventario!$M$5:$M$505,"#"&amp;$A1153,Inventario!F$5:F$505)</f>
        <v/>
      </c>
      <c r="G1154" s="65">
        <f>SUMIF(Inventario!$M$5:$M$505,"#"&amp;$A1153,Inventario!G$5:G$505)</f>
        <v/>
      </c>
      <c r="H1154" s="65">
        <f>SUMIF(Inventario!$M$5:$M$505,"#"&amp;$A1153,Inventario!H$5:H$505)</f>
        <v/>
      </c>
      <c r="I1154" s="65">
        <f>SUMIF(Inventario!$M$5:$M$505,"#"&amp;$A1153,Inventario!I$5:I$505)</f>
        <v/>
      </c>
      <c r="J1154" s="65">
        <f>SUMIF(Inventario!$M$5:$M$505,"#"&amp;$A1153,Inventario!J$5:J$505)</f>
        <v/>
      </c>
      <c r="K1154" s="65">
        <f>SUMIF(Inventario!$M$5:$M$505,"#"&amp;$A1153,Inventario!K$5:K$505)</f>
        <v/>
      </c>
      <c r="L1154" s="65">
        <f>SUMIF(Inventario!$M$5:$M$505,"#"&amp;$A1153,Inventario!L$5:L$505)</f>
        <v/>
      </c>
      <c r="M1154" s="66" t="n"/>
    </row>
    <row r="1155">
      <c r="C1155" s="63" t="inlineStr">
        <is>
          <t>Stock proyectado disponible</t>
        </is>
      </c>
      <c r="D1155" s="67">
        <f>SUMIF(Inventario!$M$5:$M$505,"#"&amp;$A1153,Inventario!$C$5:$C$505)</f>
        <v/>
      </c>
      <c r="E1155" s="68">
        <f>D1155+E1154+E1157-E1153</f>
        <v/>
      </c>
      <c r="F1155" s="68">
        <f>E1155+F1154+F1157-F1153</f>
        <v/>
      </c>
      <c r="G1155" s="68">
        <f>F1155+G1154+G1157-G1153</f>
        <v/>
      </c>
      <c r="H1155" s="68">
        <f>G1155+H1154+H1157-H1153</f>
        <v/>
      </c>
      <c r="I1155" s="68">
        <f>H1155+I1154+I1157-I1153</f>
        <v/>
      </c>
      <c r="J1155" s="68">
        <f>I1155+J1154+J1157-J1153</f>
        <v/>
      </c>
      <c r="K1155" s="68">
        <f>J1155+K1154+K1157-K1153</f>
        <v/>
      </c>
      <c r="L1155" s="68">
        <f>K1155+L1154+L1157-L1153</f>
        <v/>
      </c>
      <c r="M1155" s="66" t="n"/>
    </row>
    <row r="1156">
      <c r="C1156" s="63" t="inlineStr">
        <is>
          <t>Necesidad neta</t>
        </is>
      </c>
      <c r="D1156" s="64" t="n"/>
      <c r="E1156" s="69">
        <f>MAX(0,ROUND(E1153+Materiales!$H$168-D1155-E1154,4))</f>
        <v/>
      </c>
      <c r="F1156" s="69">
        <f>MAX(0,ROUND(F1153+Materiales!$H$168-E1155-F1154,4))</f>
        <v/>
      </c>
      <c r="G1156" s="69">
        <f>MAX(0,ROUND(G1153+Materiales!$H$168-F1155-G1154,4))</f>
        <v/>
      </c>
      <c r="H1156" s="69">
        <f>MAX(0,ROUND(H1153+Materiales!$H$168-G1155-H1154,4))</f>
        <v/>
      </c>
      <c r="I1156" s="69">
        <f>MAX(0,ROUND(I1153+Materiales!$H$168-H1155-I1154,4))</f>
        <v/>
      </c>
      <c r="J1156" s="69">
        <f>MAX(0,ROUND(J1153+Materiales!$H$168-I1155-J1154,4))</f>
        <v/>
      </c>
      <c r="K1156" s="69">
        <f>MAX(0,ROUND(K1153+Materiales!$H$168-J1155-K1154,4))</f>
        <v/>
      </c>
      <c r="L1156" s="69">
        <f>MAX(0,ROUND(L1153+Materiales!$H$168-K1155-L1154,4))</f>
        <v/>
      </c>
      <c r="M1156" s="66" t="n"/>
    </row>
    <row r="1157">
      <c r="C1157" s="63" t="inlineStr">
        <is>
          <t>Recepcion de orden planificada</t>
        </is>
      </c>
      <c r="D1157" s="64" t="n"/>
      <c r="E1157" s="65">
        <f>IF(E1156&lt;=0,0,IF(Materiales!$G$168&lt;=0,E1156,ROUNDUP(E1156/Materiales!$G$168,0)*Materiales!$G$168))</f>
        <v/>
      </c>
      <c r="F1157" s="65">
        <f>IF(F1156&lt;=0,0,IF(Materiales!$G$168&lt;=0,F1156,ROUNDUP(F1156/Materiales!$G$168,0)*Materiales!$G$168))</f>
        <v/>
      </c>
      <c r="G1157" s="65">
        <f>IF(G1156&lt;=0,0,IF(Materiales!$G$168&lt;=0,G1156,ROUNDUP(G1156/Materiales!$G$168,0)*Materiales!$G$168))</f>
        <v/>
      </c>
      <c r="H1157" s="65">
        <f>IF(H1156&lt;=0,0,IF(Materiales!$G$168&lt;=0,H1156,ROUNDUP(H1156/Materiales!$G$168,0)*Materiales!$G$168))</f>
        <v/>
      </c>
      <c r="I1157" s="65">
        <f>IF(I1156&lt;=0,0,IF(Materiales!$G$168&lt;=0,I1156,ROUNDUP(I1156/Materiales!$G$168,0)*Materiales!$G$168))</f>
        <v/>
      </c>
      <c r="J1157" s="65">
        <f>IF(J1156&lt;=0,0,IF(Materiales!$G$168&lt;=0,J1156,ROUNDUP(J1156/Materiales!$G$168,0)*Materiales!$G$168))</f>
        <v/>
      </c>
      <c r="K1157" s="65">
        <f>IF(K1156&lt;=0,0,IF(Materiales!$G$168&lt;=0,K1156,ROUNDUP(K1156/Materiales!$G$168,0)*Materiales!$G$168))</f>
        <v/>
      </c>
      <c r="L1157" s="65">
        <f>IF(L1156&lt;=0,0,IF(Materiales!$G$168&lt;=0,L1156,ROUNDUP(L1156/Materiales!$G$168,0)*Materiales!$G$168))</f>
        <v/>
      </c>
      <c r="M1157" s="66" t="n"/>
    </row>
    <row r="1158">
      <c r="C1158" s="70" t="inlineStr">
        <is>
          <t>LANZAMIENTO DE ORDEN — pedir esta semana</t>
        </is>
      </c>
      <c r="D1158" s="64" t="n"/>
      <c r="E1158" s="71">
        <f>IF(1+Materiales!$F$168&gt;8,0,INDEX($E$1157:$L$1157,1,1+Materiales!$F$168))</f>
        <v/>
      </c>
      <c r="F1158" s="71">
        <f>IF(2+Materiales!$F$168&gt;8,0,INDEX($E$1157:$L$1157,1,2+Materiales!$F$168))</f>
        <v/>
      </c>
      <c r="G1158" s="71">
        <f>IF(3+Materiales!$F$168&gt;8,0,INDEX($E$1157:$L$1157,1,3+Materiales!$F$168))</f>
        <v/>
      </c>
      <c r="H1158" s="71">
        <f>IF(4+Materiales!$F$168&gt;8,0,INDEX($E$1157:$L$1157,1,4+Materiales!$F$168))</f>
        <v/>
      </c>
      <c r="I1158" s="71">
        <f>IF(5+Materiales!$F$168&gt;8,0,INDEX($E$1157:$L$1157,1,5+Materiales!$F$168))</f>
        <v/>
      </c>
      <c r="J1158" s="71">
        <f>IF(6+Materiales!$F$168&gt;8,0,INDEX($E$1157:$L$1157,1,6+Materiales!$F$168))</f>
        <v/>
      </c>
      <c r="K1158" s="71">
        <f>IF(7+Materiales!$F$168&gt;8,0,INDEX($E$1157:$L$1157,1,7+Materiales!$F$168))</f>
        <v/>
      </c>
      <c r="L1158" s="71">
        <f>IF(8+Materiales!$F$168&gt;8,0,INDEX($E$1157:$L$1157,1,8+Materiales!$F$168))</f>
        <v/>
      </c>
      <c r="M1158" s="72">
        <f>IF($A1153="","",IF(SUMPRODUCT((COLUMN($E$1157:$L$1157)-4&lt;=Materiales!$F$168)*$E$1157:$L$1157)&gt;0,"PEDIR YA (atrasado)","OK"))</f>
        <v/>
      </c>
    </row>
    <row r="1159" ht="6" customHeight="1"/>
    <row r="1160">
      <c r="A1160" s="62">
        <f>IF(Materiales!$A$169="","",Materiales!$A$169)</f>
        <v/>
      </c>
      <c r="B1160" s="62">
        <f>IF(Materiales!$B$169="","",Materiales!$B$169)</f>
        <v/>
      </c>
      <c r="C1160" s="63" t="inlineStr">
        <is>
          <t>Necesidad bruta</t>
        </is>
      </c>
      <c r="D1160" s="64" t="n"/>
      <c r="E1160" s="65">
        <f>ROUND(SUMIF(Consumo!$P$4:$P$189,"#"&amp;$A1160,Consumo!H$4:H$189),4)</f>
        <v/>
      </c>
      <c r="F1160" s="65">
        <f>ROUND(SUMIF(Consumo!$P$4:$P$189,"#"&amp;$A1160,Consumo!I$4:I$189),4)</f>
        <v/>
      </c>
      <c r="G1160" s="65">
        <f>ROUND(SUMIF(Consumo!$P$4:$P$189,"#"&amp;$A1160,Consumo!J$4:J$189),4)</f>
        <v/>
      </c>
      <c r="H1160" s="65">
        <f>ROUND(SUMIF(Consumo!$P$4:$P$189,"#"&amp;$A1160,Consumo!K$4:K$189),4)</f>
        <v/>
      </c>
      <c r="I1160" s="65">
        <f>ROUND(SUMIF(Consumo!$P$4:$P$189,"#"&amp;$A1160,Consumo!L$4:L$189),4)</f>
        <v/>
      </c>
      <c r="J1160" s="65">
        <f>ROUND(SUMIF(Consumo!$P$4:$P$189,"#"&amp;$A1160,Consumo!M$4:M$189),4)</f>
        <v/>
      </c>
      <c r="K1160" s="65">
        <f>ROUND(SUMIF(Consumo!$P$4:$P$189,"#"&amp;$A1160,Consumo!N$4:N$189),4)</f>
        <v/>
      </c>
      <c r="L1160" s="65">
        <f>ROUND(SUMIF(Consumo!$P$4:$P$189,"#"&amp;$A1160,Consumo!O$4:O$189),4)</f>
        <v/>
      </c>
      <c r="M1160" s="66" t="n"/>
    </row>
    <row r="1161">
      <c r="C1161" s="63" t="inlineStr">
        <is>
          <t>Recepciones programadas (ya pedido)</t>
        </is>
      </c>
      <c r="D1161" s="64" t="n"/>
      <c r="E1161" s="65">
        <f>SUMIF(Inventario!$M$5:$M$505,"#"&amp;$A1160,Inventario!E$5:E$505)</f>
        <v/>
      </c>
      <c r="F1161" s="65">
        <f>SUMIF(Inventario!$M$5:$M$505,"#"&amp;$A1160,Inventario!F$5:F$505)</f>
        <v/>
      </c>
      <c r="G1161" s="65">
        <f>SUMIF(Inventario!$M$5:$M$505,"#"&amp;$A1160,Inventario!G$5:G$505)</f>
        <v/>
      </c>
      <c r="H1161" s="65">
        <f>SUMIF(Inventario!$M$5:$M$505,"#"&amp;$A1160,Inventario!H$5:H$505)</f>
        <v/>
      </c>
      <c r="I1161" s="65">
        <f>SUMIF(Inventario!$M$5:$M$505,"#"&amp;$A1160,Inventario!I$5:I$505)</f>
        <v/>
      </c>
      <c r="J1161" s="65">
        <f>SUMIF(Inventario!$M$5:$M$505,"#"&amp;$A1160,Inventario!J$5:J$505)</f>
        <v/>
      </c>
      <c r="K1161" s="65">
        <f>SUMIF(Inventario!$M$5:$M$505,"#"&amp;$A1160,Inventario!K$5:K$505)</f>
        <v/>
      </c>
      <c r="L1161" s="65">
        <f>SUMIF(Inventario!$M$5:$M$505,"#"&amp;$A1160,Inventario!L$5:L$505)</f>
        <v/>
      </c>
      <c r="M1161" s="66" t="n"/>
    </row>
    <row r="1162">
      <c r="C1162" s="63" t="inlineStr">
        <is>
          <t>Stock proyectado disponible</t>
        </is>
      </c>
      <c r="D1162" s="67">
        <f>SUMIF(Inventario!$M$5:$M$505,"#"&amp;$A1160,Inventario!$C$5:$C$505)</f>
        <v/>
      </c>
      <c r="E1162" s="68">
        <f>D1162+E1161+E1164-E1160</f>
        <v/>
      </c>
      <c r="F1162" s="68">
        <f>E1162+F1161+F1164-F1160</f>
        <v/>
      </c>
      <c r="G1162" s="68">
        <f>F1162+G1161+G1164-G1160</f>
        <v/>
      </c>
      <c r="H1162" s="68">
        <f>G1162+H1161+H1164-H1160</f>
        <v/>
      </c>
      <c r="I1162" s="68">
        <f>H1162+I1161+I1164-I1160</f>
        <v/>
      </c>
      <c r="J1162" s="68">
        <f>I1162+J1161+J1164-J1160</f>
        <v/>
      </c>
      <c r="K1162" s="68">
        <f>J1162+K1161+K1164-K1160</f>
        <v/>
      </c>
      <c r="L1162" s="68">
        <f>K1162+L1161+L1164-L1160</f>
        <v/>
      </c>
      <c r="M1162" s="66" t="n"/>
    </row>
    <row r="1163">
      <c r="C1163" s="63" t="inlineStr">
        <is>
          <t>Necesidad neta</t>
        </is>
      </c>
      <c r="D1163" s="64" t="n"/>
      <c r="E1163" s="69">
        <f>MAX(0,ROUND(E1160+Materiales!$H$169-D1162-E1161,4))</f>
        <v/>
      </c>
      <c r="F1163" s="69">
        <f>MAX(0,ROUND(F1160+Materiales!$H$169-E1162-F1161,4))</f>
        <v/>
      </c>
      <c r="G1163" s="69">
        <f>MAX(0,ROUND(G1160+Materiales!$H$169-F1162-G1161,4))</f>
        <v/>
      </c>
      <c r="H1163" s="69">
        <f>MAX(0,ROUND(H1160+Materiales!$H$169-G1162-H1161,4))</f>
        <v/>
      </c>
      <c r="I1163" s="69">
        <f>MAX(0,ROUND(I1160+Materiales!$H$169-H1162-I1161,4))</f>
        <v/>
      </c>
      <c r="J1163" s="69">
        <f>MAX(0,ROUND(J1160+Materiales!$H$169-I1162-J1161,4))</f>
        <v/>
      </c>
      <c r="K1163" s="69">
        <f>MAX(0,ROUND(K1160+Materiales!$H$169-J1162-K1161,4))</f>
        <v/>
      </c>
      <c r="L1163" s="69">
        <f>MAX(0,ROUND(L1160+Materiales!$H$169-K1162-L1161,4))</f>
        <v/>
      </c>
      <c r="M1163" s="66" t="n"/>
    </row>
    <row r="1164">
      <c r="C1164" s="63" t="inlineStr">
        <is>
          <t>Recepcion de orden planificada</t>
        </is>
      </c>
      <c r="D1164" s="64" t="n"/>
      <c r="E1164" s="65">
        <f>IF(E1163&lt;=0,0,IF(Materiales!$G$169&lt;=0,E1163,ROUNDUP(E1163/Materiales!$G$169,0)*Materiales!$G$169))</f>
        <v/>
      </c>
      <c r="F1164" s="65">
        <f>IF(F1163&lt;=0,0,IF(Materiales!$G$169&lt;=0,F1163,ROUNDUP(F1163/Materiales!$G$169,0)*Materiales!$G$169))</f>
        <v/>
      </c>
      <c r="G1164" s="65">
        <f>IF(G1163&lt;=0,0,IF(Materiales!$G$169&lt;=0,G1163,ROUNDUP(G1163/Materiales!$G$169,0)*Materiales!$G$169))</f>
        <v/>
      </c>
      <c r="H1164" s="65">
        <f>IF(H1163&lt;=0,0,IF(Materiales!$G$169&lt;=0,H1163,ROUNDUP(H1163/Materiales!$G$169,0)*Materiales!$G$169))</f>
        <v/>
      </c>
      <c r="I1164" s="65">
        <f>IF(I1163&lt;=0,0,IF(Materiales!$G$169&lt;=0,I1163,ROUNDUP(I1163/Materiales!$G$169,0)*Materiales!$G$169))</f>
        <v/>
      </c>
      <c r="J1164" s="65">
        <f>IF(J1163&lt;=0,0,IF(Materiales!$G$169&lt;=0,J1163,ROUNDUP(J1163/Materiales!$G$169,0)*Materiales!$G$169))</f>
        <v/>
      </c>
      <c r="K1164" s="65">
        <f>IF(K1163&lt;=0,0,IF(Materiales!$G$169&lt;=0,K1163,ROUNDUP(K1163/Materiales!$G$169,0)*Materiales!$G$169))</f>
        <v/>
      </c>
      <c r="L1164" s="65">
        <f>IF(L1163&lt;=0,0,IF(Materiales!$G$169&lt;=0,L1163,ROUNDUP(L1163/Materiales!$G$169,0)*Materiales!$G$169))</f>
        <v/>
      </c>
      <c r="M1164" s="66" t="n"/>
    </row>
    <row r="1165">
      <c r="C1165" s="70" t="inlineStr">
        <is>
          <t>LANZAMIENTO DE ORDEN — pedir esta semana</t>
        </is>
      </c>
      <c r="D1165" s="64" t="n"/>
      <c r="E1165" s="71">
        <f>IF(1+Materiales!$F$169&gt;8,0,INDEX($E$1164:$L$1164,1,1+Materiales!$F$169))</f>
        <v/>
      </c>
      <c r="F1165" s="71">
        <f>IF(2+Materiales!$F$169&gt;8,0,INDEX($E$1164:$L$1164,1,2+Materiales!$F$169))</f>
        <v/>
      </c>
      <c r="G1165" s="71">
        <f>IF(3+Materiales!$F$169&gt;8,0,INDEX($E$1164:$L$1164,1,3+Materiales!$F$169))</f>
        <v/>
      </c>
      <c r="H1165" s="71">
        <f>IF(4+Materiales!$F$169&gt;8,0,INDEX($E$1164:$L$1164,1,4+Materiales!$F$169))</f>
        <v/>
      </c>
      <c r="I1165" s="71">
        <f>IF(5+Materiales!$F$169&gt;8,0,INDEX($E$1164:$L$1164,1,5+Materiales!$F$169))</f>
        <v/>
      </c>
      <c r="J1165" s="71">
        <f>IF(6+Materiales!$F$169&gt;8,0,INDEX($E$1164:$L$1164,1,6+Materiales!$F$169))</f>
        <v/>
      </c>
      <c r="K1165" s="71">
        <f>IF(7+Materiales!$F$169&gt;8,0,INDEX($E$1164:$L$1164,1,7+Materiales!$F$169))</f>
        <v/>
      </c>
      <c r="L1165" s="71">
        <f>IF(8+Materiales!$F$169&gt;8,0,INDEX($E$1164:$L$1164,1,8+Materiales!$F$169))</f>
        <v/>
      </c>
      <c r="M1165" s="72">
        <f>IF($A1160="","",IF(SUMPRODUCT((COLUMN($E$1164:$L$1164)-4&lt;=Materiales!$F$169)*$E$1164:$L$1164)&gt;0,"PEDIR YA (atrasado)","OK"))</f>
        <v/>
      </c>
    </row>
    <row r="1166" ht="6" customHeight="1"/>
    <row r="1167">
      <c r="A1167" s="62">
        <f>IF(Materiales!$A$170="","",Materiales!$A$170)</f>
        <v/>
      </c>
      <c r="B1167" s="62">
        <f>IF(Materiales!$B$170="","",Materiales!$B$170)</f>
        <v/>
      </c>
      <c r="C1167" s="63" t="inlineStr">
        <is>
          <t>Necesidad bruta</t>
        </is>
      </c>
      <c r="D1167" s="64" t="n"/>
      <c r="E1167" s="65">
        <f>ROUND(SUMIF(Consumo!$P$4:$P$189,"#"&amp;$A1167,Consumo!H$4:H$189),4)</f>
        <v/>
      </c>
      <c r="F1167" s="65">
        <f>ROUND(SUMIF(Consumo!$P$4:$P$189,"#"&amp;$A1167,Consumo!I$4:I$189),4)</f>
        <v/>
      </c>
      <c r="G1167" s="65">
        <f>ROUND(SUMIF(Consumo!$P$4:$P$189,"#"&amp;$A1167,Consumo!J$4:J$189),4)</f>
        <v/>
      </c>
      <c r="H1167" s="65">
        <f>ROUND(SUMIF(Consumo!$P$4:$P$189,"#"&amp;$A1167,Consumo!K$4:K$189),4)</f>
        <v/>
      </c>
      <c r="I1167" s="65">
        <f>ROUND(SUMIF(Consumo!$P$4:$P$189,"#"&amp;$A1167,Consumo!L$4:L$189),4)</f>
        <v/>
      </c>
      <c r="J1167" s="65">
        <f>ROUND(SUMIF(Consumo!$P$4:$P$189,"#"&amp;$A1167,Consumo!M$4:M$189),4)</f>
        <v/>
      </c>
      <c r="K1167" s="65">
        <f>ROUND(SUMIF(Consumo!$P$4:$P$189,"#"&amp;$A1167,Consumo!N$4:N$189),4)</f>
        <v/>
      </c>
      <c r="L1167" s="65">
        <f>ROUND(SUMIF(Consumo!$P$4:$P$189,"#"&amp;$A1167,Consumo!O$4:O$189),4)</f>
        <v/>
      </c>
      <c r="M1167" s="66" t="n"/>
    </row>
    <row r="1168">
      <c r="C1168" s="63" t="inlineStr">
        <is>
          <t>Recepciones programadas (ya pedido)</t>
        </is>
      </c>
      <c r="D1168" s="64" t="n"/>
      <c r="E1168" s="65">
        <f>SUMIF(Inventario!$M$5:$M$505,"#"&amp;$A1167,Inventario!E$5:E$505)</f>
        <v/>
      </c>
      <c r="F1168" s="65">
        <f>SUMIF(Inventario!$M$5:$M$505,"#"&amp;$A1167,Inventario!F$5:F$505)</f>
        <v/>
      </c>
      <c r="G1168" s="65">
        <f>SUMIF(Inventario!$M$5:$M$505,"#"&amp;$A1167,Inventario!G$5:G$505)</f>
        <v/>
      </c>
      <c r="H1168" s="65">
        <f>SUMIF(Inventario!$M$5:$M$505,"#"&amp;$A1167,Inventario!H$5:H$505)</f>
        <v/>
      </c>
      <c r="I1168" s="65">
        <f>SUMIF(Inventario!$M$5:$M$505,"#"&amp;$A1167,Inventario!I$5:I$505)</f>
        <v/>
      </c>
      <c r="J1168" s="65">
        <f>SUMIF(Inventario!$M$5:$M$505,"#"&amp;$A1167,Inventario!J$5:J$505)</f>
        <v/>
      </c>
      <c r="K1168" s="65">
        <f>SUMIF(Inventario!$M$5:$M$505,"#"&amp;$A1167,Inventario!K$5:K$505)</f>
        <v/>
      </c>
      <c r="L1168" s="65">
        <f>SUMIF(Inventario!$M$5:$M$505,"#"&amp;$A1167,Inventario!L$5:L$505)</f>
        <v/>
      </c>
      <c r="M1168" s="66" t="n"/>
    </row>
    <row r="1169">
      <c r="C1169" s="63" t="inlineStr">
        <is>
          <t>Stock proyectado disponible</t>
        </is>
      </c>
      <c r="D1169" s="67">
        <f>SUMIF(Inventario!$M$5:$M$505,"#"&amp;$A1167,Inventario!$C$5:$C$505)</f>
        <v/>
      </c>
      <c r="E1169" s="68">
        <f>D1169+E1168+E1171-E1167</f>
        <v/>
      </c>
      <c r="F1169" s="68">
        <f>E1169+F1168+F1171-F1167</f>
        <v/>
      </c>
      <c r="G1169" s="68">
        <f>F1169+G1168+G1171-G1167</f>
        <v/>
      </c>
      <c r="H1169" s="68">
        <f>G1169+H1168+H1171-H1167</f>
        <v/>
      </c>
      <c r="I1169" s="68">
        <f>H1169+I1168+I1171-I1167</f>
        <v/>
      </c>
      <c r="J1169" s="68">
        <f>I1169+J1168+J1171-J1167</f>
        <v/>
      </c>
      <c r="K1169" s="68">
        <f>J1169+K1168+K1171-K1167</f>
        <v/>
      </c>
      <c r="L1169" s="68">
        <f>K1169+L1168+L1171-L1167</f>
        <v/>
      </c>
      <c r="M1169" s="66" t="n"/>
    </row>
    <row r="1170">
      <c r="C1170" s="63" t="inlineStr">
        <is>
          <t>Necesidad neta</t>
        </is>
      </c>
      <c r="D1170" s="64" t="n"/>
      <c r="E1170" s="69">
        <f>MAX(0,ROUND(E1167+Materiales!$H$170-D1169-E1168,4))</f>
        <v/>
      </c>
      <c r="F1170" s="69">
        <f>MAX(0,ROUND(F1167+Materiales!$H$170-E1169-F1168,4))</f>
        <v/>
      </c>
      <c r="G1170" s="69">
        <f>MAX(0,ROUND(G1167+Materiales!$H$170-F1169-G1168,4))</f>
        <v/>
      </c>
      <c r="H1170" s="69">
        <f>MAX(0,ROUND(H1167+Materiales!$H$170-G1169-H1168,4))</f>
        <v/>
      </c>
      <c r="I1170" s="69">
        <f>MAX(0,ROUND(I1167+Materiales!$H$170-H1169-I1168,4))</f>
        <v/>
      </c>
      <c r="J1170" s="69">
        <f>MAX(0,ROUND(J1167+Materiales!$H$170-I1169-J1168,4))</f>
        <v/>
      </c>
      <c r="K1170" s="69">
        <f>MAX(0,ROUND(K1167+Materiales!$H$170-J1169-K1168,4))</f>
        <v/>
      </c>
      <c r="L1170" s="69">
        <f>MAX(0,ROUND(L1167+Materiales!$H$170-K1169-L1168,4))</f>
        <v/>
      </c>
      <c r="M1170" s="66" t="n"/>
    </row>
    <row r="1171">
      <c r="C1171" s="63" t="inlineStr">
        <is>
          <t>Recepcion de orden planificada</t>
        </is>
      </c>
      <c r="D1171" s="64" t="n"/>
      <c r="E1171" s="65">
        <f>IF(E1170&lt;=0,0,IF(Materiales!$G$170&lt;=0,E1170,ROUNDUP(E1170/Materiales!$G$170,0)*Materiales!$G$170))</f>
        <v/>
      </c>
      <c r="F1171" s="65">
        <f>IF(F1170&lt;=0,0,IF(Materiales!$G$170&lt;=0,F1170,ROUNDUP(F1170/Materiales!$G$170,0)*Materiales!$G$170))</f>
        <v/>
      </c>
      <c r="G1171" s="65">
        <f>IF(G1170&lt;=0,0,IF(Materiales!$G$170&lt;=0,G1170,ROUNDUP(G1170/Materiales!$G$170,0)*Materiales!$G$170))</f>
        <v/>
      </c>
      <c r="H1171" s="65">
        <f>IF(H1170&lt;=0,0,IF(Materiales!$G$170&lt;=0,H1170,ROUNDUP(H1170/Materiales!$G$170,0)*Materiales!$G$170))</f>
        <v/>
      </c>
      <c r="I1171" s="65">
        <f>IF(I1170&lt;=0,0,IF(Materiales!$G$170&lt;=0,I1170,ROUNDUP(I1170/Materiales!$G$170,0)*Materiales!$G$170))</f>
        <v/>
      </c>
      <c r="J1171" s="65">
        <f>IF(J1170&lt;=0,0,IF(Materiales!$G$170&lt;=0,J1170,ROUNDUP(J1170/Materiales!$G$170,0)*Materiales!$G$170))</f>
        <v/>
      </c>
      <c r="K1171" s="65">
        <f>IF(K1170&lt;=0,0,IF(Materiales!$G$170&lt;=0,K1170,ROUNDUP(K1170/Materiales!$G$170,0)*Materiales!$G$170))</f>
        <v/>
      </c>
      <c r="L1171" s="65">
        <f>IF(L1170&lt;=0,0,IF(Materiales!$G$170&lt;=0,L1170,ROUNDUP(L1170/Materiales!$G$170,0)*Materiales!$G$170))</f>
        <v/>
      </c>
      <c r="M1171" s="66" t="n"/>
    </row>
    <row r="1172">
      <c r="C1172" s="70" t="inlineStr">
        <is>
          <t>LANZAMIENTO DE ORDEN — pedir esta semana</t>
        </is>
      </c>
      <c r="D1172" s="64" t="n"/>
      <c r="E1172" s="71">
        <f>IF(1+Materiales!$F$170&gt;8,0,INDEX($E$1171:$L$1171,1,1+Materiales!$F$170))</f>
        <v/>
      </c>
      <c r="F1172" s="71">
        <f>IF(2+Materiales!$F$170&gt;8,0,INDEX($E$1171:$L$1171,1,2+Materiales!$F$170))</f>
        <v/>
      </c>
      <c r="G1172" s="71">
        <f>IF(3+Materiales!$F$170&gt;8,0,INDEX($E$1171:$L$1171,1,3+Materiales!$F$170))</f>
        <v/>
      </c>
      <c r="H1172" s="71">
        <f>IF(4+Materiales!$F$170&gt;8,0,INDEX($E$1171:$L$1171,1,4+Materiales!$F$170))</f>
        <v/>
      </c>
      <c r="I1172" s="71">
        <f>IF(5+Materiales!$F$170&gt;8,0,INDEX($E$1171:$L$1171,1,5+Materiales!$F$170))</f>
        <v/>
      </c>
      <c r="J1172" s="71">
        <f>IF(6+Materiales!$F$170&gt;8,0,INDEX($E$1171:$L$1171,1,6+Materiales!$F$170))</f>
        <v/>
      </c>
      <c r="K1172" s="71">
        <f>IF(7+Materiales!$F$170&gt;8,0,INDEX($E$1171:$L$1171,1,7+Materiales!$F$170))</f>
        <v/>
      </c>
      <c r="L1172" s="71">
        <f>IF(8+Materiales!$F$170&gt;8,0,INDEX($E$1171:$L$1171,1,8+Materiales!$F$170))</f>
        <v/>
      </c>
      <c r="M1172" s="72">
        <f>IF($A1167="","",IF(SUMPRODUCT((COLUMN($E$1171:$L$1171)-4&lt;=Materiales!$F$170)*$E$1171:$L$1171)&gt;0,"PEDIR YA (atrasado)","OK"))</f>
        <v/>
      </c>
    </row>
    <row r="1173" ht="6" customHeight="1"/>
    <row r="1174">
      <c r="A1174" s="62">
        <f>IF(Materiales!$A$171="","",Materiales!$A$171)</f>
        <v/>
      </c>
      <c r="B1174" s="62">
        <f>IF(Materiales!$B$171="","",Materiales!$B$171)</f>
        <v/>
      </c>
      <c r="C1174" s="63" t="inlineStr">
        <is>
          <t>Necesidad bruta</t>
        </is>
      </c>
      <c r="D1174" s="64" t="n"/>
      <c r="E1174" s="65">
        <f>ROUND(SUMIF(Consumo!$P$4:$P$189,"#"&amp;$A1174,Consumo!H$4:H$189),4)</f>
        <v/>
      </c>
      <c r="F1174" s="65">
        <f>ROUND(SUMIF(Consumo!$P$4:$P$189,"#"&amp;$A1174,Consumo!I$4:I$189),4)</f>
        <v/>
      </c>
      <c r="G1174" s="65">
        <f>ROUND(SUMIF(Consumo!$P$4:$P$189,"#"&amp;$A1174,Consumo!J$4:J$189),4)</f>
        <v/>
      </c>
      <c r="H1174" s="65">
        <f>ROUND(SUMIF(Consumo!$P$4:$P$189,"#"&amp;$A1174,Consumo!K$4:K$189),4)</f>
        <v/>
      </c>
      <c r="I1174" s="65">
        <f>ROUND(SUMIF(Consumo!$P$4:$P$189,"#"&amp;$A1174,Consumo!L$4:L$189),4)</f>
        <v/>
      </c>
      <c r="J1174" s="65">
        <f>ROUND(SUMIF(Consumo!$P$4:$P$189,"#"&amp;$A1174,Consumo!M$4:M$189),4)</f>
        <v/>
      </c>
      <c r="K1174" s="65">
        <f>ROUND(SUMIF(Consumo!$P$4:$P$189,"#"&amp;$A1174,Consumo!N$4:N$189),4)</f>
        <v/>
      </c>
      <c r="L1174" s="65">
        <f>ROUND(SUMIF(Consumo!$P$4:$P$189,"#"&amp;$A1174,Consumo!O$4:O$189),4)</f>
        <v/>
      </c>
      <c r="M1174" s="66" t="n"/>
    </row>
    <row r="1175">
      <c r="C1175" s="63" t="inlineStr">
        <is>
          <t>Recepciones programadas (ya pedido)</t>
        </is>
      </c>
      <c r="D1175" s="64" t="n"/>
      <c r="E1175" s="65">
        <f>SUMIF(Inventario!$M$5:$M$505,"#"&amp;$A1174,Inventario!E$5:E$505)</f>
        <v/>
      </c>
      <c r="F1175" s="65">
        <f>SUMIF(Inventario!$M$5:$M$505,"#"&amp;$A1174,Inventario!F$5:F$505)</f>
        <v/>
      </c>
      <c r="G1175" s="65">
        <f>SUMIF(Inventario!$M$5:$M$505,"#"&amp;$A1174,Inventario!G$5:G$505)</f>
        <v/>
      </c>
      <c r="H1175" s="65">
        <f>SUMIF(Inventario!$M$5:$M$505,"#"&amp;$A1174,Inventario!H$5:H$505)</f>
        <v/>
      </c>
      <c r="I1175" s="65">
        <f>SUMIF(Inventario!$M$5:$M$505,"#"&amp;$A1174,Inventario!I$5:I$505)</f>
        <v/>
      </c>
      <c r="J1175" s="65">
        <f>SUMIF(Inventario!$M$5:$M$505,"#"&amp;$A1174,Inventario!J$5:J$505)</f>
        <v/>
      </c>
      <c r="K1175" s="65">
        <f>SUMIF(Inventario!$M$5:$M$505,"#"&amp;$A1174,Inventario!K$5:K$505)</f>
        <v/>
      </c>
      <c r="L1175" s="65">
        <f>SUMIF(Inventario!$M$5:$M$505,"#"&amp;$A1174,Inventario!L$5:L$505)</f>
        <v/>
      </c>
      <c r="M1175" s="66" t="n"/>
    </row>
    <row r="1176">
      <c r="C1176" s="63" t="inlineStr">
        <is>
          <t>Stock proyectado disponible</t>
        </is>
      </c>
      <c r="D1176" s="67">
        <f>SUMIF(Inventario!$M$5:$M$505,"#"&amp;$A1174,Inventario!$C$5:$C$505)</f>
        <v/>
      </c>
      <c r="E1176" s="68">
        <f>D1176+E1175+E1178-E1174</f>
        <v/>
      </c>
      <c r="F1176" s="68">
        <f>E1176+F1175+F1178-F1174</f>
        <v/>
      </c>
      <c r="G1176" s="68">
        <f>F1176+G1175+G1178-G1174</f>
        <v/>
      </c>
      <c r="H1176" s="68">
        <f>G1176+H1175+H1178-H1174</f>
        <v/>
      </c>
      <c r="I1176" s="68">
        <f>H1176+I1175+I1178-I1174</f>
        <v/>
      </c>
      <c r="J1176" s="68">
        <f>I1176+J1175+J1178-J1174</f>
        <v/>
      </c>
      <c r="K1176" s="68">
        <f>J1176+K1175+K1178-K1174</f>
        <v/>
      </c>
      <c r="L1176" s="68">
        <f>K1176+L1175+L1178-L1174</f>
        <v/>
      </c>
      <c r="M1176" s="66" t="n"/>
    </row>
    <row r="1177">
      <c r="C1177" s="63" t="inlineStr">
        <is>
          <t>Necesidad neta</t>
        </is>
      </c>
      <c r="D1177" s="64" t="n"/>
      <c r="E1177" s="69">
        <f>MAX(0,ROUND(E1174+Materiales!$H$171-D1176-E1175,4))</f>
        <v/>
      </c>
      <c r="F1177" s="69">
        <f>MAX(0,ROUND(F1174+Materiales!$H$171-E1176-F1175,4))</f>
        <v/>
      </c>
      <c r="G1177" s="69">
        <f>MAX(0,ROUND(G1174+Materiales!$H$171-F1176-G1175,4))</f>
        <v/>
      </c>
      <c r="H1177" s="69">
        <f>MAX(0,ROUND(H1174+Materiales!$H$171-G1176-H1175,4))</f>
        <v/>
      </c>
      <c r="I1177" s="69">
        <f>MAX(0,ROUND(I1174+Materiales!$H$171-H1176-I1175,4))</f>
        <v/>
      </c>
      <c r="J1177" s="69">
        <f>MAX(0,ROUND(J1174+Materiales!$H$171-I1176-J1175,4))</f>
        <v/>
      </c>
      <c r="K1177" s="69">
        <f>MAX(0,ROUND(K1174+Materiales!$H$171-J1176-K1175,4))</f>
        <v/>
      </c>
      <c r="L1177" s="69">
        <f>MAX(0,ROUND(L1174+Materiales!$H$171-K1176-L1175,4))</f>
        <v/>
      </c>
      <c r="M1177" s="66" t="n"/>
    </row>
    <row r="1178">
      <c r="C1178" s="63" t="inlineStr">
        <is>
          <t>Recepcion de orden planificada</t>
        </is>
      </c>
      <c r="D1178" s="64" t="n"/>
      <c r="E1178" s="65">
        <f>IF(E1177&lt;=0,0,IF(Materiales!$G$171&lt;=0,E1177,ROUNDUP(E1177/Materiales!$G$171,0)*Materiales!$G$171))</f>
        <v/>
      </c>
      <c r="F1178" s="65">
        <f>IF(F1177&lt;=0,0,IF(Materiales!$G$171&lt;=0,F1177,ROUNDUP(F1177/Materiales!$G$171,0)*Materiales!$G$171))</f>
        <v/>
      </c>
      <c r="G1178" s="65">
        <f>IF(G1177&lt;=0,0,IF(Materiales!$G$171&lt;=0,G1177,ROUNDUP(G1177/Materiales!$G$171,0)*Materiales!$G$171))</f>
        <v/>
      </c>
      <c r="H1178" s="65">
        <f>IF(H1177&lt;=0,0,IF(Materiales!$G$171&lt;=0,H1177,ROUNDUP(H1177/Materiales!$G$171,0)*Materiales!$G$171))</f>
        <v/>
      </c>
      <c r="I1178" s="65">
        <f>IF(I1177&lt;=0,0,IF(Materiales!$G$171&lt;=0,I1177,ROUNDUP(I1177/Materiales!$G$171,0)*Materiales!$G$171))</f>
        <v/>
      </c>
      <c r="J1178" s="65">
        <f>IF(J1177&lt;=0,0,IF(Materiales!$G$171&lt;=0,J1177,ROUNDUP(J1177/Materiales!$G$171,0)*Materiales!$G$171))</f>
        <v/>
      </c>
      <c r="K1178" s="65">
        <f>IF(K1177&lt;=0,0,IF(Materiales!$G$171&lt;=0,K1177,ROUNDUP(K1177/Materiales!$G$171,0)*Materiales!$G$171))</f>
        <v/>
      </c>
      <c r="L1178" s="65">
        <f>IF(L1177&lt;=0,0,IF(Materiales!$G$171&lt;=0,L1177,ROUNDUP(L1177/Materiales!$G$171,0)*Materiales!$G$171))</f>
        <v/>
      </c>
      <c r="M1178" s="66" t="n"/>
    </row>
    <row r="1179">
      <c r="C1179" s="70" t="inlineStr">
        <is>
          <t>LANZAMIENTO DE ORDEN — pedir esta semana</t>
        </is>
      </c>
      <c r="D1179" s="64" t="n"/>
      <c r="E1179" s="71">
        <f>IF(1+Materiales!$F$171&gt;8,0,INDEX($E$1178:$L$1178,1,1+Materiales!$F$171))</f>
        <v/>
      </c>
      <c r="F1179" s="71">
        <f>IF(2+Materiales!$F$171&gt;8,0,INDEX($E$1178:$L$1178,1,2+Materiales!$F$171))</f>
        <v/>
      </c>
      <c r="G1179" s="71">
        <f>IF(3+Materiales!$F$171&gt;8,0,INDEX($E$1178:$L$1178,1,3+Materiales!$F$171))</f>
        <v/>
      </c>
      <c r="H1179" s="71">
        <f>IF(4+Materiales!$F$171&gt;8,0,INDEX($E$1178:$L$1178,1,4+Materiales!$F$171))</f>
        <v/>
      </c>
      <c r="I1179" s="71">
        <f>IF(5+Materiales!$F$171&gt;8,0,INDEX($E$1178:$L$1178,1,5+Materiales!$F$171))</f>
        <v/>
      </c>
      <c r="J1179" s="71">
        <f>IF(6+Materiales!$F$171&gt;8,0,INDEX($E$1178:$L$1178,1,6+Materiales!$F$171))</f>
        <v/>
      </c>
      <c r="K1179" s="71">
        <f>IF(7+Materiales!$F$171&gt;8,0,INDEX($E$1178:$L$1178,1,7+Materiales!$F$171))</f>
        <v/>
      </c>
      <c r="L1179" s="71">
        <f>IF(8+Materiales!$F$171&gt;8,0,INDEX($E$1178:$L$1178,1,8+Materiales!$F$171))</f>
        <v/>
      </c>
      <c r="M1179" s="72">
        <f>IF($A1174="","",IF(SUMPRODUCT((COLUMN($E$1178:$L$1178)-4&lt;=Materiales!$F$171)*$E$1178:$L$1178)&gt;0,"PEDIR YA (atrasado)","OK"))</f>
        <v/>
      </c>
    </row>
    <row r="1180" ht="6" customHeight="1"/>
    <row r="1181">
      <c r="A1181" s="62">
        <f>IF(Materiales!$A$172="","",Materiales!$A$172)</f>
        <v/>
      </c>
      <c r="B1181" s="62">
        <f>IF(Materiales!$B$172="","",Materiales!$B$172)</f>
        <v/>
      </c>
      <c r="C1181" s="63" t="inlineStr">
        <is>
          <t>Necesidad bruta</t>
        </is>
      </c>
      <c r="D1181" s="64" t="n"/>
      <c r="E1181" s="65">
        <f>ROUND(SUMIF(Consumo!$P$4:$P$189,"#"&amp;$A1181,Consumo!H$4:H$189),4)</f>
        <v/>
      </c>
      <c r="F1181" s="65">
        <f>ROUND(SUMIF(Consumo!$P$4:$P$189,"#"&amp;$A1181,Consumo!I$4:I$189),4)</f>
        <v/>
      </c>
      <c r="G1181" s="65">
        <f>ROUND(SUMIF(Consumo!$P$4:$P$189,"#"&amp;$A1181,Consumo!J$4:J$189),4)</f>
        <v/>
      </c>
      <c r="H1181" s="65">
        <f>ROUND(SUMIF(Consumo!$P$4:$P$189,"#"&amp;$A1181,Consumo!K$4:K$189),4)</f>
        <v/>
      </c>
      <c r="I1181" s="65">
        <f>ROUND(SUMIF(Consumo!$P$4:$P$189,"#"&amp;$A1181,Consumo!L$4:L$189),4)</f>
        <v/>
      </c>
      <c r="J1181" s="65">
        <f>ROUND(SUMIF(Consumo!$P$4:$P$189,"#"&amp;$A1181,Consumo!M$4:M$189),4)</f>
        <v/>
      </c>
      <c r="K1181" s="65">
        <f>ROUND(SUMIF(Consumo!$P$4:$P$189,"#"&amp;$A1181,Consumo!N$4:N$189),4)</f>
        <v/>
      </c>
      <c r="L1181" s="65">
        <f>ROUND(SUMIF(Consumo!$P$4:$P$189,"#"&amp;$A1181,Consumo!O$4:O$189),4)</f>
        <v/>
      </c>
      <c r="M1181" s="66" t="n"/>
    </row>
    <row r="1182">
      <c r="C1182" s="63" t="inlineStr">
        <is>
          <t>Recepciones programadas (ya pedido)</t>
        </is>
      </c>
      <c r="D1182" s="64" t="n"/>
      <c r="E1182" s="65">
        <f>SUMIF(Inventario!$M$5:$M$505,"#"&amp;$A1181,Inventario!E$5:E$505)</f>
        <v/>
      </c>
      <c r="F1182" s="65">
        <f>SUMIF(Inventario!$M$5:$M$505,"#"&amp;$A1181,Inventario!F$5:F$505)</f>
        <v/>
      </c>
      <c r="G1182" s="65">
        <f>SUMIF(Inventario!$M$5:$M$505,"#"&amp;$A1181,Inventario!G$5:G$505)</f>
        <v/>
      </c>
      <c r="H1182" s="65">
        <f>SUMIF(Inventario!$M$5:$M$505,"#"&amp;$A1181,Inventario!H$5:H$505)</f>
        <v/>
      </c>
      <c r="I1182" s="65">
        <f>SUMIF(Inventario!$M$5:$M$505,"#"&amp;$A1181,Inventario!I$5:I$505)</f>
        <v/>
      </c>
      <c r="J1182" s="65">
        <f>SUMIF(Inventario!$M$5:$M$505,"#"&amp;$A1181,Inventario!J$5:J$505)</f>
        <v/>
      </c>
      <c r="K1182" s="65">
        <f>SUMIF(Inventario!$M$5:$M$505,"#"&amp;$A1181,Inventario!K$5:K$505)</f>
        <v/>
      </c>
      <c r="L1182" s="65">
        <f>SUMIF(Inventario!$M$5:$M$505,"#"&amp;$A1181,Inventario!L$5:L$505)</f>
        <v/>
      </c>
      <c r="M1182" s="66" t="n"/>
    </row>
    <row r="1183">
      <c r="C1183" s="63" t="inlineStr">
        <is>
          <t>Stock proyectado disponible</t>
        </is>
      </c>
      <c r="D1183" s="67">
        <f>SUMIF(Inventario!$M$5:$M$505,"#"&amp;$A1181,Inventario!$C$5:$C$505)</f>
        <v/>
      </c>
      <c r="E1183" s="68">
        <f>D1183+E1182+E1185-E1181</f>
        <v/>
      </c>
      <c r="F1183" s="68">
        <f>E1183+F1182+F1185-F1181</f>
        <v/>
      </c>
      <c r="G1183" s="68">
        <f>F1183+G1182+G1185-G1181</f>
        <v/>
      </c>
      <c r="H1183" s="68">
        <f>G1183+H1182+H1185-H1181</f>
        <v/>
      </c>
      <c r="I1183" s="68">
        <f>H1183+I1182+I1185-I1181</f>
        <v/>
      </c>
      <c r="J1183" s="68">
        <f>I1183+J1182+J1185-J1181</f>
        <v/>
      </c>
      <c r="K1183" s="68">
        <f>J1183+K1182+K1185-K1181</f>
        <v/>
      </c>
      <c r="L1183" s="68">
        <f>K1183+L1182+L1185-L1181</f>
        <v/>
      </c>
      <c r="M1183" s="66" t="n"/>
    </row>
    <row r="1184">
      <c r="C1184" s="63" t="inlineStr">
        <is>
          <t>Necesidad neta</t>
        </is>
      </c>
      <c r="D1184" s="64" t="n"/>
      <c r="E1184" s="69">
        <f>MAX(0,ROUND(E1181+Materiales!$H$172-D1183-E1182,4))</f>
        <v/>
      </c>
      <c r="F1184" s="69">
        <f>MAX(0,ROUND(F1181+Materiales!$H$172-E1183-F1182,4))</f>
        <v/>
      </c>
      <c r="G1184" s="69">
        <f>MAX(0,ROUND(G1181+Materiales!$H$172-F1183-G1182,4))</f>
        <v/>
      </c>
      <c r="H1184" s="69">
        <f>MAX(0,ROUND(H1181+Materiales!$H$172-G1183-H1182,4))</f>
        <v/>
      </c>
      <c r="I1184" s="69">
        <f>MAX(0,ROUND(I1181+Materiales!$H$172-H1183-I1182,4))</f>
        <v/>
      </c>
      <c r="J1184" s="69">
        <f>MAX(0,ROUND(J1181+Materiales!$H$172-I1183-J1182,4))</f>
        <v/>
      </c>
      <c r="K1184" s="69">
        <f>MAX(0,ROUND(K1181+Materiales!$H$172-J1183-K1182,4))</f>
        <v/>
      </c>
      <c r="L1184" s="69">
        <f>MAX(0,ROUND(L1181+Materiales!$H$172-K1183-L1182,4))</f>
        <v/>
      </c>
      <c r="M1184" s="66" t="n"/>
    </row>
    <row r="1185">
      <c r="C1185" s="63" t="inlineStr">
        <is>
          <t>Recepcion de orden planificada</t>
        </is>
      </c>
      <c r="D1185" s="64" t="n"/>
      <c r="E1185" s="65">
        <f>IF(E1184&lt;=0,0,IF(Materiales!$G$172&lt;=0,E1184,ROUNDUP(E1184/Materiales!$G$172,0)*Materiales!$G$172))</f>
        <v/>
      </c>
      <c r="F1185" s="65">
        <f>IF(F1184&lt;=0,0,IF(Materiales!$G$172&lt;=0,F1184,ROUNDUP(F1184/Materiales!$G$172,0)*Materiales!$G$172))</f>
        <v/>
      </c>
      <c r="G1185" s="65">
        <f>IF(G1184&lt;=0,0,IF(Materiales!$G$172&lt;=0,G1184,ROUNDUP(G1184/Materiales!$G$172,0)*Materiales!$G$172))</f>
        <v/>
      </c>
      <c r="H1185" s="65">
        <f>IF(H1184&lt;=0,0,IF(Materiales!$G$172&lt;=0,H1184,ROUNDUP(H1184/Materiales!$G$172,0)*Materiales!$G$172))</f>
        <v/>
      </c>
      <c r="I1185" s="65">
        <f>IF(I1184&lt;=0,0,IF(Materiales!$G$172&lt;=0,I1184,ROUNDUP(I1184/Materiales!$G$172,0)*Materiales!$G$172))</f>
        <v/>
      </c>
      <c r="J1185" s="65">
        <f>IF(J1184&lt;=0,0,IF(Materiales!$G$172&lt;=0,J1184,ROUNDUP(J1184/Materiales!$G$172,0)*Materiales!$G$172))</f>
        <v/>
      </c>
      <c r="K1185" s="65">
        <f>IF(K1184&lt;=0,0,IF(Materiales!$G$172&lt;=0,K1184,ROUNDUP(K1184/Materiales!$G$172,0)*Materiales!$G$172))</f>
        <v/>
      </c>
      <c r="L1185" s="65">
        <f>IF(L1184&lt;=0,0,IF(Materiales!$G$172&lt;=0,L1184,ROUNDUP(L1184/Materiales!$G$172,0)*Materiales!$G$172))</f>
        <v/>
      </c>
      <c r="M1185" s="66" t="n"/>
    </row>
    <row r="1186">
      <c r="C1186" s="70" t="inlineStr">
        <is>
          <t>LANZAMIENTO DE ORDEN — pedir esta semana</t>
        </is>
      </c>
      <c r="D1186" s="64" t="n"/>
      <c r="E1186" s="71">
        <f>IF(1+Materiales!$F$172&gt;8,0,INDEX($E$1185:$L$1185,1,1+Materiales!$F$172))</f>
        <v/>
      </c>
      <c r="F1186" s="71">
        <f>IF(2+Materiales!$F$172&gt;8,0,INDEX($E$1185:$L$1185,1,2+Materiales!$F$172))</f>
        <v/>
      </c>
      <c r="G1186" s="71">
        <f>IF(3+Materiales!$F$172&gt;8,0,INDEX($E$1185:$L$1185,1,3+Materiales!$F$172))</f>
        <v/>
      </c>
      <c r="H1186" s="71">
        <f>IF(4+Materiales!$F$172&gt;8,0,INDEX($E$1185:$L$1185,1,4+Materiales!$F$172))</f>
        <v/>
      </c>
      <c r="I1186" s="71">
        <f>IF(5+Materiales!$F$172&gt;8,0,INDEX($E$1185:$L$1185,1,5+Materiales!$F$172))</f>
        <v/>
      </c>
      <c r="J1186" s="71">
        <f>IF(6+Materiales!$F$172&gt;8,0,INDEX($E$1185:$L$1185,1,6+Materiales!$F$172))</f>
        <v/>
      </c>
      <c r="K1186" s="71">
        <f>IF(7+Materiales!$F$172&gt;8,0,INDEX($E$1185:$L$1185,1,7+Materiales!$F$172))</f>
        <v/>
      </c>
      <c r="L1186" s="71">
        <f>IF(8+Materiales!$F$172&gt;8,0,INDEX($E$1185:$L$1185,1,8+Materiales!$F$172))</f>
        <v/>
      </c>
      <c r="M1186" s="72">
        <f>IF($A1181="","",IF(SUMPRODUCT((COLUMN($E$1185:$L$1185)-4&lt;=Materiales!$F$172)*$E$1185:$L$1185)&gt;0,"PEDIR YA (atrasado)","OK"))</f>
        <v/>
      </c>
    </row>
    <row r="1187" ht="6" customHeight="1"/>
    <row r="1188">
      <c r="A1188" s="62">
        <f>IF(Materiales!$A$173="","",Materiales!$A$173)</f>
        <v/>
      </c>
      <c r="B1188" s="62">
        <f>IF(Materiales!$B$173="","",Materiales!$B$173)</f>
        <v/>
      </c>
      <c r="C1188" s="63" t="inlineStr">
        <is>
          <t>Necesidad bruta</t>
        </is>
      </c>
      <c r="D1188" s="64" t="n"/>
      <c r="E1188" s="65">
        <f>ROUND(SUMIF(Consumo!$P$4:$P$189,"#"&amp;$A1188,Consumo!H$4:H$189),4)</f>
        <v/>
      </c>
      <c r="F1188" s="65">
        <f>ROUND(SUMIF(Consumo!$P$4:$P$189,"#"&amp;$A1188,Consumo!I$4:I$189),4)</f>
        <v/>
      </c>
      <c r="G1188" s="65">
        <f>ROUND(SUMIF(Consumo!$P$4:$P$189,"#"&amp;$A1188,Consumo!J$4:J$189),4)</f>
        <v/>
      </c>
      <c r="H1188" s="65">
        <f>ROUND(SUMIF(Consumo!$P$4:$P$189,"#"&amp;$A1188,Consumo!K$4:K$189),4)</f>
        <v/>
      </c>
      <c r="I1188" s="65">
        <f>ROUND(SUMIF(Consumo!$P$4:$P$189,"#"&amp;$A1188,Consumo!L$4:L$189),4)</f>
        <v/>
      </c>
      <c r="J1188" s="65">
        <f>ROUND(SUMIF(Consumo!$P$4:$P$189,"#"&amp;$A1188,Consumo!M$4:M$189),4)</f>
        <v/>
      </c>
      <c r="K1188" s="65">
        <f>ROUND(SUMIF(Consumo!$P$4:$P$189,"#"&amp;$A1188,Consumo!N$4:N$189),4)</f>
        <v/>
      </c>
      <c r="L1188" s="65">
        <f>ROUND(SUMIF(Consumo!$P$4:$P$189,"#"&amp;$A1188,Consumo!O$4:O$189),4)</f>
        <v/>
      </c>
      <c r="M1188" s="66" t="n"/>
    </row>
    <row r="1189">
      <c r="C1189" s="63" t="inlineStr">
        <is>
          <t>Recepciones programadas (ya pedido)</t>
        </is>
      </c>
      <c r="D1189" s="64" t="n"/>
      <c r="E1189" s="65">
        <f>SUMIF(Inventario!$M$5:$M$505,"#"&amp;$A1188,Inventario!E$5:E$505)</f>
        <v/>
      </c>
      <c r="F1189" s="65">
        <f>SUMIF(Inventario!$M$5:$M$505,"#"&amp;$A1188,Inventario!F$5:F$505)</f>
        <v/>
      </c>
      <c r="G1189" s="65">
        <f>SUMIF(Inventario!$M$5:$M$505,"#"&amp;$A1188,Inventario!G$5:G$505)</f>
        <v/>
      </c>
      <c r="H1189" s="65">
        <f>SUMIF(Inventario!$M$5:$M$505,"#"&amp;$A1188,Inventario!H$5:H$505)</f>
        <v/>
      </c>
      <c r="I1189" s="65">
        <f>SUMIF(Inventario!$M$5:$M$505,"#"&amp;$A1188,Inventario!I$5:I$505)</f>
        <v/>
      </c>
      <c r="J1189" s="65">
        <f>SUMIF(Inventario!$M$5:$M$505,"#"&amp;$A1188,Inventario!J$5:J$505)</f>
        <v/>
      </c>
      <c r="K1189" s="65">
        <f>SUMIF(Inventario!$M$5:$M$505,"#"&amp;$A1188,Inventario!K$5:K$505)</f>
        <v/>
      </c>
      <c r="L1189" s="65">
        <f>SUMIF(Inventario!$M$5:$M$505,"#"&amp;$A1188,Inventario!L$5:L$505)</f>
        <v/>
      </c>
      <c r="M1189" s="66" t="n"/>
    </row>
    <row r="1190">
      <c r="C1190" s="63" t="inlineStr">
        <is>
          <t>Stock proyectado disponible</t>
        </is>
      </c>
      <c r="D1190" s="67">
        <f>SUMIF(Inventario!$M$5:$M$505,"#"&amp;$A1188,Inventario!$C$5:$C$505)</f>
        <v/>
      </c>
      <c r="E1190" s="68">
        <f>D1190+E1189+E1192-E1188</f>
        <v/>
      </c>
      <c r="F1190" s="68">
        <f>E1190+F1189+F1192-F1188</f>
        <v/>
      </c>
      <c r="G1190" s="68">
        <f>F1190+G1189+G1192-G1188</f>
        <v/>
      </c>
      <c r="H1190" s="68">
        <f>G1190+H1189+H1192-H1188</f>
        <v/>
      </c>
      <c r="I1190" s="68">
        <f>H1190+I1189+I1192-I1188</f>
        <v/>
      </c>
      <c r="J1190" s="68">
        <f>I1190+J1189+J1192-J1188</f>
        <v/>
      </c>
      <c r="K1190" s="68">
        <f>J1190+K1189+K1192-K1188</f>
        <v/>
      </c>
      <c r="L1190" s="68">
        <f>K1190+L1189+L1192-L1188</f>
        <v/>
      </c>
      <c r="M1190" s="66" t="n"/>
    </row>
    <row r="1191">
      <c r="C1191" s="63" t="inlineStr">
        <is>
          <t>Necesidad neta</t>
        </is>
      </c>
      <c r="D1191" s="64" t="n"/>
      <c r="E1191" s="69">
        <f>MAX(0,ROUND(E1188+Materiales!$H$173-D1190-E1189,4))</f>
        <v/>
      </c>
      <c r="F1191" s="69">
        <f>MAX(0,ROUND(F1188+Materiales!$H$173-E1190-F1189,4))</f>
        <v/>
      </c>
      <c r="G1191" s="69">
        <f>MAX(0,ROUND(G1188+Materiales!$H$173-F1190-G1189,4))</f>
        <v/>
      </c>
      <c r="H1191" s="69">
        <f>MAX(0,ROUND(H1188+Materiales!$H$173-G1190-H1189,4))</f>
        <v/>
      </c>
      <c r="I1191" s="69">
        <f>MAX(0,ROUND(I1188+Materiales!$H$173-H1190-I1189,4))</f>
        <v/>
      </c>
      <c r="J1191" s="69">
        <f>MAX(0,ROUND(J1188+Materiales!$H$173-I1190-J1189,4))</f>
        <v/>
      </c>
      <c r="K1191" s="69">
        <f>MAX(0,ROUND(K1188+Materiales!$H$173-J1190-K1189,4))</f>
        <v/>
      </c>
      <c r="L1191" s="69">
        <f>MAX(0,ROUND(L1188+Materiales!$H$173-K1190-L1189,4))</f>
        <v/>
      </c>
      <c r="M1191" s="66" t="n"/>
    </row>
    <row r="1192">
      <c r="C1192" s="63" t="inlineStr">
        <is>
          <t>Recepcion de orden planificada</t>
        </is>
      </c>
      <c r="D1192" s="64" t="n"/>
      <c r="E1192" s="65">
        <f>IF(E1191&lt;=0,0,IF(Materiales!$G$173&lt;=0,E1191,ROUNDUP(E1191/Materiales!$G$173,0)*Materiales!$G$173))</f>
        <v/>
      </c>
      <c r="F1192" s="65">
        <f>IF(F1191&lt;=0,0,IF(Materiales!$G$173&lt;=0,F1191,ROUNDUP(F1191/Materiales!$G$173,0)*Materiales!$G$173))</f>
        <v/>
      </c>
      <c r="G1192" s="65">
        <f>IF(G1191&lt;=0,0,IF(Materiales!$G$173&lt;=0,G1191,ROUNDUP(G1191/Materiales!$G$173,0)*Materiales!$G$173))</f>
        <v/>
      </c>
      <c r="H1192" s="65">
        <f>IF(H1191&lt;=0,0,IF(Materiales!$G$173&lt;=0,H1191,ROUNDUP(H1191/Materiales!$G$173,0)*Materiales!$G$173))</f>
        <v/>
      </c>
      <c r="I1192" s="65">
        <f>IF(I1191&lt;=0,0,IF(Materiales!$G$173&lt;=0,I1191,ROUNDUP(I1191/Materiales!$G$173,0)*Materiales!$G$173))</f>
        <v/>
      </c>
      <c r="J1192" s="65">
        <f>IF(J1191&lt;=0,0,IF(Materiales!$G$173&lt;=0,J1191,ROUNDUP(J1191/Materiales!$G$173,0)*Materiales!$G$173))</f>
        <v/>
      </c>
      <c r="K1192" s="65">
        <f>IF(K1191&lt;=0,0,IF(Materiales!$G$173&lt;=0,K1191,ROUNDUP(K1191/Materiales!$G$173,0)*Materiales!$G$173))</f>
        <v/>
      </c>
      <c r="L1192" s="65">
        <f>IF(L1191&lt;=0,0,IF(Materiales!$G$173&lt;=0,L1191,ROUNDUP(L1191/Materiales!$G$173,0)*Materiales!$G$173))</f>
        <v/>
      </c>
      <c r="M1192" s="66" t="n"/>
    </row>
    <row r="1193">
      <c r="C1193" s="70" t="inlineStr">
        <is>
          <t>LANZAMIENTO DE ORDEN — pedir esta semana</t>
        </is>
      </c>
      <c r="D1193" s="64" t="n"/>
      <c r="E1193" s="71">
        <f>IF(1+Materiales!$F$173&gt;8,0,INDEX($E$1192:$L$1192,1,1+Materiales!$F$173))</f>
        <v/>
      </c>
      <c r="F1193" s="71">
        <f>IF(2+Materiales!$F$173&gt;8,0,INDEX($E$1192:$L$1192,1,2+Materiales!$F$173))</f>
        <v/>
      </c>
      <c r="G1193" s="71">
        <f>IF(3+Materiales!$F$173&gt;8,0,INDEX($E$1192:$L$1192,1,3+Materiales!$F$173))</f>
        <v/>
      </c>
      <c r="H1193" s="71">
        <f>IF(4+Materiales!$F$173&gt;8,0,INDEX($E$1192:$L$1192,1,4+Materiales!$F$173))</f>
        <v/>
      </c>
      <c r="I1193" s="71">
        <f>IF(5+Materiales!$F$173&gt;8,0,INDEX($E$1192:$L$1192,1,5+Materiales!$F$173))</f>
        <v/>
      </c>
      <c r="J1193" s="71">
        <f>IF(6+Materiales!$F$173&gt;8,0,INDEX($E$1192:$L$1192,1,6+Materiales!$F$173))</f>
        <v/>
      </c>
      <c r="K1193" s="71">
        <f>IF(7+Materiales!$F$173&gt;8,0,INDEX($E$1192:$L$1192,1,7+Materiales!$F$173))</f>
        <v/>
      </c>
      <c r="L1193" s="71">
        <f>IF(8+Materiales!$F$173&gt;8,0,INDEX($E$1192:$L$1192,1,8+Materiales!$F$173))</f>
        <v/>
      </c>
      <c r="M1193" s="72">
        <f>IF($A1188="","",IF(SUMPRODUCT((COLUMN($E$1192:$L$1192)-4&lt;=Materiales!$F$173)*$E$1192:$L$1192)&gt;0,"PEDIR YA (atrasado)","OK"))</f>
        <v/>
      </c>
    </row>
    <row r="1194" ht="6" customHeight="1"/>
    <row r="1195">
      <c r="A1195" s="62">
        <f>IF(Materiales!$A$174="","",Materiales!$A$174)</f>
        <v/>
      </c>
      <c r="B1195" s="62">
        <f>IF(Materiales!$B$174="","",Materiales!$B$174)</f>
        <v/>
      </c>
      <c r="C1195" s="63" t="inlineStr">
        <is>
          <t>Necesidad bruta</t>
        </is>
      </c>
      <c r="D1195" s="64" t="n"/>
      <c r="E1195" s="65">
        <f>ROUND(SUMIF(Consumo!$P$4:$P$189,"#"&amp;$A1195,Consumo!H$4:H$189),4)</f>
        <v/>
      </c>
      <c r="F1195" s="65">
        <f>ROUND(SUMIF(Consumo!$P$4:$P$189,"#"&amp;$A1195,Consumo!I$4:I$189),4)</f>
        <v/>
      </c>
      <c r="G1195" s="65">
        <f>ROUND(SUMIF(Consumo!$P$4:$P$189,"#"&amp;$A1195,Consumo!J$4:J$189),4)</f>
        <v/>
      </c>
      <c r="H1195" s="65">
        <f>ROUND(SUMIF(Consumo!$P$4:$P$189,"#"&amp;$A1195,Consumo!K$4:K$189),4)</f>
        <v/>
      </c>
      <c r="I1195" s="65">
        <f>ROUND(SUMIF(Consumo!$P$4:$P$189,"#"&amp;$A1195,Consumo!L$4:L$189),4)</f>
        <v/>
      </c>
      <c r="J1195" s="65">
        <f>ROUND(SUMIF(Consumo!$P$4:$P$189,"#"&amp;$A1195,Consumo!M$4:M$189),4)</f>
        <v/>
      </c>
      <c r="K1195" s="65">
        <f>ROUND(SUMIF(Consumo!$P$4:$P$189,"#"&amp;$A1195,Consumo!N$4:N$189),4)</f>
        <v/>
      </c>
      <c r="L1195" s="65">
        <f>ROUND(SUMIF(Consumo!$P$4:$P$189,"#"&amp;$A1195,Consumo!O$4:O$189),4)</f>
        <v/>
      </c>
      <c r="M1195" s="66" t="n"/>
    </row>
    <row r="1196">
      <c r="C1196" s="63" t="inlineStr">
        <is>
          <t>Recepciones programadas (ya pedido)</t>
        </is>
      </c>
      <c r="D1196" s="64" t="n"/>
      <c r="E1196" s="65">
        <f>SUMIF(Inventario!$M$5:$M$505,"#"&amp;$A1195,Inventario!E$5:E$505)</f>
        <v/>
      </c>
      <c r="F1196" s="65">
        <f>SUMIF(Inventario!$M$5:$M$505,"#"&amp;$A1195,Inventario!F$5:F$505)</f>
        <v/>
      </c>
      <c r="G1196" s="65">
        <f>SUMIF(Inventario!$M$5:$M$505,"#"&amp;$A1195,Inventario!G$5:G$505)</f>
        <v/>
      </c>
      <c r="H1196" s="65">
        <f>SUMIF(Inventario!$M$5:$M$505,"#"&amp;$A1195,Inventario!H$5:H$505)</f>
        <v/>
      </c>
      <c r="I1196" s="65">
        <f>SUMIF(Inventario!$M$5:$M$505,"#"&amp;$A1195,Inventario!I$5:I$505)</f>
        <v/>
      </c>
      <c r="J1196" s="65">
        <f>SUMIF(Inventario!$M$5:$M$505,"#"&amp;$A1195,Inventario!J$5:J$505)</f>
        <v/>
      </c>
      <c r="K1196" s="65">
        <f>SUMIF(Inventario!$M$5:$M$505,"#"&amp;$A1195,Inventario!K$5:K$505)</f>
        <v/>
      </c>
      <c r="L1196" s="65">
        <f>SUMIF(Inventario!$M$5:$M$505,"#"&amp;$A1195,Inventario!L$5:L$505)</f>
        <v/>
      </c>
      <c r="M1196" s="66" t="n"/>
    </row>
    <row r="1197">
      <c r="C1197" s="63" t="inlineStr">
        <is>
          <t>Stock proyectado disponible</t>
        </is>
      </c>
      <c r="D1197" s="67">
        <f>SUMIF(Inventario!$M$5:$M$505,"#"&amp;$A1195,Inventario!$C$5:$C$505)</f>
        <v/>
      </c>
      <c r="E1197" s="68">
        <f>D1197+E1196+E1199-E1195</f>
        <v/>
      </c>
      <c r="F1197" s="68">
        <f>E1197+F1196+F1199-F1195</f>
        <v/>
      </c>
      <c r="G1197" s="68">
        <f>F1197+G1196+G1199-G1195</f>
        <v/>
      </c>
      <c r="H1197" s="68">
        <f>G1197+H1196+H1199-H1195</f>
        <v/>
      </c>
      <c r="I1197" s="68">
        <f>H1197+I1196+I1199-I1195</f>
        <v/>
      </c>
      <c r="J1197" s="68">
        <f>I1197+J1196+J1199-J1195</f>
        <v/>
      </c>
      <c r="K1197" s="68">
        <f>J1197+K1196+K1199-K1195</f>
        <v/>
      </c>
      <c r="L1197" s="68">
        <f>K1197+L1196+L1199-L1195</f>
        <v/>
      </c>
      <c r="M1197" s="66" t="n"/>
    </row>
    <row r="1198">
      <c r="C1198" s="63" t="inlineStr">
        <is>
          <t>Necesidad neta</t>
        </is>
      </c>
      <c r="D1198" s="64" t="n"/>
      <c r="E1198" s="69">
        <f>MAX(0,ROUND(E1195+Materiales!$H$174-D1197-E1196,4))</f>
        <v/>
      </c>
      <c r="F1198" s="69">
        <f>MAX(0,ROUND(F1195+Materiales!$H$174-E1197-F1196,4))</f>
        <v/>
      </c>
      <c r="G1198" s="69">
        <f>MAX(0,ROUND(G1195+Materiales!$H$174-F1197-G1196,4))</f>
        <v/>
      </c>
      <c r="H1198" s="69">
        <f>MAX(0,ROUND(H1195+Materiales!$H$174-G1197-H1196,4))</f>
        <v/>
      </c>
      <c r="I1198" s="69">
        <f>MAX(0,ROUND(I1195+Materiales!$H$174-H1197-I1196,4))</f>
        <v/>
      </c>
      <c r="J1198" s="69">
        <f>MAX(0,ROUND(J1195+Materiales!$H$174-I1197-J1196,4))</f>
        <v/>
      </c>
      <c r="K1198" s="69">
        <f>MAX(0,ROUND(K1195+Materiales!$H$174-J1197-K1196,4))</f>
        <v/>
      </c>
      <c r="L1198" s="69">
        <f>MAX(0,ROUND(L1195+Materiales!$H$174-K1197-L1196,4))</f>
        <v/>
      </c>
      <c r="M1198" s="66" t="n"/>
    </row>
    <row r="1199">
      <c r="C1199" s="63" t="inlineStr">
        <is>
          <t>Recepcion de orden planificada</t>
        </is>
      </c>
      <c r="D1199" s="64" t="n"/>
      <c r="E1199" s="65">
        <f>IF(E1198&lt;=0,0,IF(Materiales!$G$174&lt;=0,E1198,ROUNDUP(E1198/Materiales!$G$174,0)*Materiales!$G$174))</f>
        <v/>
      </c>
      <c r="F1199" s="65">
        <f>IF(F1198&lt;=0,0,IF(Materiales!$G$174&lt;=0,F1198,ROUNDUP(F1198/Materiales!$G$174,0)*Materiales!$G$174))</f>
        <v/>
      </c>
      <c r="G1199" s="65">
        <f>IF(G1198&lt;=0,0,IF(Materiales!$G$174&lt;=0,G1198,ROUNDUP(G1198/Materiales!$G$174,0)*Materiales!$G$174))</f>
        <v/>
      </c>
      <c r="H1199" s="65">
        <f>IF(H1198&lt;=0,0,IF(Materiales!$G$174&lt;=0,H1198,ROUNDUP(H1198/Materiales!$G$174,0)*Materiales!$G$174))</f>
        <v/>
      </c>
      <c r="I1199" s="65">
        <f>IF(I1198&lt;=0,0,IF(Materiales!$G$174&lt;=0,I1198,ROUNDUP(I1198/Materiales!$G$174,0)*Materiales!$G$174))</f>
        <v/>
      </c>
      <c r="J1199" s="65">
        <f>IF(J1198&lt;=0,0,IF(Materiales!$G$174&lt;=0,J1198,ROUNDUP(J1198/Materiales!$G$174,0)*Materiales!$G$174))</f>
        <v/>
      </c>
      <c r="K1199" s="65">
        <f>IF(K1198&lt;=0,0,IF(Materiales!$G$174&lt;=0,K1198,ROUNDUP(K1198/Materiales!$G$174,0)*Materiales!$G$174))</f>
        <v/>
      </c>
      <c r="L1199" s="65">
        <f>IF(L1198&lt;=0,0,IF(Materiales!$G$174&lt;=0,L1198,ROUNDUP(L1198/Materiales!$G$174,0)*Materiales!$G$174))</f>
        <v/>
      </c>
      <c r="M1199" s="66" t="n"/>
    </row>
    <row r="1200">
      <c r="C1200" s="70" t="inlineStr">
        <is>
          <t>LANZAMIENTO DE ORDEN — pedir esta semana</t>
        </is>
      </c>
      <c r="D1200" s="64" t="n"/>
      <c r="E1200" s="71">
        <f>IF(1+Materiales!$F$174&gt;8,0,INDEX($E$1199:$L$1199,1,1+Materiales!$F$174))</f>
        <v/>
      </c>
      <c r="F1200" s="71">
        <f>IF(2+Materiales!$F$174&gt;8,0,INDEX($E$1199:$L$1199,1,2+Materiales!$F$174))</f>
        <v/>
      </c>
      <c r="G1200" s="71">
        <f>IF(3+Materiales!$F$174&gt;8,0,INDEX($E$1199:$L$1199,1,3+Materiales!$F$174))</f>
        <v/>
      </c>
      <c r="H1200" s="71">
        <f>IF(4+Materiales!$F$174&gt;8,0,INDEX($E$1199:$L$1199,1,4+Materiales!$F$174))</f>
        <v/>
      </c>
      <c r="I1200" s="71">
        <f>IF(5+Materiales!$F$174&gt;8,0,INDEX($E$1199:$L$1199,1,5+Materiales!$F$174))</f>
        <v/>
      </c>
      <c r="J1200" s="71">
        <f>IF(6+Materiales!$F$174&gt;8,0,INDEX($E$1199:$L$1199,1,6+Materiales!$F$174))</f>
        <v/>
      </c>
      <c r="K1200" s="71">
        <f>IF(7+Materiales!$F$174&gt;8,0,INDEX($E$1199:$L$1199,1,7+Materiales!$F$174))</f>
        <v/>
      </c>
      <c r="L1200" s="71">
        <f>IF(8+Materiales!$F$174&gt;8,0,INDEX($E$1199:$L$1199,1,8+Materiales!$F$174))</f>
        <v/>
      </c>
      <c r="M1200" s="72">
        <f>IF($A1195="","",IF(SUMPRODUCT((COLUMN($E$1199:$L$1199)-4&lt;=Materiales!$F$174)*$E$1199:$L$1199)&gt;0,"PEDIR YA (atrasado)","OK"))</f>
        <v/>
      </c>
    </row>
    <row r="1201" ht="6" customHeight="1"/>
    <row r="1202">
      <c r="A1202" s="62">
        <f>IF(Materiales!$A$175="","",Materiales!$A$175)</f>
        <v/>
      </c>
      <c r="B1202" s="62">
        <f>IF(Materiales!$B$175="","",Materiales!$B$175)</f>
        <v/>
      </c>
      <c r="C1202" s="63" t="inlineStr">
        <is>
          <t>Necesidad bruta</t>
        </is>
      </c>
      <c r="D1202" s="64" t="n"/>
      <c r="E1202" s="65">
        <f>ROUND(SUMIF(Consumo!$P$4:$P$189,"#"&amp;$A1202,Consumo!H$4:H$189),4)</f>
        <v/>
      </c>
      <c r="F1202" s="65">
        <f>ROUND(SUMIF(Consumo!$P$4:$P$189,"#"&amp;$A1202,Consumo!I$4:I$189),4)</f>
        <v/>
      </c>
      <c r="G1202" s="65">
        <f>ROUND(SUMIF(Consumo!$P$4:$P$189,"#"&amp;$A1202,Consumo!J$4:J$189),4)</f>
        <v/>
      </c>
      <c r="H1202" s="65">
        <f>ROUND(SUMIF(Consumo!$P$4:$P$189,"#"&amp;$A1202,Consumo!K$4:K$189),4)</f>
        <v/>
      </c>
      <c r="I1202" s="65">
        <f>ROUND(SUMIF(Consumo!$P$4:$P$189,"#"&amp;$A1202,Consumo!L$4:L$189),4)</f>
        <v/>
      </c>
      <c r="J1202" s="65">
        <f>ROUND(SUMIF(Consumo!$P$4:$P$189,"#"&amp;$A1202,Consumo!M$4:M$189),4)</f>
        <v/>
      </c>
      <c r="K1202" s="65">
        <f>ROUND(SUMIF(Consumo!$P$4:$P$189,"#"&amp;$A1202,Consumo!N$4:N$189),4)</f>
        <v/>
      </c>
      <c r="L1202" s="65">
        <f>ROUND(SUMIF(Consumo!$P$4:$P$189,"#"&amp;$A1202,Consumo!O$4:O$189),4)</f>
        <v/>
      </c>
      <c r="M1202" s="66" t="n"/>
    </row>
    <row r="1203">
      <c r="C1203" s="63" t="inlineStr">
        <is>
          <t>Recepciones programadas (ya pedido)</t>
        </is>
      </c>
      <c r="D1203" s="64" t="n"/>
      <c r="E1203" s="65">
        <f>SUMIF(Inventario!$M$5:$M$505,"#"&amp;$A1202,Inventario!E$5:E$505)</f>
        <v/>
      </c>
      <c r="F1203" s="65">
        <f>SUMIF(Inventario!$M$5:$M$505,"#"&amp;$A1202,Inventario!F$5:F$505)</f>
        <v/>
      </c>
      <c r="G1203" s="65">
        <f>SUMIF(Inventario!$M$5:$M$505,"#"&amp;$A1202,Inventario!G$5:G$505)</f>
        <v/>
      </c>
      <c r="H1203" s="65">
        <f>SUMIF(Inventario!$M$5:$M$505,"#"&amp;$A1202,Inventario!H$5:H$505)</f>
        <v/>
      </c>
      <c r="I1203" s="65">
        <f>SUMIF(Inventario!$M$5:$M$505,"#"&amp;$A1202,Inventario!I$5:I$505)</f>
        <v/>
      </c>
      <c r="J1203" s="65">
        <f>SUMIF(Inventario!$M$5:$M$505,"#"&amp;$A1202,Inventario!J$5:J$505)</f>
        <v/>
      </c>
      <c r="K1203" s="65">
        <f>SUMIF(Inventario!$M$5:$M$505,"#"&amp;$A1202,Inventario!K$5:K$505)</f>
        <v/>
      </c>
      <c r="L1203" s="65">
        <f>SUMIF(Inventario!$M$5:$M$505,"#"&amp;$A1202,Inventario!L$5:L$505)</f>
        <v/>
      </c>
      <c r="M1203" s="66" t="n"/>
    </row>
    <row r="1204">
      <c r="C1204" s="63" t="inlineStr">
        <is>
          <t>Stock proyectado disponible</t>
        </is>
      </c>
      <c r="D1204" s="67">
        <f>SUMIF(Inventario!$M$5:$M$505,"#"&amp;$A1202,Inventario!$C$5:$C$505)</f>
        <v/>
      </c>
      <c r="E1204" s="68">
        <f>D1204+E1203+E1206-E1202</f>
        <v/>
      </c>
      <c r="F1204" s="68">
        <f>E1204+F1203+F1206-F1202</f>
        <v/>
      </c>
      <c r="G1204" s="68">
        <f>F1204+G1203+G1206-G1202</f>
        <v/>
      </c>
      <c r="H1204" s="68">
        <f>G1204+H1203+H1206-H1202</f>
        <v/>
      </c>
      <c r="I1204" s="68">
        <f>H1204+I1203+I1206-I1202</f>
        <v/>
      </c>
      <c r="J1204" s="68">
        <f>I1204+J1203+J1206-J1202</f>
        <v/>
      </c>
      <c r="K1204" s="68">
        <f>J1204+K1203+K1206-K1202</f>
        <v/>
      </c>
      <c r="L1204" s="68">
        <f>K1204+L1203+L1206-L1202</f>
        <v/>
      </c>
      <c r="M1204" s="66" t="n"/>
    </row>
    <row r="1205">
      <c r="C1205" s="63" t="inlineStr">
        <is>
          <t>Necesidad neta</t>
        </is>
      </c>
      <c r="D1205" s="64" t="n"/>
      <c r="E1205" s="69">
        <f>MAX(0,ROUND(E1202+Materiales!$H$175-D1204-E1203,4))</f>
        <v/>
      </c>
      <c r="F1205" s="69">
        <f>MAX(0,ROUND(F1202+Materiales!$H$175-E1204-F1203,4))</f>
        <v/>
      </c>
      <c r="G1205" s="69">
        <f>MAX(0,ROUND(G1202+Materiales!$H$175-F1204-G1203,4))</f>
        <v/>
      </c>
      <c r="H1205" s="69">
        <f>MAX(0,ROUND(H1202+Materiales!$H$175-G1204-H1203,4))</f>
        <v/>
      </c>
      <c r="I1205" s="69">
        <f>MAX(0,ROUND(I1202+Materiales!$H$175-H1204-I1203,4))</f>
        <v/>
      </c>
      <c r="J1205" s="69">
        <f>MAX(0,ROUND(J1202+Materiales!$H$175-I1204-J1203,4))</f>
        <v/>
      </c>
      <c r="K1205" s="69">
        <f>MAX(0,ROUND(K1202+Materiales!$H$175-J1204-K1203,4))</f>
        <v/>
      </c>
      <c r="L1205" s="69">
        <f>MAX(0,ROUND(L1202+Materiales!$H$175-K1204-L1203,4))</f>
        <v/>
      </c>
      <c r="M1205" s="66" t="n"/>
    </row>
    <row r="1206">
      <c r="C1206" s="63" t="inlineStr">
        <is>
          <t>Recepcion de orden planificada</t>
        </is>
      </c>
      <c r="D1206" s="64" t="n"/>
      <c r="E1206" s="65">
        <f>IF(E1205&lt;=0,0,IF(Materiales!$G$175&lt;=0,E1205,ROUNDUP(E1205/Materiales!$G$175,0)*Materiales!$G$175))</f>
        <v/>
      </c>
      <c r="F1206" s="65">
        <f>IF(F1205&lt;=0,0,IF(Materiales!$G$175&lt;=0,F1205,ROUNDUP(F1205/Materiales!$G$175,0)*Materiales!$G$175))</f>
        <v/>
      </c>
      <c r="G1206" s="65">
        <f>IF(G1205&lt;=0,0,IF(Materiales!$G$175&lt;=0,G1205,ROUNDUP(G1205/Materiales!$G$175,0)*Materiales!$G$175))</f>
        <v/>
      </c>
      <c r="H1206" s="65">
        <f>IF(H1205&lt;=0,0,IF(Materiales!$G$175&lt;=0,H1205,ROUNDUP(H1205/Materiales!$G$175,0)*Materiales!$G$175))</f>
        <v/>
      </c>
      <c r="I1206" s="65">
        <f>IF(I1205&lt;=0,0,IF(Materiales!$G$175&lt;=0,I1205,ROUNDUP(I1205/Materiales!$G$175,0)*Materiales!$G$175))</f>
        <v/>
      </c>
      <c r="J1206" s="65">
        <f>IF(J1205&lt;=0,0,IF(Materiales!$G$175&lt;=0,J1205,ROUNDUP(J1205/Materiales!$G$175,0)*Materiales!$G$175))</f>
        <v/>
      </c>
      <c r="K1206" s="65">
        <f>IF(K1205&lt;=0,0,IF(Materiales!$G$175&lt;=0,K1205,ROUNDUP(K1205/Materiales!$G$175,0)*Materiales!$G$175))</f>
        <v/>
      </c>
      <c r="L1206" s="65">
        <f>IF(L1205&lt;=0,0,IF(Materiales!$G$175&lt;=0,L1205,ROUNDUP(L1205/Materiales!$G$175,0)*Materiales!$G$175))</f>
        <v/>
      </c>
      <c r="M1206" s="66" t="n"/>
    </row>
    <row r="1207">
      <c r="C1207" s="70" t="inlineStr">
        <is>
          <t>LANZAMIENTO DE ORDEN — pedir esta semana</t>
        </is>
      </c>
      <c r="D1207" s="64" t="n"/>
      <c r="E1207" s="71">
        <f>IF(1+Materiales!$F$175&gt;8,0,INDEX($E$1206:$L$1206,1,1+Materiales!$F$175))</f>
        <v/>
      </c>
      <c r="F1207" s="71">
        <f>IF(2+Materiales!$F$175&gt;8,0,INDEX($E$1206:$L$1206,1,2+Materiales!$F$175))</f>
        <v/>
      </c>
      <c r="G1207" s="71">
        <f>IF(3+Materiales!$F$175&gt;8,0,INDEX($E$1206:$L$1206,1,3+Materiales!$F$175))</f>
        <v/>
      </c>
      <c r="H1207" s="71">
        <f>IF(4+Materiales!$F$175&gt;8,0,INDEX($E$1206:$L$1206,1,4+Materiales!$F$175))</f>
        <v/>
      </c>
      <c r="I1207" s="71">
        <f>IF(5+Materiales!$F$175&gt;8,0,INDEX($E$1206:$L$1206,1,5+Materiales!$F$175))</f>
        <v/>
      </c>
      <c r="J1207" s="71">
        <f>IF(6+Materiales!$F$175&gt;8,0,INDEX($E$1206:$L$1206,1,6+Materiales!$F$175))</f>
        <v/>
      </c>
      <c r="K1207" s="71">
        <f>IF(7+Materiales!$F$175&gt;8,0,INDEX($E$1206:$L$1206,1,7+Materiales!$F$175))</f>
        <v/>
      </c>
      <c r="L1207" s="71">
        <f>IF(8+Materiales!$F$175&gt;8,0,INDEX($E$1206:$L$1206,1,8+Materiales!$F$175))</f>
        <v/>
      </c>
      <c r="M1207" s="72">
        <f>IF($A1202="","",IF(SUMPRODUCT((COLUMN($E$1206:$L$1206)-4&lt;=Materiales!$F$175)*$E$1206:$L$1206)&gt;0,"PEDIR YA (atrasado)","OK"))</f>
        <v/>
      </c>
    </row>
    <row r="1208" ht="6" customHeight="1"/>
    <row r="1209">
      <c r="A1209" s="62">
        <f>IF(Materiales!$A$176="","",Materiales!$A$176)</f>
        <v/>
      </c>
      <c r="B1209" s="62">
        <f>IF(Materiales!$B$176="","",Materiales!$B$176)</f>
        <v/>
      </c>
      <c r="C1209" s="63" t="inlineStr">
        <is>
          <t>Necesidad bruta</t>
        </is>
      </c>
      <c r="D1209" s="64" t="n"/>
      <c r="E1209" s="65">
        <f>ROUND(SUMIF(Consumo!$P$4:$P$189,"#"&amp;$A1209,Consumo!H$4:H$189),4)</f>
        <v/>
      </c>
      <c r="F1209" s="65">
        <f>ROUND(SUMIF(Consumo!$P$4:$P$189,"#"&amp;$A1209,Consumo!I$4:I$189),4)</f>
        <v/>
      </c>
      <c r="G1209" s="65">
        <f>ROUND(SUMIF(Consumo!$P$4:$P$189,"#"&amp;$A1209,Consumo!J$4:J$189),4)</f>
        <v/>
      </c>
      <c r="H1209" s="65">
        <f>ROUND(SUMIF(Consumo!$P$4:$P$189,"#"&amp;$A1209,Consumo!K$4:K$189),4)</f>
        <v/>
      </c>
      <c r="I1209" s="65">
        <f>ROUND(SUMIF(Consumo!$P$4:$P$189,"#"&amp;$A1209,Consumo!L$4:L$189),4)</f>
        <v/>
      </c>
      <c r="J1209" s="65">
        <f>ROUND(SUMIF(Consumo!$P$4:$P$189,"#"&amp;$A1209,Consumo!M$4:M$189),4)</f>
        <v/>
      </c>
      <c r="K1209" s="65">
        <f>ROUND(SUMIF(Consumo!$P$4:$P$189,"#"&amp;$A1209,Consumo!N$4:N$189),4)</f>
        <v/>
      </c>
      <c r="L1209" s="65">
        <f>ROUND(SUMIF(Consumo!$P$4:$P$189,"#"&amp;$A1209,Consumo!O$4:O$189),4)</f>
        <v/>
      </c>
      <c r="M1209" s="66" t="n"/>
    </row>
    <row r="1210">
      <c r="C1210" s="63" t="inlineStr">
        <is>
          <t>Recepciones programadas (ya pedido)</t>
        </is>
      </c>
      <c r="D1210" s="64" t="n"/>
      <c r="E1210" s="65">
        <f>SUMIF(Inventario!$M$5:$M$505,"#"&amp;$A1209,Inventario!E$5:E$505)</f>
        <v/>
      </c>
      <c r="F1210" s="65">
        <f>SUMIF(Inventario!$M$5:$M$505,"#"&amp;$A1209,Inventario!F$5:F$505)</f>
        <v/>
      </c>
      <c r="G1210" s="65">
        <f>SUMIF(Inventario!$M$5:$M$505,"#"&amp;$A1209,Inventario!G$5:G$505)</f>
        <v/>
      </c>
      <c r="H1210" s="65">
        <f>SUMIF(Inventario!$M$5:$M$505,"#"&amp;$A1209,Inventario!H$5:H$505)</f>
        <v/>
      </c>
      <c r="I1210" s="65">
        <f>SUMIF(Inventario!$M$5:$M$505,"#"&amp;$A1209,Inventario!I$5:I$505)</f>
        <v/>
      </c>
      <c r="J1210" s="65">
        <f>SUMIF(Inventario!$M$5:$M$505,"#"&amp;$A1209,Inventario!J$5:J$505)</f>
        <v/>
      </c>
      <c r="K1210" s="65">
        <f>SUMIF(Inventario!$M$5:$M$505,"#"&amp;$A1209,Inventario!K$5:K$505)</f>
        <v/>
      </c>
      <c r="L1210" s="65">
        <f>SUMIF(Inventario!$M$5:$M$505,"#"&amp;$A1209,Inventario!L$5:L$505)</f>
        <v/>
      </c>
      <c r="M1210" s="66" t="n"/>
    </row>
    <row r="1211">
      <c r="C1211" s="63" t="inlineStr">
        <is>
          <t>Stock proyectado disponible</t>
        </is>
      </c>
      <c r="D1211" s="67">
        <f>SUMIF(Inventario!$M$5:$M$505,"#"&amp;$A1209,Inventario!$C$5:$C$505)</f>
        <v/>
      </c>
      <c r="E1211" s="68">
        <f>D1211+E1210+E1213-E1209</f>
        <v/>
      </c>
      <c r="F1211" s="68">
        <f>E1211+F1210+F1213-F1209</f>
        <v/>
      </c>
      <c r="G1211" s="68">
        <f>F1211+G1210+G1213-G1209</f>
        <v/>
      </c>
      <c r="H1211" s="68">
        <f>G1211+H1210+H1213-H1209</f>
        <v/>
      </c>
      <c r="I1211" s="68">
        <f>H1211+I1210+I1213-I1209</f>
        <v/>
      </c>
      <c r="J1211" s="68">
        <f>I1211+J1210+J1213-J1209</f>
        <v/>
      </c>
      <c r="K1211" s="68">
        <f>J1211+K1210+K1213-K1209</f>
        <v/>
      </c>
      <c r="L1211" s="68">
        <f>K1211+L1210+L1213-L1209</f>
        <v/>
      </c>
      <c r="M1211" s="66" t="n"/>
    </row>
    <row r="1212">
      <c r="C1212" s="63" t="inlineStr">
        <is>
          <t>Necesidad neta</t>
        </is>
      </c>
      <c r="D1212" s="64" t="n"/>
      <c r="E1212" s="69">
        <f>MAX(0,ROUND(E1209+Materiales!$H$176-D1211-E1210,4))</f>
        <v/>
      </c>
      <c r="F1212" s="69">
        <f>MAX(0,ROUND(F1209+Materiales!$H$176-E1211-F1210,4))</f>
        <v/>
      </c>
      <c r="G1212" s="69">
        <f>MAX(0,ROUND(G1209+Materiales!$H$176-F1211-G1210,4))</f>
        <v/>
      </c>
      <c r="H1212" s="69">
        <f>MAX(0,ROUND(H1209+Materiales!$H$176-G1211-H1210,4))</f>
        <v/>
      </c>
      <c r="I1212" s="69">
        <f>MAX(0,ROUND(I1209+Materiales!$H$176-H1211-I1210,4))</f>
        <v/>
      </c>
      <c r="J1212" s="69">
        <f>MAX(0,ROUND(J1209+Materiales!$H$176-I1211-J1210,4))</f>
        <v/>
      </c>
      <c r="K1212" s="69">
        <f>MAX(0,ROUND(K1209+Materiales!$H$176-J1211-K1210,4))</f>
        <v/>
      </c>
      <c r="L1212" s="69">
        <f>MAX(0,ROUND(L1209+Materiales!$H$176-K1211-L1210,4))</f>
        <v/>
      </c>
      <c r="M1212" s="66" t="n"/>
    </row>
    <row r="1213">
      <c r="C1213" s="63" t="inlineStr">
        <is>
          <t>Recepcion de orden planificada</t>
        </is>
      </c>
      <c r="D1213" s="64" t="n"/>
      <c r="E1213" s="65">
        <f>IF(E1212&lt;=0,0,IF(Materiales!$G$176&lt;=0,E1212,ROUNDUP(E1212/Materiales!$G$176,0)*Materiales!$G$176))</f>
        <v/>
      </c>
      <c r="F1213" s="65">
        <f>IF(F1212&lt;=0,0,IF(Materiales!$G$176&lt;=0,F1212,ROUNDUP(F1212/Materiales!$G$176,0)*Materiales!$G$176))</f>
        <v/>
      </c>
      <c r="G1213" s="65">
        <f>IF(G1212&lt;=0,0,IF(Materiales!$G$176&lt;=0,G1212,ROUNDUP(G1212/Materiales!$G$176,0)*Materiales!$G$176))</f>
        <v/>
      </c>
      <c r="H1213" s="65">
        <f>IF(H1212&lt;=0,0,IF(Materiales!$G$176&lt;=0,H1212,ROUNDUP(H1212/Materiales!$G$176,0)*Materiales!$G$176))</f>
        <v/>
      </c>
      <c r="I1213" s="65">
        <f>IF(I1212&lt;=0,0,IF(Materiales!$G$176&lt;=0,I1212,ROUNDUP(I1212/Materiales!$G$176,0)*Materiales!$G$176))</f>
        <v/>
      </c>
      <c r="J1213" s="65">
        <f>IF(J1212&lt;=0,0,IF(Materiales!$G$176&lt;=0,J1212,ROUNDUP(J1212/Materiales!$G$176,0)*Materiales!$G$176))</f>
        <v/>
      </c>
      <c r="K1213" s="65">
        <f>IF(K1212&lt;=0,0,IF(Materiales!$G$176&lt;=0,K1212,ROUNDUP(K1212/Materiales!$G$176,0)*Materiales!$G$176))</f>
        <v/>
      </c>
      <c r="L1213" s="65">
        <f>IF(L1212&lt;=0,0,IF(Materiales!$G$176&lt;=0,L1212,ROUNDUP(L1212/Materiales!$G$176,0)*Materiales!$G$176))</f>
        <v/>
      </c>
      <c r="M1213" s="66" t="n"/>
    </row>
    <row r="1214">
      <c r="C1214" s="70" t="inlineStr">
        <is>
          <t>LANZAMIENTO DE ORDEN — pedir esta semana</t>
        </is>
      </c>
      <c r="D1214" s="64" t="n"/>
      <c r="E1214" s="71">
        <f>IF(1+Materiales!$F$176&gt;8,0,INDEX($E$1213:$L$1213,1,1+Materiales!$F$176))</f>
        <v/>
      </c>
      <c r="F1214" s="71">
        <f>IF(2+Materiales!$F$176&gt;8,0,INDEX($E$1213:$L$1213,1,2+Materiales!$F$176))</f>
        <v/>
      </c>
      <c r="G1214" s="71">
        <f>IF(3+Materiales!$F$176&gt;8,0,INDEX($E$1213:$L$1213,1,3+Materiales!$F$176))</f>
        <v/>
      </c>
      <c r="H1214" s="71">
        <f>IF(4+Materiales!$F$176&gt;8,0,INDEX($E$1213:$L$1213,1,4+Materiales!$F$176))</f>
        <v/>
      </c>
      <c r="I1214" s="71">
        <f>IF(5+Materiales!$F$176&gt;8,0,INDEX($E$1213:$L$1213,1,5+Materiales!$F$176))</f>
        <v/>
      </c>
      <c r="J1214" s="71">
        <f>IF(6+Materiales!$F$176&gt;8,0,INDEX($E$1213:$L$1213,1,6+Materiales!$F$176))</f>
        <v/>
      </c>
      <c r="K1214" s="71">
        <f>IF(7+Materiales!$F$176&gt;8,0,INDEX($E$1213:$L$1213,1,7+Materiales!$F$176))</f>
        <v/>
      </c>
      <c r="L1214" s="71">
        <f>IF(8+Materiales!$F$176&gt;8,0,INDEX($E$1213:$L$1213,1,8+Materiales!$F$176))</f>
        <v/>
      </c>
      <c r="M1214" s="72">
        <f>IF($A1209="","",IF(SUMPRODUCT((COLUMN($E$1213:$L$1213)-4&lt;=Materiales!$F$176)*$E$1213:$L$1213)&gt;0,"PEDIR YA (atrasado)","OK"))</f>
        <v/>
      </c>
    </row>
    <row r="1215" ht="6" customHeight="1"/>
    <row r="1216">
      <c r="A1216" s="62">
        <f>IF(Materiales!$A$177="","",Materiales!$A$177)</f>
        <v/>
      </c>
      <c r="B1216" s="62">
        <f>IF(Materiales!$B$177="","",Materiales!$B$177)</f>
        <v/>
      </c>
      <c r="C1216" s="63" t="inlineStr">
        <is>
          <t>Necesidad bruta</t>
        </is>
      </c>
      <c r="D1216" s="64" t="n"/>
      <c r="E1216" s="65">
        <f>ROUND(SUMIF(Consumo!$P$4:$P$189,"#"&amp;$A1216,Consumo!H$4:H$189),4)</f>
        <v/>
      </c>
      <c r="F1216" s="65">
        <f>ROUND(SUMIF(Consumo!$P$4:$P$189,"#"&amp;$A1216,Consumo!I$4:I$189),4)</f>
        <v/>
      </c>
      <c r="G1216" s="65">
        <f>ROUND(SUMIF(Consumo!$P$4:$P$189,"#"&amp;$A1216,Consumo!J$4:J$189),4)</f>
        <v/>
      </c>
      <c r="H1216" s="65">
        <f>ROUND(SUMIF(Consumo!$P$4:$P$189,"#"&amp;$A1216,Consumo!K$4:K$189),4)</f>
        <v/>
      </c>
      <c r="I1216" s="65">
        <f>ROUND(SUMIF(Consumo!$P$4:$P$189,"#"&amp;$A1216,Consumo!L$4:L$189),4)</f>
        <v/>
      </c>
      <c r="J1216" s="65">
        <f>ROUND(SUMIF(Consumo!$P$4:$P$189,"#"&amp;$A1216,Consumo!M$4:M$189),4)</f>
        <v/>
      </c>
      <c r="K1216" s="65">
        <f>ROUND(SUMIF(Consumo!$P$4:$P$189,"#"&amp;$A1216,Consumo!N$4:N$189),4)</f>
        <v/>
      </c>
      <c r="L1216" s="65">
        <f>ROUND(SUMIF(Consumo!$P$4:$P$189,"#"&amp;$A1216,Consumo!O$4:O$189),4)</f>
        <v/>
      </c>
      <c r="M1216" s="66" t="n"/>
    </row>
    <row r="1217">
      <c r="C1217" s="63" t="inlineStr">
        <is>
          <t>Recepciones programadas (ya pedido)</t>
        </is>
      </c>
      <c r="D1217" s="64" t="n"/>
      <c r="E1217" s="65">
        <f>SUMIF(Inventario!$M$5:$M$505,"#"&amp;$A1216,Inventario!E$5:E$505)</f>
        <v/>
      </c>
      <c r="F1217" s="65">
        <f>SUMIF(Inventario!$M$5:$M$505,"#"&amp;$A1216,Inventario!F$5:F$505)</f>
        <v/>
      </c>
      <c r="G1217" s="65">
        <f>SUMIF(Inventario!$M$5:$M$505,"#"&amp;$A1216,Inventario!G$5:G$505)</f>
        <v/>
      </c>
      <c r="H1217" s="65">
        <f>SUMIF(Inventario!$M$5:$M$505,"#"&amp;$A1216,Inventario!H$5:H$505)</f>
        <v/>
      </c>
      <c r="I1217" s="65">
        <f>SUMIF(Inventario!$M$5:$M$505,"#"&amp;$A1216,Inventario!I$5:I$505)</f>
        <v/>
      </c>
      <c r="J1217" s="65">
        <f>SUMIF(Inventario!$M$5:$M$505,"#"&amp;$A1216,Inventario!J$5:J$505)</f>
        <v/>
      </c>
      <c r="K1217" s="65">
        <f>SUMIF(Inventario!$M$5:$M$505,"#"&amp;$A1216,Inventario!K$5:K$505)</f>
        <v/>
      </c>
      <c r="L1217" s="65">
        <f>SUMIF(Inventario!$M$5:$M$505,"#"&amp;$A1216,Inventario!L$5:L$505)</f>
        <v/>
      </c>
      <c r="M1217" s="66" t="n"/>
    </row>
    <row r="1218">
      <c r="C1218" s="63" t="inlineStr">
        <is>
          <t>Stock proyectado disponible</t>
        </is>
      </c>
      <c r="D1218" s="67">
        <f>SUMIF(Inventario!$M$5:$M$505,"#"&amp;$A1216,Inventario!$C$5:$C$505)</f>
        <v/>
      </c>
      <c r="E1218" s="68">
        <f>D1218+E1217+E1220-E1216</f>
        <v/>
      </c>
      <c r="F1218" s="68">
        <f>E1218+F1217+F1220-F1216</f>
        <v/>
      </c>
      <c r="G1218" s="68">
        <f>F1218+G1217+G1220-G1216</f>
        <v/>
      </c>
      <c r="H1218" s="68">
        <f>G1218+H1217+H1220-H1216</f>
        <v/>
      </c>
      <c r="I1218" s="68">
        <f>H1218+I1217+I1220-I1216</f>
        <v/>
      </c>
      <c r="J1218" s="68">
        <f>I1218+J1217+J1220-J1216</f>
        <v/>
      </c>
      <c r="K1218" s="68">
        <f>J1218+K1217+K1220-K1216</f>
        <v/>
      </c>
      <c r="L1218" s="68">
        <f>K1218+L1217+L1220-L1216</f>
        <v/>
      </c>
      <c r="M1218" s="66" t="n"/>
    </row>
    <row r="1219">
      <c r="C1219" s="63" t="inlineStr">
        <is>
          <t>Necesidad neta</t>
        </is>
      </c>
      <c r="D1219" s="64" t="n"/>
      <c r="E1219" s="69">
        <f>MAX(0,ROUND(E1216+Materiales!$H$177-D1218-E1217,4))</f>
        <v/>
      </c>
      <c r="F1219" s="69">
        <f>MAX(0,ROUND(F1216+Materiales!$H$177-E1218-F1217,4))</f>
        <v/>
      </c>
      <c r="G1219" s="69">
        <f>MAX(0,ROUND(G1216+Materiales!$H$177-F1218-G1217,4))</f>
        <v/>
      </c>
      <c r="H1219" s="69">
        <f>MAX(0,ROUND(H1216+Materiales!$H$177-G1218-H1217,4))</f>
        <v/>
      </c>
      <c r="I1219" s="69">
        <f>MAX(0,ROUND(I1216+Materiales!$H$177-H1218-I1217,4))</f>
        <v/>
      </c>
      <c r="J1219" s="69">
        <f>MAX(0,ROUND(J1216+Materiales!$H$177-I1218-J1217,4))</f>
        <v/>
      </c>
      <c r="K1219" s="69">
        <f>MAX(0,ROUND(K1216+Materiales!$H$177-J1218-K1217,4))</f>
        <v/>
      </c>
      <c r="L1219" s="69">
        <f>MAX(0,ROUND(L1216+Materiales!$H$177-K1218-L1217,4))</f>
        <v/>
      </c>
      <c r="M1219" s="66" t="n"/>
    </row>
    <row r="1220">
      <c r="C1220" s="63" t="inlineStr">
        <is>
          <t>Recepcion de orden planificada</t>
        </is>
      </c>
      <c r="D1220" s="64" t="n"/>
      <c r="E1220" s="65">
        <f>IF(E1219&lt;=0,0,IF(Materiales!$G$177&lt;=0,E1219,ROUNDUP(E1219/Materiales!$G$177,0)*Materiales!$G$177))</f>
        <v/>
      </c>
      <c r="F1220" s="65">
        <f>IF(F1219&lt;=0,0,IF(Materiales!$G$177&lt;=0,F1219,ROUNDUP(F1219/Materiales!$G$177,0)*Materiales!$G$177))</f>
        <v/>
      </c>
      <c r="G1220" s="65">
        <f>IF(G1219&lt;=0,0,IF(Materiales!$G$177&lt;=0,G1219,ROUNDUP(G1219/Materiales!$G$177,0)*Materiales!$G$177))</f>
        <v/>
      </c>
      <c r="H1220" s="65">
        <f>IF(H1219&lt;=0,0,IF(Materiales!$G$177&lt;=0,H1219,ROUNDUP(H1219/Materiales!$G$177,0)*Materiales!$G$177))</f>
        <v/>
      </c>
      <c r="I1220" s="65">
        <f>IF(I1219&lt;=0,0,IF(Materiales!$G$177&lt;=0,I1219,ROUNDUP(I1219/Materiales!$G$177,0)*Materiales!$G$177))</f>
        <v/>
      </c>
      <c r="J1220" s="65">
        <f>IF(J1219&lt;=0,0,IF(Materiales!$G$177&lt;=0,J1219,ROUNDUP(J1219/Materiales!$G$177,0)*Materiales!$G$177))</f>
        <v/>
      </c>
      <c r="K1220" s="65">
        <f>IF(K1219&lt;=0,0,IF(Materiales!$G$177&lt;=0,K1219,ROUNDUP(K1219/Materiales!$G$177,0)*Materiales!$G$177))</f>
        <v/>
      </c>
      <c r="L1220" s="65">
        <f>IF(L1219&lt;=0,0,IF(Materiales!$G$177&lt;=0,L1219,ROUNDUP(L1219/Materiales!$G$177,0)*Materiales!$G$177))</f>
        <v/>
      </c>
      <c r="M1220" s="66" t="n"/>
    </row>
    <row r="1221">
      <c r="C1221" s="70" t="inlineStr">
        <is>
          <t>LANZAMIENTO DE ORDEN — pedir esta semana</t>
        </is>
      </c>
      <c r="D1221" s="64" t="n"/>
      <c r="E1221" s="71">
        <f>IF(1+Materiales!$F$177&gt;8,0,INDEX($E$1220:$L$1220,1,1+Materiales!$F$177))</f>
        <v/>
      </c>
      <c r="F1221" s="71">
        <f>IF(2+Materiales!$F$177&gt;8,0,INDEX($E$1220:$L$1220,1,2+Materiales!$F$177))</f>
        <v/>
      </c>
      <c r="G1221" s="71">
        <f>IF(3+Materiales!$F$177&gt;8,0,INDEX($E$1220:$L$1220,1,3+Materiales!$F$177))</f>
        <v/>
      </c>
      <c r="H1221" s="71">
        <f>IF(4+Materiales!$F$177&gt;8,0,INDEX($E$1220:$L$1220,1,4+Materiales!$F$177))</f>
        <v/>
      </c>
      <c r="I1221" s="71">
        <f>IF(5+Materiales!$F$177&gt;8,0,INDEX($E$1220:$L$1220,1,5+Materiales!$F$177))</f>
        <v/>
      </c>
      <c r="J1221" s="71">
        <f>IF(6+Materiales!$F$177&gt;8,0,INDEX($E$1220:$L$1220,1,6+Materiales!$F$177))</f>
        <v/>
      </c>
      <c r="K1221" s="71">
        <f>IF(7+Materiales!$F$177&gt;8,0,INDEX($E$1220:$L$1220,1,7+Materiales!$F$177))</f>
        <v/>
      </c>
      <c r="L1221" s="71">
        <f>IF(8+Materiales!$F$177&gt;8,0,INDEX($E$1220:$L$1220,1,8+Materiales!$F$177))</f>
        <v/>
      </c>
      <c r="M1221" s="72">
        <f>IF($A1216="","",IF(SUMPRODUCT((COLUMN($E$1220:$L$1220)-4&lt;=Materiales!$F$177)*$E$1220:$L$1220)&gt;0,"PEDIR YA (atrasado)","OK"))</f>
        <v/>
      </c>
    </row>
    <row r="1222" ht="6" customHeight="1"/>
    <row r="1223">
      <c r="A1223" s="62">
        <f>IF(Materiales!$A$178="","",Materiales!$A$178)</f>
        <v/>
      </c>
      <c r="B1223" s="62">
        <f>IF(Materiales!$B$178="","",Materiales!$B$178)</f>
        <v/>
      </c>
      <c r="C1223" s="63" t="inlineStr">
        <is>
          <t>Necesidad bruta</t>
        </is>
      </c>
      <c r="D1223" s="64" t="n"/>
      <c r="E1223" s="65">
        <f>ROUND(SUMIF(Consumo!$P$4:$P$189,"#"&amp;$A1223,Consumo!H$4:H$189),4)</f>
        <v/>
      </c>
      <c r="F1223" s="65">
        <f>ROUND(SUMIF(Consumo!$P$4:$P$189,"#"&amp;$A1223,Consumo!I$4:I$189),4)</f>
        <v/>
      </c>
      <c r="G1223" s="65">
        <f>ROUND(SUMIF(Consumo!$P$4:$P$189,"#"&amp;$A1223,Consumo!J$4:J$189),4)</f>
        <v/>
      </c>
      <c r="H1223" s="65">
        <f>ROUND(SUMIF(Consumo!$P$4:$P$189,"#"&amp;$A1223,Consumo!K$4:K$189),4)</f>
        <v/>
      </c>
      <c r="I1223" s="65">
        <f>ROUND(SUMIF(Consumo!$P$4:$P$189,"#"&amp;$A1223,Consumo!L$4:L$189),4)</f>
        <v/>
      </c>
      <c r="J1223" s="65">
        <f>ROUND(SUMIF(Consumo!$P$4:$P$189,"#"&amp;$A1223,Consumo!M$4:M$189),4)</f>
        <v/>
      </c>
      <c r="K1223" s="65">
        <f>ROUND(SUMIF(Consumo!$P$4:$P$189,"#"&amp;$A1223,Consumo!N$4:N$189),4)</f>
        <v/>
      </c>
      <c r="L1223" s="65">
        <f>ROUND(SUMIF(Consumo!$P$4:$P$189,"#"&amp;$A1223,Consumo!O$4:O$189),4)</f>
        <v/>
      </c>
      <c r="M1223" s="66" t="n"/>
    </row>
    <row r="1224">
      <c r="C1224" s="63" t="inlineStr">
        <is>
          <t>Recepciones programadas (ya pedido)</t>
        </is>
      </c>
      <c r="D1224" s="64" t="n"/>
      <c r="E1224" s="65">
        <f>SUMIF(Inventario!$M$5:$M$505,"#"&amp;$A1223,Inventario!E$5:E$505)</f>
        <v/>
      </c>
      <c r="F1224" s="65">
        <f>SUMIF(Inventario!$M$5:$M$505,"#"&amp;$A1223,Inventario!F$5:F$505)</f>
        <v/>
      </c>
      <c r="G1224" s="65">
        <f>SUMIF(Inventario!$M$5:$M$505,"#"&amp;$A1223,Inventario!G$5:G$505)</f>
        <v/>
      </c>
      <c r="H1224" s="65">
        <f>SUMIF(Inventario!$M$5:$M$505,"#"&amp;$A1223,Inventario!H$5:H$505)</f>
        <v/>
      </c>
      <c r="I1224" s="65">
        <f>SUMIF(Inventario!$M$5:$M$505,"#"&amp;$A1223,Inventario!I$5:I$505)</f>
        <v/>
      </c>
      <c r="J1224" s="65">
        <f>SUMIF(Inventario!$M$5:$M$505,"#"&amp;$A1223,Inventario!J$5:J$505)</f>
        <v/>
      </c>
      <c r="K1224" s="65">
        <f>SUMIF(Inventario!$M$5:$M$505,"#"&amp;$A1223,Inventario!K$5:K$505)</f>
        <v/>
      </c>
      <c r="L1224" s="65">
        <f>SUMIF(Inventario!$M$5:$M$505,"#"&amp;$A1223,Inventario!L$5:L$505)</f>
        <v/>
      </c>
      <c r="M1224" s="66" t="n"/>
    </row>
    <row r="1225">
      <c r="C1225" s="63" t="inlineStr">
        <is>
          <t>Stock proyectado disponible</t>
        </is>
      </c>
      <c r="D1225" s="67">
        <f>SUMIF(Inventario!$M$5:$M$505,"#"&amp;$A1223,Inventario!$C$5:$C$505)</f>
        <v/>
      </c>
      <c r="E1225" s="68">
        <f>D1225+E1224+E1227-E1223</f>
        <v/>
      </c>
      <c r="F1225" s="68">
        <f>E1225+F1224+F1227-F1223</f>
        <v/>
      </c>
      <c r="G1225" s="68">
        <f>F1225+G1224+G1227-G1223</f>
        <v/>
      </c>
      <c r="H1225" s="68">
        <f>G1225+H1224+H1227-H1223</f>
        <v/>
      </c>
      <c r="I1225" s="68">
        <f>H1225+I1224+I1227-I1223</f>
        <v/>
      </c>
      <c r="J1225" s="68">
        <f>I1225+J1224+J1227-J1223</f>
        <v/>
      </c>
      <c r="K1225" s="68">
        <f>J1225+K1224+K1227-K1223</f>
        <v/>
      </c>
      <c r="L1225" s="68">
        <f>K1225+L1224+L1227-L1223</f>
        <v/>
      </c>
      <c r="M1225" s="66" t="n"/>
    </row>
    <row r="1226">
      <c r="C1226" s="63" t="inlineStr">
        <is>
          <t>Necesidad neta</t>
        </is>
      </c>
      <c r="D1226" s="64" t="n"/>
      <c r="E1226" s="69">
        <f>MAX(0,ROUND(E1223+Materiales!$H$178-D1225-E1224,4))</f>
        <v/>
      </c>
      <c r="F1226" s="69">
        <f>MAX(0,ROUND(F1223+Materiales!$H$178-E1225-F1224,4))</f>
        <v/>
      </c>
      <c r="G1226" s="69">
        <f>MAX(0,ROUND(G1223+Materiales!$H$178-F1225-G1224,4))</f>
        <v/>
      </c>
      <c r="H1226" s="69">
        <f>MAX(0,ROUND(H1223+Materiales!$H$178-G1225-H1224,4))</f>
        <v/>
      </c>
      <c r="I1226" s="69">
        <f>MAX(0,ROUND(I1223+Materiales!$H$178-H1225-I1224,4))</f>
        <v/>
      </c>
      <c r="J1226" s="69">
        <f>MAX(0,ROUND(J1223+Materiales!$H$178-I1225-J1224,4))</f>
        <v/>
      </c>
      <c r="K1226" s="69">
        <f>MAX(0,ROUND(K1223+Materiales!$H$178-J1225-K1224,4))</f>
        <v/>
      </c>
      <c r="L1226" s="69">
        <f>MAX(0,ROUND(L1223+Materiales!$H$178-K1225-L1224,4))</f>
        <v/>
      </c>
      <c r="M1226" s="66" t="n"/>
    </row>
    <row r="1227">
      <c r="C1227" s="63" t="inlineStr">
        <is>
          <t>Recepcion de orden planificada</t>
        </is>
      </c>
      <c r="D1227" s="64" t="n"/>
      <c r="E1227" s="65">
        <f>IF(E1226&lt;=0,0,IF(Materiales!$G$178&lt;=0,E1226,ROUNDUP(E1226/Materiales!$G$178,0)*Materiales!$G$178))</f>
        <v/>
      </c>
      <c r="F1227" s="65">
        <f>IF(F1226&lt;=0,0,IF(Materiales!$G$178&lt;=0,F1226,ROUNDUP(F1226/Materiales!$G$178,0)*Materiales!$G$178))</f>
        <v/>
      </c>
      <c r="G1227" s="65">
        <f>IF(G1226&lt;=0,0,IF(Materiales!$G$178&lt;=0,G1226,ROUNDUP(G1226/Materiales!$G$178,0)*Materiales!$G$178))</f>
        <v/>
      </c>
      <c r="H1227" s="65">
        <f>IF(H1226&lt;=0,0,IF(Materiales!$G$178&lt;=0,H1226,ROUNDUP(H1226/Materiales!$G$178,0)*Materiales!$G$178))</f>
        <v/>
      </c>
      <c r="I1227" s="65">
        <f>IF(I1226&lt;=0,0,IF(Materiales!$G$178&lt;=0,I1226,ROUNDUP(I1226/Materiales!$G$178,0)*Materiales!$G$178))</f>
        <v/>
      </c>
      <c r="J1227" s="65">
        <f>IF(J1226&lt;=0,0,IF(Materiales!$G$178&lt;=0,J1226,ROUNDUP(J1226/Materiales!$G$178,0)*Materiales!$G$178))</f>
        <v/>
      </c>
      <c r="K1227" s="65">
        <f>IF(K1226&lt;=0,0,IF(Materiales!$G$178&lt;=0,K1226,ROUNDUP(K1226/Materiales!$G$178,0)*Materiales!$G$178))</f>
        <v/>
      </c>
      <c r="L1227" s="65">
        <f>IF(L1226&lt;=0,0,IF(Materiales!$G$178&lt;=0,L1226,ROUNDUP(L1226/Materiales!$G$178,0)*Materiales!$G$178))</f>
        <v/>
      </c>
      <c r="M1227" s="66" t="n"/>
    </row>
    <row r="1228">
      <c r="C1228" s="70" t="inlineStr">
        <is>
          <t>LANZAMIENTO DE ORDEN — pedir esta semana</t>
        </is>
      </c>
      <c r="D1228" s="64" t="n"/>
      <c r="E1228" s="71">
        <f>IF(1+Materiales!$F$178&gt;8,0,INDEX($E$1227:$L$1227,1,1+Materiales!$F$178))</f>
        <v/>
      </c>
      <c r="F1228" s="71">
        <f>IF(2+Materiales!$F$178&gt;8,0,INDEX($E$1227:$L$1227,1,2+Materiales!$F$178))</f>
        <v/>
      </c>
      <c r="G1228" s="71">
        <f>IF(3+Materiales!$F$178&gt;8,0,INDEX($E$1227:$L$1227,1,3+Materiales!$F$178))</f>
        <v/>
      </c>
      <c r="H1228" s="71">
        <f>IF(4+Materiales!$F$178&gt;8,0,INDEX($E$1227:$L$1227,1,4+Materiales!$F$178))</f>
        <v/>
      </c>
      <c r="I1228" s="71">
        <f>IF(5+Materiales!$F$178&gt;8,0,INDEX($E$1227:$L$1227,1,5+Materiales!$F$178))</f>
        <v/>
      </c>
      <c r="J1228" s="71">
        <f>IF(6+Materiales!$F$178&gt;8,0,INDEX($E$1227:$L$1227,1,6+Materiales!$F$178))</f>
        <v/>
      </c>
      <c r="K1228" s="71">
        <f>IF(7+Materiales!$F$178&gt;8,0,INDEX($E$1227:$L$1227,1,7+Materiales!$F$178))</f>
        <v/>
      </c>
      <c r="L1228" s="71">
        <f>IF(8+Materiales!$F$178&gt;8,0,INDEX($E$1227:$L$1227,1,8+Materiales!$F$178))</f>
        <v/>
      </c>
      <c r="M1228" s="72">
        <f>IF($A1223="","",IF(SUMPRODUCT((COLUMN($E$1227:$L$1227)-4&lt;=Materiales!$F$178)*$E$1227:$L$1227)&gt;0,"PEDIR YA (atrasado)","OK"))</f>
        <v/>
      </c>
    </row>
    <row r="1229" ht="6" customHeight="1"/>
    <row r="1230">
      <c r="A1230" s="62">
        <f>IF(Materiales!$A$179="","",Materiales!$A$179)</f>
        <v/>
      </c>
      <c r="B1230" s="62">
        <f>IF(Materiales!$B$179="","",Materiales!$B$179)</f>
        <v/>
      </c>
      <c r="C1230" s="63" t="inlineStr">
        <is>
          <t>Necesidad bruta</t>
        </is>
      </c>
      <c r="D1230" s="64" t="n"/>
      <c r="E1230" s="65">
        <f>ROUND(SUMIF(Consumo!$P$4:$P$189,"#"&amp;$A1230,Consumo!H$4:H$189),4)</f>
        <v/>
      </c>
      <c r="F1230" s="65">
        <f>ROUND(SUMIF(Consumo!$P$4:$P$189,"#"&amp;$A1230,Consumo!I$4:I$189),4)</f>
        <v/>
      </c>
      <c r="G1230" s="65">
        <f>ROUND(SUMIF(Consumo!$P$4:$P$189,"#"&amp;$A1230,Consumo!J$4:J$189),4)</f>
        <v/>
      </c>
      <c r="H1230" s="65">
        <f>ROUND(SUMIF(Consumo!$P$4:$P$189,"#"&amp;$A1230,Consumo!K$4:K$189),4)</f>
        <v/>
      </c>
      <c r="I1230" s="65">
        <f>ROUND(SUMIF(Consumo!$P$4:$P$189,"#"&amp;$A1230,Consumo!L$4:L$189),4)</f>
        <v/>
      </c>
      <c r="J1230" s="65">
        <f>ROUND(SUMIF(Consumo!$P$4:$P$189,"#"&amp;$A1230,Consumo!M$4:M$189),4)</f>
        <v/>
      </c>
      <c r="K1230" s="65">
        <f>ROUND(SUMIF(Consumo!$P$4:$P$189,"#"&amp;$A1230,Consumo!N$4:N$189),4)</f>
        <v/>
      </c>
      <c r="L1230" s="65">
        <f>ROUND(SUMIF(Consumo!$P$4:$P$189,"#"&amp;$A1230,Consumo!O$4:O$189),4)</f>
        <v/>
      </c>
      <c r="M1230" s="66" t="n"/>
    </row>
    <row r="1231">
      <c r="C1231" s="63" t="inlineStr">
        <is>
          <t>Recepciones programadas (ya pedido)</t>
        </is>
      </c>
      <c r="D1231" s="64" t="n"/>
      <c r="E1231" s="65">
        <f>SUMIF(Inventario!$M$5:$M$505,"#"&amp;$A1230,Inventario!E$5:E$505)</f>
        <v/>
      </c>
      <c r="F1231" s="65">
        <f>SUMIF(Inventario!$M$5:$M$505,"#"&amp;$A1230,Inventario!F$5:F$505)</f>
        <v/>
      </c>
      <c r="G1231" s="65">
        <f>SUMIF(Inventario!$M$5:$M$505,"#"&amp;$A1230,Inventario!G$5:G$505)</f>
        <v/>
      </c>
      <c r="H1231" s="65">
        <f>SUMIF(Inventario!$M$5:$M$505,"#"&amp;$A1230,Inventario!H$5:H$505)</f>
        <v/>
      </c>
      <c r="I1231" s="65">
        <f>SUMIF(Inventario!$M$5:$M$505,"#"&amp;$A1230,Inventario!I$5:I$505)</f>
        <v/>
      </c>
      <c r="J1231" s="65">
        <f>SUMIF(Inventario!$M$5:$M$505,"#"&amp;$A1230,Inventario!J$5:J$505)</f>
        <v/>
      </c>
      <c r="K1231" s="65">
        <f>SUMIF(Inventario!$M$5:$M$505,"#"&amp;$A1230,Inventario!K$5:K$505)</f>
        <v/>
      </c>
      <c r="L1231" s="65">
        <f>SUMIF(Inventario!$M$5:$M$505,"#"&amp;$A1230,Inventario!L$5:L$505)</f>
        <v/>
      </c>
      <c r="M1231" s="66" t="n"/>
    </row>
    <row r="1232">
      <c r="C1232" s="63" t="inlineStr">
        <is>
          <t>Stock proyectado disponible</t>
        </is>
      </c>
      <c r="D1232" s="67">
        <f>SUMIF(Inventario!$M$5:$M$505,"#"&amp;$A1230,Inventario!$C$5:$C$505)</f>
        <v/>
      </c>
      <c r="E1232" s="68">
        <f>D1232+E1231+E1234-E1230</f>
        <v/>
      </c>
      <c r="F1232" s="68">
        <f>E1232+F1231+F1234-F1230</f>
        <v/>
      </c>
      <c r="G1232" s="68">
        <f>F1232+G1231+G1234-G1230</f>
        <v/>
      </c>
      <c r="H1232" s="68">
        <f>G1232+H1231+H1234-H1230</f>
        <v/>
      </c>
      <c r="I1232" s="68">
        <f>H1232+I1231+I1234-I1230</f>
        <v/>
      </c>
      <c r="J1232" s="68">
        <f>I1232+J1231+J1234-J1230</f>
        <v/>
      </c>
      <c r="K1232" s="68">
        <f>J1232+K1231+K1234-K1230</f>
        <v/>
      </c>
      <c r="L1232" s="68">
        <f>K1232+L1231+L1234-L1230</f>
        <v/>
      </c>
      <c r="M1232" s="66" t="n"/>
    </row>
    <row r="1233">
      <c r="C1233" s="63" t="inlineStr">
        <is>
          <t>Necesidad neta</t>
        </is>
      </c>
      <c r="D1233" s="64" t="n"/>
      <c r="E1233" s="69">
        <f>MAX(0,ROUND(E1230+Materiales!$H$179-D1232-E1231,4))</f>
        <v/>
      </c>
      <c r="F1233" s="69">
        <f>MAX(0,ROUND(F1230+Materiales!$H$179-E1232-F1231,4))</f>
        <v/>
      </c>
      <c r="G1233" s="69">
        <f>MAX(0,ROUND(G1230+Materiales!$H$179-F1232-G1231,4))</f>
        <v/>
      </c>
      <c r="H1233" s="69">
        <f>MAX(0,ROUND(H1230+Materiales!$H$179-G1232-H1231,4))</f>
        <v/>
      </c>
      <c r="I1233" s="69">
        <f>MAX(0,ROUND(I1230+Materiales!$H$179-H1232-I1231,4))</f>
        <v/>
      </c>
      <c r="J1233" s="69">
        <f>MAX(0,ROUND(J1230+Materiales!$H$179-I1232-J1231,4))</f>
        <v/>
      </c>
      <c r="K1233" s="69">
        <f>MAX(0,ROUND(K1230+Materiales!$H$179-J1232-K1231,4))</f>
        <v/>
      </c>
      <c r="L1233" s="69">
        <f>MAX(0,ROUND(L1230+Materiales!$H$179-K1232-L1231,4))</f>
        <v/>
      </c>
      <c r="M1233" s="66" t="n"/>
    </row>
    <row r="1234">
      <c r="C1234" s="63" t="inlineStr">
        <is>
          <t>Recepcion de orden planificada</t>
        </is>
      </c>
      <c r="D1234" s="64" t="n"/>
      <c r="E1234" s="65">
        <f>IF(E1233&lt;=0,0,IF(Materiales!$G$179&lt;=0,E1233,ROUNDUP(E1233/Materiales!$G$179,0)*Materiales!$G$179))</f>
        <v/>
      </c>
      <c r="F1234" s="65">
        <f>IF(F1233&lt;=0,0,IF(Materiales!$G$179&lt;=0,F1233,ROUNDUP(F1233/Materiales!$G$179,0)*Materiales!$G$179))</f>
        <v/>
      </c>
      <c r="G1234" s="65">
        <f>IF(G1233&lt;=0,0,IF(Materiales!$G$179&lt;=0,G1233,ROUNDUP(G1233/Materiales!$G$179,0)*Materiales!$G$179))</f>
        <v/>
      </c>
      <c r="H1234" s="65">
        <f>IF(H1233&lt;=0,0,IF(Materiales!$G$179&lt;=0,H1233,ROUNDUP(H1233/Materiales!$G$179,0)*Materiales!$G$179))</f>
        <v/>
      </c>
      <c r="I1234" s="65">
        <f>IF(I1233&lt;=0,0,IF(Materiales!$G$179&lt;=0,I1233,ROUNDUP(I1233/Materiales!$G$179,0)*Materiales!$G$179))</f>
        <v/>
      </c>
      <c r="J1234" s="65">
        <f>IF(J1233&lt;=0,0,IF(Materiales!$G$179&lt;=0,J1233,ROUNDUP(J1233/Materiales!$G$179,0)*Materiales!$G$179))</f>
        <v/>
      </c>
      <c r="K1234" s="65">
        <f>IF(K1233&lt;=0,0,IF(Materiales!$G$179&lt;=0,K1233,ROUNDUP(K1233/Materiales!$G$179,0)*Materiales!$G$179))</f>
        <v/>
      </c>
      <c r="L1234" s="65">
        <f>IF(L1233&lt;=0,0,IF(Materiales!$G$179&lt;=0,L1233,ROUNDUP(L1233/Materiales!$G$179,0)*Materiales!$G$179))</f>
        <v/>
      </c>
      <c r="M1234" s="66" t="n"/>
    </row>
    <row r="1235">
      <c r="C1235" s="70" t="inlineStr">
        <is>
          <t>LANZAMIENTO DE ORDEN — pedir esta semana</t>
        </is>
      </c>
      <c r="D1235" s="64" t="n"/>
      <c r="E1235" s="71">
        <f>IF(1+Materiales!$F$179&gt;8,0,INDEX($E$1234:$L$1234,1,1+Materiales!$F$179))</f>
        <v/>
      </c>
      <c r="F1235" s="71">
        <f>IF(2+Materiales!$F$179&gt;8,0,INDEX($E$1234:$L$1234,1,2+Materiales!$F$179))</f>
        <v/>
      </c>
      <c r="G1235" s="71">
        <f>IF(3+Materiales!$F$179&gt;8,0,INDEX($E$1234:$L$1234,1,3+Materiales!$F$179))</f>
        <v/>
      </c>
      <c r="H1235" s="71">
        <f>IF(4+Materiales!$F$179&gt;8,0,INDEX($E$1234:$L$1234,1,4+Materiales!$F$179))</f>
        <v/>
      </c>
      <c r="I1235" s="71">
        <f>IF(5+Materiales!$F$179&gt;8,0,INDEX($E$1234:$L$1234,1,5+Materiales!$F$179))</f>
        <v/>
      </c>
      <c r="J1235" s="71">
        <f>IF(6+Materiales!$F$179&gt;8,0,INDEX($E$1234:$L$1234,1,6+Materiales!$F$179))</f>
        <v/>
      </c>
      <c r="K1235" s="71">
        <f>IF(7+Materiales!$F$179&gt;8,0,INDEX($E$1234:$L$1234,1,7+Materiales!$F$179))</f>
        <v/>
      </c>
      <c r="L1235" s="71">
        <f>IF(8+Materiales!$F$179&gt;8,0,INDEX($E$1234:$L$1234,1,8+Materiales!$F$179))</f>
        <v/>
      </c>
      <c r="M1235" s="72">
        <f>IF($A1230="","",IF(SUMPRODUCT((COLUMN($E$1234:$L$1234)-4&lt;=Materiales!$F$179)*$E$1234:$L$1234)&gt;0,"PEDIR YA (atrasado)","OK"))</f>
        <v/>
      </c>
    </row>
    <row r="1236" ht="6" customHeight="1"/>
    <row r="1237">
      <c r="A1237" s="62">
        <f>IF(Materiales!$A$180="","",Materiales!$A$180)</f>
        <v/>
      </c>
      <c r="B1237" s="62">
        <f>IF(Materiales!$B$180="","",Materiales!$B$180)</f>
        <v/>
      </c>
      <c r="C1237" s="63" t="inlineStr">
        <is>
          <t>Necesidad bruta</t>
        </is>
      </c>
      <c r="D1237" s="64" t="n"/>
      <c r="E1237" s="65">
        <f>ROUND(SUMIF(Consumo!$P$4:$P$189,"#"&amp;$A1237,Consumo!H$4:H$189),4)</f>
        <v/>
      </c>
      <c r="F1237" s="65">
        <f>ROUND(SUMIF(Consumo!$P$4:$P$189,"#"&amp;$A1237,Consumo!I$4:I$189),4)</f>
        <v/>
      </c>
      <c r="G1237" s="65">
        <f>ROUND(SUMIF(Consumo!$P$4:$P$189,"#"&amp;$A1237,Consumo!J$4:J$189),4)</f>
        <v/>
      </c>
      <c r="H1237" s="65">
        <f>ROUND(SUMIF(Consumo!$P$4:$P$189,"#"&amp;$A1237,Consumo!K$4:K$189),4)</f>
        <v/>
      </c>
      <c r="I1237" s="65">
        <f>ROUND(SUMIF(Consumo!$P$4:$P$189,"#"&amp;$A1237,Consumo!L$4:L$189),4)</f>
        <v/>
      </c>
      <c r="J1237" s="65">
        <f>ROUND(SUMIF(Consumo!$P$4:$P$189,"#"&amp;$A1237,Consumo!M$4:M$189),4)</f>
        <v/>
      </c>
      <c r="K1237" s="65">
        <f>ROUND(SUMIF(Consumo!$P$4:$P$189,"#"&amp;$A1237,Consumo!N$4:N$189),4)</f>
        <v/>
      </c>
      <c r="L1237" s="65">
        <f>ROUND(SUMIF(Consumo!$P$4:$P$189,"#"&amp;$A1237,Consumo!O$4:O$189),4)</f>
        <v/>
      </c>
      <c r="M1237" s="66" t="n"/>
    </row>
    <row r="1238">
      <c r="C1238" s="63" t="inlineStr">
        <is>
          <t>Recepciones programadas (ya pedido)</t>
        </is>
      </c>
      <c r="D1238" s="64" t="n"/>
      <c r="E1238" s="65">
        <f>SUMIF(Inventario!$M$5:$M$505,"#"&amp;$A1237,Inventario!E$5:E$505)</f>
        <v/>
      </c>
      <c r="F1238" s="65">
        <f>SUMIF(Inventario!$M$5:$M$505,"#"&amp;$A1237,Inventario!F$5:F$505)</f>
        <v/>
      </c>
      <c r="G1238" s="65">
        <f>SUMIF(Inventario!$M$5:$M$505,"#"&amp;$A1237,Inventario!G$5:G$505)</f>
        <v/>
      </c>
      <c r="H1238" s="65">
        <f>SUMIF(Inventario!$M$5:$M$505,"#"&amp;$A1237,Inventario!H$5:H$505)</f>
        <v/>
      </c>
      <c r="I1238" s="65">
        <f>SUMIF(Inventario!$M$5:$M$505,"#"&amp;$A1237,Inventario!I$5:I$505)</f>
        <v/>
      </c>
      <c r="J1238" s="65">
        <f>SUMIF(Inventario!$M$5:$M$505,"#"&amp;$A1237,Inventario!J$5:J$505)</f>
        <v/>
      </c>
      <c r="K1238" s="65">
        <f>SUMIF(Inventario!$M$5:$M$505,"#"&amp;$A1237,Inventario!K$5:K$505)</f>
        <v/>
      </c>
      <c r="L1238" s="65">
        <f>SUMIF(Inventario!$M$5:$M$505,"#"&amp;$A1237,Inventario!L$5:L$505)</f>
        <v/>
      </c>
      <c r="M1238" s="66" t="n"/>
    </row>
    <row r="1239">
      <c r="C1239" s="63" t="inlineStr">
        <is>
          <t>Stock proyectado disponible</t>
        </is>
      </c>
      <c r="D1239" s="67">
        <f>SUMIF(Inventario!$M$5:$M$505,"#"&amp;$A1237,Inventario!$C$5:$C$505)</f>
        <v/>
      </c>
      <c r="E1239" s="68">
        <f>D1239+E1238+E1241-E1237</f>
        <v/>
      </c>
      <c r="F1239" s="68">
        <f>E1239+F1238+F1241-F1237</f>
        <v/>
      </c>
      <c r="G1239" s="68">
        <f>F1239+G1238+G1241-G1237</f>
        <v/>
      </c>
      <c r="H1239" s="68">
        <f>G1239+H1238+H1241-H1237</f>
        <v/>
      </c>
      <c r="I1239" s="68">
        <f>H1239+I1238+I1241-I1237</f>
        <v/>
      </c>
      <c r="J1239" s="68">
        <f>I1239+J1238+J1241-J1237</f>
        <v/>
      </c>
      <c r="K1239" s="68">
        <f>J1239+K1238+K1241-K1237</f>
        <v/>
      </c>
      <c r="L1239" s="68">
        <f>K1239+L1238+L1241-L1237</f>
        <v/>
      </c>
      <c r="M1239" s="66" t="n"/>
    </row>
    <row r="1240">
      <c r="C1240" s="63" t="inlineStr">
        <is>
          <t>Necesidad neta</t>
        </is>
      </c>
      <c r="D1240" s="64" t="n"/>
      <c r="E1240" s="69">
        <f>MAX(0,ROUND(E1237+Materiales!$H$180-D1239-E1238,4))</f>
        <v/>
      </c>
      <c r="F1240" s="69">
        <f>MAX(0,ROUND(F1237+Materiales!$H$180-E1239-F1238,4))</f>
        <v/>
      </c>
      <c r="G1240" s="69">
        <f>MAX(0,ROUND(G1237+Materiales!$H$180-F1239-G1238,4))</f>
        <v/>
      </c>
      <c r="H1240" s="69">
        <f>MAX(0,ROUND(H1237+Materiales!$H$180-G1239-H1238,4))</f>
        <v/>
      </c>
      <c r="I1240" s="69">
        <f>MAX(0,ROUND(I1237+Materiales!$H$180-H1239-I1238,4))</f>
        <v/>
      </c>
      <c r="J1240" s="69">
        <f>MAX(0,ROUND(J1237+Materiales!$H$180-I1239-J1238,4))</f>
        <v/>
      </c>
      <c r="K1240" s="69">
        <f>MAX(0,ROUND(K1237+Materiales!$H$180-J1239-K1238,4))</f>
        <v/>
      </c>
      <c r="L1240" s="69">
        <f>MAX(0,ROUND(L1237+Materiales!$H$180-K1239-L1238,4))</f>
        <v/>
      </c>
      <c r="M1240" s="66" t="n"/>
    </row>
    <row r="1241">
      <c r="C1241" s="63" t="inlineStr">
        <is>
          <t>Recepcion de orden planificada</t>
        </is>
      </c>
      <c r="D1241" s="64" t="n"/>
      <c r="E1241" s="65">
        <f>IF(E1240&lt;=0,0,IF(Materiales!$G$180&lt;=0,E1240,ROUNDUP(E1240/Materiales!$G$180,0)*Materiales!$G$180))</f>
        <v/>
      </c>
      <c r="F1241" s="65">
        <f>IF(F1240&lt;=0,0,IF(Materiales!$G$180&lt;=0,F1240,ROUNDUP(F1240/Materiales!$G$180,0)*Materiales!$G$180))</f>
        <v/>
      </c>
      <c r="G1241" s="65">
        <f>IF(G1240&lt;=0,0,IF(Materiales!$G$180&lt;=0,G1240,ROUNDUP(G1240/Materiales!$G$180,0)*Materiales!$G$180))</f>
        <v/>
      </c>
      <c r="H1241" s="65">
        <f>IF(H1240&lt;=0,0,IF(Materiales!$G$180&lt;=0,H1240,ROUNDUP(H1240/Materiales!$G$180,0)*Materiales!$G$180))</f>
        <v/>
      </c>
      <c r="I1241" s="65">
        <f>IF(I1240&lt;=0,0,IF(Materiales!$G$180&lt;=0,I1240,ROUNDUP(I1240/Materiales!$G$180,0)*Materiales!$G$180))</f>
        <v/>
      </c>
      <c r="J1241" s="65">
        <f>IF(J1240&lt;=0,0,IF(Materiales!$G$180&lt;=0,J1240,ROUNDUP(J1240/Materiales!$G$180,0)*Materiales!$G$180))</f>
        <v/>
      </c>
      <c r="K1241" s="65">
        <f>IF(K1240&lt;=0,0,IF(Materiales!$G$180&lt;=0,K1240,ROUNDUP(K1240/Materiales!$G$180,0)*Materiales!$G$180))</f>
        <v/>
      </c>
      <c r="L1241" s="65">
        <f>IF(L1240&lt;=0,0,IF(Materiales!$G$180&lt;=0,L1240,ROUNDUP(L1240/Materiales!$G$180,0)*Materiales!$G$180))</f>
        <v/>
      </c>
      <c r="M1241" s="66" t="n"/>
    </row>
    <row r="1242">
      <c r="C1242" s="70" t="inlineStr">
        <is>
          <t>LANZAMIENTO DE ORDEN — pedir esta semana</t>
        </is>
      </c>
      <c r="D1242" s="64" t="n"/>
      <c r="E1242" s="71">
        <f>IF(1+Materiales!$F$180&gt;8,0,INDEX($E$1241:$L$1241,1,1+Materiales!$F$180))</f>
        <v/>
      </c>
      <c r="F1242" s="71">
        <f>IF(2+Materiales!$F$180&gt;8,0,INDEX($E$1241:$L$1241,1,2+Materiales!$F$180))</f>
        <v/>
      </c>
      <c r="G1242" s="71">
        <f>IF(3+Materiales!$F$180&gt;8,0,INDEX($E$1241:$L$1241,1,3+Materiales!$F$180))</f>
        <v/>
      </c>
      <c r="H1242" s="71">
        <f>IF(4+Materiales!$F$180&gt;8,0,INDEX($E$1241:$L$1241,1,4+Materiales!$F$180))</f>
        <v/>
      </c>
      <c r="I1242" s="71">
        <f>IF(5+Materiales!$F$180&gt;8,0,INDEX($E$1241:$L$1241,1,5+Materiales!$F$180))</f>
        <v/>
      </c>
      <c r="J1242" s="71">
        <f>IF(6+Materiales!$F$180&gt;8,0,INDEX($E$1241:$L$1241,1,6+Materiales!$F$180))</f>
        <v/>
      </c>
      <c r="K1242" s="71">
        <f>IF(7+Materiales!$F$180&gt;8,0,INDEX($E$1241:$L$1241,1,7+Materiales!$F$180))</f>
        <v/>
      </c>
      <c r="L1242" s="71">
        <f>IF(8+Materiales!$F$180&gt;8,0,INDEX($E$1241:$L$1241,1,8+Materiales!$F$180))</f>
        <v/>
      </c>
      <c r="M1242" s="72">
        <f>IF($A1237="","",IF(SUMPRODUCT((COLUMN($E$1241:$L$1241)-4&lt;=Materiales!$F$180)*$E$1241:$L$1241)&gt;0,"PEDIR YA (atrasado)","OK"))</f>
        <v/>
      </c>
    </row>
    <row r="1243" ht="6" customHeight="1"/>
    <row r="1244">
      <c r="A1244" s="62">
        <f>IF(Materiales!$A$181="","",Materiales!$A$181)</f>
        <v/>
      </c>
      <c r="B1244" s="62">
        <f>IF(Materiales!$B$181="","",Materiales!$B$181)</f>
        <v/>
      </c>
      <c r="C1244" s="63" t="inlineStr">
        <is>
          <t>Necesidad bruta</t>
        </is>
      </c>
      <c r="D1244" s="64" t="n"/>
      <c r="E1244" s="65">
        <f>ROUND(SUMIF(Consumo!$P$4:$P$189,"#"&amp;$A1244,Consumo!H$4:H$189),4)</f>
        <v/>
      </c>
      <c r="F1244" s="65">
        <f>ROUND(SUMIF(Consumo!$P$4:$P$189,"#"&amp;$A1244,Consumo!I$4:I$189),4)</f>
        <v/>
      </c>
      <c r="G1244" s="65">
        <f>ROUND(SUMIF(Consumo!$P$4:$P$189,"#"&amp;$A1244,Consumo!J$4:J$189),4)</f>
        <v/>
      </c>
      <c r="H1244" s="65">
        <f>ROUND(SUMIF(Consumo!$P$4:$P$189,"#"&amp;$A1244,Consumo!K$4:K$189),4)</f>
        <v/>
      </c>
      <c r="I1244" s="65">
        <f>ROUND(SUMIF(Consumo!$P$4:$P$189,"#"&amp;$A1244,Consumo!L$4:L$189),4)</f>
        <v/>
      </c>
      <c r="J1244" s="65">
        <f>ROUND(SUMIF(Consumo!$P$4:$P$189,"#"&amp;$A1244,Consumo!M$4:M$189),4)</f>
        <v/>
      </c>
      <c r="K1244" s="65">
        <f>ROUND(SUMIF(Consumo!$P$4:$P$189,"#"&amp;$A1244,Consumo!N$4:N$189),4)</f>
        <v/>
      </c>
      <c r="L1244" s="65">
        <f>ROUND(SUMIF(Consumo!$P$4:$P$189,"#"&amp;$A1244,Consumo!O$4:O$189),4)</f>
        <v/>
      </c>
      <c r="M1244" s="66" t="n"/>
    </row>
    <row r="1245">
      <c r="C1245" s="63" t="inlineStr">
        <is>
          <t>Recepciones programadas (ya pedido)</t>
        </is>
      </c>
      <c r="D1245" s="64" t="n"/>
      <c r="E1245" s="65">
        <f>SUMIF(Inventario!$M$5:$M$505,"#"&amp;$A1244,Inventario!E$5:E$505)</f>
        <v/>
      </c>
      <c r="F1245" s="65">
        <f>SUMIF(Inventario!$M$5:$M$505,"#"&amp;$A1244,Inventario!F$5:F$505)</f>
        <v/>
      </c>
      <c r="G1245" s="65">
        <f>SUMIF(Inventario!$M$5:$M$505,"#"&amp;$A1244,Inventario!G$5:G$505)</f>
        <v/>
      </c>
      <c r="H1245" s="65">
        <f>SUMIF(Inventario!$M$5:$M$505,"#"&amp;$A1244,Inventario!H$5:H$505)</f>
        <v/>
      </c>
      <c r="I1245" s="65">
        <f>SUMIF(Inventario!$M$5:$M$505,"#"&amp;$A1244,Inventario!I$5:I$505)</f>
        <v/>
      </c>
      <c r="J1245" s="65">
        <f>SUMIF(Inventario!$M$5:$M$505,"#"&amp;$A1244,Inventario!J$5:J$505)</f>
        <v/>
      </c>
      <c r="K1245" s="65">
        <f>SUMIF(Inventario!$M$5:$M$505,"#"&amp;$A1244,Inventario!K$5:K$505)</f>
        <v/>
      </c>
      <c r="L1245" s="65">
        <f>SUMIF(Inventario!$M$5:$M$505,"#"&amp;$A1244,Inventario!L$5:L$505)</f>
        <v/>
      </c>
      <c r="M1245" s="66" t="n"/>
    </row>
    <row r="1246">
      <c r="C1246" s="63" t="inlineStr">
        <is>
          <t>Stock proyectado disponible</t>
        </is>
      </c>
      <c r="D1246" s="67">
        <f>SUMIF(Inventario!$M$5:$M$505,"#"&amp;$A1244,Inventario!$C$5:$C$505)</f>
        <v/>
      </c>
      <c r="E1246" s="68">
        <f>D1246+E1245+E1248-E1244</f>
        <v/>
      </c>
      <c r="F1246" s="68">
        <f>E1246+F1245+F1248-F1244</f>
        <v/>
      </c>
      <c r="G1246" s="68">
        <f>F1246+G1245+G1248-G1244</f>
        <v/>
      </c>
      <c r="H1246" s="68">
        <f>G1246+H1245+H1248-H1244</f>
        <v/>
      </c>
      <c r="I1246" s="68">
        <f>H1246+I1245+I1248-I1244</f>
        <v/>
      </c>
      <c r="J1246" s="68">
        <f>I1246+J1245+J1248-J1244</f>
        <v/>
      </c>
      <c r="K1246" s="68">
        <f>J1246+K1245+K1248-K1244</f>
        <v/>
      </c>
      <c r="L1246" s="68">
        <f>K1246+L1245+L1248-L1244</f>
        <v/>
      </c>
      <c r="M1246" s="66" t="n"/>
    </row>
    <row r="1247">
      <c r="C1247" s="63" t="inlineStr">
        <is>
          <t>Necesidad neta</t>
        </is>
      </c>
      <c r="D1247" s="64" t="n"/>
      <c r="E1247" s="69">
        <f>MAX(0,ROUND(E1244+Materiales!$H$181-D1246-E1245,4))</f>
        <v/>
      </c>
      <c r="F1247" s="69">
        <f>MAX(0,ROUND(F1244+Materiales!$H$181-E1246-F1245,4))</f>
        <v/>
      </c>
      <c r="G1247" s="69">
        <f>MAX(0,ROUND(G1244+Materiales!$H$181-F1246-G1245,4))</f>
        <v/>
      </c>
      <c r="H1247" s="69">
        <f>MAX(0,ROUND(H1244+Materiales!$H$181-G1246-H1245,4))</f>
        <v/>
      </c>
      <c r="I1247" s="69">
        <f>MAX(0,ROUND(I1244+Materiales!$H$181-H1246-I1245,4))</f>
        <v/>
      </c>
      <c r="J1247" s="69">
        <f>MAX(0,ROUND(J1244+Materiales!$H$181-I1246-J1245,4))</f>
        <v/>
      </c>
      <c r="K1247" s="69">
        <f>MAX(0,ROUND(K1244+Materiales!$H$181-J1246-K1245,4))</f>
        <v/>
      </c>
      <c r="L1247" s="69">
        <f>MAX(0,ROUND(L1244+Materiales!$H$181-K1246-L1245,4))</f>
        <v/>
      </c>
      <c r="M1247" s="66" t="n"/>
    </row>
    <row r="1248">
      <c r="C1248" s="63" t="inlineStr">
        <is>
          <t>Recepcion de orden planificada</t>
        </is>
      </c>
      <c r="D1248" s="64" t="n"/>
      <c r="E1248" s="65">
        <f>IF(E1247&lt;=0,0,IF(Materiales!$G$181&lt;=0,E1247,ROUNDUP(E1247/Materiales!$G$181,0)*Materiales!$G$181))</f>
        <v/>
      </c>
      <c r="F1248" s="65">
        <f>IF(F1247&lt;=0,0,IF(Materiales!$G$181&lt;=0,F1247,ROUNDUP(F1247/Materiales!$G$181,0)*Materiales!$G$181))</f>
        <v/>
      </c>
      <c r="G1248" s="65">
        <f>IF(G1247&lt;=0,0,IF(Materiales!$G$181&lt;=0,G1247,ROUNDUP(G1247/Materiales!$G$181,0)*Materiales!$G$181))</f>
        <v/>
      </c>
      <c r="H1248" s="65">
        <f>IF(H1247&lt;=0,0,IF(Materiales!$G$181&lt;=0,H1247,ROUNDUP(H1247/Materiales!$G$181,0)*Materiales!$G$181))</f>
        <v/>
      </c>
      <c r="I1248" s="65">
        <f>IF(I1247&lt;=0,0,IF(Materiales!$G$181&lt;=0,I1247,ROUNDUP(I1247/Materiales!$G$181,0)*Materiales!$G$181))</f>
        <v/>
      </c>
      <c r="J1248" s="65">
        <f>IF(J1247&lt;=0,0,IF(Materiales!$G$181&lt;=0,J1247,ROUNDUP(J1247/Materiales!$G$181,0)*Materiales!$G$181))</f>
        <v/>
      </c>
      <c r="K1248" s="65">
        <f>IF(K1247&lt;=0,0,IF(Materiales!$G$181&lt;=0,K1247,ROUNDUP(K1247/Materiales!$G$181,0)*Materiales!$G$181))</f>
        <v/>
      </c>
      <c r="L1248" s="65">
        <f>IF(L1247&lt;=0,0,IF(Materiales!$G$181&lt;=0,L1247,ROUNDUP(L1247/Materiales!$G$181,0)*Materiales!$G$181))</f>
        <v/>
      </c>
      <c r="M1248" s="66" t="n"/>
    </row>
    <row r="1249">
      <c r="C1249" s="70" t="inlineStr">
        <is>
          <t>LANZAMIENTO DE ORDEN — pedir esta semana</t>
        </is>
      </c>
      <c r="D1249" s="64" t="n"/>
      <c r="E1249" s="71">
        <f>IF(1+Materiales!$F$181&gt;8,0,INDEX($E$1248:$L$1248,1,1+Materiales!$F$181))</f>
        <v/>
      </c>
      <c r="F1249" s="71">
        <f>IF(2+Materiales!$F$181&gt;8,0,INDEX($E$1248:$L$1248,1,2+Materiales!$F$181))</f>
        <v/>
      </c>
      <c r="G1249" s="71">
        <f>IF(3+Materiales!$F$181&gt;8,0,INDEX($E$1248:$L$1248,1,3+Materiales!$F$181))</f>
        <v/>
      </c>
      <c r="H1249" s="71">
        <f>IF(4+Materiales!$F$181&gt;8,0,INDEX($E$1248:$L$1248,1,4+Materiales!$F$181))</f>
        <v/>
      </c>
      <c r="I1249" s="71">
        <f>IF(5+Materiales!$F$181&gt;8,0,INDEX($E$1248:$L$1248,1,5+Materiales!$F$181))</f>
        <v/>
      </c>
      <c r="J1249" s="71">
        <f>IF(6+Materiales!$F$181&gt;8,0,INDEX($E$1248:$L$1248,1,6+Materiales!$F$181))</f>
        <v/>
      </c>
      <c r="K1249" s="71">
        <f>IF(7+Materiales!$F$181&gt;8,0,INDEX($E$1248:$L$1248,1,7+Materiales!$F$181))</f>
        <v/>
      </c>
      <c r="L1249" s="71">
        <f>IF(8+Materiales!$F$181&gt;8,0,INDEX($E$1248:$L$1248,1,8+Materiales!$F$181))</f>
        <v/>
      </c>
      <c r="M1249" s="72">
        <f>IF($A1244="","",IF(SUMPRODUCT((COLUMN($E$1248:$L$1248)-4&lt;=Materiales!$F$181)*$E$1248:$L$1248)&gt;0,"PEDIR YA (atrasado)","OK"))</f>
        <v/>
      </c>
    </row>
    <row r="1250" ht="6" customHeight="1"/>
    <row r="1251">
      <c r="A1251" s="62">
        <f>IF(Materiales!$A$182="","",Materiales!$A$182)</f>
        <v/>
      </c>
      <c r="B1251" s="62">
        <f>IF(Materiales!$B$182="","",Materiales!$B$182)</f>
        <v/>
      </c>
      <c r="C1251" s="63" t="inlineStr">
        <is>
          <t>Necesidad bruta</t>
        </is>
      </c>
      <c r="D1251" s="64" t="n"/>
      <c r="E1251" s="65">
        <f>ROUND(SUMIF(Consumo!$P$4:$P$189,"#"&amp;$A1251,Consumo!H$4:H$189),4)</f>
        <v/>
      </c>
      <c r="F1251" s="65">
        <f>ROUND(SUMIF(Consumo!$P$4:$P$189,"#"&amp;$A1251,Consumo!I$4:I$189),4)</f>
        <v/>
      </c>
      <c r="G1251" s="65">
        <f>ROUND(SUMIF(Consumo!$P$4:$P$189,"#"&amp;$A1251,Consumo!J$4:J$189),4)</f>
        <v/>
      </c>
      <c r="H1251" s="65">
        <f>ROUND(SUMIF(Consumo!$P$4:$P$189,"#"&amp;$A1251,Consumo!K$4:K$189),4)</f>
        <v/>
      </c>
      <c r="I1251" s="65">
        <f>ROUND(SUMIF(Consumo!$P$4:$P$189,"#"&amp;$A1251,Consumo!L$4:L$189),4)</f>
        <v/>
      </c>
      <c r="J1251" s="65">
        <f>ROUND(SUMIF(Consumo!$P$4:$P$189,"#"&amp;$A1251,Consumo!M$4:M$189),4)</f>
        <v/>
      </c>
      <c r="K1251" s="65">
        <f>ROUND(SUMIF(Consumo!$P$4:$P$189,"#"&amp;$A1251,Consumo!N$4:N$189),4)</f>
        <v/>
      </c>
      <c r="L1251" s="65">
        <f>ROUND(SUMIF(Consumo!$P$4:$P$189,"#"&amp;$A1251,Consumo!O$4:O$189),4)</f>
        <v/>
      </c>
      <c r="M1251" s="66" t="n"/>
    </row>
    <row r="1252">
      <c r="C1252" s="63" t="inlineStr">
        <is>
          <t>Recepciones programadas (ya pedido)</t>
        </is>
      </c>
      <c r="D1252" s="64" t="n"/>
      <c r="E1252" s="65">
        <f>SUMIF(Inventario!$M$5:$M$505,"#"&amp;$A1251,Inventario!E$5:E$505)</f>
        <v/>
      </c>
      <c r="F1252" s="65">
        <f>SUMIF(Inventario!$M$5:$M$505,"#"&amp;$A1251,Inventario!F$5:F$505)</f>
        <v/>
      </c>
      <c r="G1252" s="65">
        <f>SUMIF(Inventario!$M$5:$M$505,"#"&amp;$A1251,Inventario!G$5:G$505)</f>
        <v/>
      </c>
      <c r="H1252" s="65">
        <f>SUMIF(Inventario!$M$5:$M$505,"#"&amp;$A1251,Inventario!H$5:H$505)</f>
        <v/>
      </c>
      <c r="I1252" s="65">
        <f>SUMIF(Inventario!$M$5:$M$505,"#"&amp;$A1251,Inventario!I$5:I$505)</f>
        <v/>
      </c>
      <c r="J1252" s="65">
        <f>SUMIF(Inventario!$M$5:$M$505,"#"&amp;$A1251,Inventario!J$5:J$505)</f>
        <v/>
      </c>
      <c r="K1252" s="65">
        <f>SUMIF(Inventario!$M$5:$M$505,"#"&amp;$A1251,Inventario!K$5:K$505)</f>
        <v/>
      </c>
      <c r="L1252" s="65">
        <f>SUMIF(Inventario!$M$5:$M$505,"#"&amp;$A1251,Inventario!L$5:L$505)</f>
        <v/>
      </c>
      <c r="M1252" s="66" t="n"/>
    </row>
    <row r="1253">
      <c r="C1253" s="63" t="inlineStr">
        <is>
          <t>Stock proyectado disponible</t>
        </is>
      </c>
      <c r="D1253" s="67">
        <f>SUMIF(Inventario!$M$5:$M$505,"#"&amp;$A1251,Inventario!$C$5:$C$505)</f>
        <v/>
      </c>
      <c r="E1253" s="68">
        <f>D1253+E1252+E1255-E1251</f>
        <v/>
      </c>
      <c r="F1253" s="68">
        <f>E1253+F1252+F1255-F1251</f>
        <v/>
      </c>
      <c r="G1253" s="68">
        <f>F1253+G1252+G1255-G1251</f>
        <v/>
      </c>
      <c r="H1253" s="68">
        <f>G1253+H1252+H1255-H1251</f>
        <v/>
      </c>
      <c r="I1253" s="68">
        <f>H1253+I1252+I1255-I1251</f>
        <v/>
      </c>
      <c r="J1253" s="68">
        <f>I1253+J1252+J1255-J1251</f>
        <v/>
      </c>
      <c r="K1253" s="68">
        <f>J1253+K1252+K1255-K1251</f>
        <v/>
      </c>
      <c r="L1253" s="68">
        <f>K1253+L1252+L1255-L1251</f>
        <v/>
      </c>
      <c r="M1253" s="66" t="n"/>
    </row>
    <row r="1254">
      <c r="C1254" s="63" t="inlineStr">
        <is>
          <t>Necesidad neta</t>
        </is>
      </c>
      <c r="D1254" s="64" t="n"/>
      <c r="E1254" s="69">
        <f>MAX(0,ROUND(E1251+Materiales!$H$182-D1253-E1252,4))</f>
        <v/>
      </c>
      <c r="F1254" s="69">
        <f>MAX(0,ROUND(F1251+Materiales!$H$182-E1253-F1252,4))</f>
        <v/>
      </c>
      <c r="G1254" s="69">
        <f>MAX(0,ROUND(G1251+Materiales!$H$182-F1253-G1252,4))</f>
        <v/>
      </c>
      <c r="H1254" s="69">
        <f>MAX(0,ROUND(H1251+Materiales!$H$182-G1253-H1252,4))</f>
        <v/>
      </c>
      <c r="I1254" s="69">
        <f>MAX(0,ROUND(I1251+Materiales!$H$182-H1253-I1252,4))</f>
        <v/>
      </c>
      <c r="J1254" s="69">
        <f>MAX(0,ROUND(J1251+Materiales!$H$182-I1253-J1252,4))</f>
        <v/>
      </c>
      <c r="K1254" s="69">
        <f>MAX(0,ROUND(K1251+Materiales!$H$182-J1253-K1252,4))</f>
        <v/>
      </c>
      <c r="L1254" s="69">
        <f>MAX(0,ROUND(L1251+Materiales!$H$182-K1253-L1252,4))</f>
        <v/>
      </c>
      <c r="M1254" s="66" t="n"/>
    </row>
    <row r="1255">
      <c r="C1255" s="63" t="inlineStr">
        <is>
          <t>Recepcion de orden planificada</t>
        </is>
      </c>
      <c r="D1255" s="64" t="n"/>
      <c r="E1255" s="65">
        <f>IF(E1254&lt;=0,0,IF(Materiales!$G$182&lt;=0,E1254,ROUNDUP(E1254/Materiales!$G$182,0)*Materiales!$G$182))</f>
        <v/>
      </c>
      <c r="F1255" s="65">
        <f>IF(F1254&lt;=0,0,IF(Materiales!$G$182&lt;=0,F1254,ROUNDUP(F1254/Materiales!$G$182,0)*Materiales!$G$182))</f>
        <v/>
      </c>
      <c r="G1255" s="65">
        <f>IF(G1254&lt;=0,0,IF(Materiales!$G$182&lt;=0,G1254,ROUNDUP(G1254/Materiales!$G$182,0)*Materiales!$G$182))</f>
        <v/>
      </c>
      <c r="H1255" s="65">
        <f>IF(H1254&lt;=0,0,IF(Materiales!$G$182&lt;=0,H1254,ROUNDUP(H1254/Materiales!$G$182,0)*Materiales!$G$182))</f>
        <v/>
      </c>
      <c r="I1255" s="65">
        <f>IF(I1254&lt;=0,0,IF(Materiales!$G$182&lt;=0,I1254,ROUNDUP(I1254/Materiales!$G$182,0)*Materiales!$G$182))</f>
        <v/>
      </c>
      <c r="J1255" s="65">
        <f>IF(J1254&lt;=0,0,IF(Materiales!$G$182&lt;=0,J1254,ROUNDUP(J1254/Materiales!$G$182,0)*Materiales!$G$182))</f>
        <v/>
      </c>
      <c r="K1255" s="65">
        <f>IF(K1254&lt;=0,0,IF(Materiales!$G$182&lt;=0,K1254,ROUNDUP(K1254/Materiales!$G$182,0)*Materiales!$G$182))</f>
        <v/>
      </c>
      <c r="L1255" s="65">
        <f>IF(L1254&lt;=0,0,IF(Materiales!$G$182&lt;=0,L1254,ROUNDUP(L1254/Materiales!$G$182,0)*Materiales!$G$182))</f>
        <v/>
      </c>
      <c r="M1255" s="66" t="n"/>
    </row>
    <row r="1256">
      <c r="C1256" s="70" t="inlineStr">
        <is>
          <t>LANZAMIENTO DE ORDEN — pedir esta semana</t>
        </is>
      </c>
      <c r="D1256" s="64" t="n"/>
      <c r="E1256" s="71">
        <f>IF(1+Materiales!$F$182&gt;8,0,INDEX($E$1255:$L$1255,1,1+Materiales!$F$182))</f>
        <v/>
      </c>
      <c r="F1256" s="71">
        <f>IF(2+Materiales!$F$182&gt;8,0,INDEX($E$1255:$L$1255,1,2+Materiales!$F$182))</f>
        <v/>
      </c>
      <c r="G1256" s="71">
        <f>IF(3+Materiales!$F$182&gt;8,0,INDEX($E$1255:$L$1255,1,3+Materiales!$F$182))</f>
        <v/>
      </c>
      <c r="H1256" s="71">
        <f>IF(4+Materiales!$F$182&gt;8,0,INDEX($E$1255:$L$1255,1,4+Materiales!$F$182))</f>
        <v/>
      </c>
      <c r="I1256" s="71">
        <f>IF(5+Materiales!$F$182&gt;8,0,INDEX($E$1255:$L$1255,1,5+Materiales!$F$182))</f>
        <v/>
      </c>
      <c r="J1256" s="71">
        <f>IF(6+Materiales!$F$182&gt;8,0,INDEX($E$1255:$L$1255,1,6+Materiales!$F$182))</f>
        <v/>
      </c>
      <c r="K1256" s="71">
        <f>IF(7+Materiales!$F$182&gt;8,0,INDEX($E$1255:$L$1255,1,7+Materiales!$F$182))</f>
        <v/>
      </c>
      <c r="L1256" s="71">
        <f>IF(8+Materiales!$F$182&gt;8,0,INDEX($E$1255:$L$1255,1,8+Materiales!$F$182))</f>
        <v/>
      </c>
      <c r="M1256" s="72">
        <f>IF($A1251="","",IF(SUMPRODUCT((COLUMN($E$1255:$L$1255)-4&lt;=Materiales!$F$182)*$E$1255:$L$1255)&gt;0,"PEDIR YA (atrasado)","OK"))</f>
        <v/>
      </c>
    </row>
    <row r="1257" ht="6" customHeight="1"/>
    <row r="1258">
      <c r="A1258" s="62">
        <f>IF(Materiales!$A$183="","",Materiales!$A$183)</f>
        <v/>
      </c>
      <c r="B1258" s="62">
        <f>IF(Materiales!$B$183="","",Materiales!$B$183)</f>
        <v/>
      </c>
      <c r="C1258" s="63" t="inlineStr">
        <is>
          <t>Necesidad bruta</t>
        </is>
      </c>
      <c r="D1258" s="64" t="n"/>
      <c r="E1258" s="65">
        <f>ROUND(SUMIF(Consumo!$P$4:$P$189,"#"&amp;$A1258,Consumo!H$4:H$189),4)</f>
        <v/>
      </c>
      <c r="F1258" s="65">
        <f>ROUND(SUMIF(Consumo!$P$4:$P$189,"#"&amp;$A1258,Consumo!I$4:I$189),4)</f>
        <v/>
      </c>
      <c r="G1258" s="65">
        <f>ROUND(SUMIF(Consumo!$P$4:$P$189,"#"&amp;$A1258,Consumo!J$4:J$189),4)</f>
        <v/>
      </c>
      <c r="H1258" s="65">
        <f>ROUND(SUMIF(Consumo!$P$4:$P$189,"#"&amp;$A1258,Consumo!K$4:K$189),4)</f>
        <v/>
      </c>
      <c r="I1258" s="65">
        <f>ROUND(SUMIF(Consumo!$P$4:$P$189,"#"&amp;$A1258,Consumo!L$4:L$189),4)</f>
        <v/>
      </c>
      <c r="J1258" s="65">
        <f>ROUND(SUMIF(Consumo!$P$4:$P$189,"#"&amp;$A1258,Consumo!M$4:M$189),4)</f>
        <v/>
      </c>
      <c r="K1258" s="65">
        <f>ROUND(SUMIF(Consumo!$P$4:$P$189,"#"&amp;$A1258,Consumo!N$4:N$189),4)</f>
        <v/>
      </c>
      <c r="L1258" s="65">
        <f>ROUND(SUMIF(Consumo!$P$4:$P$189,"#"&amp;$A1258,Consumo!O$4:O$189),4)</f>
        <v/>
      </c>
      <c r="M1258" s="66" t="n"/>
    </row>
    <row r="1259">
      <c r="C1259" s="63" t="inlineStr">
        <is>
          <t>Recepciones programadas (ya pedido)</t>
        </is>
      </c>
      <c r="D1259" s="64" t="n"/>
      <c r="E1259" s="65">
        <f>SUMIF(Inventario!$M$5:$M$505,"#"&amp;$A1258,Inventario!E$5:E$505)</f>
        <v/>
      </c>
      <c r="F1259" s="65">
        <f>SUMIF(Inventario!$M$5:$M$505,"#"&amp;$A1258,Inventario!F$5:F$505)</f>
        <v/>
      </c>
      <c r="G1259" s="65">
        <f>SUMIF(Inventario!$M$5:$M$505,"#"&amp;$A1258,Inventario!G$5:G$505)</f>
        <v/>
      </c>
      <c r="H1259" s="65">
        <f>SUMIF(Inventario!$M$5:$M$505,"#"&amp;$A1258,Inventario!H$5:H$505)</f>
        <v/>
      </c>
      <c r="I1259" s="65">
        <f>SUMIF(Inventario!$M$5:$M$505,"#"&amp;$A1258,Inventario!I$5:I$505)</f>
        <v/>
      </c>
      <c r="J1259" s="65">
        <f>SUMIF(Inventario!$M$5:$M$505,"#"&amp;$A1258,Inventario!J$5:J$505)</f>
        <v/>
      </c>
      <c r="K1259" s="65">
        <f>SUMIF(Inventario!$M$5:$M$505,"#"&amp;$A1258,Inventario!K$5:K$505)</f>
        <v/>
      </c>
      <c r="L1259" s="65">
        <f>SUMIF(Inventario!$M$5:$M$505,"#"&amp;$A1258,Inventario!L$5:L$505)</f>
        <v/>
      </c>
      <c r="M1259" s="66" t="n"/>
    </row>
    <row r="1260">
      <c r="C1260" s="63" t="inlineStr">
        <is>
          <t>Stock proyectado disponible</t>
        </is>
      </c>
      <c r="D1260" s="67">
        <f>SUMIF(Inventario!$M$5:$M$505,"#"&amp;$A1258,Inventario!$C$5:$C$505)</f>
        <v/>
      </c>
      <c r="E1260" s="68">
        <f>D1260+E1259+E1262-E1258</f>
        <v/>
      </c>
      <c r="F1260" s="68">
        <f>E1260+F1259+F1262-F1258</f>
        <v/>
      </c>
      <c r="G1260" s="68">
        <f>F1260+G1259+G1262-G1258</f>
        <v/>
      </c>
      <c r="H1260" s="68">
        <f>G1260+H1259+H1262-H1258</f>
        <v/>
      </c>
      <c r="I1260" s="68">
        <f>H1260+I1259+I1262-I1258</f>
        <v/>
      </c>
      <c r="J1260" s="68">
        <f>I1260+J1259+J1262-J1258</f>
        <v/>
      </c>
      <c r="K1260" s="68">
        <f>J1260+K1259+K1262-K1258</f>
        <v/>
      </c>
      <c r="L1260" s="68">
        <f>K1260+L1259+L1262-L1258</f>
        <v/>
      </c>
      <c r="M1260" s="66" t="n"/>
    </row>
    <row r="1261">
      <c r="C1261" s="63" t="inlineStr">
        <is>
          <t>Necesidad neta</t>
        </is>
      </c>
      <c r="D1261" s="64" t="n"/>
      <c r="E1261" s="69">
        <f>MAX(0,ROUND(E1258+Materiales!$H$183-D1260-E1259,4))</f>
        <v/>
      </c>
      <c r="F1261" s="69">
        <f>MAX(0,ROUND(F1258+Materiales!$H$183-E1260-F1259,4))</f>
        <v/>
      </c>
      <c r="G1261" s="69">
        <f>MAX(0,ROUND(G1258+Materiales!$H$183-F1260-G1259,4))</f>
        <v/>
      </c>
      <c r="H1261" s="69">
        <f>MAX(0,ROUND(H1258+Materiales!$H$183-G1260-H1259,4))</f>
        <v/>
      </c>
      <c r="I1261" s="69">
        <f>MAX(0,ROUND(I1258+Materiales!$H$183-H1260-I1259,4))</f>
        <v/>
      </c>
      <c r="J1261" s="69">
        <f>MAX(0,ROUND(J1258+Materiales!$H$183-I1260-J1259,4))</f>
        <v/>
      </c>
      <c r="K1261" s="69">
        <f>MAX(0,ROUND(K1258+Materiales!$H$183-J1260-K1259,4))</f>
        <v/>
      </c>
      <c r="L1261" s="69">
        <f>MAX(0,ROUND(L1258+Materiales!$H$183-K1260-L1259,4))</f>
        <v/>
      </c>
      <c r="M1261" s="66" t="n"/>
    </row>
    <row r="1262">
      <c r="C1262" s="63" t="inlineStr">
        <is>
          <t>Recepcion de orden planificada</t>
        </is>
      </c>
      <c r="D1262" s="64" t="n"/>
      <c r="E1262" s="65">
        <f>IF(E1261&lt;=0,0,IF(Materiales!$G$183&lt;=0,E1261,ROUNDUP(E1261/Materiales!$G$183,0)*Materiales!$G$183))</f>
        <v/>
      </c>
      <c r="F1262" s="65">
        <f>IF(F1261&lt;=0,0,IF(Materiales!$G$183&lt;=0,F1261,ROUNDUP(F1261/Materiales!$G$183,0)*Materiales!$G$183))</f>
        <v/>
      </c>
      <c r="G1262" s="65">
        <f>IF(G1261&lt;=0,0,IF(Materiales!$G$183&lt;=0,G1261,ROUNDUP(G1261/Materiales!$G$183,0)*Materiales!$G$183))</f>
        <v/>
      </c>
      <c r="H1262" s="65">
        <f>IF(H1261&lt;=0,0,IF(Materiales!$G$183&lt;=0,H1261,ROUNDUP(H1261/Materiales!$G$183,0)*Materiales!$G$183))</f>
        <v/>
      </c>
      <c r="I1262" s="65">
        <f>IF(I1261&lt;=0,0,IF(Materiales!$G$183&lt;=0,I1261,ROUNDUP(I1261/Materiales!$G$183,0)*Materiales!$G$183))</f>
        <v/>
      </c>
      <c r="J1262" s="65">
        <f>IF(J1261&lt;=0,0,IF(Materiales!$G$183&lt;=0,J1261,ROUNDUP(J1261/Materiales!$G$183,0)*Materiales!$G$183))</f>
        <v/>
      </c>
      <c r="K1262" s="65">
        <f>IF(K1261&lt;=0,0,IF(Materiales!$G$183&lt;=0,K1261,ROUNDUP(K1261/Materiales!$G$183,0)*Materiales!$G$183))</f>
        <v/>
      </c>
      <c r="L1262" s="65">
        <f>IF(L1261&lt;=0,0,IF(Materiales!$G$183&lt;=0,L1261,ROUNDUP(L1261/Materiales!$G$183,0)*Materiales!$G$183))</f>
        <v/>
      </c>
      <c r="M1262" s="66" t="n"/>
    </row>
    <row r="1263">
      <c r="C1263" s="70" t="inlineStr">
        <is>
          <t>LANZAMIENTO DE ORDEN — pedir esta semana</t>
        </is>
      </c>
      <c r="D1263" s="64" t="n"/>
      <c r="E1263" s="71">
        <f>IF(1+Materiales!$F$183&gt;8,0,INDEX($E$1262:$L$1262,1,1+Materiales!$F$183))</f>
        <v/>
      </c>
      <c r="F1263" s="71">
        <f>IF(2+Materiales!$F$183&gt;8,0,INDEX($E$1262:$L$1262,1,2+Materiales!$F$183))</f>
        <v/>
      </c>
      <c r="G1263" s="71">
        <f>IF(3+Materiales!$F$183&gt;8,0,INDEX($E$1262:$L$1262,1,3+Materiales!$F$183))</f>
        <v/>
      </c>
      <c r="H1263" s="71">
        <f>IF(4+Materiales!$F$183&gt;8,0,INDEX($E$1262:$L$1262,1,4+Materiales!$F$183))</f>
        <v/>
      </c>
      <c r="I1263" s="71">
        <f>IF(5+Materiales!$F$183&gt;8,0,INDEX($E$1262:$L$1262,1,5+Materiales!$F$183))</f>
        <v/>
      </c>
      <c r="J1263" s="71">
        <f>IF(6+Materiales!$F$183&gt;8,0,INDEX($E$1262:$L$1262,1,6+Materiales!$F$183))</f>
        <v/>
      </c>
      <c r="K1263" s="71">
        <f>IF(7+Materiales!$F$183&gt;8,0,INDEX($E$1262:$L$1262,1,7+Materiales!$F$183))</f>
        <v/>
      </c>
      <c r="L1263" s="71">
        <f>IF(8+Materiales!$F$183&gt;8,0,INDEX($E$1262:$L$1262,1,8+Materiales!$F$183))</f>
        <v/>
      </c>
      <c r="M1263" s="72">
        <f>IF($A1258="","",IF(SUMPRODUCT((COLUMN($E$1262:$L$1262)-4&lt;=Materiales!$F$183)*$E$1262:$L$1262)&gt;0,"PEDIR YA (atrasado)","OK"))</f>
        <v/>
      </c>
    </row>
    <row r="1264" ht="6" customHeight="1"/>
    <row r="1265">
      <c r="A1265" s="62">
        <f>IF(Materiales!$A$184="","",Materiales!$A$184)</f>
        <v/>
      </c>
      <c r="B1265" s="62">
        <f>IF(Materiales!$B$184="","",Materiales!$B$184)</f>
        <v/>
      </c>
      <c r="C1265" s="63" t="inlineStr">
        <is>
          <t>Necesidad bruta</t>
        </is>
      </c>
      <c r="D1265" s="64" t="n"/>
      <c r="E1265" s="65">
        <f>ROUND(SUMIF(Consumo!$P$4:$P$189,"#"&amp;$A1265,Consumo!H$4:H$189),4)</f>
        <v/>
      </c>
      <c r="F1265" s="65">
        <f>ROUND(SUMIF(Consumo!$P$4:$P$189,"#"&amp;$A1265,Consumo!I$4:I$189),4)</f>
        <v/>
      </c>
      <c r="G1265" s="65">
        <f>ROUND(SUMIF(Consumo!$P$4:$P$189,"#"&amp;$A1265,Consumo!J$4:J$189),4)</f>
        <v/>
      </c>
      <c r="H1265" s="65">
        <f>ROUND(SUMIF(Consumo!$P$4:$P$189,"#"&amp;$A1265,Consumo!K$4:K$189),4)</f>
        <v/>
      </c>
      <c r="I1265" s="65">
        <f>ROUND(SUMIF(Consumo!$P$4:$P$189,"#"&amp;$A1265,Consumo!L$4:L$189),4)</f>
        <v/>
      </c>
      <c r="J1265" s="65">
        <f>ROUND(SUMIF(Consumo!$P$4:$P$189,"#"&amp;$A1265,Consumo!M$4:M$189),4)</f>
        <v/>
      </c>
      <c r="K1265" s="65">
        <f>ROUND(SUMIF(Consumo!$P$4:$P$189,"#"&amp;$A1265,Consumo!N$4:N$189),4)</f>
        <v/>
      </c>
      <c r="L1265" s="65">
        <f>ROUND(SUMIF(Consumo!$P$4:$P$189,"#"&amp;$A1265,Consumo!O$4:O$189),4)</f>
        <v/>
      </c>
      <c r="M1265" s="66" t="n"/>
    </row>
    <row r="1266">
      <c r="C1266" s="63" t="inlineStr">
        <is>
          <t>Recepciones programadas (ya pedido)</t>
        </is>
      </c>
      <c r="D1266" s="64" t="n"/>
      <c r="E1266" s="65">
        <f>SUMIF(Inventario!$M$5:$M$505,"#"&amp;$A1265,Inventario!E$5:E$505)</f>
        <v/>
      </c>
      <c r="F1266" s="65">
        <f>SUMIF(Inventario!$M$5:$M$505,"#"&amp;$A1265,Inventario!F$5:F$505)</f>
        <v/>
      </c>
      <c r="G1266" s="65">
        <f>SUMIF(Inventario!$M$5:$M$505,"#"&amp;$A1265,Inventario!G$5:G$505)</f>
        <v/>
      </c>
      <c r="H1266" s="65">
        <f>SUMIF(Inventario!$M$5:$M$505,"#"&amp;$A1265,Inventario!H$5:H$505)</f>
        <v/>
      </c>
      <c r="I1266" s="65">
        <f>SUMIF(Inventario!$M$5:$M$505,"#"&amp;$A1265,Inventario!I$5:I$505)</f>
        <v/>
      </c>
      <c r="J1266" s="65">
        <f>SUMIF(Inventario!$M$5:$M$505,"#"&amp;$A1265,Inventario!J$5:J$505)</f>
        <v/>
      </c>
      <c r="K1266" s="65">
        <f>SUMIF(Inventario!$M$5:$M$505,"#"&amp;$A1265,Inventario!K$5:K$505)</f>
        <v/>
      </c>
      <c r="L1266" s="65">
        <f>SUMIF(Inventario!$M$5:$M$505,"#"&amp;$A1265,Inventario!L$5:L$505)</f>
        <v/>
      </c>
      <c r="M1266" s="66" t="n"/>
    </row>
    <row r="1267">
      <c r="C1267" s="63" t="inlineStr">
        <is>
          <t>Stock proyectado disponible</t>
        </is>
      </c>
      <c r="D1267" s="67">
        <f>SUMIF(Inventario!$M$5:$M$505,"#"&amp;$A1265,Inventario!$C$5:$C$505)</f>
        <v/>
      </c>
      <c r="E1267" s="68">
        <f>D1267+E1266+E1269-E1265</f>
        <v/>
      </c>
      <c r="F1267" s="68">
        <f>E1267+F1266+F1269-F1265</f>
        <v/>
      </c>
      <c r="G1267" s="68">
        <f>F1267+G1266+G1269-G1265</f>
        <v/>
      </c>
      <c r="H1267" s="68">
        <f>G1267+H1266+H1269-H1265</f>
        <v/>
      </c>
      <c r="I1267" s="68">
        <f>H1267+I1266+I1269-I1265</f>
        <v/>
      </c>
      <c r="J1267" s="68">
        <f>I1267+J1266+J1269-J1265</f>
        <v/>
      </c>
      <c r="K1267" s="68">
        <f>J1267+K1266+K1269-K1265</f>
        <v/>
      </c>
      <c r="L1267" s="68">
        <f>K1267+L1266+L1269-L1265</f>
        <v/>
      </c>
      <c r="M1267" s="66" t="n"/>
    </row>
    <row r="1268">
      <c r="C1268" s="63" t="inlineStr">
        <is>
          <t>Necesidad neta</t>
        </is>
      </c>
      <c r="D1268" s="64" t="n"/>
      <c r="E1268" s="69">
        <f>MAX(0,ROUND(E1265+Materiales!$H$184-D1267-E1266,4))</f>
        <v/>
      </c>
      <c r="F1268" s="69">
        <f>MAX(0,ROUND(F1265+Materiales!$H$184-E1267-F1266,4))</f>
        <v/>
      </c>
      <c r="G1268" s="69">
        <f>MAX(0,ROUND(G1265+Materiales!$H$184-F1267-G1266,4))</f>
        <v/>
      </c>
      <c r="H1268" s="69">
        <f>MAX(0,ROUND(H1265+Materiales!$H$184-G1267-H1266,4))</f>
        <v/>
      </c>
      <c r="I1268" s="69">
        <f>MAX(0,ROUND(I1265+Materiales!$H$184-H1267-I1266,4))</f>
        <v/>
      </c>
      <c r="J1268" s="69">
        <f>MAX(0,ROUND(J1265+Materiales!$H$184-I1267-J1266,4))</f>
        <v/>
      </c>
      <c r="K1268" s="69">
        <f>MAX(0,ROUND(K1265+Materiales!$H$184-J1267-K1266,4))</f>
        <v/>
      </c>
      <c r="L1268" s="69">
        <f>MAX(0,ROUND(L1265+Materiales!$H$184-K1267-L1266,4))</f>
        <v/>
      </c>
      <c r="M1268" s="66" t="n"/>
    </row>
    <row r="1269">
      <c r="C1269" s="63" t="inlineStr">
        <is>
          <t>Recepcion de orden planificada</t>
        </is>
      </c>
      <c r="D1269" s="64" t="n"/>
      <c r="E1269" s="65">
        <f>IF(E1268&lt;=0,0,IF(Materiales!$G$184&lt;=0,E1268,ROUNDUP(E1268/Materiales!$G$184,0)*Materiales!$G$184))</f>
        <v/>
      </c>
      <c r="F1269" s="65">
        <f>IF(F1268&lt;=0,0,IF(Materiales!$G$184&lt;=0,F1268,ROUNDUP(F1268/Materiales!$G$184,0)*Materiales!$G$184))</f>
        <v/>
      </c>
      <c r="G1269" s="65">
        <f>IF(G1268&lt;=0,0,IF(Materiales!$G$184&lt;=0,G1268,ROUNDUP(G1268/Materiales!$G$184,0)*Materiales!$G$184))</f>
        <v/>
      </c>
      <c r="H1269" s="65">
        <f>IF(H1268&lt;=0,0,IF(Materiales!$G$184&lt;=0,H1268,ROUNDUP(H1268/Materiales!$G$184,0)*Materiales!$G$184))</f>
        <v/>
      </c>
      <c r="I1269" s="65">
        <f>IF(I1268&lt;=0,0,IF(Materiales!$G$184&lt;=0,I1268,ROUNDUP(I1268/Materiales!$G$184,0)*Materiales!$G$184))</f>
        <v/>
      </c>
      <c r="J1269" s="65">
        <f>IF(J1268&lt;=0,0,IF(Materiales!$G$184&lt;=0,J1268,ROUNDUP(J1268/Materiales!$G$184,0)*Materiales!$G$184))</f>
        <v/>
      </c>
      <c r="K1269" s="65">
        <f>IF(K1268&lt;=0,0,IF(Materiales!$G$184&lt;=0,K1268,ROUNDUP(K1268/Materiales!$G$184,0)*Materiales!$G$184))</f>
        <v/>
      </c>
      <c r="L1269" s="65">
        <f>IF(L1268&lt;=0,0,IF(Materiales!$G$184&lt;=0,L1268,ROUNDUP(L1268/Materiales!$G$184,0)*Materiales!$G$184))</f>
        <v/>
      </c>
      <c r="M1269" s="66" t="n"/>
    </row>
    <row r="1270">
      <c r="C1270" s="70" t="inlineStr">
        <is>
          <t>LANZAMIENTO DE ORDEN — pedir esta semana</t>
        </is>
      </c>
      <c r="D1270" s="64" t="n"/>
      <c r="E1270" s="71">
        <f>IF(1+Materiales!$F$184&gt;8,0,INDEX($E$1269:$L$1269,1,1+Materiales!$F$184))</f>
        <v/>
      </c>
      <c r="F1270" s="71">
        <f>IF(2+Materiales!$F$184&gt;8,0,INDEX($E$1269:$L$1269,1,2+Materiales!$F$184))</f>
        <v/>
      </c>
      <c r="G1270" s="71">
        <f>IF(3+Materiales!$F$184&gt;8,0,INDEX($E$1269:$L$1269,1,3+Materiales!$F$184))</f>
        <v/>
      </c>
      <c r="H1270" s="71">
        <f>IF(4+Materiales!$F$184&gt;8,0,INDEX($E$1269:$L$1269,1,4+Materiales!$F$184))</f>
        <v/>
      </c>
      <c r="I1270" s="71">
        <f>IF(5+Materiales!$F$184&gt;8,0,INDEX($E$1269:$L$1269,1,5+Materiales!$F$184))</f>
        <v/>
      </c>
      <c r="J1270" s="71">
        <f>IF(6+Materiales!$F$184&gt;8,0,INDEX($E$1269:$L$1269,1,6+Materiales!$F$184))</f>
        <v/>
      </c>
      <c r="K1270" s="71">
        <f>IF(7+Materiales!$F$184&gt;8,0,INDEX($E$1269:$L$1269,1,7+Materiales!$F$184))</f>
        <v/>
      </c>
      <c r="L1270" s="71">
        <f>IF(8+Materiales!$F$184&gt;8,0,INDEX($E$1269:$L$1269,1,8+Materiales!$F$184))</f>
        <v/>
      </c>
      <c r="M1270" s="72">
        <f>IF($A1265="","",IF(SUMPRODUCT((COLUMN($E$1269:$L$1269)-4&lt;=Materiales!$F$184)*$E$1269:$L$1269)&gt;0,"PEDIR YA (atrasado)","OK"))</f>
        <v/>
      </c>
    </row>
    <row r="1271" ht="6" customHeight="1"/>
    <row r="1272">
      <c r="A1272" s="62">
        <f>IF(Materiales!$A$185="","",Materiales!$A$185)</f>
        <v/>
      </c>
      <c r="B1272" s="62">
        <f>IF(Materiales!$B$185="","",Materiales!$B$185)</f>
        <v/>
      </c>
      <c r="C1272" s="63" t="inlineStr">
        <is>
          <t>Necesidad bruta</t>
        </is>
      </c>
      <c r="D1272" s="64" t="n"/>
      <c r="E1272" s="65">
        <f>ROUND(SUMIF(Consumo!$P$4:$P$189,"#"&amp;$A1272,Consumo!H$4:H$189),4)</f>
        <v/>
      </c>
      <c r="F1272" s="65">
        <f>ROUND(SUMIF(Consumo!$P$4:$P$189,"#"&amp;$A1272,Consumo!I$4:I$189),4)</f>
        <v/>
      </c>
      <c r="G1272" s="65">
        <f>ROUND(SUMIF(Consumo!$P$4:$P$189,"#"&amp;$A1272,Consumo!J$4:J$189),4)</f>
        <v/>
      </c>
      <c r="H1272" s="65">
        <f>ROUND(SUMIF(Consumo!$P$4:$P$189,"#"&amp;$A1272,Consumo!K$4:K$189),4)</f>
        <v/>
      </c>
      <c r="I1272" s="65">
        <f>ROUND(SUMIF(Consumo!$P$4:$P$189,"#"&amp;$A1272,Consumo!L$4:L$189),4)</f>
        <v/>
      </c>
      <c r="J1272" s="65">
        <f>ROUND(SUMIF(Consumo!$P$4:$P$189,"#"&amp;$A1272,Consumo!M$4:M$189),4)</f>
        <v/>
      </c>
      <c r="K1272" s="65">
        <f>ROUND(SUMIF(Consumo!$P$4:$P$189,"#"&amp;$A1272,Consumo!N$4:N$189),4)</f>
        <v/>
      </c>
      <c r="L1272" s="65">
        <f>ROUND(SUMIF(Consumo!$P$4:$P$189,"#"&amp;$A1272,Consumo!O$4:O$189),4)</f>
        <v/>
      </c>
      <c r="M1272" s="66" t="n"/>
    </row>
    <row r="1273">
      <c r="C1273" s="63" t="inlineStr">
        <is>
          <t>Recepciones programadas (ya pedido)</t>
        </is>
      </c>
      <c r="D1273" s="64" t="n"/>
      <c r="E1273" s="65">
        <f>SUMIF(Inventario!$M$5:$M$505,"#"&amp;$A1272,Inventario!E$5:E$505)</f>
        <v/>
      </c>
      <c r="F1273" s="65">
        <f>SUMIF(Inventario!$M$5:$M$505,"#"&amp;$A1272,Inventario!F$5:F$505)</f>
        <v/>
      </c>
      <c r="G1273" s="65">
        <f>SUMIF(Inventario!$M$5:$M$505,"#"&amp;$A1272,Inventario!G$5:G$505)</f>
        <v/>
      </c>
      <c r="H1273" s="65">
        <f>SUMIF(Inventario!$M$5:$M$505,"#"&amp;$A1272,Inventario!H$5:H$505)</f>
        <v/>
      </c>
      <c r="I1273" s="65">
        <f>SUMIF(Inventario!$M$5:$M$505,"#"&amp;$A1272,Inventario!I$5:I$505)</f>
        <v/>
      </c>
      <c r="J1273" s="65">
        <f>SUMIF(Inventario!$M$5:$M$505,"#"&amp;$A1272,Inventario!J$5:J$505)</f>
        <v/>
      </c>
      <c r="K1273" s="65">
        <f>SUMIF(Inventario!$M$5:$M$505,"#"&amp;$A1272,Inventario!K$5:K$505)</f>
        <v/>
      </c>
      <c r="L1273" s="65">
        <f>SUMIF(Inventario!$M$5:$M$505,"#"&amp;$A1272,Inventario!L$5:L$505)</f>
        <v/>
      </c>
      <c r="M1273" s="66" t="n"/>
    </row>
    <row r="1274">
      <c r="C1274" s="63" t="inlineStr">
        <is>
          <t>Stock proyectado disponible</t>
        </is>
      </c>
      <c r="D1274" s="67">
        <f>SUMIF(Inventario!$M$5:$M$505,"#"&amp;$A1272,Inventario!$C$5:$C$505)</f>
        <v/>
      </c>
      <c r="E1274" s="68">
        <f>D1274+E1273+E1276-E1272</f>
        <v/>
      </c>
      <c r="F1274" s="68">
        <f>E1274+F1273+F1276-F1272</f>
        <v/>
      </c>
      <c r="G1274" s="68">
        <f>F1274+G1273+G1276-G1272</f>
        <v/>
      </c>
      <c r="H1274" s="68">
        <f>G1274+H1273+H1276-H1272</f>
        <v/>
      </c>
      <c r="I1274" s="68">
        <f>H1274+I1273+I1276-I1272</f>
        <v/>
      </c>
      <c r="J1274" s="68">
        <f>I1274+J1273+J1276-J1272</f>
        <v/>
      </c>
      <c r="K1274" s="68">
        <f>J1274+K1273+K1276-K1272</f>
        <v/>
      </c>
      <c r="L1274" s="68">
        <f>K1274+L1273+L1276-L1272</f>
        <v/>
      </c>
      <c r="M1274" s="66" t="n"/>
    </row>
    <row r="1275">
      <c r="C1275" s="63" t="inlineStr">
        <is>
          <t>Necesidad neta</t>
        </is>
      </c>
      <c r="D1275" s="64" t="n"/>
      <c r="E1275" s="69">
        <f>MAX(0,ROUND(E1272+Materiales!$H$185-D1274-E1273,4))</f>
        <v/>
      </c>
      <c r="F1275" s="69">
        <f>MAX(0,ROUND(F1272+Materiales!$H$185-E1274-F1273,4))</f>
        <v/>
      </c>
      <c r="G1275" s="69">
        <f>MAX(0,ROUND(G1272+Materiales!$H$185-F1274-G1273,4))</f>
        <v/>
      </c>
      <c r="H1275" s="69">
        <f>MAX(0,ROUND(H1272+Materiales!$H$185-G1274-H1273,4))</f>
        <v/>
      </c>
      <c r="I1275" s="69">
        <f>MAX(0,ROUND(I1272+Materiales!$H$185-H1274-I1273,4))</f>
        <v/>
      </c>
      <c r="J1275" s="69">
        <f>MAX(0,ROUND(J1272+Materiales!$H$185-I1274-J1273,4))</f>
        <v/>
      </c>
      <c r="K1275" s="69">
        <f>MAX(0,ROUND(K1272+Materiales!$H$185-J1274-K1273,4))</f>
        <v/>
      </c>
      <c r="L1275" s="69">
        <f>MAX(0,ROUND(L1272+Materiales!$H$185-K1274-L1273,4))</f>
        <v/>
      </c>
      <c r="M1275" s="66" t="n"/>
    </row>
    <row r="1276">
      <c r="C1276" s="63" t="inlineStr">
        <is>
          <t>Recepcion de orden planificada</t>
        </is>
      </c>
      <c r="D1276" s="64" t="n"/>
      <c r="E1276" s="65">
        <f>IF(E1275&lt;=0,0,IF(Materiales!$G$185&lt;=0,E1275,ROUNDUP(E1275/Materiales!$G$185,0)*Materiales!$G$185))</f>
        <v/>
      </c>
      <c r="F1276" s="65">
        <f>IF(F1275&lt;=0,0,IF(Materiales!$G$185&lt;=0,F1275,ROUNDUP(F1275/Materiales!$G$185,0)*Materiales!$G$185))</f>
        <v/>
      </c>
      <c r="G1276" s="65">
        <f>IF(G1275&lt;=0,0,IF(Materiales!$G$185&lt;=0,G1275,ROUNDUP(G1275/Materiales!$G$185,0)*Materiales!$G$185))</f>
        <v/>
      </c>
      <c r="H1276" s="65">
        <f>IF(H1275&lt;=0,0,IF(Materiales!$G$185&lt;=0,H1275,ROUNDUP(H1275/Materiales!$G$185,0)*Materiales!$G$185))</f>
        <v/>
      </c>
      <c r="I1276" s="65">
        <f>IF(I1275&lt;=0,0,IF(Materiales!$G$185&lt;=0,I1275,ROUNDUP(I1275/Materiales!$G$185,0)*Materiales!$G$185))</f>
        <v/>
      </c>
      <c r="J1276" s="65">
        <f>IF(J1275&lt;=0,0,IF(Materiales!$G$185&lt;=0,J1275,ROUNDUP(J1275/Materiales!$G$185,0)*Materiales!$G$185))</f>
        <v/>
      </c>
      <c r="K1276" s="65">
        <f>IF(K1275&lt;=0,0,IF(Materiales!$G$185&lt;=0,K1275,ROUNDUP(K1275/Materiales!$G$185,0)*Materiales!$G$185))</f>
        <v/>
      </c>
      <c r="L1276" s="65">
        <f>IF(L1275&lt;=0,0,IF(Materiales!$G$185&lt;=0,L1275,ROUNDUP(L1275/Materiales!$G$185,0)*Materiales!$G$185))</f>
        <v/>
      </c>
      <c r="M1276" s="66" t="n"/>
    </row>
    <row r="1277">
      <c r="C1277" s="70" t="inlineStr">
        <is>
          <t>LANZAMIENTO DE ORDEN — pedir esta semana</t>
        </is>
      </c>
      <c r="D1277" s="64" t="n"/>
      <c r="E1277" s="71">
        <f>IF(1+Materiales!$F$185&gt;8,0,INDEX($E$1276:$L$1276,1,1+Materiales!$F$185))</f>
        <v/>
      </c>
      <c r="F1277" s="71">
        <f>IF(2+Materiales!$F$185&gt;8,0,INDEX($E$1276:$L$1276,1,2+Materiales!$F$185))</f>
        <v/>
      </c>
      <c r="G1277" s="71">
        <f>IF(3+Materiales!$F$185&gt;8,0,INDEX($E$1276:$L$1276,1,3+Materiales!$F$185))</f>
        <v/>
      </c>
      <c r="H1277" s="71">
        <f>IF(4+Materiales!$F$185&gt;8,0,INDEX($E$1276:$L$1276,1,4+Materiales!$F$185))</f>
        <v/>
      </c>
      <c r="I1277" s="71">
        <f>IF(5+Materiales!$F$185&gt;8,0,INDEX($E$1276:$L$1276,1,5+Materiales!$F$185))</f>
        <v/>
      </c>
      <c r="J1277" s="71">
        <f>IF(6+Materiales!$F$185&gt;8,0,INDEX($E$1276:$L$1276,1,6+Materiales!$F$185))</f>
        <v/>
      </c>
      <c r="K1277" s="71">
        <f>IF(7+Materiales!$F$185&gt;8,0,INDEX($E$1276:$L$1276,1,7+Materiales!$F$185))</f>
        <v/>
      </c>
      <c r="L1277" s="71">
        <f>IF(8+Materiales!$F$185&gt;8,0,INDEX($E$1276:$L$1276,1,8+Materiales!$F$185))</f>
        <v/>
      </c>
      <c r="M1277" s="72">
        <f>IF($A1272="","",IF(SUMPRODUCT((COLUMN($E$1276:$L$1276)-4&lt;=Materiales!$F$185)*$E$1276:$L$1276)&gt;0,"PEDIR YA (atrasado)","OK"))</f>
        <v/>
      </c>
    </row>
    <row r="1278" ht="6" customHeight="1"/>
    <row r="1279">
      <c r="A1279" s="62">
        <f>IF(Materiales!$A$186="","",Materiales!$A$186)</f>
        <v/>
      </c>
      <c r="B1279" s="62">
        <f>IF(Materiales!$B$186="","",Materiales!$B$186)</f>
        <v/>
      </c>
      <c r="C1279" s="63" t="inlineStr">
        <is>
          <t>Necesidad bruta</t>
        </is>
      </c>
      <c r="D1279" s="64" t="n"/>
      <c r="E1279" s="65">
        <f>ROUND(SUMIF(Consumo!$P$4:$P$189,"#"&amp;$A1279,Consumo!H$4:H$189),4)</f>
        <v/>
      </c>
      <c r="F1279" s="65">
        <f>ROUND(SUMIF(Consumo!$P$4:$P$189,"#"&amp;$A1279,Consumo!I$4:I$189),4)</f>
        <v/>
      </c>
      <c r="G1279" s="65">
        <f>ROUND(SUMIF(Consumo!$P$4:$P$189,"#"&amp;$A1279,Consumo!J$4:J$189),4)</f>
        <v/>
      </c>
      <c r="H1279" s="65">
        <f>ROUND(SUMIF(Consumo!$P$4:$P$189,"#"&amp;$A1279,Consumo!K$4:K$189),4)</f>
        <v/>
      </c>
      <c r="I1279" s="65">
        <f>ROUND(SUMIF(Consumo!$P$4:$P$189,"#"&amp;$A1279,Consumo!L$4:L$189),4)</f>
        <v/>
      </c>
      <c r="J1279" s="65">
        <f>ROUND(SUMIF(Consumo!$P$4:$P$189,"#"&amp;$A1279,Consumo!M$4:M$189),4)</f>
        <v/>
      </c>
      <c r="K1279" s="65">
        <f>ROUND(SUMIF(Consumo!$P$4:$P$189,"#"&amp;$A1279,Consumo!N$4:N$189),4)</f>
        <v/>
      </c>
      <c r="L1279" s="65">
        <f>ROUND(SUMIF(Consumo!$P$4:$P$189,"#"&amp;$A1279,Consumo!O$4:O$189),4)</f>
        <v/>
      </c>
      <c r="M1279" s="66" t="n"/>
    </row>
    <row r="1280">
      <c r="C1280" s="63" t="inlineStr">
        <is>
          <t>Recepciones programadas (ya pedido)</t>
        </is>
      </c>
      <c r="D1280" s="64" t="n"/>
      <c r="E1280" s="65">
        <f>SUMIF(Inventario!$M$5:$M$505,"#"&amp;$A1279,Inventario!E$5:E$505)</f>
        <v/>
      </c>
      <c r="F1280" s="65">
        <f>SUMIF(Inventario!$M$5:$M$505,"#"&amp;$A1279,Inventario!F$5:F$505)</f>
        <v/>
      </c>
      <c r="G1280" s="65">
        <f>SUMIF(Inventario!$M$5:$M$505,"#"&amp;$A1279,Inventario!G$5:G$505)</f>
        <v/>
      </c>
      <c r="H1280" s="65">
        <f>SUMIF(Inventario!$M$5:$M$505,"#"&amp;$A1279,Inventario!H$5:H$505)</f>
        <v/>
      </c>
      <c r="I1280" s="65">
        <f>SUMIF(Inventario!$M$5:$M$505,"#"&amp;$A1279,Inventario!I$5:I$505)</f>
        <v/>
      </c>
      <c r="J1280" s="65">
        <f>SUMIF(Inventario!$M$5:$M$505,"#"&amp;$A1279,Inventario!J$5:J$505)</f>
        <v/>
      </c>
      <c r="K1280" s="65">
        <f>SUMIF(Inventario!$M$5:$M$505,"#"&amp;$A1279,Inventario!K$5:K$505)</f>
        <v/>
      </c>
      <c r="L1280" s="65">
        <f>SUMIF(Inventario!$M$5:$M$505,"#"&amp;$A1279,Inventario!L$5:L$505)</f>
        <v/>
      </c>
      <c r="M1280" s="66" t="n"/>
    </row>
    <row r="1281">
      <c r="C1281" s="63" t="inlineStr">
        <is>
          <t>Stock proyectado disponible</t>
        </is>
      </c>
      <c r="D1281" s="67">
        <f>SUMIF(Inventario!$M$5:$M$505,"#"&amp;$A1279,Inventario!$C$5:$C$505)</f>
        <v/>
      </c>
      <c r="E1281" s="68">
        <f>D1281+E1280+E1283-E1279</f>
        <v/>
      </c>
      <c r="F1281" s="68">
        <f>E1281+F1280+F1283-F1279</f>
        <v/>
      </c>
      <c r="G1281" s="68">
        <f>F1281+G1280+G1283-G1279</f>
        <v/>
      </c>
      <c r="H1281" s="68">
        <f>G1281+H1280+H1283-H1279</f>
        <v/>
      </c>
      <c r="I1281" s="68">
        <f>H1281+I1280+I1283-I1279</f>
        <v/>
      </c>
      <c r="J1281" s="68">
        <f>I1281+J1280+J1283-J1279</f>
        <v/>
      </c>
      <c r="K1281" s="68">
        <f>J1281+K1280+K1283-K1279</f>
        <v/>
      </c>
      <c r="L1281" s="68">
        <f>K1281+L1280+L1283-L1279</f>
        <v/>
      </c>
      <c r="M1281" s="66" t="n"/>
    </row>
    <row r="1282">
      <c r="C1282" s="63" t="inlineStr">
        <is>
          <t>Necesidad neta</t>
        </is>
      </c>
      <c r="D1282" s="64" t="n"/>
      <c r="E1282" s="69">
        <f>MAX(0,ROUND(E1279+Materiales!$H$186-D1281-E1280,4))</f>
        <v/>
      </c>
      <c r="F1282" s="69">
        <f>MAX(0,ROUND(F1279+Materiales!$H$186-E1281-F1280,4))</f>
        <v/>
      </c>
      <c r="G1282" s="69">
        <f>MAX(0,ROUND(G1279+Materiales!$H$186-F1281-G1280,4))</f>
        <v/>
      </c>
      <c r="H1282" s="69">
        <f>MAX(0,ROUND(H1279+Materiales!$H$186-G1281-H1280,4))</f>
        <v/>
      </c>
      <c r="I1282" s="69">
        <f>MAX(0,ROUND(I1279+Materiales!$H$186-H1281-I1280,4))</f>
        <v/>
      </c>
      <c r="J1282" s="69">
        <f>MAX(0,ROUND(J1279+Materiales!$H$186-I1281-J1280,4))</f>
        <v/>
      </c>
      <c r="K1282" s="69">
        <f>MAX(0,ROUND(K1279+Materiales!$H$186-J1281-K1280,4))</f>
        <v/>
      </c>
      <c r="L1282" s="69">
        <f>MAX(0,ROUND(L1279+Materiales!$H$186-K1281-L1280,4))</f>
        <v/>
      </c>
      <c r="M1282" s="66" t="n"/>
    </row>
    <row r="1283">
      <c r="C1283" s="63" t="inlineStr">
        <is>
          <t>Recepcion de orden planificada</t>
        </is>
      </c>
      <c r="D1283" s="64" t="n"/>
      <c r="E1283" s="65">
        <f>IF(E1282&lt;=0,0,IF(Materiales!$G$186&lt;=0,E1282,ROUNDUP(E1282/Materiales!$G$186,0)*Materiales!$G$186))</f>
        <v/>
      </c>
      <c r="F1283" s="65">
        <f>IF(F1282&lt;=0,0,IF(Materiales!$G$186&lt;=0,F1282,ROUNDUP(F1282/Materiales!$G$186,0)*Materiales!$G$186))</f>
        <v/>
      </c>
      <c r="G1283" s="65">
        <f>IF(G1282&lt;=0,0,IF(Materiales!$G$186&lt;=0,G1282,ROUNDUP(G1282/Materiales!$G$186,0)*Materiales!$G$186))</f>
        <v/>
      </c>
      <c r="H1283" s="65">
        <f>IF(H1282&lt;=0,0,IF(Materiales!$G$186&lt;=0,H1282,ROUNDUP(H1282/Materiales!$G$186,0)*Materiales!$G$186))</f>
        <v/>
      </c>
      <c r="I1283" s="65">
        <f>IF(I1282&lt;=0,0,IF(Materiales!$G$186&lt;=0,I1282,ROUNDUP(I1282/Materiales!$G$186,0)*Materiales!$G$186))</f>
        <v/>
      </c>
      <c r="J1283" s="65">
        <f>IF(J1282&lt;=0,0,IF(Materiales!$G$186&lt;=0,J1282,ROUNDUP(J1282/Materiales!$G$186,0)*Materiales!$G$186))</f>
        <v/>
      </c>
      <c r="K1283" s="65">
        <f>IF(K1282&lt;=0,0,IF(Materiales!$G$186&lt;=0,K1282,ROUNDUP(K1282/Materiales!$G$186,0)*Materiales!$G$186))</f>
        <v/>
      </c>
      <c r="L1283" s="65">
        <f>IF(L1282&lt;=0,0,IF(Materiales!$G$186&lt;=0,L1282,ROUNDUP(L1282/Materiales!$G$186,0)*Materiales!$G$186))</f>
        <v/>
      </c>
      <c r="M1283" s="66" t="n"/>
    </row>
    <row r="1284">
      <c r="C1284" s="70" t="inlineStr">
        <is>
          <t>LANZAMIENTO DE ORDEN — pedir esta semana</t>
        </is>
      </c>
      <c r="D1284" s="64" t="n"/>
      <c r="E1284" s="71">
        <f>IF(1+Materiales!$F$186&gt;8,0,INDEX($E$1283:$L$1283,1,1+Materiales!$F$186))</f>
        <v/>
      </c>
      <c r="F1284" s="71">
        <f>IF(2+Materiales!$F$186&gt;8,0,INDEX($E$1283:$L$1283,1,2+Materiales!$F$186))</f>
        <v/>
      </c>
      <c r="G1284" s="71">
        <f>IF(3+Materiales!$F$186&gt;8,0,INDEX($E$1283:$L$1283,1,3+Materiales!$F$186))</f>
        <v/>
      </c>
      <c r="H1284" s="71">
        <f>IF(4+Materiales!$F$186&gt;8,0,INDEX($E$1283:$L$1283,1,4+Materiales!$F$186))</f>
        <v/>
      </c>
      <c r="I1284" s="71">
        <f>IF(5+Materiales!$F$186&gt;8,0,INDEX($E$1283:$L$1283,1,5+Materiales!$F$186))</f>
        <v/>
      </c>
      <c r="J1284" s="71">
        <f>IF(6+Materiales!$F$186&gt;8,0,INDEX($E$1283:$L$1283,1,6+Materiales!$F$186))</f>
        <v/>
      </c>
      <c r="K1284" s="71">
        <f>IF(7+Materiales!$F$186&gt;8,0,INDEX($E$1283:$L$1283,1,7+Materiales!$F$186))</f>
        <v/>
      </c>
      <c r="L1284" s="71">
        <f>IF(8+Materiales!$F$186&gt;8,0,INDEX($E$1283:$L$1283,1,8+Materiales!$F$186))</f>
        <v/>
      </c>
      <c r="M1284" s="72">
        <f>IF($A1279="","",IF(SUMPRODUCT((COLUMN($E$1283:$L$1283)-4&lt;=Materiales!$F$186)*$E$1283:$L$1283)&gt;0,"PEDIR YA (atrasado)","OK"))</f>
        <v/>
      </c>
    </row>
    <row r="1285" ht="6" customHeight="1"/>
    <row r="1286">
      <c r="A1286" s="62">
        <f>IF(Materiales!$A$187="","",Materiales!$A$187)</f>
        <v/>
      </c>
      <c r="B1286" s="62">
        <f>IF(Materiales!$B$187="","",Materiales!$B$187)</f>
        <v/>
      </c>
      <c r="C1286" s="63" t="inlineStr">
        <is>
          <t>Necesidad bruta</t>
        </is>
      </c>
      <c r="D1286" s="64" t="n"/>
      <c r="E1286" s="65">
        <f>ROUND(SUMIF(Consumo!$P$4:$P$189,"#"&amp;$A1286,Consumo!H$4:H$189),4)</f>
        <v/>
      </c>
      <c r="F1286" s="65">
        <f>ROUND(SUMIF(Consumo!$P$4:$P$189,"#"&amp;$A1286,Consumo!I$4:I$189),4)</f>
        <v/>
      </c>
      <c r="G1286" s="65">
        <f>ROUND(SUMIF(Consumo!$P$4:$P$189,"#"&amp;$A1286,Consumo!J$4:J$189),4)</f>
        <v/>
      </c>
      <c r="H1286" s="65">
        <f>ROUND(SUMIF(Consumo!$P$4:$P$189,"#"&amp;$A1286,Consumo!K$4:K$189),4)</f>
        <v/>
      </c>
      <c r="I1286" s="65">
        <f>ROUND(SUMIF(Consumo!$P$4:$P$189,"#"&amp;$A1286,Consumo!L$4:L$189),4)</f>
        <v/>
      </c>
      <c r="J1286" s="65">
        <f>ROUND(SUMIF(Consumo!$P$4:$P$189,"#"&amp;$A1286,Consumo!M$4:M$189),4)</f>
        <v/>
      </c>
      <c r="K1286" s="65">
        <f>ROUND(SUMIF(Consumo!$P$4:$P$189,"#"&amp;$A1286,Consumo!N$4:N$189),4)</f>
        <v/>
      </c>
      <c r="L1286" s="65">
        <f>ROUND(SUMIF(Consumo!$P$4:$P$189,"#"&amp;$A1286,Consumo!O$4:O$189),4)</f>
        <v/>
      </c>
      <c r="M1286" s="66" t="n"/>
    </row>
    <row r="1287">
      <c r="C1287" s="63" t="inlineStr">
        <is>
          <t>Recepciones programadas (ya pedido)</t>
        </is>
      </c>
      <c r="D1287" s="64" t="n"/>
      <c r="E1287" s="65">
        <f>SUMIF(Inventario!$M$5:$M$505,"#"&amp;$A1286,Inventario!E$5:E$505)</f>
        <v/>
      </c>
      <c r="F1287" s="65">
        <f>SUMIF(Inventario!$M$5:$M$505,"#"&amp;$A1286,Inventario!F$5:F$505)</f>
        <v/>
      </c>
      <c r="G1287" s="65">
        <f>SUMIF(Inventario!$M$5:$M$505,"#"&amp;$A1286,Inventario!G$5:G$505)</f>
        <v/>
      </c>
      <c r="H1287" s="65">
        <f>SUMIF(Inventario!$M$5:$M$505,"#"&amp;$A1286,Inventario!H$5:H$505)</f>
        <v/>
      </c>
      <c r="I1287" s="65">
        <f>SUMIF(Inventario!$M$5:$M$505,"#"&amp;$A1286,Inventario!I$5:I$505)</f>
        <v/>
      </c>
      <c r="J1287" s="65">
        <f>SUMIF(Inventario!$M$5:$M$505,"#"&amp;$A1286,Inventario!J$5:J$505)</f>
        <v/>
      </c>
      <c r="K1287" s="65">
        <f>SUMIF(Inventario!$M$5:$M$505,"#"&amp;$A1286,Inventario!K$5:K$505)</f>
        <v/>
      </c>
      <c r="L1287" s="65">
        <f>SUMIF(Inventario!$M$5:$M$505,"#"&amp;$A1286,Inventario!L$5:L$505)</f>
        <v/>
      </c>
      <c r="M1287" s="66" t="n"/>
    </row>
    <row r="1288">
      <c r="C1288" s="63" t="inlineStr">
        <is>
          <t>Stock proyectado disponible</t>
        </is>
      </c>
      <c r="D1288" s="67">
        <f>SUMIF(Inventario!$M$5:$M$505,"#"&amp;$A1286,Inventario!$C$5:$C$505)</f>
        <v/>
      </c>
      <c r="E1288" s="68">
        <f>D1288+E1287+E1290-E1286</f>
        <v/>
      </c>
      <c r="F1288" s="68">
        <f>E1288+F1287+F1290-F1286</f>
        <v/>
      </c>
      <c r="G1288" s="68">
        <f>F1288+G1287+G1290-G1286</f>
        <v/>
      </c>
      <c r="H1288" s="68">
        <f>G1288+H1287+H1290-H1286</f>
        <v/>
      </c>
      <c r="I1288" s="68">
        <f>H1288+I1287+I1290-I1286</f>
        <v/>
      </c>
      <c r="J1288" s="68">
        <f>I1288+J1287+J1290-J1286</f>
        <v/>
      </c>
      <c r="K1288" s="68">
        <f>J1288+K1287+K1290-K1286</f>
        <v/>
      </c>
      <c r="L1288" s="68">
        <f>K1288+L1287+L1290-L1286</f>
        <v/>
      </c>
      <c r="M1288" s="66" t="n"/>
    </row>
    <row r="1289">
      <c r="C1289" s="63" t="inlineStr">
        <is>
          <t>Necesidad neta</t>
        </is>
      </c>
      <c r="D1289" s="64" t="n"/>
      <c r="E1289" s="69">
        <f>MAX(0,ROUND(E1286+Materiales!$H$187-D1288-E1287,4))</f>
        <v/>
      </c>
      <c r="F1289" s="69">
        <f>MAX(0,ROUND(F1286+Materiales!$H$187-E1288-F1287,4))</f>
        <v/>
      </c>
      <c r="G1289" s="69">
        <f>MAX(0,ROUND(G1286+Materiales!$H$187-F1288-G1287,4))</f>
        <v/>
      </c>
      <c r="H1289" s="69">
        <f>MAX(0,ROUND(H1286+Materiales!$H$187-G1288-H1287,4))</f>
        <v/>
      </c>
      <c r="I1289" s="69">
        <f>MAX(0,ROUND(I1286+Materiales!$H$187-H1288-I1287,4))</f>
        <v/>
      </c>
      <c r="J1289" s="69">
        <f>MAX(0,ROUND(J1286+Materiales!$H$187-I1288-J1287,4))</f>
        <v/>
      </c>
      <c r="K1289" s="69">
        <f>MAX(0,ROUND(K1286+Materiales!$H$187-J1288-K1287,4))</f>
        <v/>
      </c>
      <c r="L1289" s="69">
        <f>MAX(0,ROUND(L1286+Materiales!$H$187-K1288-L1287,4))</f>
        <v/>
      </c>
      <c r="M1289" s="66" t="n"/>
    </row>
    <row r="1290">
      <c r="C1290" s="63" t="inlineStr">
        <is>
          <t>Recepcion de orden planificada</t>
        </is>
      </c>
      <c r="D1290" s="64" t="n"/>
      <c r="E1290" s="65">
        <f>IF(E1289&lt;=0,0,IF(Materiales!$G$187&lt;=0,E1289,ROUNDUP(E1289/Materiales!$G$187,0)*Materiales!$G$187))</f>
        <v/>
      </c>
      <c r="F1290" s="65">
        <f>IF(F1289&lt;=0,0,IF(Materiales!$G$187&lt;=0,F1289,ROUNDUP(F1289/Materiales!$G$187,0)*Materiales!$G$187))</f>
        <v/>
      </c>
      <c r="G1290" s="65">
        <f>IF(G1289&lt;=0,0,IF(Materiales!$G$187&lt;=0,G1289,ROUNDUP(G1289/Materiales!$G$187,0)*Materiales!$G$187))</f>
        <v/>
      </c>
      <c r="H1290" s="65">
        <f>IF(H1289&lt;=0,0,IF(Materiales!$G$187&lt;=0,H1289,ROUNDUP(H1289/Materiales!$G$187,0)*Materiales!$G$187))</f>
        <v/>
      </c>
      <c r="I1290" s="65">
        <f>IF(I1289&lt;=0,0,IF(Materiales!$G$187&lt;=0,I1289,ROUNDUP(I1289/Materiales!$G$187,0)*Materiales!$G$187))</f>
        <v/>
      </c>
      <c r="J1290" s="65">
        <f>IF(J1289&lt;=0,0,IF(Materiales!$G$187&lt;=0,J1289,ROUNDUP(J1289/Materiales!$G$187,0)*Materiales!$G$187))</f>
        <v/>
      </c>
      <c r="K1290" s="65">
        <f>IF(K1289&lt;=0,0,IF(Materiales!$G$187&lt;=0,K1289,ROUNDUP(K1289/Materiales!$G$187,0)*Materiales!$G$187))</f>
        <v/>
      </c>
      <c r="L1290" s="65">
        <f>IF(L1289&lt;=0,0,IF(Materiales!$G$187&lt;=0,L1289,ROUNDUP(L1289/Materiales!$G$187,0)*Materiales!$G$187))</f>
        <v/>
      </c>
      <c r="M1290" s="66" t="n"/>
    </row>
    <row r="1291">
      <c r="C1291" s="70" t="inlineStr">
        <is>
          <t>LANZAMIENTO DE ORDEN — pedir esta semana</t>
        </is>
      </c>
      <c r="D1291" s="64" t="n"/>
      <c r="E1291" s="71">
        <f>IF(1+Materiales!$F$187&gt;8,0,INDEX($E$1290:$L$1290,1,1+Materiales!$F$187))</f>
        <v/>
      </c>
      <c r="F1291" s="71">
        <f>IF(2+Materiales!$F$187&gt;8,0,INDEX($E$1290:$L$1290,1,2+Materiales!$F$187))</f>
        <v/>
      </c>
      <c r="G1291" s="71">
        <f>IF(3+Materiales!$F$187&gt;8,0,INDEX($E$1290:$L$1290,1,3+Materiales!$F$187))</f>
        <v/>
      </c>
      <c r="H1291" s="71">
        <f>IF(4+Materiales!$F$187&gt;8,0,INDEX($E$1290:$L$1290,1,4+Materiales!$F$187))</f>
        <v/>
      </c>
      <c r="I1291" s="71">
        <f>IF(5+Materiales!$F$187&gt;8,0,INDEX($E$1290:$L$1290,1,5+Materiales!$F$187))</f>
        <v/>
      </c>
      <c r="J1291" s="71">
        <f>IF(6+Materiales!$F$187&gt;8,0,INDEX($E$1290:$L$1290,1,6+Materiales!$F$187))</f>
        <v/>
      </c>
      <c r="K1291" s="71">
        <f>IF(7+Materiales!$F$187&gt;8,0,INDEX($E$1290:$L$1290,1,7+Materiales!$F$187))</f>
        <v/>
      </c>
      <c r="L1291" s="71">
        <f>IF(8+Materiales!$F$187&gt;8,0,INDEX($E$1290:$L$1290,1,8+Materiales!$F$187))</f>
        <v/>
      </c>
      <c r="M1291" s="72">
        <f>IF($A1286="","",IF(SUMPRODUCT((COLUMN($E$1290:$L$1290)-4&lt;=Materiales!$F$187)*$E$1290:$L$1290)&gt;0,"PEDIR YA (atrasado)","OK"))</f>
        <v/>
      </c>
    </row>
    <row r="1292" ht="6" customHeight="1"/>
    <row r="1293">
      <c r="A1293" s="62">
        <f>IF(Materiales!$A$188="","",Materiales!$A$188)</f>
        <v/>
      </c>
      <c r="B1293" s="62">
        <f>IF(Materiales!$B$188="","",Materiales!$B$188)</f>
        <v/>
      </c>
      <c r="C1293" s="63" t="inlineStr">
        <is>
          <t>Necesidad bruta</t>
        </is>
      </c>
      <c r="D1293" s="64" t="n"/>
      <c r="E1293" s="65">
        <f>ROUND(SUMIF(Consumo!$P$4:$P$189,"#"&amp;$A1293,Consumo!H$4:H$189),4)</f>
        <v/>
      </c>
      <c r="F1293" s="65">
        <f>ROUND(SUMIF(Consumo!$P$4:$P$189,"#"&amp;$A1293,Consumo!I$4:I$189),4)</f>
        <v/>
      </c>
      <c r="G1293" s="65">
        <f>ROUND(SUMIF(Consumo!$P$4:$P$189,"#"&amp;$A1293,Consumo!J$4:J$189),4)</f>
        <v/>
      </c>
      <c r="H1293" s="65">
        <f>ROUND(SUMIF(Consumo!$P$4:$P$189,"#"&amp;$A1293,Consumo!K$4:K$189),4)</f>
        <v/>
      </c>
      <c r="I1293" s="65">
        <f>ROUND(SUMIF(Consumo!$P$4:$P$189,"#"&amp;$A1293,Consumo!L$4:L$189),4)</f>
        <v/>
      </c>
      <c r="J1293" s="65">
        <f>ROUND(SUMIF(Consumo!$P$4:$P$189,"#"&amp;$A1293,Consumo!M$4:M$189),4)</f>
        <v/>
      </c>
      <c r="K1293" s="65">
        <f>ROUND(SUMIF(Consumo!$P$4:$P$189,"#"&amp;$A1293,Consumo!N$4:N$189),4)</f>
        <v/>
      </c>
      <c r="L1293" s="65">
        <f>ROUND(SUMIF(Consumo!$P$4:$P$189,"#"&amp;$A1293,Consumo!O$4:O$189),4)</f>
        <v/>
      </c>
      <c r="M1293" s="66" t="n"/>
    </row>
    <row r="1294">
      <c r="C1294" s="63" t="inlineStr">
        <is>
          <t>Recepciones programadas (ya pedido)</t>
        </is>
      </c>
      <c r="D1294" s="64" t="n"/>
      <c r="E1294" s="65">
        <f>SUMIF(Inventario!$M$5:$M$505,"#"&amp;$A1293,Inventario!E$5:E$505)</f>
        <v/>
      </c>
      <c r="F1294" s="65">
        <f>SUMIF(Inventario!$M$5:$M$505,"#"&amp;$A1293,Inventario!F$5:F$505)</f>
        <v/>
      </c>
      <c r="G1294" s="65">
        <f>SUMIF(Inventario!$M$5:$M$505,"#"&amp;$A1293,Inventario!G$5:G$505)</f>
        <v/>
      </c>
      <c r="H1294" s="65">
        <f>SUMIF(Inventario!$M$5:$M$505,"#"&amp;$A1293,Inventario!H$5:H$505)</f>
        <v/>
      </c>
      <c r="I1294" s="65">
        <f>SUMIF(Inventario!$M$5:$M$505,"#"&amp;$A1293,Inventario!I$5:I$505)</f>
        <v/>
      </c>
      <c r="J1294" s="65">
        <f>SUMIF(Inventario!$M$5:$M$505,"#"&amp;$A1293,Inventario!J$5:J$505)</f>
        <v/>
      </c>
      <c r="K1294" s="65">
        <f>SUMIF(Inventario!$M$5:$M$505,"#"&amp;$A1293,Inventario!K$5:K$505)</f>
        <v/>
      </c>
      <c r="L1294" s="65">
        <f>SUMIF(Inventario!$M$5:$M$505,"#"&amp;$A1293,Inventario!L$5:L$505)</f>
        <v/>
      </c>
      <c r="M1294" s="66" t="n"/>
    </row>
    <row r="1295">
      <c r="C1295" s="63" t="inlineStr">
        <is>
          <t>Stock proyectado disponible</t>
        </is>
      </c>
      <c r="D1295" s="67">
        <f>SUMIF(Inventario!$M$5:$M$505,"#"&amp;$A1293,Inventario!$C$5:$C$505)</f>
        <v/>
      </c>
      <c r="E1295" s="68">
        <f>D1295+E1294+E1297-E1293</f>
        <v/>
      </c>
      <c r="F1295" s="68">
        <f>E1295+F1294+F1297-F1293</f>
        <v/>
      </c>
      <c r="G1295" s="68">
        <f>F1295+G1294+G1297-G1293</f>
        <v/>
      </c>
      <c r="H1295" s="68">
        <f>G1295+H1294+H1297-H1293</f>
        <v/>
      </c>
      <c r="I1295" s="68">
        <f>H1295+I1294+I1297-I1293</f>
        <v/>
      </c>
      <c r="J1295" s="68">
        <f>I1295+J1294+J1297-J1293</f>
        <v/>
      </c>
      <c r="K1295" s="68">
        <f>J1295+K1294+K1297-K1293</f>
        <v/>
      </c>
      <c r="L1295" s="68">
        <f>K1295+L1294+L1297-L1293</f>
        <v/>
      </c>
      <c r="M1295" s="66" t="n"/>
    </row>
    <row r="1296">
      <c r="C1296" s="63" t="inlineStr">
        <is>
          <t>Necesidad neta</t>
        </is>
      </c>
      <c r="D1296" s="64" t="n"/>
      <c r="E1296" s="69">
        <f>MAX(0,ROUND(E1293+Materiales!$H$188-D1295-E1294,4))</f>
        <v/>
      </c>
      <c r="F1296" s="69">
        <f>MAX(0,ROUND(F1293+Materiales!$H$188-E1295-F1294,4))</f>
        <v/>
      </c>
      <c r="G1296" s="69">
        <f>MAX(0,ROUND(G1293+Materiales!$H$188-F1295-G1294,4))</f>
        <v/>
      </c>
      <c r="H1296" s="69">
        <f>MAX(0,ROUND(H1293+Materiales!$H$188-G1295-H1294,4))</f>
        <v/>
      </c>
      <c r="I1296" s="69">
        <f>MAX(0,ROUND(I1293+Materiales!$H$188-H1295-I1294,4))</f>
        <v/>
      </c>
      <c r="J1296" s="69">
        <f>MAX(0,ROUND(J1293+Materiales!$H$188-I1295-J1294,4))</f>
        <v/>
      </c>
      <c r="K1296" s="69">
        <f>MAX(0,ROUND(K1293+Materiales!$H$188-J1295-K1294,4))</f>
        <v/>
      </c>
      <c r="L1296" s="69">
        <f>MAX(0,ROUND(L1293+Materiales!$H$188-K1295-L1294,4))</f>
        <v/>
      </c>
      <c r="M1296" s="66" t="n"/>
    </row>
    <row r="1297">
      <c r="C1297" s="63" t="inlineStr">
        <is>
          <t>Recepcion de orden planificada</t>
        </is>
      </c>
      <c r="D1297" s="64" t="n"/>
      <c r="E1297" s="65">
        <f>IF(E1296&lt;=0,0,IF(Materiales!$G$188&lt;=0,E1296,ROUNDUP(E1296/Materiales!$G$188,0)*Materiales!$G$188))</f>
        <v/>
      </c>
      <c r="F1297" s="65">
        <f>IF(F1296&lt;=0,0,IF(Materiales!$G$188&lt;=0,F1296,ROUNDUP(F1296/Materiales!$G$188,0)*Materiales!$G$188))</f>
        <v/>
      </c>
      <c r="G1297" s="65">
        <f>IF(G1296&lt;=0,0,IF(Materiales!$G$188&lt;=0,G1296,ROUNDUP(G1296/Materiales!$G$188,0)*Materiales!$G$188))</f>
        <v/>
      </c>
      <c r="H1297" s="65">
        <f>IF(H1296&lt;=0,0,IF(Materiales!$G$188&lt;=0,H1296,ROUNDUP(H1296/Materiales!$G$188,0)*Materiales!$G$188))</f>
        <v/>
      </c>
      <c r="I1297" s="65">
        <f>IF(I1296&lt;=0,0,IF(Materiales!$G$188&lt;=0,I1296,ROUNDUP(I1296/Materiales!$G$188,0)*Materiales!$G$188))</f>
        <v/>
      </c>
      <c r="J1297" s="65">
        <f>IF(J1296&lt;=0,0,IF(Materiales!$G$188&lt;=0,J1296,ROUNDUP(J1296/Materiales!$G$188,0)*Materiales!$G$188))</f>
        <v/>
      </c>
      <c r="K1297" s="65">
        <f>IF(K1296&lt;=0,0,IF(Materiales!$G$188&lt;=0,K1296,ROUNDUP(K1296/Materiales!$G$188,0)*Materiales!$G$188))</f>
        <v/>
      </c>
      <c r="L1297" s="65">
        <f>IF(L1296&lt;=0,0,IF(Materiales!$G$188&lt;=0,L1296,ROUNDUP(L1296/Materiales!$G$188,0)*Materiales!$G$188))</f>
        <v/>
      </c>
      <c r="M1297" s="66" t="n"/>
    </row>
    <row r="1298">
      <c r="C1298" s="70" t="inlineStr">
        <is>
          <t>LANZAMIENTO DE ORDEN — pedir esta semana</t>
        </is>
      </c>
      <c r="D1298" s="64" t="n"/>
      <c r="E1298" s="71">
        <f>IF(1+Materiales!$F$188&gt;8,0,INDEX($E$1297:$L$1297,1,1+Materiales!$F$188))</f>
        <v/>
      </c>
      <c r="F1298" s="71">
        <f>IF(2+Materiales!$F$188&gt;8,0,INDEX($E$1297:$L$1297,1,2+Materiales!$F$188))</f>
        <v/>
      </c>
      <c r="G1298" s="71">
        <f>IF(3+Materiales!$F$188&gt;8,0,INDEX($E$1297:$L$1297,1,3+Materiales!$F$188))</f>
        <v/>
      </c>
      <c r="H1298" s="71">
        <f>IF(4+Materiales!$F$188&gt;8,0,INDEX($E$1297:$L$1297,1,4+Materiales!$F$188))</f>
        <v/>
      </c>
      <c r="I1298" s="71">
        <f>IF(5+Materiales!$F$188&gt;8,0,INDEX($E$1297:$L$1297,1,5+Materiales!$F$188))</f>
        <v/>
      </c>
      <c r="J1298" s="71">
        <f>IF(6+Materiales!$F$188&gt;8,0,INDEX($E$1297:$L$1297,1,6+Materiales!$F$188))</f>
        <v/>
      </c>
      <c r="K1298" s="71">
        <f>IF(7+Materiales!$F$188&gt;8,0,INDEX($E$1297:$L$1297,1,7+Materiales!$F$188))</f>
        <v/>
      </c>
      <c r="L1298" s="71">
        <f>IF(8+Materiales!$F$188&gt;8,0,INDEX($E$1297:$L$1297,1,8+Materiales!$F$188))</f>
        <v/>
      </c>
      <c r="M1298" s="72">
        <f>IF($A1293="","",IF(SUMPRODUCT((COLUMN($E$1297:$L$1297)-4&lt;=Materiales!$F$188)*$E$1297:$L$1297)&gt;0,"PEDIR YA (atrasado)","OK"))</f>
        <v/>
      </c>
    </row>
    <row r="1299" ht="6" customHeight="1"/>
    <row r="1300">
      <c r="A1300" s="62">
        <f>IF(Materiales!$A$189="","",Materiales!$A$189)</f>
        <v/>
      </c>
      <c r="B1300" s="62">
        <f>IF(Materiales!$B$189="","",Materiales!$B$189)</f>
        <v/>
      </c>
      <c r="C1300" s="63" t="inlineStr">
        <is>
          <t>Necesidad bruta</t>
        </is>
      </c>
      <c r="D1300" s="64" t="n"/>
      <c r="E1300" s="65">
        <f>ROUND(SUMIF(Consumo!$P$4:$P$189,"#"&amp;$A1300,Consumo!H$4:H$189),4)</f>
        <v/>
      </c>
      <c r="F1300" s="65">
        <f>ROUND(SUMIF(Consumo!$P$4:$P$189,"#"&amp;$A1300,Consumo!I$4:I$189),4)</f>
        <v/>
      </c>
      <c r="G1300" s="65">
        <f>ROUND(SUMIF(Consumo!$P$4:$P$189,"#"&amp;$A1300,Consumo!J$4:J$189),4)</f>
        <v/>
      </c>
      <c r="H1300" s="65">
        <f>ROUND(SUMIF(Consumo!$P$4:$P$189,"#"&amp;$A1300,Consumo!K$4:K$189),4)</f>
        <v/>
      </c>
      <c r="I1300" s="65">
        <f>ROUND(SUMIF(Consumo!$P$4:$P$189,"#"&amp;$A1300,Consumo!L$4:L$189),4)</f>
        <v/>
      </c>
      <c r="J1300" s="65">
        <f>ROUND(SUMIF(Consumo!$P$4:$P$189,"#"&amp;$A1300,Consumo!M$4:M$189),4)</f>
        <v/>
      </c>
      <c r="K1300" s="65">
        <f>ROUND(SUMIF(Consumo!$P$4:$P$189,"#"&amp;$A1300,Consumo!N$4:N$189),4)</f>
        <v/>
      </c>
      <c r="L1300" s="65">
        <f>ROUND(SUMIF(Consumo!$P$4:$P$189,"#"&amp;$A1300,Consumo!O$4:O$189),4)</f>
        <v/>
      </c>
      <c r="M1300" s="66" t="n"/>
    </row>
    <row r="1301">
      <c r="C1301" s="63" t="inlineStr">
        <is>
          <t>Recepciones programadas (ya pedido)</t>
        </is>
      </c>
      <c r="D1301" s="64" t="n"/>
      <c r="E1301" s="65">
        <f>SUMIF(Inventario!$M$5:$M$505,"#"&amp;$A1300,Inventario!E$5:E$505)</f>
        <v/>
      </c>
      <c r="F1301" s="65">
        <f>SUMIF(Inventario!$M$5:$M$505,"#"&amp;$A1300,Inventario!F$5:F$505)</f>
        <v/>
      </c>
      <c r="G1301" s="65">
        <f>SUMIF(Inventario!$M$5:$M$505,"#"&amp;$A1300,Inventario!G$5:G$505)</f>
        <v/>
      </c>
      <c r="H1301" s="65">
        <f>SUMIF(Inventario!$M$5:$M$505,"#"&amp;$A1300,Inventario!H$5:H$505)</f>
        <v/>
      </c>
      <c r="I1301" s="65">
        <f>SUMIF(Inventario!$M$5:$M$505,"#"&amp;$A1300,Inventario!I$5:I$505)</f>
        <v/>
      </c>
      <c r="J1301" s="65">
        <f>SUMIF(Inventario!$M$5:$M$505,"#"&amp;$A1300,Inventario!J$5:J$505)</f>
        <v/>
      </c>
      <c r="K1301" s="65">
        <f>SUMIF(Inventario!$M$5:$M$505,"#"&amp;$A1300,Inventario!K$5:K$505)</f>
        <v/>
      </c>
      <c r="L1301" s="65">
        <f>SUMIF(Inventario!$M$5:$M$505,"#"&amp;$A1300,Inventario!L$5:L$505)</f>
        <v/>
      </c>
      <c r="M1301" s="66" t="n"/>
    </row>
    <row r="1302">
      <c r="C1302" s="63" t="inlineStr">
        <is>
          <t>Stock proyectado disponible</t>
        </is>
      </c>
      <c r="D1302" s="67">
        <f>SUMIF(Inventario!$M$5:$M$505,"#"&amp;$A1300,Inventario!$C$5:$C$505)</f>
        <v/>
      </c>
      <c r="E1302" s="68">
        <f>D1302+E1301+E1304-E1300</f>
        <v/>
      </c>
      <c r="F1302" s="68">
        <f>E1302+F1301+F1304-F1300</f>
        <v/>
      </c>
      <c r="G1302" s="68">
        <f>F1302+G1301+G1304-G1300</f>
        <v/>
      </c>
      <c r="H1302" s="68">
        <f>G1302+H1301+H1304-H1300</f>
        <v/>
      </c>
      <c r="I1302" s="68">
        <f>H1302+I1301+I1304-I1300</f>
        <v/>
      </c>
      <c r="J1302" s="68">
        <f>I1302+J1301+J1304-J1300</f>
        <v/>
      </c>
      <c r="K1302" s="68">
        <f>J1302+K1301+K1304-K1300</f>
        <v/>
      </c>
      <c r="L1302" s="68">
        <f>K1302+L1301+L1304-L1300</f>
        <v/>
      </c>
      <c r="M1302" s="66" t="n"/>
    </row>
    <row r="1303">
      <c r="C1303" s="63" t="inlineStr">
        <is>
          <t>Necesidad neta</t>
        </is>
      </c>
      <c r="D1303" s="64" t="n"/>
      <c r="E1303" s="69">
        <f>MAX(0,ROUND(E1300+Materiales!$H$189-D1302-E1301,4))</f>
        <v/>
      </c>
      <c r="F1303" s="69">
        <f>MAX(0,ROUND(F1300+Materiales!$H$189-E1302-F1301,4))</f>
        <v/>
      </c>
      <c r="G1303" s="69">
        <f>MAX(0,ROUND(G1300+Materiales!$H$189-F1302-G1301,4))</f>
        <v/>
      </c>
      <c r="H1303" s="69">
        <f>MAX(0,ROUND(H1300+Materiales!$H$189-G1302-H1301,4))</f>
        <v/>
      </c>
      <c r="I1303" s="69">
        <f>MAX(0,ROUND(I1300+Materiales!$H$189-H1302-I1301,4))</f>
        <v/>
      </c>
      <c r="J1303" s="69">
        <f>MAX(0,ROUND(J1300+Materiales!$H$189-I1302-J1301,4))</f>
        <v/>
      </c>
      <c r="K1303" s="69">
        <f>MAX(0,ROUND(K1300+Materiales!$H$189-J1302-K1301,4))</f>
        <v/>
      </c>
      <c r="L1303" s="69">
        <f>MAX(0,ROUND(L1300+Materiales!$H$189-K1302-L1301,4))</f>
        <v/>
      </c>
      <c r="M1303" s="66" t="n"/>
    </row>
    <row r="1304">
      <c r="C1304" s="63" t="inlineStr">
        <is>
          <t>Recepcion de orden planificada</t>
        </is>
      </c>
      <c r="D1304" s="64" t="n"/>
      <c r="E1304" s="65">
        <f>IF(E1303&lt;=0,0,IF(Materiales!$G$189&lt;=0,E1303,ROUNDUP(E1303/Materiales!$G$189,0)*Materiales!$G$189))</f>
        <v/>
      </c>
      <c r="F1304" s="65">
        <f>IF(F1303&lt;=0,0,IF(Materiales!$G$189&lt;=0,F1303,ROUNDUP(F1303/Materiales!$G$189,0)*Materiales!$G$189))</f>
        <v/>
      </c>
      <c r="G1304" s="65">
        <f>IF(G1303&lt;=0,0,IF(Materiales!$G$189&lt;=0,G1303,ROUNDUP(G1303/Materiales!$G$189,0)*Materiales!$G$189))</f>
        <v/>
      </c>
      <c r="H1304" s="65">
        <f>IF(H1303&lt;=0,0,IF(Materiales!$G$189&lt;=0,H1303,ROUNDUP(H1303/Materiales!$G$189,0)*Materiales!$G$189))</f>
        <v/>
      </c>
      <c r="I1304" s="65">
        <f>IF(I1303&lt;=0,0,IF(Materiales!$G$189&lt;=0,I1303,ROUNDUP(I1303/Materiales!$G$189,0)*Materiales!$G$189))</f>
        <v/>
      </c>
      <c r="J1304" s="65">
        <f>IF(J1303&lt;=0,0,IF(Materiales!$G$189&lt;=0,J1303,ROUNDUP(J1303/Materiales!$G$189,0)*Materiales!$G$189))</f>
        <v/>
      </c>
      <c r="K1304" s="65">
        <f>IF(K1303&lt;=0,0,IF(Materiales!$G$189&lt;=0,K1303,ROUNDUP(K1303/Materiales!$G$189,0)*Materiales!$G$189))</f>
        <v/>
      </c>
      <c r="L1304" s="65">
        <f>IF(L1303&lt;=0,0,IF(Materiales!$G$189&lt;=0,L1303,ROUNDUP(L1303/Materiales!$G$189,0)*Materiales!$G$189))</f>
        <v/>
      </c>
      <c r="M1304" s="66" t="n"/>
    </row>
    <row r="1305">
      <c r="C1305" s="70" t="inlineStr">
        <is>
          <t>LANZAMIENTO DE ORDEN — pedir esta semana</t>
        </is>
      </c>
      <c r="D1305" s="64" t="n"/>
      <c r="E1305" s="71">
        <f>IF(1+Materiales!$F$189&gt;8,0,INDEX($E$1304:$L$1304,1,1+Materiales!$F$189))</f>
        <v/>
      </c>
      <c r="F1305" s="71">
        <f>IF(2+Materiales!$F$189&gt;8,0,INDEX($E$1304:$L$1304,1,2+Materiales!$F$189))</f>
        <v/>
      </c>
      <c r="G1305" s="71">
        <f>IF(3+Materiales!$F$189&gt;8,0,INDEX($E$1304:$L$1304,1,3+Materiales!$F$189))</f>
        <v/>
      </c>
      <c r="H1305" s="71">
        <f>IF(4+Materiales!$F$189&gt;8,0,INDEX($E$1304:$L$1304,1,4+Materiales!$F$189))</f>
        <v/>
      </c>
      <c r="I1305" s="71">
        <f>IF(5+Materiales!$F$189&gt;8,0,INDEX($E$1304:$L$1304,1,5+Materiales!$F$189))</f>
        <v/>
      </c>
      <c r="J1305" s="71">
        <f>IF(6+Materiales!$F$189&gt;8,0,INDEX($E$1304:$L$1304,1,6+Materiales!$F$189))</f>
        <v/>
      </c>
      <c r="K1305" s="71">
        <f>IF(7+Materiales!$F$189&gt;8,0,INDEX($E$1304:$L$1304,1,7+Materiales!$F$189))</f>
        <v/>
      </c>
      <c r="L1305" s="71">
        <f>IF(8+Materiales!$F$189&gt;8,0,INDEX($E$1304:$L$1304,1,8+Materiales!$F$189))</f>
        <v/>
      </c>
      <c r="M1305" s="72">
        <f>IF($A1300="","",IF(SUMPRODUCT((COLUMN($E$1304:$L$1304)-4&lt;=Materiales!$F$189)*$E$1304:$L$1304)&gt;0,"PEDIR YA (atrasado)","OK"))</f>
        <v/>
      </c>
    </row>
    <row r="1306" ht="6" customHeight="1"/>
    <row r="1307">
      <c r="A1307" s="62">
        <f>IF(Materiales!$A$190="","",Materiales!$A$190)</f>
        <v/>
      </c>
      <c r="B1307" s="62">
        <f>IF(Materiales!$B$190="","",Materiales!$B$190)</f>
        <v/>
      </c>
      <c r="C1307" s="63" t="inlineStr">
        <is>
          <t>Necesidad bruta</t>
        </is>
      </c>
      <c r="D1307" s="64" t="n"/>
      <c r="E1307" s="65">
        <f>ROUND(SUMIF(Consumo!$P$4:$P$189,"#"&amp;$A1307,Consumo!H$4:H$189),4)</f>
        <v/>
      </c>
      <c r="F1307" s="65">
        <f>ROUND(SUMIF(Consumo!$P$4:$P$189,"#"&amp;$A1307,Consumo!I$4:I$189),4)</f>
        <v/>
      </c>
      <c r="G1307" s="65">
        <f>ROUND(SUMIF(Consumo!$P$4:$P$189,"#"&amp;$A1307,Consumo!J$4:J$189),4)</f>
        <v/>
      </c>
      <c r="H1307" s="65">
        <f>ROUND(SUMIF(Consumo!$P$4:$P$189,"#"&amp;$A1307,Consumo!K$4:K$189),4)</f>
        <v/>
      </c>
      <c r="I1307" s="65">
        <f>ROUND(SUMIF(Consumo!$P$4:$P$189,"#"&amp;$A1307,Consumo!L$4:L$189),4)</f>
        <v/>
      </c>
      <c r="J1307" s="65">
        <f>ROUND(SUMIF(Consumo!$P$4:$P$189,"#"&amp;$A1307,Consumo!M$4:M$189),4)</f>
        <v/>
      </c>
      <c r="K1307" s="65">
        <f>ROUND(SUMIF(Consumo!$P$4:$P$189,"#"&amp;$A1307,Consumo!N$4:N$189),4)</f>
        <v/>
      </c>
      <c r="L1307" s="65">
        <f>ROUND(SUMIF(Consumo!$P$4:$P$189,"#"&amp;$A1307,Consumo!O$4:O$189),4)</f>
        <v/>
      </c>
      <c r="M1307" s="66" t="n"/>
    </row>
    <row r="1308">
      <c r="C1308" s="63" t="inlineStr">
        <is>
          <t>Recepciones programadas (ya pedido)</t>
        </is>
      </c>
      <c r="D1308" s="64" t="n"/>
      <c r="E1308" s="65">
        <f>SUMIF(Inventario!$M$5:$M$505,"#"&amp;$A1307,Inventario!E$5:E$505)</f>
        <v/>
      </c>
      <c r="F1308" s="65">
        <f>SUMIF(Inventario!$M$5:$M$505,"#"&amp;$A1307,Inventario!F$5:F$505)</f>
        <v/>
      </c>
      <c r="G1308" s="65">
        <f>SUMIF(Inventario!$M$5:$M$505,"#"&amp;$A1307,Inventario!G$5:G$505)</f>
        <v/>
      </c>
      <c r="H1308" s="65">
        <f>SUMIF(Inventario!$M$5:$M$505,"#"&amp;$A1307,Inventario!H$5:H$505)</f>
        <v/>
      </c>
      <c r="I1308" s="65">
        <f>SUMIF(Inventario!$M$5:$M$505,"#"&amp;$A1307,Inventario!I$5:I$505)</f>
        <v/>
      </c>
      <c r="J1308" s="65">
        <f>SUMIF(Inventario!$M$5:$M$505,"#"&amp;$A1307,Inventario!J$5:J$505)</f>
        <v/>
      </c>
      <c r="K1308" s="65">
        <f>SUMIF(Inventario!$M$5:$M$505,"#"&amp;$A1307,Inventario!K$5:K$505)</f>
        <v/>
      </c>
      <c r="L1308" s="65">
        <f>SUMIF(Inventario!$M$5:$M$505,"#"&amp;$A1307,Inventario!L$5:L$505)</f>
        <v/>
      </c>
      <c r="M1308" s="66" t="n"/>
    </row>
    <row r="1309">
      <c r="C1309" s="63" t="inlineStr">
        <is>
          <t>Stock proyectado disponible</t>
        </is>
      </c>
      <c r="D1309" s="67">
        <f>SUMIF(Inventario!$M$5:$M$505,"#"&amp;$A1307,Inventario!$C$5:$C$505)</f>
        <v/>
      </c>
      <c r="E1309" s="68">
        <f>D1309+E1308+E1311-E1307</f>
        <v/>
      </c>
      <c r="F1309" s="68">
        <f>E1309+F1308+F1311-F1307</f>
        <v/>
      </c>
      <c r="G1309" s="68">
        <f>F1309+G1308+G1311-G1307</f>
        <v/>
      </c>
      <c r="H1309" s="68">
        <f>G1309+H1308+H1311-H1307</f>
        <v/>
      </c>
      <c r="I1309" s="68">
        <f>H1309+I1308+I1311-I1307</f>
        <v/>
      </c>
      <c r="J1309" s="68">
        <f>I1309+J1308+J1311-J1307</f>
        <v/>
      </c>
      <c r="K1309" s="68">
        <f>J1309+K1308+K1311-K1307</f>
        <v/>
      </c>
      <c r="L1309" s="68">
        <f>K1309+L1308+L1311-L1307</f>
        <v/>
      </c>
      <c r="M1309" s="66" t="n"/>
    </row>
    <row r="1310">
      <c r="C1310" s="63" t="inlineStr">
        <is>
          <t>Necesidad neta</t>
        </is>
      </c>
      <c r="D1310" s="64" t="n"/>
      <c r="E1310" s="69">
        <f>MAX(0,ROUND(E1307+Materiales!$H$190-D1309-E1308,4))</f>
        <v/>
      </c>
      <c r="F1310" s="69">
        <f>MAX(0,ROUND(F1307+Materiales!$H$190-E1309-F1308,4))</f>
        <v/>
      </c>
      <c r="G1310" s="69">
        <f>MAX(0,ROUND(G1307+Materiales!$H$190-F1309-G1308,4))</f>
        <v/>
      </c>
      <c r="H1310" s="69">
        <f>MAX(0,ROUND(H1307+Materiales!$H$190-G1309-H1308,4))</f>
        <v/>
      </c>
      <c r="I1310" s="69">
        <f>MAX(0,ROUND(I1307+Materiales!$H$190-H1309-I1308,4))</f>
        <v/>
      </c>
      <c r="J1310" s="69">
        <f>MAX(0,ROUND(J1307+Materiales!$H$190-I1309-J1308,4))</f>
        <v/>
      </c>
      <c r="K1310" s="69">
        <f>MAX(0,ROUND(K1307+Materiales!$H$190-J1309-K1308,4))</f>
        <v/>
      </c>
      <c r="L1310" s="69">
        <f>MAX(0,ROUND(L1307+Materiales!$H$190-K1309-L1308,4))</f>
        <v/>
      </c>
      <c r="M1310" s="66" t="n"/>
    </row>
    <row r="1311">
      <c r="C1311" s="63" t="inlineStr">
        <is>
          <t>Recepcion de orden planificada</t>
        </is>
      </c>
      <c r="D1311" s="64" t="n"/>
      <c r="E1311" s="65">
        <f>IF(E1310&lt;=0,0,IF(Materiales!$G$190&lt;=0,E1310,ROUNDUP(E1310/Materiales!$G$190,0)*Materiales!$G$190))</f>
        <v/>
      </c>
      <c r="F1311" s="65">
        <f>IF(F1310&lt;=0,0,IF(Materiales!$G$190&lt;=0,F1310,ROUNDUP(F1310/Materiales!$G$190,0)*Materiales!$G$190))</f>
        <v/>
      </c>
      <c r="G1311" s="65">
        <f>IF(G1310&lt;=0,0,IF(Materiales!$G$190&lt;=0,G1310,ROUNDUP(G1310/Materiales!$G$190,0)*Materiales!$G$190))</f>
        <v/>
      </c>
      <c r="H1311" s="65">
        <f>IF(H1310&lt;=0,0,IF(Materiales!$G$190&lt;=0,H1310,ROUNDUP(H1310/Materiales!$G$190,0)*Materiales!$G$190))</f>
        <v/>
      </c>
      <c r="I1311" s="65">
        <f>IF(I1310&lt;=0,0,IF(Materiales!$G$190&lt;=0,I1310,ROUNDUP(I1310/Materiales!$G$190,0)*Materiales!$G$190))</f>
        <v/>
      </c>
      <c r="J1311" s="65">
        <f>IF(J1310&lt;=0,0,IF(Materiales!$G$190&lt;=0,J1310,ROUNDUP(J1310/Materiales!$G$190,0)*Materiales!$G$190))</f>
        <v/>
      </c>
      <c r="K1311" s="65">
        <f>IF(K1310&lt;=0,0,IF(Materiales!$G$190&lt;=0,K1310,ROUNDUP(K1310/Materiales!$G$190,0)*Materiales!$G$190))</f>
        <v/>
      </c>
      <c r="L1311" s="65">
        <f>IF(L1310&lt;=0,0,IF(Materiales!$G$190&lt;=0,L1310,ROUNDUP(L1310/Materiales!$G$190,0)*Materiales!$G$190))</f>
        <v/>
      </c>
      <c r="M1311" s="66" t="n"/>
    </row>
    <row r="1312">
      <c r="C1312" s="70" t="inlineStr">
        <is>
          <t>LANZAMIENTO DE ORDEN — pedir esta semana</t>
        </is>
      </c>
      <c r="D1312" s="64" t="n"/>
      <c r="E1312" s="71">
        <f>IF(1+Materiales!$F$190&gt;8,0,INDEX($E$1311:$L$1311,1,1+Materiales!$F$190))</f>
        <v/>
      </c>
      <c r="F1312" s="71">
        <f>IF(2+Materiales!$F$190&gt;8,0,INDEX($E$1311:$L$1311,1,2+Materiales!$F$190))</f>
        <v/>
      </c>
      <c r="G1312" s="71">
        <f>IF(3+Materiales!$F$190&gt;8,0,INDEX($E$1311:$L$1311,1,3+Materiales!$F$190))</f>
        <v/>
      </c>
      <c r="H1312" s="71">
        <f>IF(4+Materiales!$F$190&gt;8,0,INDEX($E$1311:$L$1311,1,4+Materiales!$F$190))</f>
        <v/>
      </c>
      <c r="I1312" s="71">
        <f>IF(5+Materiales!$F$190&gt;8,0,INDEX($E$1311:$L$1311,1,5+Materiales!$F$190))</f>
        <v/>
      </c>
      <c r="J1312" s="71">
        <f>IF(6+Materiales!$F$190&gt;8,0,INDEX($E$1311:$L$1311,1,6+Materiales!$F$190))</f>
        <v/>
      </c>
      <c r="K1312" s="71">
        <f>IF(7+Materiales!$F$190&gt;8,0,INDEX($E$1311:$L$1311,1,7+Materiales!$F$190))</f>
        <v/>
      </c>
      <c r="L1312" s="71">
        <f>IF(8+Materiales!$F$190&gt;8,0,INDEX($E$1311:$L$1311,1,8+Materiales!$F$190))</f>
        <v/>
      </c>
      <c r="M1312" s="72">
        <f>IF($A1307="","",IF(SUMPRODUCT((COLUMN($E$1311:$L$1311)-4&lt;=Materiales!$F$190)*$E$1311:$L$1311)&gt;0,"PEDIR YA (atrasado)","OK"))</f>
        <v/>
      </c>
    </row>
    <row r="1313" ht="6" customHeight="1"/>
    <row r="1314">
      <c r="A1314" s="62">
        <f>IF(Materiales!$A$191="","",Materiales!$A$191)</f>
        <v/>
      </c>
      <c r="B1314" s="62">
        <f>IF(Materiales!$B$191="","",Materiales!$B$191)</f>
        <v/>
      </c>
      <c r="C1314" s="63" t="inlineStr">
        <is>
          <t>Necesidad bruta</t>
        </is>
      </c>
      <c r="D1314" s="64" t="n"/>
      <c r="E1314" s="65">
        <f>ROUND(SUMIF(Consumo!$P$4:$P$189,"#"&amp;$A1314,Consumo!H$4:H$189),4)</f>
        <v/>
      </c>
      <c r="F1314" s="65">
        <f>ROUND(SUMIF(Consumo!$P$4:$P$189,"#"&amp;$A1314,Consumo!I$4:I$189),4)</f>
        <v/>
      </c>
      <c r="G1314" s="65">
        <f>ROUND(SUMIF(Consumo!$P$4:$P$189,"#"&amp;$A1314,Consumo!J$4:J$189),4)</f>
        <v/>
      </c>
      <c r="H1314" s="65">
        <f>ROUND(SUMIF(Consumo!$P$4:$P$189,"#"&amp;$A1314,Consumo!K$4:K$189),4)</f>
        <v/>
      </c>
      <c r="I1314" s="65">
        <f>ROUND(SUMIF(Consumo!$P$4:$P$189,"#"&amp;$A1314,Consumo!L$4:L$189),4)</f>
        <v/>
      </c>
      <c r="J1314" s="65">
        <f>ROUND(SUMIF(Consumo!$P$4:$P$189,"#"&amp;$A1314,Consumo!M$4:M$189),4)</f>
        <v/>
      </c>
      <c r="K1314" s="65">
        <f>ROUND(SUMIF(Consumo!$P$4:$P$189,"#"&amp;$A1314,Consumo!N$4:N$189),4)</f>
        <v/>
      </c>
      <c r="L1314" s="65">
        <f>ROUND(SUMIF(Consumo!$P$4:$P$189,"#"&amp;$A1314,Consumo!O$4:O$189),4)</f>
        <v/>
      </c>
      <c r="M1314" s="66" t="n"/>
    </row>
    <row r="1315">
      <c r="C1315" s="63" t="inlineStr">
        <is>
          <t>Recepciones programadas (ya pedido)</t>
        </is>
      </c>
      <c r="D1315" s="64" t="n"/>
      <c r="E1315" s="65">
        <f>SUMIF(Inventario!$M$5:$M$505,"#"&amp;$A1314,Inventario!E$5:E$505)</f>
        <v/>
      </c>
      <c r="F1315" s="65">
        <f>SUMIF(Inventario!$M$5:$M$505,"#"&amp;$A1314,Inventario!F$5:F$505)</f>
        <v/>
      </c>
      <c r="G1315" s="65">
        <f>SUMIF(Inventario!$M$5:$M$505,"#"&amp;$A1314,Inventario!G$5:G$505)</f>
        <v/>
      </c>
      <c r="H1315" s="65">
        <f>SUMIF(Inventario!$M$5:$M$505,"#"&amp;$A1314,Inventario!H$5:H$505)</f>
        <v/>
      </c>
      <c r="I1315" s="65">
        <f>SUMIF(Inventario!$M$5:$M$505,"#"&amp;$A1314,Inventario!I$5:I$505)</f>
        <v/>
      </c>
      <c r="J1315" s="65">
        <f>SUMIF(Inventario!$M$5:$M$505,"#"&amp;$A1314,Inventario!J$5:J$505)</f>
        <v/>
      </c>
      <c r="K1315" s="65">
        <f>SUMIF(Inventario!$M$5:$M$505,"#"&amp;$A1314,Inventario!K$5:K$505)</f>
        <v/>
      </c>
      <c r="L1315" s="65">
        <f>SUMIF(Inventario!$M$5:$M$505,"#"&amp;$A1314,Inventario!L$5:L$505)</f>
        <v/>
      </c>
      <c r="M1315" s="66" t="n"/>
    </row>
    <row r="1316">
      <c r="C1316" s="63" t="inlineStr">
        <is>
          <t>Stock proyectado disponible</t>
        </is>
      </c>
      <c r="D1316" s="67">
        <f>SUMIF(Inventario!$M$5:$M$505,"#"&amp;$A1314,Inventario!$C$5:$C$505)</f>
        <v/>
      </c>
      <c r="E1316" s="68">
        <f>D1316+E1315+E1318-E1314</f>
        <v/>
      </c>
      <c r="F1316" s="68">
        <f>E1316+F1315+F1318-F1314</f>
        <v/>
      </c>
      <c r="G1316" s="68">
        <f>F1316+G1315+G1318-G1314</f>
        <v/>
      </c>
      <c r="H1316" s="68">
        <f>G1316+H1315+H1318-H1314</f>
        <v/>
      </c>
      <c r="I1316" s="68">
        <f>H1316+I1315+I1318-I1314</f>
        <v/>
      </c>
      <c r="J1316" s="68">
        <f>I1316+J1315+J1318-J1314</f>
        <v/>
      </c>
      <c r="K1316" s="68">
        <f>J1316+K1315+K1318-K1314</f>
        <v/>
      </c>
      <c r="L1316" s="68">
        <f>K1316+L1315+L1318-L1314</f>
        <v/>
      </c>
      <c r="M1316" s="66" t="n"/>
    </row>
    <row r="1317">
      <c r="C1317" s="63" t="inlineStr">
        <is>
          <t>Necesidad neta</t>
        </is>
      </c>
      <c r="D1317" s="64" t="n"/>
      <c r="E1317" s="69">
        <f>MAX(0,ROUND(E1314+Materiales!$H$191-D1316-E1315,4))</f>
        <v/>
      </c>
      <c r="F1317" s="69">
        <f>MAX(0,ROUND(F1314+Materiales!$H$191-E1316-F1315,4))</f>
        <v/>
      </c>
      <c r="G1317" s="69">
        <f>MAX(0,ROUND(G1314+Materiales!$H$191-F1316-G1315,4))</f>
        <v/>
      </c>
      <c r="H1317" s="69">
        <f>MAX(0,ROUND(H1314+Materiales!$H$191-G1316-H1315,4))</f>
        <v/>
      </c>
      <c r="I1317" s="69">
        <f>MAX(0,ROUND(I1314+Materiales!$H$191-H1316-I1315,4))</f>
        <v/>
      </c>
      <c r="J1317" s="69">
        <f>MAX(0,ROUND(J1314+Materiales!$H$191-I1316-J1315,4))</f>
        <v/>
      </c>
      <c r="K1317" s="69">
        <f>MAX(0,ROUND(K1314+Materiales!$H$191-J1316-K1315,4))</f>
        <v/>
      </c>
      <c r="L1317" s="69">
        <f>MAX(0,ROUND(L1314+Materiales!$H$191-K1316-L1315,4))</f>
        <v/>
      </c>
      <c r="M1317" s="66" t="n"/>
    </row>
    <row r="1318">
      <c r="C1318" s="63" t="inlineStr">
        <is>
          <t>Recepcion de orden planificada</t>
        </is>
      </c>
      <c r="D1318" s="64" t="n"/>
      <c r="E1318" s="65">
        <f>IF(E1317&lt;=0,0,IF(Materiales!$G$191&lt;=0,E1317,ROUNDUP(E1317/Materiales!$G$191,0)*Materiales!$G$191))</f>
        <v/>
      </c>
      <c r="F1318" s="65">
        <f>IF(F1317&lt;=0,0,IF(Materiales!$G$191&lt;=0,F1317,ROUNDUP(F1317/Materiales!$G$191,0)*Materiales!$G$191))</f>
        <v/>
      </c>
      <c r="G1318" s="65">
        <f>IF(G1317&lt;=0,0,IF(Materiales!$G$191&lt;=0,G1317,ROUNDUP(G1317/Materiales!$G$191,0)*Materiales!$G$191))</f>
        <v/>
      </c>
      <c r="H1318" s="65">
        <f>IF(H1317&lt;=0,0,IF(Materiales!$G$191&lt;=0,H1317,ROUNDUP(H1317/Materiales!$G$191,0)*Materiales!$G$191))</f>
        <v/>
      </c>
      <c r="I1318" s="65">
        <f>IF(I1317&lt;=0,0,IF(Materiales!$G$191&lt;=0,I1317,ROUNDUP(I1317/Materiales!$G$191,0)*Materiales!$G$191))</f>
        <v/>
      </c>
      <c r="J1318" s="65">
        <f>IF(J1317&lt;=0,0,IF(Materiales!$G$191&lt;=0,J1317,ROUNDUP(J1317/Materiales!$G$191,0)*Materiales!$G$191))</f>
        <v/>
      </c>
      <c r="K1318" s="65">
        <f>IF(K1317&lt;=0,0,IF(Materiales!$G$191&lt;=0,K1317,ROUNDUP(K1317/Materiales!$G$191,0)*Materiales!$G$191))</f>
        <v/>
      </c>
      <c r="L1318" s="65">
        <f>IF(L1317&lt;=0,0,IF(Materiales!$G$191&lt;=0,L1317,ROUNDUP(L1317/Materiales!$G$191,0)*Materiales!$G$191))</f>
        <v/>
      </c>
      <c r="M1318" s="66" t="n"/>
    </row>
    <row r="1319">
      <c r="C1319" s="70" t="inlineStr">
        <is>
          <t>LANZAMIENTO DE ORDEN — pedir esta semana</t>
        </is>
      </c>
      <c r="D1319" s="64" t="n"/>
      <c r="E1319" s="71">
        <f>IF(1+Materiales!$F$191&gt;8,0,INDEX($E$1318:$L$1318,1,1+Materiales!$F$191))</f>
        <v/>
      </c>
      <c r="F1319" s="71">
        <f>IF(2+Materiales!$F$191&gt;8,0,INDEX($E$1318:$L$1318,1,2+Materiales!$F$191))</f>
        <v/>
      </c>
      <c r="G1319" s="71">
        <f>IF(3+Materiales!$F$191&gt;8,0,INDEX($E$1318:$L$1318,1,3+Materiales!$F$191))</f>
        <v/>
      </c>
      <c r="H1319" s="71">
        <f>IF(4+Materiales!$F$191&gt;8,0,INDEX($E$1318:$L$1318,1,4+Materiales!$F$191))</f>
        <v/>
      </c>
      <c r="I1319" s="71">
        <f>IF(5+Materiales!$F$191&gt;8,0,INDEX($E$1318:$L$1318,1,5+Materiales!$F$191))</f>
        <v/>
      </c>
      <c r="J1319" s="71">
        <f>IF(6+Materiales!$F$191&gt;8,0,INDEX($E$1318:$L$1318,1,6+Materiales!$F$191))</f>
        <v/>
      </c>
      <c r="K1319" s="71">
        <f>IF(7+Materiales!$F$191&gt;8,0,INDEX($E$1318:$L$1318,1,7+Materiales!$F$191))</f>
        <v/>
      </c>
      <c r="L1319" s="71">
        <f>IF(8+Materiales!$F$191&gt;8,0,INDEX($E$1318:$L$1318,1,8+Materiales!$F$191))</f>
        <v/>
      </c>
      <c r="M1319" s="72">
        <f>IF($A1314="","",IF(SUMPRODUCT((COLUMN($E$1318:$L$1318)-4&lt;=Materiales!$F$191)*$E$1318:$L$1318)&gt;0,"PEDIR YA (atrasado)","OK"))</f>
        <v/>
      </c>
    </row>
    <row r="1320" ht="6" customHeight="1"/>
    <row r="1321">
      <c r="A1321" s="62">
        <f>IF(Materiales!$A$192="","",Materiales!$A$192)</f>
        <v/>
      </c>
      <c r="B1321" s="62">
        <f>IF(Materiales!$B$192="","",Materiales!$B$192)</f>
        <v/>
      </c>
      <c r="C1321" s="63" t="inlineStr">
        <is>
          <t>Necesidad bruta</t>
        </is>
      </c>
      <c r="D1321" s="64" t="n"/>
      <c r="E1321" s="65">
        <f>ROUND(SUMIF(Consumo!$P$4:$P$189,"#"&amp;$A1321,Consumo!H$4:H$189),4)</f>
        <v/>
      </c>
      <c r="F1321" s="65">
        <f>ROUND(SUMIF(Consumo!$P$4:$P$189,"#"&amp;$A1321,Consumo!I$4:I$189),4)</f>
        <v/>
      </c>
      <c r="G1321" s="65">
        <f>ROUND(SUMIF(Consumo!$P$4:$P$189,"#"&amp;$A1321,Consumo!J$4:J$189),4)</f>
        <v/>
      </c>
      <c r="H1321" s="65">
        <f>ROUND(SUMIF(Consumo!$P$4:$P$189,"#"&amp;$A1321,Consumo!K$4:K$189),4)</f>
        <v/>
      </c>
      <c r="I1321" s="65">
        <f>ROUND(SUMIF(Consumo!$P$4:$P$189,"#"&amp;$A1321,Consumo!L$4:L$189),4)</f>
        <v/>
      </c>
      <c r="J1321" s="65">
        <f>ROUND(SUMIF(Consumo!$P$4:$P$189,"#"&amp;$A1321,Consumo!M$4:M$189),4)</f>
        <v/>
      </c>
      <c r="K1321" s="65">
        <f>ROUND(SUMIF(Consumo!$P$4:$P$189,"#"&amp;$A1321,Consumo!N$4:N$189),4)</f>
        <v/>
      </c>
      <c r="L1321" s="65">
        <f>ROUND(SUMIF(Consumo!$P$4:$P$189,"#"&amp;$A1321,Consumo!O$4:O$189),4)</f>
        <v/>
      </c>
      <c r="M1321" s="66" t="n"/>
    </row>
    <row r="1322">
      <c r="C1322" s="63" t="inlineStr">
        <is>
          <t>Recepciones programadas (ya pedido)</t>
        </is>
      </c>
      <c r="D1322" s="64" t="n"/>
      <c r="E1322" s="65">
        <f>SUMIF(Inventario!$M$5:$M$505,"#"&amp;$A1321,Inventario!E$5:E$505)</f>
        <v/>
      </c>
      <c r="F1322" s="65">
        <f>SUMIF(Inventario!$M$5:$M$505,"#"&amp;$A1321,Inventario!F$5:F$505)</f>
        <v/>
      </c>
      <c r="G1322" s="65">
        <f>SUMIF(Inventario!$M$5:$M$505,"#"&amp;$A1321,Inventario!G$5:G$505)</f>
        <v/>
      </c>
      <c r="H1322" s="65">
        <f>SUMIF(Inventario!$M$5:$M$505,"#"&amp;$A1321,Inventario!H$5:H$505)</f>
        <v/>
      </c>
      <c r="I1322" s="65">
        <f>SUMIF(Inventario!$M$5:$M$505,"#"&amp;$A1321,Inventario!I$5:I$505)</f>
        <v/>
      </c>
      <c r="J1322" s="65">
        <f>SUMIF(Inventario!$M$5:$M$505,"#"&amp;$A1321,Inventario!J$5:J$505)</f>
        <v/>
      </c>
      <c r="K1322" s="65">
        <f>SUMIF(Inventario!$M$5:$M$505,"#"&amp;$A1321,Inventario!K$5:K$505)</f>
        <v/>
      </c>
      <c r="L1322" s="65">
        <f>SUMIF(Inventario!$M$5:$M$505,"#"&amp;$A1321,Inventario!L$5:L$505)</f>
        <v/>
      </c>
      <c r="M1322" s="66" t="n"/>
    </row>
    <row r="1323">
      <c r="C1323" s="63" t="inlineStr">
        <is>
          <t>Stock proyectado disponible</t>
        </is>
      </c>
      <c r="D1323" s="67">
        <f>SUMIF(Inventario!$M$5:$M$505,"#"&amp;$A1321,Inventario!$C$5:$C$505)</f>
        <v/>
      </c>
      <c r="E1323" s="68">
        <f>D1323+E1322+E1325-E1321</f>
        <v/>
      </c>
      <c r="F1323" s="68">
        <f>E1323+F1322+F1325-F1321</f>
        <v/>
      </c>
      <c r="G1323" s="68">
        <f>F1323+G1322+G1325-G1321</f>
        <v/>
      </c>
      <c r="H1323" s="68">
        <f>G1323+H1322+H1325-H1321</f>
        <v/>
      </c>
      <c r="I1323" s="68">
        <f>H1323+I1322+I1325-I1321</f>
        <v/>
      </c>
      <c r="J1323" s="68">
        <f>I1323+J1322+J1325-J1321</f>
        <v/>
      </c>
      <c r="K1323" s="68">
        <f>J1323+K1322+K1325-K1321</f>
        <v/>
      </c>
      <c r="L1323" s="68">
        <f>K1323+L1322+L1325-L1321</f>
        <v/>
      </c>
      <c r="M1323" s="66" t="n"/>
    </row>
    <row r="1324">
      <c r="C1324" s="63" t="inlineStr">
        <is>
          <t>Necesidad neta</t>
        </is>
      </c>
      <c r="D1324" s="64" t="n"/>
      <c r="E1324" s="69">
        <f>MAX(0,ROUND(E1321+Materiales!$H$192-D1323-E1322,4))</f>
        <v/>
      </c>
      <c r="F1324" s="69">
        <f>MAX(0,ROUND(F1321+Materiales!$H$192-E1323-F1322,4))</f>
        <v/>
      </c>
      <c r="G1324" s="69">
        <f>MAX(0,ROUND(G1321+Materiales!$H$192-F1323-G1322,4))</f>
        <v/>
      </c>
      <c r="H1324" s="69">
        <f>MAX(0,ROUND(H1321+Materiales!$H$192-G1323-H1322,4))</f>
        <v/>
      </c>
      <c r="I1324" s="69">
        <f>MAX(0,ROUND(I1321+Materiales!$H$192-H1323-I1322,4))</f>
        <v/>
      </c>
      <c r="J1324" s="69">
        <f>MAX(0,ROUND(J1321+Materiales!$H$192-I1323-J1322,4))</f>
        <v/>
      </c>
      <c r="K1324" s="69">
        <f>MAX(0,ROUND(K1321+Materiales!$H$192-J1323-K1322,4))</f>
        <v/>
      </c>
      <c r="L1324" s="69">
        <f>MAX(0,ROUND(L1321+Materiales!$H$192-K1323-L1322,4))</f>
        <v/>
      </c>
      <c r="M1324" s="66" t="n"/>
    </row>
    <row r="1325">
      <c r="C1325" s="63" t="inlineStr">
        <is>
          <t>Recepcion de orden planificada</t>
        </is>
      </c>
      <c r="D1325" s="64" t="n"/>
      <c r="E1325" s="65">
        <f>IF(E1324&lt;=0,0,IF(Materiales!$G$192&lt;=0,E1324,ROUNDUP(E1324/Materiales!$G$192,0)*Materiales!$G$192))</f>
        <v/>
      </c>
      <c r="F1325" s="65">
        <f>IF(F1324&lt;=0,0,IF(Materiales!$G$192&lt;=0,F1324,ROUNDUP(F1324/Materiales!$G$192,0)*Materiales!$G$192))</f>
        <v/>
      </c>
      <c r="G1325" s="65">
        <f>IF(G1324&lt;=0,0,IF(Materiales!$G$192&lt;=0,G1324,ROUNDUP(G1324/Materiales!$G$192,0)*Materiales!$G$192))</f>
        <v/>
      </c>
      <c r="H1325" s="65">
        <f>IF(H1324&lt;=0,0,IF(Materiales!$G$192&lt;=0,H1324,ROUNDUP(H1324/Materiales!$G$192,0)*Materiales!$G$192))</f>
        <v/>
      </c>
      <c r="I1325" s="65">
        <f>IF(I1324&lt;=0,0,IF(Materiales!$G$192&lt;=0,I1324,ROUNDUP(I1324/Materiales!$G$192,0)*Materiales!$G$192))</f>
        <v/>
      </c>
      <c r="J1325" s="65">
        <f>IF(J1324&lt;=0,0,IF(Materiales!$G$192&lt;=0,J1324,ROUNDUP(J1324/Materiales!$G$192,0)*Materiales!$G$192))</f>
        <v/>
      </c>
      <c r="K1325" s="65">
        <f>IF(K1324&lt;=0,0,IF(Materiales!$G$192&lt;=0,K1324,ROUNDUP(K1324/Materiales!$G$192,0)*Materiales!$G$192))</f>
        <v/>
      </c>
      <c r="L1325" s="65">
        <f>IF(L1324&lt;=0,0,IF(Materiales!$G$192&lt;=0,L1324,ROUNDUP(L1324/Materiales!$G$192,0)*Materiales!$G$192))</f>
        <v/>
      </c>
      <c r="M1325" s="66" t="n"/>
    </row>
    <row r="1326">
      <c r="C1326" s="70" t="inlineStr">
        <is>
          <t>LANZAMIENTO DE ORDEN — pedir esta semana</t>
        </is>
      </c>
      <c r="D1326" s="64" t="n"/>
      <c r="E1326" s="71">
        <f>IF(1+Materiales!$F$192&gt;8,0,INDEX($E$1325:$L$1325,1,1+Materiales!$F$192))</f>
        <v/>
      </c>
      <c r="F1326" s="71">
        <f>IF(2+Materiales!$F$192&gt;8,0,INDEX($E$1325:$L$1325,1,2+Materiales!$F$192))</f>
        <v/>
      </c>
      <c r="G1326" s="71">
        <f>IF(3+Materiales!$F$192&gt;8,0,INDEX($E$1325:$L$1325,1,3+Materiales!$F$192))</f>
        <v/>
      </c>
      <c r="H1326" s="71">
        <f>IF(4+Materiales!$F$192&gt;8,0,INDEX($E$1325:$L$1325,1,4+Materiales!$F$192))</f>
        <v/>
      </c>
      <c r="I1326" s="71">
        <f>IF(5+Materiales!$F$192&gt;8,0,INDEX($E$1325:$L$1325,1,5+Materiales!$F$192))</f>
        <v/>
      </c>
      <c r="J1326" s="71">
        <f>IF(6+Materiales!$F$192&gt;8,0,INDEX($E$1325:$L$1325,1,6+Materiales!$F$192))</f>
        <v/>
      </c>
      <c r="K1326" s="71">
        <f>IF(7+Materiales!$F$192&gt;8,0,INDEX($E$1325:$L$1325,1,7+Materiales!$F$192))</f>
        <v/>
      </c>
      <c r="L1326" s="71">
        <f>IF(8+Materiales!$F$192&gt;8,0,INDEX($E$1325:$L$1325,1,8+Materiales!$F$192))</f>
        <v/>
      </c>
      <c r="M1326" s="72">
        <f>IF($A1321="","",IF(SUMPRODUCT((COLUMN($E$1325:$L$1325)-4&lt;=Materiales!$F$192)*$E$1325:$L$1325)&gt;0,"PEDIR YA (atrasado)","OK"))</f>
        <v/>
      </c>
    </row>
    <row r="1327" ht="6" customHeight="1"/>
    <row r="1328">
      <c r="A1328" s="62">
        <f>IF(Materiales!$A$193="","",Materiales!$A$193)</f>
        <v/>
      </c>
      <c r="B1328" s="62">
        <f>IF(Materiales!$B$193="","",Materiales!$B$193)</f>
        <v/>
      </c>
      <c r="C1328" s="63" t="inlineStr">
        <is>
          <t>Necesidad bruta</t>
        </is>
      </c>
      <c r="D1328" s="64" t="n"/>
      <c r="E1328" s="65">
        <f>ROUND(SUMIF(Consumo!$P$4:$P$189,"#"&amp;$A1328,Consumo!H$4:H$189),4)</f>
        <v/>
      </c>
      <c r="F1328" s="65">
        <f>ROUND(SUMIF(Consumo!$P$4:$P$189,"#"&amp;$A1328,Consumo!I$4:I$189),4)</f>
        <v/>
      </c>
      <c r="G1328" s="65">
        <f>ROUND(SUMIF(Consumo!$P$4:$P$189,"#"&amp;$A1328,Consumo!J$4:J$189),4)</f>
        <v/>
      </c>
      <c r="H1328" s="65">
        <f>ROUND(SUMIF(Consumo!$P$4:$P$189,"#"&amp;$A1328,Consumo!K$4:K$189),4)</f>
        <v/>
      </c>
      <c r="I1328" s="65">
        <f>ROUND(SUMIF(Consumo!$P$4:$P$189,"#"&amp;$A1328,Consumo!L$4:L$189),4)</f>
        <v/>
      </c>
      <c r="J1328" s="65">
        <f>ROUND(SUMIF(Consumo!$P$4:$P$189,"#"&amp;$A1328,Consumo!M$4:M$189),4)</f>
        <v/>
      </c>
      <c r="K1328" s="65">
        <f>ROUND(SUMIF(Consumo!$P$4:$P$189,"#"&amp;$A1328,Consumo!N$4:N$189),4)</f>
        <v/>
      </c>
      <c r="L1328" s="65">
        <f>ROUND(SUMIF(Consumo!$P$4:$P$189,"#"&amp;$A1328,Consumo!O$4:O$189),4)</f>
        <v/>
      </c>
      <c r="M1328" s="66" t="n"/>
    </row>
    <row r="1329">
      <c r="C1329" s="63" t="inlineStr">
        <is>
          <t>Recepciones programadas (ya pedido)</t>
        </is>
      </c>
      <c r="D1329" s="64" t="n"/>
      <c r="E1329" s="65">
        <f>SUMIF(Inventario!$M$5:$M$505,"#"&amp;$A1328,Inventario!E$5:E$505)</f>
        <v/>
      </c>
      <c r="F1329" s="65">
        <f>SUMIF(Inventario!$M$5:$M$505,"#"&amp;$A1328,Inventario!F$5:F$505)</f>
        <v/>
      </c>
      <c r="G1329" s="65">
        <f>SUMIF(Inventario!$M$5:$M$505,"#"&amp;$A1328,Inventario!G$5:G$505)</f>
        <v/>
      </c>
      <c r="H1329" s="65">
        <f>SUMIF(Inventario!$M$5:$M$505,"#"&amp;$A1328,Inventario!H$5:H$505)</f>
        <v/>
      </c>
      <c r="I1329" s="65">
        <f>SUMIF(Inventario!$M$5:$M$505,"#"&amp;$A1328,Inventario!I$5:I$505)</f>
        <v/>
      </c>
      <c r="J1329" s="65">
        <f>SUMIF(Inventario!$M$5:$M$505,"#"&amp;$A1328,Inventario!J$5:J$505)</f>
        <v/>
      </c>
      <c r="K1329" s="65">
        <f>SUMIF(Inventario!$M$5:$M$505,"#"&amp;$A1328,Inventario!K$5:K$505)</f>
        <v/>
      </c>
      <c r="L1329" s="65">
        <f>SUMIF(Inventario!$M$5:$M$505,"#"&amp;$A1328,Inventario!L$5:L$505)</f>
        <v/>
      </c>
      <c r="M1329" s="66" t="n"/>
    </row>
    <row r="1330">
      <c r="C1330" s="63" t="inlineStr">
        <is>
          <t>Stock proyectado disponible</t>
        </is>
      </c>
      <c r="D1330" s="67">
        <f>SUMIF(Inventario!$M$5:$M$505,"#"&amp;$A1328,Inventario!$C$5:$C$505)</f>
        <v/>
      </c>
      <c r="E1330" s="68">
        <f>D1330+E1329+E1332-E1328</f>
        <v/>
      </c>
      <c r="F1330" s="68">
        <f>E1330+F1329+F1332-F1328</f>
        <v/>
      </c>
      <c r="G1330" s="68">
        <f>F1330+G1329+G1332-G1328</f>
        <v/>
      </c>
      <c r="H1330" s="68">
        <f>G1330+H1329+H1332-H1328</f>
        <v/>
      </c>
      <c r="I1330" s="68">
        <f>H1330+I1329+I1332-I1328</f>
        <v/>
      </c>
      <c r="J1330" s="68">
        <f>I1330+J1329+J1332-J1328</f>
        <v/>
      </c>
      <c r="K1330" s="68">
        <f>J1330+K1329+K1332-K1328</f>
        <v/>
      </c>
      <c r="L1330" s="68">
        <f>K1330+L1329+L1332-L1328</f>
        <v/>
      </c>
      <c r="M1330" s="66" t="n"/>
    </row>
    <row r="1331">
      <c r="C1331" s="63" t="inlineStr">
        <is>
          <t>Necesidad neta</t>
        </is>
      </c>
      <c r="D1331" s="64" t="n"/>
      <c r="E1331" s="69">
        <f>MAX(0,ROUND(E1328+Materiales!$H$193-D1330-E1329,4))</f>
        <v/>
      </c>
      <c r="F1331" s="69">
        <f>MAX(0,ROUND(F1328+Materiales!$H$193-E1330-F1329,4))</f>
        <v/>
      </c>
      <c r="G1331" s="69">
        <f>MAX(0,ROUND(G1328+Materiales!$H$193-F1330-G1329,4))</f>
        <v/>
      </c>
      <c r="H1331" s="69">
        <f>MAX(0,ROUND(H1328+Materiales!$H$193-G1330-H1329,4))</f>
        <v/>
      </c>
      <c r="I1331" s="69">
        <f>MAX(0,ROUND(I1328+Materiales!$H$193-H1330-I1329,4))</f>
        <v/>
      </c>
      <c r="J1331" s="69">
        <f>MAX(0,ROUND(J1328+Materiales!$H$193-I1330-J1329,4))</f>
        <v/>
      </c>
      <c r="K1331" s="69">
        <f>MAX(0,ROUND(K1328+Materiales!$H$193-J1330-K1329,4))</f>
        <v/>
      </c>
      <c r="L1331" s="69">
        <f>MAX(0,ROUND(L1328+Materiales!$H$193-K1330-L1329,4))</f>
        <v/>
      </c>
      <c r="M1331" s="66" t="n"/>
    </row>
    <row r="1332">
      <c r="C1332" s="63" t="inlineStr">
        <is>
          <t>Recepcion de orden planificada</t>
        </is>
      </c>
      <c r="D1332" s="64" t="n"/>
      <c r="E1332" s="65">
        <f>IF(E1331&lt;=0,0,IF(Materiales!$G$193&lt;=0,E1331,ROUNDUP(E1331/Materiales!$G$193,0)*Materiales!$G$193))</f>
        <v/>
      </c>
      <c r="F1332" s="65">
        <f>IF(F1331&lt;=0,0,IF(Materiales!$G$193&lt;=0,F1331,ROUNDUP(F1331/Materiales!$G$193,0)*Materiales!$G$193))</f>
        <v/>
      </c>
      <c r="G1332" s="65">
        <f>IF(G1331&lt;=0,0,IF(Materiales!$G$193&lt;=0,G1331,ROUNDUP(G1331/Materiales!$G$193,0)*Materiales!$G$193))</f>
        <v/>
      </c>
      <c r="H1332" s="65">
        <f>IF(H1331&lt;=0,0,IF(Materiales!$G$193&lt;=0,H1331,ROUNDUP(H1331/Materiales!$G$193,0)*Materiales!$G$193))</f>
        <v/>
      </c>
      <c r="I1332" s="65">
        <f>IF(I1331&lt;=0,0,IF(Materiales!$G$193&lt;=0,I1331,ROUNDUP(I1331/Materiales!$G$193,0)*Materiales!$G$193))</f>
        <v/>
      </c>
      <c r="J1332" s="65">
        <f>IF(J1331&lt;=0,0,IF(Materiales!$G$193&lt;=0,J1331,ROUNDUP(J1331/Materiales!$G$193,0)*Materiales!$G$193))</f>
        <v/>
      </c>
      <c r="K1332" s="65">
        <f>IF(K1331&lt;=0,0,IF(Materiales!$G$193&lt;=0,K1331,ROUNDUP(K1331/Materiales!$G$193,0)*Materiales!$G$193))</f>
        <v/>
      </c>
      <c r="L1332" s="65">
        <f>IF(L1331&lt;=0,0,IF(Materiales!$G$193&lt;=0,L1331,ROUNDUP(L1331/Materiales!$G$193,0)*Materiales!$G$193))</f>
        <v/>
      </c>
      <c r="M1332" s="66" t="n"/>
    </row>
    <row r="1333">
      <c r="C1333" s="70" t="inlineStr">
        <is>
          <t>LANZAMIENTO DE ORDEN — pedir esta semana</t>
        </is>
      </c>
      <c r="D1333" s="64" t="n"/>
      <c r="E1333" s="71">
        <f>IF(1+Materiales!$F$193&gt;8,0,INDEX($E$1332:$L$1332,1,1+Materiales!$F$193))</f>
        <v/>
      </c>
      <c r="F1333" s="71">
        <f>IF(2+Materiales!$F$193&gt;8,0,INDEX($E$1332:$L$1332,1,2+Materiales!$F$193))</f>
        <v/>
      </c>
      <c r="G1333" s="71">
        <f>IF(3+Materiales!$F$193&gt;8,0,INDEX($E$1332:$L$1332,1,3+Materiales!$F$193))</f>
        <v/>
      </c>
      <c r="H1333" s="71">
        <f>IF(4+Materiales!$F$193&gt;8,0,INDEX($E$1332:$L$1332,1,4+Materiales!$F$193))</f>
        <v/>
      </c>
      <c r="I1333" s="71">
        <f>IF(5+Materiales!$F$193&gt;8,0,INDEX($E$1332:$L$1332,1,5+Materiales!$F$193))</f>
        <v/>
      </c>
      <c r="J1333" s="71">
        <f>IF(6+Materiales!$F$193&gt;8,0,INDEX($E$1332:$L$1332,1,6+Materiales!$F$193))</f>
        <v/>
      </c>
      <c r="K1333" s="71">
        <f>IF(7+Materiales!$F$193&gt;8,0,INDEX($E$1332:$L$1332,1,7+Materiales!$F$193))</f>
        <v/>
      </c>
      <c r="L1333" s="71">
        <f>IF(8+Materiales!$F$193&gt;8,0,INDEX($E$1332:$L$1332,1,8+Materiales!$F$193))</f>
        <v/>
      </c>
      <c r="M1333" s="72">
        <f>IF($A1328="","",IF(SUMPRODUCT((COLUMN($E$1332:$L$1332)-4&lt;=Materiales!$F$193)*$E$1332:$L$1332)&gt;0,"PEDIR YA (atrasado)","OK"))</f>
        <v/>
      </c>
    </row>
    <row r="1334" ht="6" customHeight="1"/>
    <row r="1335">
      <c r="A1335" s="62">
        <f>IF(Materiales!$A$194="","",Materiales!$A$194)</f>
        <v/>
      </c>
      <c r="B1335" s="62">
        <f>IF(Materiales!$B$194="","",Materiales!$B$194)</f>
        <v/>
      </c>
      <c r="C1335" s="63" t="inlineStr">
        <is>
          <t>Necesidad bruta</t>
        </is>
      </c>
      <c r="D1335" s="64" t="n"/>
      <c r="E1335" s="65">
        <f>ROUND(SUMIF(Consumo!$P$4:$P$189,"#"&amp;$A1335,Consumo!H$4:H$189),4)</f>
        <v/>
      </c>
      <c r="F1335" s="65">
        <f>ROUND(SUMIF(Consumo!$P$4:$P$189,"#"&amp;$A1335,Consumo!I$4:I$189),4)</f>
        <v/>
      </c>
      <c r="G1335" s="65">
        <f>ROUND(SUMIF(Consumo!$P$4:$P$189,"#"&amp;$A1335,Consumo!J$4:J$189),4)</f>
        <v/>
      </c>
      <c r="H1335" s="65">
        <f>ROUND(SUMIF(Consumo!$P$4:$P$189,"#"&amp;$A1335,Consumo!K$4:K$189),4)</f>
        <v/>
      </c>
      <c r="I1335" s="65">
        <f>ROUND(SUMIF(Consumo!$P$4:$P$189,"#"&amp;$A1335,Consumo!L$4:L$189),4)</f>
        <v/>
      </c>
      <c r="J1335" s="65">
        <f>ROUND(SUMIF(Consumo!$P$4:$P$189,"#"&amp;$A1335,Consumo!M$4:M$189),4)</f>
        <v/>
      </c>
      <c r="K1335" s="65">
        <f>ROUND(SUMIF(Consumo!$P$4:$P$189,"#"&amp;$A1335,Consumo!N$4:N$189),4)</f>
        <v/>
      </c>
      <c r="L1335" s="65">
        <f>ROUND(SUMIF(Consumo!$P$4:$P$189,"#"&amp;$A1335,Consumo!O$4:O$189),4)</f>
        <v/>
      </c>
      <c r="M1335" s="66" t="n"/>
    </row>
    <row r="1336">
      <c r="C1336" s="63" t="inlineStr">
        <is>
          <t>Recepciones programadas (ya pedido)</t>
        </is>
      </c>
      <c r="D1336" s="64" t="n"/>
      <c r="E1336" s="65">
        <f>SUMIF(Inventario!$M$5:$M$505,"#"&amp;$A1335,Inventario!E$5:E$505)</f>
        <v/>
      </c>
      <c r="F1336" s="65">
        <f>SUMIF(Inventario!$M$5:$M$505,"#"&amp;$A1335,Inventario!F$5:F$505)</f>
        <v/>
      </c>
      <c r="G1336" s="65">
        <f>SUMIF(Inventario!$M$5:$M$505,"#"&amp;$A1335,Inventario!G$5:G$505)</f>
        <v/>
      </c>
      <c r="H1336" s="65">
        <f>SUMIF(Inventario!$M$5:$M$505,"#"&amp;$A1335,Inventario!H$5:H$505)</f>
        <v/>
      </c>
      <c r="I1336" s="65">
        <f>SUMIF(Inventario!$M$5:$M$505,"#"&amp;$A1335,Inventario!I$5:I$505)</f>
        <v/>
      </c>
      <c r="J1336" s="65">
        <f>SUMIF(Inventario!$M$5:$M$505,"#"&amp;$A1335,Inventario!J$5:J$505)</f>
        <v/>
      </c>
      <c r="K1336" s="65">
        <f>SUMIF(Inventario!$M$5:$M$505,"#"&amp;$A1335,Inventario!K$5:K$505)</f>
        <v/>
      </c>
      <c r="L1336" s="65">
        <f>SUMIF(Inventario!$M$5:$M$505,"#"&amp;$A1335,Inventario!L$5:L$505)</f>
        <v/>
      </c>
      <c r="M1336" s="66" t="n"/>
    </row>
    <row r="1337">
      <c r="C1337" s="63" t="inlineStr">
        <is>
          <t>Stock proyectado disponible</t>
        </is>
      </c>
      <c r="D1337" s="67">
        <f>SUMIF(Inventario!$M$5:$M$505,"#"&amp;$A1335,Inventario!$C$5:$C$505)</f>
        <v/>
      </c>
      <c r="E1337" s="68">
        <f>D1337+E1336+E1339-E1335</f>
        <v/>
      </c>
      <c r="F1337" s="68">
        <f>E1337+F1336+F1339-F1335</f>
        <v/>
      </c>
      <c r="G1337" s="68">
        <f>F1337+G1336+G1339-G1335</f>
        <v/>
      </c>
      <c r="H1337" s="68">
        <f>G1337+H1336+H1339-H1335</f>
        <v/>
      </c>
      <c r="I1337" s="68">
        <f>H1337+I1336+I1339-I1335</f>
        <v/>
      </c>
      <c r="J1337" s="68">
        <f>I1337+J1336+J1339-J1335</f>
        <v/>
      </c>
      <c r="K1337" s="68">
        <f>J1337+K1336+K1339-K1335</f>
        <v/>
      </c>
      <c r="L1337" s="68">
        <f>K1337+L1336+L1339-L1335</f>
        <v/>
      </c>
      <c r="M1337" s="66" t="n"/>
    </row>
    <row r="1338">
      <c r="C1338" s="63" t="inlineStr">
        <is>
          <t>Necesidad neta</t>
        </is>
      </c>
      <c r="D1338" s="64" t="n"/>
      <c r="E1338" s="69">
        <f>MAX(0,ROUND(E1335+Materiales!$H$194-D1337-E1336,4))</f>
        <v/>
      </c>
      <c r="F1338" s="69">
        <f>MAX(0,ROUND(F1335+Materiales!$H$194-E1337-F1336,4))</f>
        <v/>
      </c>
      <c r="G1338" s="69">
        <f>MAX(0,ROUND(G1335+Materiales!$H$194-F1337-G1336,4))</f>
        <v/>
      </c>
      <c r="H1338" s="69">
        <f>MAX(0,ROUND(H1335+Materiales!$H$194-G1337-H1336,4))</f>
        <v/>
      </c>
      <c r="I1338" s="69">
        <f>MAX(0,ROUND(I1335+Materiales!$H$194-H1337-I1336,4))</f>
        <v/>
      </c>
      <c r="J1338" s="69">
        <f>MAX(0,ROUND(J1335+Materiales!$H$194-I1337-J1336,4))</f>
        <v/>
      </c>
      <c r="K1338" s="69">
        <f>MAX(0,ROUND(K1335+Materiales!$H$194-J1337-K1336,4))</f>
        <v/>
      </c>
      <c r="L1338" s="69">
        <f>MAX(0,ROUND(L1335+Materiales!$H$194-K1337-L1336,4))</f>
        <v/>
      </c>
      <c r="M1338" s="66" t="n"/>
    </row>
    <row r="1339">
      <c r="C1339" s="63" t="inlineStr">
        <is>
          <t>Recepcion de orden planificada</t>
        </is>
      </c>
      <c r="D1339" s="64" t="n"/>
      <c r="E1339" s="65">
        <f>IF(E1338&lt;=0,0,IF(Materiales!$G$194&lt;=0,E1338,ROUNDUP(E1338/Materiales!$G$194,0)*Materiales!$G$194))</f>
        <v/>
      </c>
      <c r="F1339" s="65">
        <f>IF(F1338&lt;=0,0,IF(Materiales!$G$194&lt;=0,F1338,ROUNDUP(F1338/Materiales!$G$194,0)*Materiales!$G$194))</f>
        <v/>
      </c>
      <c r="G1339" s="65">
        <f>IF(G1338&lt;=0,0,IF(Materiales!$G$194&lt;=0,G1338,ROUNDUP(G1338/Materiales!$G$194,0)*Materiales!$G$194))</f>
        <v/>
      </c>
      <c r="H1339" s="65">
        <f>IF(H1338&lt;=0,0,IF(Materiales!$G$194&lt;=0,H1338,ROUNDUP(H1338/Materiales!$G$194,0)*Materiales!$G$194))</f>
        <v/>
      </c>
      <c r="I1339" s="65">
        <f>IF(I1338&lt;=0,0,IF(Materiales!$G$194&lt;=0,I1338,ROUNDUP(I1338/Materiales!$G$194,0)*Materiales!$G$194))</f>
        <v/>
      </c>
      <c r="J1339" s="65">
        <f>IF(J1338&lt;=0,0,IF(Materiales!$G$194&lt;=0,J1338,ROUNDUP(J1338/Materiales!$G$194,0)*Materiales!$G$194))</f>
        <v/>
      </c>
      <c r="K1339" s="65">
        <f>IF(K1338&lt;=0,0,IF(Materiales!$G$194&lt;=0,K1338,ROUNDUP(K1338/Materiales!$G$194,0)*Materiales!$G$194))</f>
        <v/>
      </c>
      <c r="L1339" s="65">
        <f>IF(L1338&lt;=0,0,IF(Materiales!$G$194&lt;=0,L1338,ROUNDUP(L1338/Materiales!$G$194,0)*Materiales!$G$194))</f>
        <v/>
      </c>
      <c r="M1339" s="66" t="n"/>
    </row>
    <row r="1340">
      <c r="C1340" s="70" t="inlineStr">
        <is>
          <t>LANZAMIENTO DE ORDEN — pedir esta semana</t>
        </is>
      </c>
      <c r="D1340" s="64" t="n"/>
      <c r="E1340" s="71">
        <f>IF(1+Materiales!$F$194&gt;8,0,INDEX($E$1339:$L$1339,1,1+Materiales!$F$194))</f>
        <v/>
      </c>
      <c r="F1340" s="71">
        <f>IF(2+Materiales!$F$194&gt;8,0,INDEX($E$1339:$L$1339,1,2+Materiales!$F$194))</f>
        <v/>
      </c>
      <c r="G1340" s="71">
        <f>IF(3+Materiales!$F$194&gt;8,0,INDEX($E$1339:$L$1339,1,3+Materiales!$F$194))</f>
        <v/>
      </c>
      <c r="H1340" s="71">
        <f>IF(4+Materiales!$F$194&gt;8,0,INDEX($E$1339:$L$1339,1,4+Materiales!$F$194))</f>
        <v/>
      </c>
      <c r="I1340" s="71">
        <f>IF(5+Materiales!$F$194&gt;8,0,INDEX($E$1339:$L$1339,1,5+Materiales!$F$194))</f>
        <v/>
      </c>
      <c r="J1340" s="71">
        <f>IF(6+Materiales!$F$194&gt;8,0,INDEX($E$1339:$L$1339,1,6+Materiales!$F$194))</f>
        <v/>
      </c>
      <c r="K1340" s="71">
        <f>IF(7+Materiales!$F$194&gt;8,0,INDEX($E$1339:$L$1339,1,7+Materiales!$F$194))</f>
        <v/>
      </c>
      <c r="L1340" s="71">
        <f>IF(8+Materiales!$F$194&gt;8,0,INDEX($E$1339:$L$1339,1,8+Materiales!$F$194))</f>
        <v/>
      </c>
      <c r="M1340" s="72">
        <f>IF($A1335="","",IF(SUMPRODUCT((COLUMN($E$1339:$L$1339)-4&lt;=Materiales!$F$194)*$E$1339:$L$1339)&gt;0,"PEDIR YA (atrasado)","OK"))</f>
        <v/>
      </c>
    </row>
    <row r="1341" ht="6" customHeight="1"/>
    <row r="1342">
      <c r="A1342" s="62">
        <f>IF(Materiales!$A$195="","",Materiales!$A$195)</f>
        <v/>
      </c>
      <c r="B1342" s="62">
        <f>IF(Materiales!$B$195="","",Materiales!$B$195)</f>
        <v/>
      </c>
      <c r="C1342" s="63" t="inlineStr">
        <is>
          <t>Necesidad bruta</t>
        </is>
      </c>
      <c r="D1342" s="64" t="n"/>
      <c r="E1342" s="65">
        <f>ROUND(SUMIF(Consumo!$P$4:$P$189,"#"&amp;$A1342,Consumo!H$4:H$189),4)</f>
        <v/>
      </c>
      <c r="F1342" s="65">
        <f>ROUND(SUMIF(Consumo!$P$4:$P$189,"#"&amp;$A1342,Consumo!I$4:I$189),4)</f>
        <v/>
      </c>
      <c r="G1342" s="65">
        <f>ROUND(SUMIF(Consumo!$P$4:$P$189,"#"&amp;$A1342,Consumo!J$4:J$189),4)</f>
        <v/>
      </c>
      <c r="H1342" s="65">
        <f>ROUND(SUMIF(Consumo!$P$4:$P$189,"#"&amp;$A1342,Consumo!K$4:K$189),4)</f>
        <v/>
      </c>
      <c r="I1342" s="65">
        <f>ROUND(SUMIF(Consumo!$P$4:$P$189,"#"&amp;$A1342,Consumo!L$4:L$189),4)</f>
        <v/>
      </c>
      <c r="J1342" s="65">
        <f>ROUND(SUMIF(Consumo!$P$4:$P$189,"#"&amp;$A1342,Consumo!M$4:M$189),4)</f>
        <v/>
      </c>
      <c r="K1342" s="65">
        <f>ROUND(SUMIF(Consumo!$P$4:$P$189,"#"&amp;$A1342,Consumo!N$4:N$189),4)</f>
        <v/>
      </c>
      <c r="L1342" s="65">
        <f>ROUND(SUMIF(Consumo!$P$4:$P$189,"#"&amp;$A1342,Consumo!O$4:O$189),4)</f>
        <v/>
      </c>
      <c r="M1342" s="66" t="n"/>
    </row>
    <row r="1343">
      <c r="C1343" s="63" t="inlineStr">
        <is>
          <t>Recepciones programadas (ya pedido)</t>
        </is>
      </c>
      <c r="D1343" s="64" t="n"/>
      <c r="E1343" s="65">
        <f>SUMIF(Inventario!$M$5:$M$505,"#"&amp;$A1342,Inventario!E$5:E$505)</f>
        <v/>
      </c>
      <c r="F1343" s="65">
        <f>SUMIF(Inventario!$M$5:$M$505,"#"&amp;$A1342,Inventario!F$5:F$505)</f>
        <v/>
      </c>
      <c r="G1343" s="65">
        <f>SUMIF(Inventario!$M$5:$M$505,"#"&amp;$A1342,Inventario!G$5:G$505)</f>
        <v/>
      </c>
      <c r="H1343" s="65">
        <f>SUMIF(Inventario!$M$5:$M$505,"#"&amp;$A1342,Inventario!H$5:H$505)</f>
        <v/>
      </c>
      <c r="I1343" s="65">
        <f>SUMIF(Inventario!$M$5:$M$505,"#"&amp;$A1342,Inventario!I$5:I$505)</f>
        <v/>
      </c>
      <c r="J1343" s="65">
        <f>SUMIF(Inventario!$M$5:$M$505,"#"&amp;$A1342,Inventario!J$5:J$505)</f>
        <v/>
      </c>
      <c r="K1343" s="65">
        <f>SUMIF(Inventario!$M$5:$M$505,"#"&amp;$A1342,Inventario!K$5:K$505)</f>
        <v/>
      </c>
      <c r="L1343" s="65">
        <f>SUMIF(Inventario!$M$5:$M$505,"#"&amp;$A1342,Inventario!L$5:L$505)</f>
        <v/>
      </c>
      <c r="M1343" s="66" t="n"/>
    </row>
    <row r="1344">
      <c r="C1344" s="63" t="inlineStr">
        <is>
          <t>Stock proyectado disponible</t>
        </is>
      </c>
      <c r="D1344" s="67">
        <f>SUMIF(Inventario!$M$5:$M$505,"#"&amp;$A1342,Inventario!$C$5:$C$505)</f>
        <v/>
      </c>
      <c r="E1344" s="68">
        <f>D1344+E1343+E1346-E1342</f>
        <v/>
      </c>
      <c r="F1344" s="68">
        <f>E1344+F1343+F1346-F1342</f>
        <v/>
      </c>
      <c r="G1344" s="68">
        <f>F1344+G1343+G1346-G1342</f>
        <v/>
      </c>
      <c r="H1344" s="68">
        <f>G1344+H1343+H1346-H1342</f>
        <v/>
      </c>
      <c r="I1344" s="68">
        <f>H1344+I1343+I1346-I1342</f>
        <v/>
      </c>
      <c r="J1344" s="68">
        <f>I1344+J1343+J1346-J1342</f>
        <v/>
      </c>
      <c r="K1344" s="68">
        <f>J1344+K1343+K1346-K1342</f>
        <v/>
      </c>
      <c r="L1344" s="68">
        <f>K1344+L1343+L1346-L1342</f>
        <v/>
      </c>
      <c r="M1344" s="66" t="n"/>
    </row>
    <row r="1345">
      <c r="C1345" s="63" t="inlineStr">
        <is>
          <t>Necesidad neta</t>
        </is>
      </c>
      <c r="D1345" s="64" t="n"/>
      <c r="E1345" s="69">
        <f>MAX(0,ROUND(E1342+Materiales!$H$195-D1344-E1343,4))</f>
        <v/>
      </c>
      <c r="F1345" s="69">
        <f>MAX(0,ROUND(F1342+Materiales!$H$195-E1344-F1343,4))</f>
        <v/>
      </c>
      <c r="G1345" s="69">
        <f>MAX(0,ROUND(G1342+Materiales!$H$195-F1344-G1343,4))</f>
        <v/>
      </c>
      <c r="H1345" s="69">
        <f>MAX(0,ROUND(H1342+Materiales!$H$195-G1344-H1343,4))</f>
        <v/>
      </c>
      <c r="I1345" s="69">
        <f>MAX(0,ROUND(I1342+Materiales!$H$195-H1344-I1343,4))</f>
        <v/>
      </c>
      <c r="J1345" s="69">
        <f>MAX(0,ROUND(J1342+Materiales!$H$195-I1344-J1343,4))</f>
        <v/>
      </c>
      <c r="K1345" s="69">
        <f>MAX(0,ROUND(K1342+Materiales!$H$195-J1344-K1343,4))</f>
        <v/>
      </c>
      <c r="L1345" s="69">
        <f>MAX(0,ROUND(L1342+Materiales!$H$195-K1344-L1343,4))</f>
        <v/>
      </c>
      <c r="M1345" s="66" t="n"/>
    </row>
    <row r="1346">
      <c r="C1346" s="63" t="inlineStr">
        <is>
          <t>Recepcion de orden planificada</t>
        </is>
      </c>
      <c r="D1346" s="64" t="n"/>
      <c r="E1346" s="65">
        <f>IF(E1345&lt;=0,0,IF(Materiales!$G$195&lt;=0,E1345,ROUNDUP(E1345/Materiales!$G$195,0)*Materiales!$G$195))</f>
        <v/>
      </c>
      <c r="F1346" s="65">
        <f>IF(F1345&lt;=0,0,IF(Materiales!$G$195&lt;=0,F1345,ROUNDUP(F1345/Materiales!$G$195,0)*Materiales!$G$195))</f>
        <v/>
      </c>
      <c r="G1346" s="65">
        <f>IF(G1345&lt;=0,0,IF(Materiales!$G$195&lt;=0,G1345,ROUNDUP(G1345/Materiales!$G$195,0)*Materiales!$G$195))</f>
        <v/>
      </c>
      <c r="H1346" s="65">
        <f>IF(H1345&lt;=0,0,IF(Materiales!$G$195&lt;=0,H1345,ROUNDUP(H1345/Materiales!$G$195,0)*Materiales!$G$195))</f>
        <v/>
      </c>
      <c r="I1346" s="65">
        <f>IF(I1345&lt;=0,0,IF(Materiales!$G$195&lt;=0,I1345,ROUNDUP(I1345/Materiales!$G$195,0)*Materiales!$G$195))</f>
        <v/>
      </c>
      <c r="J1346" s="65">
        <f>IF(J1345&lt;=0,0,IF(Materiales!$G$195&lt;=0,J1345,ROUNDUP(J1345/Materiales!$G$195,0)*Materiales!$G$195))</f>
        <v/>
      </c>
      <c r="K1346" s="65">
        <f>IF(K1345&lt;=0,0,IF(Materiales!$G$195&lt;=0,K1345,ROUNDUP(K1345/Materiales!$G$195,0)*Materiales!$G$195))</f>
        <v/>
      </c>
      <c r="L1346" s="65">
        <f>IF(L1345&lt;=0,0,IF(Materiales!$G$195&lt;=0,L1345,ROUNDUP(L1345/Materiales!$G$195,0)*Materiales!$G$195))</f>
        <v/>
      </c>
      <c r="M1346" s="66" t="n"/>
    </row>
    <row r="1347">
      <c r="C1347" s="70" t="inlineStr">
        <is>
          <t>LANZAMIENTO DE ORDEN — pedir esta semana</t>
        </is>
      </c>
      <c r="D1347" s="64" t="n"/>
      <c r="E1347" s="71">
        <f>IF(1+Materiales!$F$195&gt;8,0,INDEX($E$1346:$L$1346,1,1+Materiales!$F$195))</f>
        <v/>
      </c>
      <c r="F1347" s="71">
        <f>IF(2+Materiales!$F$195&gt;8,0,INDEX($E$1346:$L$1346,1,2+Materiales!$F$195))</f>
        <v/>
      </c>
      <c r="G1347" s="71">
        <f>IF(3+Materiales!$F$195&gt;8,0,INDEX($E$1346:$L$1346,1,3+Materiales!$F$195))</f>
        <v/>
      </c>
      <c r="H1347" s="71">
        <f>IF(4+Materiales!$F$195&gt;8,0,INDEX($E$1346:$L$1346,1,4+Materiales!$F$195))</f>
        <v/>
      </c>
      <c r="I1347" s="71">
        <f>IF(5+Materiales!$F$195&gt;8,0,INDEX($E$1346:$L$1346,1,5+Materiales!$F$195))</f>
        <v/>
      </c>
      <c r="J1347" s="71">
        <f>IF(6+Materiales!$F$195&gt;8,0,INDEX($E$1346:$L$1346,1,6+Materiales!$F$195))</f>
        <v/>
      </c>
      <c r="K1347" s="71">
        <f>IF(7+Materiales!$F$195&gt;8,0,INDEX($E$1346:$L$1346,1,7+Materiales!$F$195))</f>
        <v/>
      </c>
      <c r="L1347" s="71">
        <f>IF(8+Materiales!$F$195&gt;8,0,INDEX($E$1346:$L$1346,1,8+Materiales!$F$195))</f>
        <v/>
      </c>
      <c r="M1347" s="72">
        <f>IF($A1342="","",IF(SUMPRODUCT((COLUMN($E$1346:$L$1346)-4&lt;=Materiales!$F$195)*$E$1346:$L$1346)&gt;0,"PEDIR YA (atrasado)","OK"))</f>
        <v/>
      </c>
    </row>
    <row r="1348" ht="6" customHeight="1"/>
    <row r="1349">
      <c r="A1349" s="62">
        <f>IF(Materiales!$A$196="","",Materiales!$A$196)</f>
        <v/>
      </c>
      <c r="B1349" s="62">
        <f>IF(Materiales!$B$196="","",Materiales!$B$196)</f>
        <v/>
      </c>
      <c r="C1349" s="63" t="inlineStr">
        <is>
          <t>Necesidad bruta</t>
        </is>
      </c>
      <c r="D1349" s="64" t="n"/>
      <c r="E1349" s="65">
        <f>ROUND(SUMIF(Consumo!$P$4:$P$189,"#"&amp;$A1349,Consumo!H$4:H$189),4)</f>
        <v/>
      </c>
      <c r="F1349" s="65">
        <f>ROUND(SUMIF(Consumo!$P$4:$P$189,"#"&amp;$A1349,Consumo!I$4:I$189),4)</f>
        <v/>
      </c>
      <c r="G1349" s="65">
        <f>ROUND(SUMIF(Consumo!$P$4:$P$189,"#"&amp;$A1349,Consumo!J$4:J$189),4)</f>
        <v/>
      </c>
      <c r="H1349" s="65">
        <f>ROUND(SUMIF(Consumo!$P$4:$P$189,"#"&amp;$A1349,Consumo!K$4:K$189),4)</f>
        <v/>
      </c>
      <c r="I1349" s="65">
        <f>ROUND(SUMIF(Consumo!$P$4:$P$189,"#"&amp;$A1349,Consumo!L$4:L$189),4)</f>
        <v/>
      </c>
      <c r="J1349" s="65">
        <f>ROUND(SUMIF(Consumo!$P$4:$P$189,"#"&amp;$A1349,Consumo!M$4:M$189),4)</f>
        <v/>
      </c>
      <c r="K1349" s="65">
        <f>ROUND(SUMIF(Consumo!$P$4:$P$189,"#"&amp;$A1349,Consumo!N$4:N$189),4)</f>
        <v/>
      </c>
      <c r="L1349" s="65">
        <f>ROUND(SUMIF(Consumo!$P$4:$P$189,"#"&amp;$A1349,Consumo!O$4:O$189),4)</f>
        <v/>
      </c>
      <c r="M1349" s="66" t="n"/>
    </row>
    <row r="1350">
      <c r="C1350" s="63" t="inlineStr">
        <is>
          <t>Recepciones programadas (ya pedido)</t>
        </is>
      </c>
      <c r="D1350" s="64" t="n"/>
      <c r="E1350" s="65">
        <f>SUMIF(Inventario!$M$5:$M$505,"#"&amp;$A1349,Inventario!E$5:E$505)</f>
        <v/>
      </c>
      <c r="F1350" s="65">
        <f>SUMIF(Inventario!$M$5:$M$505,"#"&amp;$A1349,Inventario!F$5:F$505)</f>
        <v/>
      </c>
      <c r="G1350" s="65">
        <f>SUMIF(Inventario!$M$5:$M$505,"#"&amp;$A1349,Inventario!G$5:G$505)</f>
        <v/>
      </c>
      <c r="H1350" s="65">
        <f>SUMIF(Inventario!$M$5:$M$505,"#"&amp;$A1349,Inventario!H$5:H$505)</f>
        <v/>
      </c>
      <c r="I1350" s="65">
        <f>SUMIF(Inventario!$M$5:$M$505,"#"&amp;$A1349,Inventario!I$5:I$505)</f>
        <v/>
      </c>
      <c r="J1350" s="65">
        <f>SUMIF(Inventario!$M$5:$M$505,"#"&amp;$A1349,Inventario!J$5:J$505)</f>
        <v/>
      </c>
      <c r="K1350" s="65">
        <f>SUMIF(Inventario!$M$5:$M$505,"#"&amp;$A1349,Inventario!K$5:K$505)</f>
        <v/>
      </c>
      <c r="L1350" s="65">
        <f>SUMIF(Inventario!$M$5:$M$505,"#"&amp;$A1349,Inventario!L$5:L$505)</f>
        <v/>
      </c>
      <c r="M1350" s="66" t="n"/>
    </row>
    <row r="1351">
      <c r="C1351" s="63" t="inlineStr">
        <is>
          <t>Stock proyectado disponible</t>
        </is>
      </c>
      <c r="D1351" s="67">
        <f>SUMIF(Inventario!$M$5:$M$505,"#"&amp;$A1349,Inventario!$C$5:$C$505)</f>
        <v/>
      </c>
      <c r="E1351" s="68">
        <f>D1351+E1350+E1353-E1349</f>
        <v/>
      </c>
      <c r="F1351" s="68">
        <f>E1351+F1350+F1353-F1349</f>
        <v/>
      </c>
      <c r="G1351" s="68">
        <f>F1351+G1350+G1353-G1349</f>
        <v/>
      </c>
      <c r="H1351" s="68">
        <f>G1351+H1350+H1353-H1349</f>
        <v/>
      </c>
      <c r="I1351" s="68">
        <f>H1351+I1350+I1353-I1349</f>
        <v/>
      </c>
      <c r="J1351" s="68">
        <f>I1351+J1350+J1353-J1349</f>
        <v/>
      </c>
      <c r="K1351" s="68">
        <f>J1351+K1350+K1353-K1349</f>
        <v/>
      </c>
      <c r="L1351" s="68">
        <f>K1351+L1350+L1353-L1349</f>
        <v/>
      </c>
      <c r="M1351" s="66" t="n"/>
    </row>
    <row r="1352">
      <c r="C1352" s="63" t="inlineStr">
        <is>
          <t>Necesidad neta</t>
        </is>
      </c>
      <c r="D1352" s="64" t="n"/>
      <c r="E1352" s="69">
        <f>MAX(0,ROUND(E1349+Materiales!$H$196-D1351-E1350,4))</f>
        <v/>
      </c>
      <c r="F1352" s="69">
        <f>MAX(0,ROUND(F1349+Materiales!$H$196-E1351-F1350,4))</f>
        <v/>
      </c>
      <c r="G1352" s="69">
        <f>MAX(0,ROUND(G1349+Materiales!$H$196-F1351-G1350,4))</f>
        <v/>
      </c>
      <c r="H1352" s="69">
        <f>MAX(0,ROUND(H1349+Materiales!$H$196-G1351-H1350,4))</f>
        <v/>
      </c>
      <c r="I1352" s="69">
        <f>MAX(0,ROUND(I1349+Materiales!$H$196-H1351-I1350,4))</f>
        <v/>
      </c>
      <c r="J1352" s="69">
        <f>MAX(0,ROUND(J1349+Materiales!$H$196-I1351-J1350,4))</f>
        <v/>
      </c>
      <c r="K1352" s="69">
        <f>MAX(0,ROUND(K1349+Materiales!$H$196-J1351-K1350,4))</f>
        <v/>
      </c>
      <c r="L1352" s="69">
        <f>MAX(0,ROUND(L1349+Materiales!$H$196-K1351-L1350,4))</f>
        <v/>
      </c>
      <c r="M1352" s="66" t="n"/>
    </row>
    <row r="1353">
      <c r="C1353" s="63" t="inlineStr">
        <is>
          <t>Recepcion de orden planificada</t>
        </is>
      </c>
      <c r="D1353" s="64" t="n"/>
      <c r="E1353" s="65">
        <f>IF(E1352&lt;=0,0,IF(Materiales!$G$196&lt;=0,E1352,ROUNDUP(E1352/Materiales!$G$196,0)*Materiales!$G$196))</f>
        <v/>
      </c>
      <c r="F1353" s="65">
        <f>IF(F1352&lt;=0,0,IF(Materiales!$G$196&lt;=0,F1352,ROUNDUP(F1352/Materiales!$G$196,0)*Materiales!$G$196))</f>
        <v/>
      </c>
      <c r="G1353" s="65">
        <f>IF(G1352&lt;=0,0,IF(Materiales!$G$196&lt;=0,G1352,ROUNDUP(G1352/Materiales!$G$196,0)*Materiales!$G$196))</f>
        <v/>
      </c>
      <c r="H1353" s="65">
        <f>IF(H1352&lt;=0,0,IF(Materiales!$G$196&lt;=0,H1352,ROUNDUP(H1352/Materiales!$G$196,0)*Materiales!$G$196))</f>
        <v/>
      </c>
      <c r="I1353" s="65">
        <f>IF(I1352&lt;=0,0,IF(Materiales!$G$196&lt;=0,I1352,ROUNDUP(I1352/Materiales!$G$196,0)*Materiales!$G$196))</f>
        <v/>
      </c>
      <c r="J1353" s="65">
        <f>IF(J1352&lt;=0,0,IF(Materiales!$G$196&lt;=0,J1352,ROUNDUP(J1352/Materiales!$G$196,0)*Materiales!$G$196))</f>
        <v/>
      </c>
      <c r="K1353" s="65">
        <f>IF(K1352&lt;=0,0,IF(Materiales!$G$196&lt;=0,K1352,ROUNDUP(K1352/Materiales!$G$196,0)*Materiales!$G$196))</f>
        <v/>
      </c>
      <c r="L1353" s="65">
        <f>IF(L1352&lt;=0,0,IF(Materiales!$G$196&lt;=0,L1352,ROUNDUP(L1352/Materiales!$G$196,0)*Materiales!$G$196))</f>
        <v/>
      </c>
      <c r="M1353" s="66" t="n"/>
    </row>
    <row r="1354">
      <c r="C1354" s="70" t="inlineStr">
        <is>
          <t>LANZAMIENTO DE ORDEN — pedir esta semana</t>
        </is>
      </c>
      <c r="D1354" s="64" t="n"/>
      <c r="E1354" s="71">
        <f>IF(1+Materiales!$F$196&gt;8,0,INDEX($E$1353:$L$1353,1,1+Materiales!$F$196))</f>
        <v/>
      </c>
      <c r="F1354" s="71">
        <f>IF(2+Materiales!$F$196&gt;8,0,INDEX($E$1353:$L$1353,1,2+Materiales!$F$196))</f>
        <v/>
      </c>
      <c r="G1354" s="71">
        <f>IF(3+Materiales!$F$196&gt;8,0,INDEX($E$1353:$L$1353,1,3+Materiales!$F$196))</f>
        <v/>
      </c>
      <c r="H1354" s="71">
        <f>IF(4+Materiales!$F$196&gt;8,0,INDEX($E$1353:$L$1353,1,4+Materiales!$F$196))</f>
        <v/>
      </c>
      <c r="I1354" s="71">
        <f>IF(5+Materiales!$F$196&gt;8,0,INDEX($E$1353:$L$1353,1,5+Materiales!$F$196))</f>
        <v/>
      </c>
      <c r="J1354" s="71">
        <f>IF(6+Materiales!$F$196&gt;8,0,INDEX($E$1353:$L$1353,1,6+Materiales!$F$196))</f>
        <v/>
      </c>
      <c r="K1354" s="71">
        <f>IF(7+Materiales!$F$196&gt;8,0,INDEX($E$1353:$L$1353,1,7+Materiales!$F$196))</f>
        <v/>
      </c>
      <c r="L1354" s="71">
        <f>IF(8+Materiales!$F$196&gt;8,0,INDEX($E$1353:$L$1353,1,8+Materiales!$F$196))</f>
        <v/>
      </c>
      <c r="M1354" s="72">
        <f>IF($A1349="","",IF(SUMPRODUCT((COLUMN($E$1353:$L$1353)-4&lt;=Materiales!$F$196)*$E$1353:$L$1353)&gt;0,"PEDIR YA (atrasado)","OK"))</f>
        <v/>
      </c>
    </row>
    <row r="1355" ht="6" customHeight="1"/>
    <row r="1356">
      <c r="A1356" s="62">
        <f>IF(Materiales!$A$197="","",Materiales!$A$197)</f>
        <v/>
      </c>
      <c r="B1356" s="62">
        <f>IF(Materiales!$B$197="","",Materiales!$B$197)</f>
        <v/>
      </c>
      <c r="C1356" s="63" t="inlineStr">
        <is>
          <t>Necesidad bruta</t>
        </is>
      </c>
      <c r="D1356" s="64" t="n"/>
      <c r="E1356" s="65">
        <f>ROUND(SUMIF(Consumo!$P$4:$P$189,"#"&amp;$A1356,Consumo!H$4:H$189),4)</f>
        <v/>
      </c>
      <c r="F1356" s="65">
        <f>ROUND(SUMIF(Consumo!$P$4:$P$189,"#"&amp;$A1356,Consumo!I$4:I$189),4)</f>
        <v/>
      </c>
      <c r="G1356" s="65">
        <f>ROUND(SUMIF(Consumo!$P$4:$P$189,"#"&amp;$A1356,Consumo!J$4:J$189),4)</f>
        <v/>
      </c>
      <c r="H1356" s="65">
        <f>ROUND(SUMIF(Consumo!$P$4:$P$189,"#"&amp;$A1356,Consumo!K$4:K$189),4)</f>
        <v/>
      </c>
      <c r="I1356" s="65">
        <f>ROUND(SUMIF(Consumo!$P$4:$P$189,"#"&amp;$A1356,Consumo!L$4:L$189),4)</f>
        <v/>
      </c>
      <c r="J1356" s="65">
        <f>ROUND(SUMIF(Consumo!$P$4:$P$189,"#"&amp;$A1356,Consumo!M$4:M$189),4)</f>
        <v/>
      </c>
      <c r="K1356" s="65">
        <f>ROUND(SUMIF(Consumo!$P$4:$P$189,"#"&amp;$A1356,Consumo!N$4:N$189),4)</f>
        <v/>
      </c>
      <c r="L1356" s="65">
        <f>ROUND(SUMIF(Consumo!$P$4:$P$189,"#"&amp;$A1356,Consumo!O$4:O$189),4)</f>
        <v/>
      </c>
      <c r="M1356" s="66" t="n"/>
    </row>
    <row r="1357">
      <c r="C1357" s="63" t="inlineStr">
        <is>
          <t>Recepciones programadas (ya pedido)</t>
        </is>
      </c>
      <c r="D1357" s="64" t="n"/>
      <c r="E1357" s="65">
        <f>SUMIF(Inventario!$M$5:$M$505,"#"&amp;$A1356,Inventario!E$5:E$505)</f>
        <v/>
      </c>
      <c r="F1357" s="65">
        <f>SUMIF(Inventario!$M$5:$M$505,"#"&amp;$A1356,Inventario!F$5:F$505)</f>
        <v/>
      </c>
      <c r="G1357" s="65">
        <f>SUMIF(Inventario!$M$5:$M$505,"#"&amp;$A1356,Inventario!G$5:G$505)</f>
        <v/>
      </c>
      <c r="H1357" s="65">
        <f>SUMIF(Inventario!$M$5:$M$505,"#"&amp;$A1356,Inventario!H$5:H$505)</f>
        <v/>
      </c>
      <c r="I1357" s="65">
        <f>SUMIF(Inventario!$M$5:$M$505,"#"&amp;$A1356,Inventario!I$5:I$505)</f>
        <v/>
      </c>
      <c r="J1357" s="65">
        <f>SUMIF(Inventario!$M$5:$M$505,"#"&amp;$A1356,Inventario!J$5:J$505)</f>
        <v/>
      </c>
      <c r="K1357" s="65">
        <f>SUMIF(Inventario!$M$5:$M$505,"#"&amp;$A1356,Inventario!K$5:K$505)</f>
        <v/>
      </c>
      <c r="L1357" s="65">
        <f>SUMIF(Inventario!$M$5:$M$505,"#"&amp;$A1356,Inventario!L$5:L$505)</f>
        <v/>
      </c>
      <c r="M1357" s="66" t="n"/>
    </row>
    <row r="1358">
      <c r="C1358" s="63" t="inlineStr">
        <is>
          <t>Stock proyectado disponible</t>
        </is>
      </c>
      <c r="D1358" s="67">
        <f>SUMIF(Inventario!$M$5:$M$505,"#"&amp;$A1356,Inventario!$C$5:$C$505)</f>
        <v/>
      </c>
      <c r="E1358" s="68">
        <f>D1358+E1357+E1360-E1356</f>
        <v/>
      </c>
      <c r="F1358" s="68">
        <f>E1358+F1357+F1360-F1356</f>
        <v/>
      </c>
      <c r="G1358" s="68">
        <f>F1358+G1357+G1360-G1356</f>
        <v/>
      </c>
      <c r="H1358" s="68">
        <f>G1358+H1357+H1360-H1356</f>
        <v/>
      </c>
      <c r="I1358" s="68">
        <f>H1358+I1357+I1360-I1356</f>
        <v/>
      </c>
      <c r="J1358" s="68">
        <f>I1358+J1357+J1360-J1356</f>
        <v/>
      </c>
      <c r="K1358" s="68">
        <f>J1358+K1357+K1360-K1356</f>
        <v/>
      </c>
      <c r="L1358" s="68">
        <f>K1358+L1357+L1360-L1356</f>
        <v/>
      </c>
      <c r="M1358" s="66" t="n"/>
    </row>
    <row r="1359">
      <c r="C1359" s="63" t="inlineStr">
        <is>
          <t>Necesidad neta</t>
        </is>
      </c>
      <c r="D1359" s="64" t="n"/>
      <c r="E1359" s="69">
        <f>MAX(0,ROUND(E1356+Materiales!$H$197-D1358-E1357,4))</f>
        <v/>
      </c>
      <c r="F1359" s="69">
        <f>MAX(0,ROUND(F1356+Materiales!$H$197-E1358-F1357,4))</f>
        <v/>
      </c>
      <c r="G1359" s="69">
        <f>MAX(0,ROUND(G1356+Materiales!$H$197-F1358-G1357,4))</f>
        <v/>
      </c>
      <c r="H1359" s="69">
        <f>MAX(0,ROUND(H1356+Materiales!$H$197-G1358-H1357,4))</f>
        <v/>
      </c>
      <c r="I1359" s="69">
        <f>MAX(0,ROUND(I1356+Materiales!$H$197-H1358-I1357,4))</f>
        <v/>
      </c>
      <c r="J1359" s="69">
        <f>MAX(0,ROUND(J1356+Materiales!$H$197-I1358-J1357,4))</f>
        <v/>
      </c>
      <c r="K1359" s="69">
        <f>MAX(0,ROUND(K1356+Materiales!$H$197-J1358-K1357,4))</f>
        <v/>
      </c>
      <c r="L1359" s="69">
        <f>MAX(0,ROUND(L1356+Materiales!$H$197-K1358-L1357,4))</f>
        <v/>
      </c>
      <c r="M1359" s="66" t="n"/>
    </row>
    <row r="1360">
      <c r="C1360" s="63" t="inlineStr">
        <is>
          <t>Recepcion de orden planificada</t>
        </is>
      </c>
      <c r="D1360" s="64" t="n"/>
      <c r="E1360" s="65">
        <f>IF(E1359&lt;=0,0,IF(Materiales!$G$197&lt;=0,E1359,ROUNDUP(E1359/Materiales!$G$197,0)*Materiales!$G$197))</f>
        <v/>
      </c>
      <c r="F1360" s="65">
        <f>IF(F1359&lt;=0,0,IF(Materiales!$G$197&lt;=0,F1359,ROUNDUP(F1359/Materiales!$G$197,0)*Materiales!$G$197))</f>
        <v/>
      </c>
      <c r="G1360" s="65">
        <f>IF(G1359&lt;=0,0,IF(Materiales!$G$197&lt;=0,G1359,ROUNDUP(G1359/Materiales!$G$197,0)*Materiales!$G$197))</f>
        <v/>
      </c>
      <c r="H1360" s="65">
        <f>IF(H1359&lt;=0,0,IF(Materiales!$G$197&lt;=0,H1359,ROUNDUP(H1359/Materiales!$G$197,0)*Materiales!$G$197))</f>
        <v/>
      </c>
      <c r="I1360" s="65">
        <f>IF(I1359&lt;=0,0,IF(Materiales!$G$197&lt;=0,I1359,ROUNDUP(I1359/Materiales!$G$197,0)*Materiales!$G$197))</f>
        <v/>
      </c>
      <c r="J1360" s="65">
        <f>IF(J1359&lt;=0,0,IF(Materiales!$G$197&lt;=0,J1359,ROUNDUP(J1359/Materiales!$G$197,0)*Materiales!$G$197))</f>
        <v/>
      </c>
      <c r="K1360" s="65">
        <f>IF(K1359&lt;=0,0,IF(Materiales!$G$197&lt;=0,K1359,ROUNDUP(K1359/Materiales!$G$197,0)*Materiales!$G$197))</f>
        <v/>
      </c>
      <c r="L1360" s="65">
        <f>IF(L1359&lt;=0,0,IF(Materiales!$G$197&lt;=0,L1359,ROUNDUP(L1359/Materiales!$G$197,0)*Materiales!$G$197))</f>
        <v/>
      </c>
      <c r="M1360" s="66" t="n"/>
    </row>
    <row r="1361">
      <c r="C1361" s="70" t="inlineStr">
        <is>
          <t>LANZAMIENTO DE ORDEN — pedir esta semana</t>
        </is>
      </c>
      <c r="D1361" s="64" t="n"/>
      <c r="E1361" s="71">
        <f>IF(1+Materiales!$F$197&gt;8,0,INDEX($E$1360:$L$1360,1,1+Materiales!$F$197))</f>
        <v/>
      </c>
      <c r="F1361" s="71">
        <f>IF(2+Materiales!$F$197&gt;8,0,INDEX($E$1360:$L$1360,1,2+Materiales!$F$197))</f>
        <v/>
      </c>
      <c r="G1361" s="71">
        <f>IF(3+Materiales!$F$197&gt;8,0,INDEX($E$1360:$L$1360,1,3+Materiales!$F$197))</f>
        <v/>
      </c>
      <c r="H1361" s="71">
        <f>IF(4+Materiales!$F$197&gt;8,0,INDEX($E$1360:$L$1360,1,4+Materiales!$F$197))</f>
        <v/>
      </c>
      <c r="I1361" s="71">
        <f>IF(5+Materiales!$F$197&gt;8,0,INDEX($E$1360:$L$1360,1,5+Materiales!$F$197))</f>
        <v/>
      </c>
      <c r="J1361" s="71">
        <f>IF(6+Materiales!$F$197&gt;8,0,INDEX($E$1360:$L$1360,1,6+Materiales!$F$197))</f>
        <v/>
      </c>
      <c r="K1361" s="71">
        <f>IF(7+Materiales!$F$197&gt;8,0,INDEX($E$1360:$L$1360,1,7+Materiales!$F$197))</f>
        <v/>
      </c>
      <c r="L1361" s="71">
        <f>IF(8+Materiales!$F$197&gt;8,0,INDEX($E$1360:$L$1360,1,8+Materiales!$F$197))</f>
        <v/>
      </c>
      <c r="M1361" s="72">
        <f>IF($A1356="","",IF(SUMPRODUCT((COLUMN($E$1360:$L$1360)-4&lt;=Materiales!$F$197)*$E$1360:$L$1360)&gt;0,"PEDIR YA (atrasado)","OK"))</f>
        <v/>
      </c>
    </row>
    <row r="1362" ht="6" customHeight="1"/>
    <row r="1363">
      <c r="A1363" s="62">
        <f>IF(Materiales!$A$198="","",Materiales!$A$198)</f>
        <v/>
      </c>
      <c r="B1363" s="62">
        <f>IF(Materiales!$B$198="","",Materiales!$B$198)</f>
        <v/>
      </c>
      <c r="C1363" s="63" t="inlineStr">
        <is>
          <t>Necesidad bruta</t>
        </is>
      </c>
      <c r="D1363" s="64" t="n"/>
      <c r="E1363" s="65">
        <f>ROUND(SUMIF(Consumo!$P$4:$P$189,"#"&amp;$A1363,Consumo!H$4:H$189),4)</f>
        <v/>
      </c>
      <c r="F1363" s="65">
        <f>ROUND(SUMIF(Consumo!$P$4:$P$189,"#"&amp;$A1363,Consumo!I$4:I$189),4)</f>
        <v/>
      </c>
      <c r="G1363" s="65">
        <f>ROUND(SUMIF(Consumo!$P$4:$P$189,"#"&amp;$A1363,Consumo!J$4:J$189),4)</f>
        <v/>
      </c>
      <c r="H1363" s="65">
        <f>ROUND(SUMIF(Consumo!$P$4:$P$189,"#"&amp;$A1363,Consumo!K$4:K$189),4)</f>
        <v/>
      </c>
      <c r="I1363" s="65">
        <f>ROUND(SUMIF(Consumo!$P$4:$P$189,"#"&amp;$A1363,Consumo!L$4:L$189),4)</f>
        <v/>
      </c>
      <c r="J1363" s="65">
        <f>ROUND(SUMIF(Consumo!$P$4:$P$189,"#"&amp;$A1363,Consumo!M$4:M$189),4)</f>
        <v/>
      </c>
      <c r="K1363" s="65">
        <f>ROUND(SUMIF(Consumo!$P$4:$P$189,"#"&amp;$A1363,Consumo!N$4:N$189),4)</f>
        <v/>
      </c>
      <c r="L1363" s="65">
        <f>ROUND(SUMIF(Consumo!$P$4:$P$189,"#"&amp;$A1363,Consumo!O$4:O$189),4)</f>
        <v/>
      </c>
      <c r="M1363" s="66" t="n"/>
    </row>
    <row r="1364">
      <c r="C1364" s="63" t="inlineStr">
        <is>
          <t>Recepciones programadas (ya pedido)</t>
        </is>
      </c>
      <c r="D1364" s="64" t="n"/>
      <c r="E1364" s="65">
        <f>SUMIF(Inventario!$M$5:$M$505,"#"&amp;$A1363,Inventario!E$5:E$505)</f>
        <v/>
      </c>
      <c r="F1364" s="65">
        <f>SUMIF(Inventario!$M$5:$M$505,"#"&amp;$A1363,Inventario!F$5:F$505)</f>
        <v/>
      </c>
      <c r="G1364" s="65">
        <f>SUMIF(Inventario!$M$5:$M$505,"#"&amp;$A1363,Inventario!G$5:G$505)</f>
        <v/>
      </c>
      <c r="H1364" s="65">
        <f>SUMIF(Inventario!$M$5:$M$505,"#"&amp;$A1363,Inventario!H$5:H$505)</f>
        <v/>
      </c>
      <c r="I1364" s="65">
        <f>SUMIF(Inventario!$M$5:$M$505,"#"&amp;$A1363,Inventario!I$5:I$505)</f>
        <v/>
      </c>
      <c r="J1364" s="65">
        <f>SUMIF(Inventario!$M$5:$M$505,"#"&amp;$A1363,Inventario!J$5:J$505)</f>
        <v/>
      </c>
      <c r="K1364" s="65">
        <f>SUMIF(Inventario!$M$5:$M$505,"#"&amp;$A1363,Inventario!K$5:K$505)</f>
        <v/>
      </c>
      <c r="L1364" s="65">
        <f>SUMIF(Inventario!$M$5:$M$505,"#"&amp;$A1363,Inventario!L$5:L$505)</f>
        <v/>
      </c>
      <c r="M1364" s="66" t="n"/>
    </row>
    <row r="1365">
      <c r="C1365" s="63" t="inlineStr">
        <is>
          <t>Stock proyectado disponible</t>
        </is>
      </c>
      <c r="D1365" s="67">
        <f>SUMIF(Inventario!$M$5:$M$505,"#"&amp;$A1363,Inventario!$C$5:$C$505)</f>
        <v/>
      </c>
      <c r="E1365" s="68">
        <f>D1365+E1364+E1367-E1363</f>
        <v/>
      </c>
      <c r="F1365" s="68">
        <f>E1365+F1364+F1367-F1363</f>
        <v/>
      </c>
      <c r="G1365" s="68">
        <f>F1365+G1364+G1367-G1363</f>
        <v/>
      </c>
      <c r="H1365" s="68">
        <f>G1365+H1364+H1367-H1363</f>
        <v/>
      </c>
      <c r="I1365" s="68">
        <f>H1365+I1364+I1367-I1363</f>
        <v/>
      </c>
      <c r="J1365" s="68">
        <f>I1365+J1364+J1367-J1363</f>
        <v/>
      </c>
      <c r="K1365" s="68">
        <f>J1365+K1364+K1367-K1363</f>
        <v/>
      </c>
      <c r="L1365" s="68">
        <f>K1365+L1364+L1367-L1363</f>
        <v/>
      </c>
      <c r="M1365" s="66" t="n"/>
    </row>
    <row r="1366">
      <c r="C1366" s="63" t="inlineStr">
        <is>
          <t>Necesidad neta</t>
        </is>
      </c>
      <c r="D1366" s="64" t="n"/>
      <c r="E1366" s="69">
        <f>MAX(0,ROUND(E1363+Materiales!$H$198-D1365-E1364,4))</f>
        <v/>
      </c>
      <c r="F1366" s="69">
        <f>MAX(0,ROUND(F1363+Materiales!$H$198-E1365-F1364,4))</f>
        <v/>
      </c>
      <c r="G1366" s="69">
        <f>MAX(0,ROUND(G1363+Materiales!$H$198-F1365-G1364,4))</f>
        <v/>
      </c>
      <c r="H1366" s="69">
        <f>MAX(0,ROUND(H1363+Materiales!$H$198-G1365-H1364,4))</f>
        <v/>
      </c>
      <c r="I1366" s="69">
        <f>MAX(0,ROUND(I1363+Materiales!$H$198-H1365-I1364,4))</f>
        <v/>
      </c>
      <c r="J1366" s="69">
        <f>MAX(0,ROUND(J1363+Materiales!$H$198-I1365-J1364,4))</f>
        <v/>
      </c>
      <c r="K1366" s="69">
        <f>MAX(0,ROUND(K1363+Materiales!$H$198-J1365-K1364,4))</f>
        <v/>
      </c>
      <c r="L1366" s="69">
        <f>MAX(0,ROUND(L1363+Materiales!$H$198-K1365-L1364,4))</f>
        <v/>
      </c>
      <c r="M1366" s="66" t="n"/>
    </row>
    <row r="1367">
      <c r="C1367" s="63" t="inlineStr">
        <is>
          <t>Recepcion de orden planificada</t>
        </is>
      </c>
      <c r="D1367" s="64" t="n"/>
      <c r="E1367" s="65">
        <f>IF(E1366&lt;=0,0,IF(Materiales!$G$198&lt;=0,E1366,ROUNDUP(E1366/Materiales!$G$198,0)*Materiales!$G$198))</f>
        <v/>
      </c>
      <c r="F1367" s="65">
        <f>IF(F1366&lt;=0,0,IF(Materiales!$G$198&lt;=0,F1366,ROUNDUP(F1366/Materiales!$G$198,0)*Materiales!$G$198))</f>
        <v/>
      </c>
      <c r="G1367" s="65">
        <f>IF(G1366&lt;=0,0,IF(Materiales!$G$198&lt;=0,G1366,ROUNDUP(G1366/Materiales!$G$198,0)*Materiales!$G$198))</f>
        <v/>
      </c>
      <c r="H1367" s="65">
        <f>IF(H1366&lt;=0,0,IF(Materiales!$G$198&lt;=0,H1366,ROUNDUP(H1366/Materiales!$G$198,0)*Materiales!$G$198))</f>
        <v/>
      </c>
      <c r="I1367" s="65">
        <f>IF(I1366&lt;=0,0,IF(Materiales!$G$198&lt;=0,I1366,ROUNDUP(I1366/Materiales!$G$198,0)*Materiales!$G$198))</f>
        <v/>
      </c>
      <c r="J1367" s="65">
        <f>IF(J1366&lt;=0,0,IF(Materiales!$G$198&lt;=0,J1366,ROUNDUP(J1366/Materiales!$G$198,0)*Materiales!$G$198))</f>
        <v/>
      </c>
      <c r="K1367" s="65">
        <f>IF(K1366&lt;=0,0,IF(Materiales!$G$198&lt;=0,K1366,ROUNDUP(K1366/Materiales!$G$198,0)*Materiales!$G$198))</f>
        <v/>
      </c>
      <c r="L1367" s="65">
        <f>IF(L1366&lt;=0,0,IF(Materiales!$G$198&lt;=0,L1366,ROUNDUP(L1366/Materiales!$G$198,0)*Materiales!$G$198))</f>
        <v/>
      </c>
      <c r="M1367" s="66" t="n"/>
    </row>
    <row r="1368">
      <c r="C1368" s="70" t="inlineStr">
        <is>
          <t>LANZAMIENTO DE ORDEN — pedir esta semana</t>
        </is>
      </c>
      <c r="D1368" s="64" t="n"/>
      <c r="E1368" s="71">
        <f>IF(1+Materiales!$F$198&gt;8,0,INDEX($E$1367:$L$1367,1,1+Materiales!$F$198))</f>
        <v/>
      </c>
      <c r="F1368" s="71">
        <f>IF(2+Materiales!$F$198&gt;8,0,INDEX($E$1367:$L$1367,1,2+Materiales!$F$198))</f>
        <v/>
      </c>
      <c r="G1368" s="71">
        <f>IF(3+Materiales!$F$198&gt;8,0,INDEX($E$1367:$L$1367,1,3+Materiales!$F$198))</f>
        <v/>
      </c>
      <c r="H1368" s="71">
        <f>IF(4+Materiales!$F$198&gt;8,0,INDEX($E$1367:$L$1367,1,4+Materiales!$F$198))</f>
        <v/>
      </c>
      <c r="I1368" s="71">
        <f>IF(5+Materiales!$F$198&gt;8,0,INDEX($E$1367:$L$1367,1,5+Materiales!$F$198))</f>
        <v/>
      </c>
      <c r="J1368" s="71">
        <f>IF(6+Materiales!$F$198&gt;8,0,INDEX($E$1367:$L$1367,1,6+Materiales!$F$198))</f>
        <v/>
      </c>
      <c r="K1368" s="71">
        <f>IF(7+Materiales!$F$198&gt;8,0,INDEX($E$1367:$L$1367,1,7+Materiales!$F$198))</f>
        <v/>
      </c>
      <c r="L1368" s="71">
        <f>IF(8+Materiales!$F$198&gt;8,0,INDEX($E$1367:$L$1367,1,8+Materiales!$F$198))</f>
        <v/>
      </c>
      <c r="M1368" s="72">
        <f>IF($A1363="","",IF(SUMPRODUCT((COLUMN($E$1367:$L$1367)-4&lt;=Materiales!$F$198)*$E$1367:$L$1367)&gt;0,"PEDIR YA (atrasado)","OK"))</f>
        <v/>
      </c>
    </row>
    <row r="1369" ht="6" customHeight="1"/>
    <row r="1370">
      <c r="A1370" s="62">
        <f>IF(Materiales!$A$199="","",Materiales!$A$199)</f>
        <v/>
      </c>
      <c r="B1370" s="62">
        <f>IF(Materiales!$B$199="","",Materiales!$B$199)</f>
        <v/>
      </c>
      <c r="C1370" s="63" t="inlineStr">
        <is>
          <t>Necesidad bruta</t>
        </is>
      </c>
      <c r="D1370" s="64" t="n"/>
      <c r="E1370" s="65">
        <f>ROUND(SUMIF(Consumo!$P$4:$P$189,"#"&amp;$A1370,Consumo!H$4:H$189),4)</f>
        <v/>
      </c>
      <c r="F1370" s="65">
        <f>ROUND(SUMIF(Consumo!$P$4:$P$189,"#"&amp;$A1370,Consumo!I$4:I$189),4)</f>
        <v/>
      </c>
      <c r="G1370" s="65">
        <f>ROUND(SUMIF(Consumo!$P$4:$P$189,"#"&amp;$A1370,Consumo!J$4:J$189),4)</f>
        <v/>
      </c>
      <c r="H1370" s="65">
        <f>ROUND(SUMIF(Consumo!$P$4:$P$189,"#"&amp;$A1370,Consumo!K$4:K$189),4)</f>
        <v/>
      </c>
      <c r="I1370" s="65">
        <f>ROUND(SUMIF(Consumo!$P$4:$P$189,"#"&amp;$A1370,Consumo!L$4:L$189),4)</f>
        <v/>
      </c>
      <c r="J1370" s="65">
        <f>ROUND(SUMIF(Consumo!$P$4:$P$189,"#"&amp;$A1370,Consumo!M$4:M$189),4)</f>
        <v/>
      </c>
      <c r="K1370" s="65">
        <f>ROUND(SUMIF(Consumo!$P$4:$P$189,"#"&amp;$A1370,Consumo!N$4:N$189),4)</f>
        <v/>
      </c>
      <c r="L1370" s="65">
        <f>ROUND(SUMIF(Consumo!$P$4:$P$189,"#"&amp;$A1370,Consumo!O$4:O$189),4)</f>
        <v/>
      </c>
      <c r="M1370" s="66" t="n"/>
    </row>
    <row r="1371">
      <c r="C1371" s="63" t="inlineStr">
        <is>
          <t>Recepciones programadas (ya pedido)</t>
        </is>
      </c>
      <c r="D1371" s="64" t="n"/>
      <c r="E1371" s="65">
        <f>SUMIF(Inventario!$M$5:$M$505,"#"&amp;$A1370,Inventario!E$5:E$505)</f>
        <v/>
      </c>
      <c r="F1371" s="65">
        <f>SUMIF(Inventario!$M$5:$M$505,"#"&amp;$A1370,Inventario!F$5:F$505)</f>
        <v/>
      </c>
      <c r="G1371" s="65">
        <f>SUMIF(Inventario!$M$5:$M$505,"#"&amp;$A1370,Inventario!G$5:G$505)</f>
        <v/>
      </c>
      <c r="H1371" s="65">
        <f>SUMIF(Inventario!$M$5:$M$505,"#"&amp;$A1370,Inventario!H$5:H$505)</f>
        <v/>
      </c>
      <c r="I1371" s="65">
        <f>SUMIF(Inventario!$M$5:$M$505,"#"&amp;$A1370,Inventario!I$5:I$505)</f>
        <v/>
      </c>
      <c r="J1371" s="65">
        <f>SUMIF(Inventario!$M$5:$M$505,"#"&amp;$A1370,Inventario!J$5:J$505)</f>
        <v/>
      </c>
      <c r="K1371" s="65">
        <f>SUMIF(Inventario!$M$5:$M$505,"#"&amp;$A1370,Inventario!K$5:K$505)</f>
        <v/>
      </c>
      <c r="L1371" s="65">
        <f>SUMIF(Inventario!$M$5:$M$505,"#"&amp;$A1370,Inventario!L$5:L$505)</f>
        <v/>
      </c>
      <c r="M1371" s="66" t="n"/>
    </row>
    <row r="1372">
      <c r="C1372" s="63" t="inlineStr">
        <is>
          <t>Stock proyectado disponible</t>
        </is>
      </c>
      <c r="D1372" s="67">
        <f>SUMIF(Inventario!$M$5:$M$505,"#"&amp;$A1370,Inventario!$C$5:$C$505)</f>
        <v/>
      </c>
      <c r="E1372" s="68">
        <f>D1372+E1371+E1374-E1370</f>
        <v/>
      </c>
      <c r="F1372" s="68">
        <f>E1372+F1371+F1374-F1370</f>
        <v/>
      </c>
      <c r="G1372" s="68">
        <f>F1372+G1371+G1374-G1370</f>
        <v/>
      </c>
      <c r="H1372" s="68">
        <f>G1372+H1371+H1374-H1370</f>
        <v/>
      </c>
      <c r="I1372" s="68">
        <f>H1372+I1371+I1374-I1370</f>
        <v/>
      </c>
      <c r="J1372" s="68">
        <f>I1372+J1371+J1374-J1370</f>
        <v/>
      </c>
      <c r="K1372" s="68">
        <f>J1372+K1371+K1374-K1370</f>
        <v/>
      </c>
      <c r="L1372" s="68">
        <f>K1372+L1371+L1374-L1370</f>
        <v/>
      </c>
      <c r="M1372" s="66" t="n"/>
    </row>
    <row r="1373">
      <c r="C1373" s="63" t="inlineStr">
        <is>
          <t>Necesidad neta</t>
        </is>
      </c>
      <c r="D1373" s="64" t="n"/>
      <c r="E1373" s="69">
        <f>MAX(0,ROUND(E1370+Materiales!$H$199-D1372-E1371,4))</f>
        <v/>
      </c>
      <c r="F1373" s="69">
        <f>MAX(0,ROUND(F1370+Materiales!$H$199-E1372-F1371,4))</f>
        <v/>
      </c>
      <c r="G1373" s="69">
        <f>MAX(0,ROUND(G1370+Materiales!$H$199-F1372-G1371,4))</f>
        <v/>
      </c>
      <c r="H1373" s="69">
        <f>MAX(0,ROUND(H1370+Materiales!$H$199-G1372-H1371,4))</f>
        <v/>
      </c>
      <c r="I1373" s="69">
        <f>MAX(0,ROUND(I1370+Materiales!$H$199-H1372-I1371,4))</f>
        <v/>
      </c>
      <c r="J1373" s="69">
        <f>MAX(0,ROUND(J1370+Materiales!$H$199-I1372-J1371,4))</f>
        <v/>
      </c>
      <c r="K1373" s="69">
        <f>MAX(0,ROUND(K1370+Materiales!$H$199-J1372-K1371,4))</f>
        <v/>
      </c>
      <c r="L1373" s="69">
        <f>MAX(0,ROUND(L1370+Materiales!$H$199-K1372-L1371,4))</f>
        <v/>
      </c>
      <c r="M1373" s="66" t="n"/>
    </row>
    <row r="1374">
      <c r="C1374" s="63" t="inlineStr">
        <is>
          <t>Recepcion de orden planificada</t>
        </is>
      </c>
      <c r="D1374" s="64" t="n"/>
      <c r="E1374" s="65">
        <f>IF(E1373&lt;=0,0,IF(Materiales!$G$199&lt;=0,E1373,ROUNDUP(E1373/Materiales!$G$199,0)*Materiales!$G$199))</f>
        <v/>
      </c>
      <c r="F1374" s="65">
        <f>IF(F1373&lt;=0,0,IF(Materiales!$G$199&lt;=0,F1373,ROUNDUP(F1373/Materiales!$G$199,0)*Materiales!$G$199))</f>
        <v/>
      </c>
      <c r="G1374" s="65">
        <f>IF(G1373&lt;=0,0,IF(Materiales!$G$199&lt;=0,G1373,ROUNDUP(G1373/Materiales!$G$199,0)*Materiales!$G$199))</f>
        <v/>
      </c>
      <c r="H1374" s="65">
        <f>IF(H1373&lt;=0,0,IF(Materiales!$G$199&lt;=0,H1373,ROUNDUP(H1373/Materiales!$G$199,0)*Materiales!$G$199))</f>
        <v/>
      </c>
      <c r="I1374" s="65">
        <f>IF(I1373&lt;=0,0,IF(Materiales!$G$199&lt;=0,I1373,ROUNDUP(I1373/Materiales!$G$199,0)*Materiales!$G$199))</f>
        <v/>
      </c>
      <c r="J1374" s="65">
        <f>IF(J1373&lt;=0,0,IF(Materiales!$G$199&lt;=0,J1373,ROUNDUP(J1373/Materiales!$G$199,0)*Materiales!$G$199))</f>
        <v/>
      </c>
      <c r="K1374" s="65">
        <f>IF(K1373&lt;=0,0,IF(Materiales!$G$199&lt;=0,K1373,ROUNDUP(K1373/Materiales!$G$199,0)*Materiales!$G$199))</f>
        <v/>
      </c>
      <c r="L1374" s="65">
        <f>IF(L1373&lt;=0,0,IF(Materiales!$G$199&lt;=0,L1373,ROUNDUP(L1373/Materiales!$G$199,0)*Materiales!$G$199))</f>
        <v/>
      </c>
      <c r="M1374" s="66" t="n"/>
    </row>
    <row r="1375">
      <c r="C1375" s="70" t="inlineStr">
        <is>
          <t>LANZAMIENTO DE ORDEN — pedir esta semana</t>
        </is>
      </c>
      <c r="D1375" s="64" t="n"/>
      <c r="E1375" s="71">
        <f>IF(1+Materiales!$F$199&gt;8,0,INDEX($E$1374:$L$1374,1,1+Materiales!$F$199))</f>
        <v/>
      </c>
      <c r="F1375" s="71">
        <f>IF(2+Materiales!$F$199&gt;8,0,INDEX($E$1374:$L$1374,1,2+Materiales!$F$199))</f>
        <v/>
      </c>
      <c r="G1375" s="71">
        <f>IF(3+Materiales!$F$199&gt;8,0,INDEX($E$1374:$L$1374,1,3+Materiales!$F$199))</f>
        <v/>
      </c>
      <c r="H1375" s="71">
        <f>IF(4+Materiales!$F$199&gt;8,0,INDEX($E$1374:$L$1374,1,4+Materiales!$F$199))</f>
        <v/>
      </c>
      <c r="I1375" s="71">
        <f>IF(5+Materiales!$F$199&gt;8,0,INDEX($E$1374:$L$1374,1,5+Materiales!$F$199))</f>
        <v/>
      </c>
      <c r="J1375" s="71">
        <f>IF(6+Materiales!$F$199&gt;8,0,INDEX($E$1374:$L$1374,1,6+Materiales!$F$199))</f>
        <v/>
      </c>
      <c r="K1375" s="71">
        <f>IF(7+Materiales!$F$199&gt;8,0,INDEX($E$1374:$L$1374,1,7+Materiales!$F$199))</f>
        <v/>
      </c>
      <c r="L1375" s="71">
        <f>IF(8+Materiales!$F$199&gt;8,0,INDEX($E$1374:$L$1374,1,8+Materiales!$F$199))</f>
        <v/>
      </c>
      <c r="M1375" s="72">
        <f>IF($A1370="","",IF(SUMPRODUCT((COLUMN($E$1374:$L$1374)-4&lt;=Materiales!$F$199)*$E$1374:$L$1374)&gt;0,"PEDIR YA (atrasado)","OK"))</f>
        <v/>
      </c>
    </row>
    <row r="1376" ht="6" customHeight="1"/>
    <row r="1377">
      <c r="A1377" s="62">
        <f>IF(Materiales!$A$200="","",Materiales!$A$200)</f>
        <v/>
      </c>
      <c r="B1377" s="62">
        <f>IF(Materiales!$B$200="","",Materiales!$B$200)</f>
        <v/>
      </c>
      <c r="C1377" s="63" t="inlineStr">
        <is>
          <t>Necesidad bruta</t>
        </is>
      </c>
      <c r="D1377" s="64" t="n"/>
      <c r="E1377" s="65">
        <f>ROUND(SUMIF(Consumo!$P$4:$P$189,"#"&amp;$A1377,Consumo!H$4:H$189),4)</f>
        <v/>
      </c>
      <c r="F1377" s="65">
        <f>ROUND(SUMIF(Consumo!$P$4:$P$189,"#"&amp;$A1377,Consumo!I$4:I$189),4)</f>
        <v/>
      </c>
      <c r="G1377" s="65">
        <f>ROUND(SUMIF(Consumo!$P$4:$P$189,"#"&amp;$A1377,Consumo!J$4:J$189),4)</f>
        <v/>
      </c>
      <c r="H1377" s="65">
        <f>ROUND(SUMIF(Consumo!$P$4:$P$189,"#"&amp;$A1377,Consumo!K$4:K$189),4)</f>
        <v/>
      </c>
      <c r="I1377" s="65">
        <f>ROUND(SUMIF(Consumo!$P$4:$P$189,"#"&amp;$A1377,Consumo!L$4:L$189),4)</f>
        <v/>
      </c>
      <c r="J1377" s="65">
        <f>ROUND(SUMIF(Consumo!$P$4:$P$189,"#"&amp;$A1377,Consumo!M$4:M$189),4)</f>
        <v/>
      </c>
      <c r="K1377" s="65">
        <f>ROUND(SUMIF(Consumo!$P$4:$P$189,"#"&amp;$A1377,Consumo!N$4:N$189),4)</f>
        <v/>
      </c>
      <c r="L1377" s="65">
        <f>ROUND(SUMIF(Consumo!$P$4:$P$189,"#"&amp;$A1377,Consumo!O$4:O$189),4)</f>
        <v/>
      </c>
      <c r="M1377" s="66" t="n"/>
    </row>
    <row r="1378">
      <c r="C1378" s="63" t="inlineStr">
        <is>
          <t>Recepciones programadas (ya pedido)</t>
        </is>
      </c>
      <c r="D1378" s="64" t="n"/>
      <c r="E1378" s="65">
        <f>SUMIF(Inventario!$M$5:$M$505,"#"&amp;$A1377,Inventario!E$5:E$505)</f>
        <v/>
      </c>
      <c r="F1378" s="65">
        <f>SUMIF(Inventario!$M$5:$M$505,"#"&amp;$A1377,Inventario!F$5:F$505)</f>
        <v/>
      </c>
      <c r="G1378" s="65">
        <f>SUMIF(Inventario!$M$5:$M$505,"#"&amp;$A1377,Inventario!G$5:G$505)</f>
        <v/>
      </c>
      <c r="H1378" s="65">
        <f>SUMIF(Inventario!$M$5:$M$505,"#"&amp;$A1377,Inventario!H$5:H$505)</f>
        <v/>
      </c>
      <c r="I1378" s="65">
        <f>SUMIF(Inventario!$M$5:$M$505,"#"&amp;$A1377,Inventario!I$5:I$505)</f>
        <v/>
      </c>
      <c r="J1378" s="65">
        <f>SUMIF(Inventario!$M$5:$M$505,"#"&amp;$A1377,Inventario!J$5:J$505)</f>
        <v/>
      </c>
      <c r="K1378" s="65">
        <f>SUMIF(Inventario!$M$5:$M$505,"#"&amp;$A1377,Inventario!K$5:K$505)</f>
        <v/>
      </c>
      <c r="L1378" s="65">
        <f>SUMIF(Inventario!$M$5:$M$505,"#"&amp;$A1377,Inventario!L$5:L$505)</f>
        <v/>
      </c>
      <c r="M1378" s="66" t="n"/>
    </row>
    <row r="1379">
      <c r="C1379" s="63" t="inlineStr">
        <is>
          <t>Stock proyectado disponible</t>
        </is>
      </c>
      <c r="D1379" s="67">
        <f>SUMIF(Inventario!$M$5:$M$505,"#"&amp;$A1377,Inventario!$C$5:$C$505)</f>
        <v/>
      </c>
      <c r="E1379" s="68">
        <f>D1379+E1378+E1381-E1377</f>
        <v/>
      </c>
      <c r="F1379" s="68">
        <f>E1379+F1378+F1381-F1377</f>
        <v/>
      </c>
      <c r="G1379" s="68">
        <f>F1379+G1378+G1381-G1377</f>
        <v/>
      </c>
      <c r="H1379" s="68">
        <f>G1379+H1378+H1381-H1377</f>
        <v/>
      </c>
      <c r="I1379" s="68">
        <f>H1379+I1378+I1381-I1377</f>
        <v/>
      </c>
      <c r="J1379" s="68">
        <f>I1379+J1378+J1381-J1377</f>
        <v/>
      </c>
      <c r="K1379" s="68">
        <f>J1379+K1378+K1381-K1377</f>
        <v/>
      </c>
      <c r="L1379" s="68">
        <f>K1379+L1378+L1381-L1377</f>
        <v/>
      </c>
      <c r="M1379" s="66" t="n"/>
    </row>
    <row r="1380">
      <c r="C1380" s="63" t="inlineStr">
        <is>
          <t>Necesidad neta</t>
        </is>
      </c>
      <c r="D1380" s="64" t="n"/>
      <c r="E1380" s="69">
        <f>MAX(0,ROUND(E1377+Materiales!$H$200-D1379-E1378,4))</f>
        <v/>
      </c>
      <c r="F1380" s="69">
        <f>MAX(0,ROUND(F1377+Materiales!$H$200-E1379-F1378,4))</f>
        <v/>
      </c>
      <c r="G1380" s="69">
        <f>MAX(0,ROUND(G1377+Materiales!$H$200-F1379-G1378,4))</f>
        <v/>
      </c>
      <c r="H1380" s="69">
        <f>MAX(0,ROUND(H1377+Materiales!$H$200-G1379-H1378,4))</f>
        <v/>
      </c>
      <c r="I1380" s="69">
        <f>MAX(0,ROUND(I1377+Materiales!$H$200-H1379-I1378,4))</f>
        <v/>
      </c>
      <c r="J1380" s="69">
        <f>MAX(0,ROUND(J1377+Materiales!$H$200-I1379-J1378,4))</f>
        <v/>
      </c>
      <c r="K1380" s="69">
        <f>MAX(0,ROUND(K1377+Materiales!$H$200-J1379-K1378,4))</f>
        <v/>
      </c>
      <c r="L1380" s="69">
        <f>MAX(0,ROUND(L1377+Materiales!$H$200-K1379-L1378,4))</f>
        <v/>
      </c>
      <c r="M1380" s="66" t="n"/>
    </row>
    <row r="1381">
      <c r="C1381" s="63" t="inlineStr">
        <is>
          <t>Recepcion de orden planificada</t>
        </is>
      </c>
      <c r="D1381" s="64" t="n"/>
      <c r="E1381" s="65">
        <f>IF(E1380&lt;=0,0,IF(Materiales!$G$200&lt;=0,E1380,ROUNDUP(E1380/Materiales!$G$200,0)*Materiales!$G$200))</f>
        <v/>
      </c>
      <c r="F1381" s="65">
        <f>IF(F1380&lt;=0,0,IF(Materiales!$G$200&lt;=0,F1380,ROUNDUP(F1380/Materiales!$G$200,0)*Materiales!$G$200))</f>
        <v/>
      </c>
      <c r="G1381" s="65">
        <f>IF(G1380&lt;=0,0,IF(Materiales!$G$200&lt;=0,G1380,ROUNDUP(G1380/Materiales!$G$200,0)*Materiales!$G$200))</f>
        <v/>
      </c>
      <c r="H1381" s="65">
        <f>IF(H1380&lt;=0,0,IF(Materiales!$G$200&lt;=0,H1380,ROUNDUP(H1380/Materiales!$G$200,0)*Materiales!$G$200))</f>
        <v/>
      </c>
      <c r="I1381" s="65">
        <f>IF(I1380&lt;=0,0,IF(Materiales!$G$200&lt;=0,I1380,ROUNDUP(I1380/Materiales!$G$200,0)*Materiales!$G$200))</f>
        <v/>
      </c>
      <c r="J1381" s="65">
        <f>IF(J1380&lt;=0,0,IF(Materiales!$G$200&lt;=0,J1380,ROUNDUP(J1380/Materiales!$G$200,0)*Materiales!$G$200))</f>
        <v/>
      </c>
      <c r="K1381" s="65">
        <f>IF(K1380&lt;=0,0,IF(Materiales!$G$200&lt;=0,K1380,ROUNDUP(K1380/Materiales!$G$200,0)*Materiales!$G$200))</f>
        <v/>
      </c>
      <c r="L1381" s="65">
        <f>IF(L1380&lt;=0,0,IF(Materiales!$G$200&lt;=0,L1380,ROUNDUP(L1380/Materiales!$G$200,0)*Materiales!$G$200))</f>
        <v/>
      </c>
      <c r="M1381" s="66" t="n"/>
    </row>
    <row r="1382">
      <c r="C1382" s="70" t="inlineStr">
        <is>
          <t>LANZAMIENTO DE ORDEN — pedir esta semana</t>
        </is>
      </c>
      <c r="D1382" s="64" t="n"/>
      <c r="E1382" s="71">
        <f>IF(1+Materiales!$F$200&gt;8,0,INDEX($E$1381:$L$1381,1,1+Materiales!$F$200))</f>
        <v/>
      </c>
      <c r="F1382" s="71">
        <f>IF(2+Materiales!$F$200&gt;8,0,INDEX($E$1381:$L$1381,1,2+Materiales!$F$200))</f>
        <v/>
      </c>
      <c r="G1382" s="71">
        <f>IF(3+Materiales!$F$200&gt;8,0,INDEX($E$1381:$L$1381,1,3+Materiales!$F$200))</f>
        <v/>
      </c>
      <c r="H1382" s="71">
        <f>IF(4+Materiales!$F$200&gt;8,0,INDEX($E$1381:$L$1381,1,4+Materiales!$F$200))</f>
        <v/>
      </c>
      <c r="I1382" s="71">
        <f>IF(5+Materiales!$F$200&gt;8,0,INDEX($E$1381:$L$1381,1,5+Materiales!$F$200))</f>
        <v/>
      </c>
      <c r="J1382" s="71">
        <f>IF(6+Materiales!$F$200&gt;8,0,INDEX($E$1381:$L$1381,1,6+Materiales!$F$200))</f>
        <v/>
      </c>
      <c r="K1382" s="71">
        <f>IF(7+Materiales!$F$200&gt;8,0,INDEX($E$1381:$L$1381,1,7+Materiales!$F$200))</f>
        <v/>
      </c>
      <c r="L1382" s="71">
        <f>IF(8+Materiales!$F$200&gt;8,0,INDEX($E$1381:$L$1381,1,8+Materiales!$F$200))</f>
        <v/>
      </c>
      <c r="M1382" s="72">
        <f>IF($A1377="","",IF(SUMPRODUCT((COLUMN($E$1381:$L$1381)-4&lt;=Materiales!$F$200)*$E$1381:$L$1381)&gt;0,"PEDIR YA (atrasado)","OK"))</f>
        <v/>
      </c>
    </row>
    <row r="1383" ht="6" customHeight="1"/>
    <row r="1384">
      <c r="A1384" s="62">
        <f>IF(Materiales!$A$201="","",Materiales!$A$201)</f>
        <v/>
      </c>
      <c r="B1384" s="62">
        <f>IF(Materiales!$B$201="","",Materiales!$B$201)</f>
        <v/>
      </c>
      <c r="C1384" s="63" t="inlineStr">
        <is>
          <t>Necesidad bruta</t>
        </is>
      </c>
      <c r="D1384" s="64" t="n"/>
      <c r="E1384" s="65">
        <f>ROUND(SUMIF(Consumo!$P$4:$P$189,"#"&amp;$A1384,Consumo!H$4:H$189),4)</f>
        <v/>
      </c>
      <c r="F1384" s="65">
        <f>ROUND(SUMIF(Consumo!$P$4:$P$189,"#"&amp;$A1384,Consumo!I$4:I$189),4)</f>
        <v/>
      </c>
      <c r="G1384" s="65">
        <f>ROUND(SUMIF(Consumo!$P$4:$P$189,"#"&amp;$A1384,Consumo!J$4:J$189),4)</f>
        <v/>
      </c>
      <c r="H1384" s="65">
        <f>ROUND(SUMIF(Consumo!$P$4:$P$189,"#"&amp;$A1384,Consumo!K$4:K$189),4)</f>
        <v/>
      </c>
      <c r="I1384" s="65">
        <f>ROUND(SUMIF(Consumo!$P$4:$P$189,"#"&amp;$A1384,Consumo!L$4:L$189),4)</f>
        <v/>
      </c>
      <c r="J1384" s="65">
        <f>ROUND(SUMIF(Consumo!$P$4:$P$189,"#"&amp;$A1384,Consumo!M$4:M$189),4)</f>
        <v/>
      </c>
      <c r="K1384" s="65">
        <f>ROUND(SUMIF(Consumo!$P$4:$P$189,"#"&amp;$A1384,Consumo!N$4:N$189),4)</f>
        <v/>
      </c>
      <c r="L1384" s="65">
        <f>ROUND(SUMIF(Consumo!$P$4:$P$189,"#"&amp;$A1384,Consumo!O$4:O$189),4)</f>
        <v/>
      </c>
      <c r="M1384" s="66" t="n"/>
    </row>
    <row r="1385">
      <c r="C1385" s="63" t="inlineStr">
        <is>
          <t>Recepciones programadas (ya pedido)</t>
        </is>
      </c>
      <c r="D1385" s="64" t="n"/>
      <c r="E1385" s="65">
        <f>SUMIF(Inventario!$M$5:$M$505,"#"&amp;$A1384,Inventario!E$5:E$505)</f>
        <v/>
      </c>
      <c r="F1385" s="65">
        <f>SUMIF(Inventario!$M$5:$M$505,"#"&amp;$A1384,Inventario!F$5:F$505)</f>
        <v/>
      </c>
      <c r="G1385" s="65">
        <f>SUMIF(Inventario!$M$5:$M$505,"#"&amp;$A1384,Inventario!G$5:G$505)</f>
        <v/>
      </c>
      <c r="H1385" s="65">
        <f>SUMIF(Inventario!$M$5:$M$505,"#"&amp;$A1384,Inventario!H$5:H$505)</f>
        <v/>
      </c>
      <c r="I1385" s="65">
        <f>SUMIF(Inventario!$M$5:$M$505,"#"&amp;$A1384,Inventario!I$5:I$505)</f>
        <v/>
      </c>
      <c r="J1385" s="65">
        <f>SUMIF(Inventario!$M$5:$M$505,"#"&amp;$A1384,Inventario!J$5:J$505)</f>
        <v/>
      </c>
      <c r="K1385" s="65">
        <f>SUMIF(Inventario!$M$5:$M$505,"#"&amp;$A1384,Inventario!K$5:K$505)</f>
        <v/>
      </c>
      <c r="L1385" s="65">
        <f>SUMIF(Inventario!$M$5:$M$505,"#"&amp;$A1384,Inventario!L$5:L$505)</f>
        <v/>
      </c>
      <c r="M1385" s="66" t="n"/>
    </row>
    <row r="1386">
      <c r="C1386" s="63" t="inlineStr">
        <is>
          <t>Stock proyectado disponible</t>
        </is>
      </c>
      <c r="D1386" s="67">
        <f>SUMIF(Inventario!$M$5:$M$505,"#"&amp;$A1384,Inventario!$C$5:$C$505)</f>
        <v/>
      </c>
      <c r="E1386" s="68">
        <f>D1386+E1385+E1388-E1384</f>
        <v/>
      </c>
      <c r="F1386" s="68">
        <f>E1386+F1385+F1388-F1384</f>
        <v/>
      </c>
      <c r="G1386" s="68">
        <f>F1386+G1385+G1388-G1384</f>
        <v/>
      </c>
      <c r="H1386" s="68">
        <f>G1386+H1385+H1388-H1384</f>
        <v/>
      </c>
      <c r="I1386" s="68">
        <f>H1386+I1385+I1388-I1384</f>
        <v/>
      </c>
      <c r="J1386" s="68">
        <f>I1386+J1385+J1388-J1384</f>
        <v/>
      </c>
      <c r="K1386" s="68">
        <f>J1386+K1385+K1388-K1384</f>
        <v/>
      </c>
      <c r="L1386" s="68">
        <f>K1386+L1385+L1388-L1384</f>
        <v/>
      </c>
      <c r="M1386" s="66" t="n"/>
    </row>
    <row r="1387">
      <c r="C1387" s="63" t="inlineStr">
        <is>
          <t>Necesidad neta</t>
        </is>
      </c>
      <c r="D1387" s="64" t="n"/>
      <c r="E1387" s="69">
        <f>MAX(0,ROUND(E1384+Materiales!$H$201-D1386-E1385,4))</f>
        <v/>
      </c>
      <c r="F1387" s="69">
        <f>MAX(0,ROUND(F1384+Materiales!$H$201-E1386-F1385,4))</f>
        <v/>
      </c>
      <c r="G1387" s="69">
        <f>MAX(0,ROUND(G1384+Materiales!$H$201-F1386-G1385,4))</f>
        <v/>
      </c>
      <c r="H1387" s="69">
        <f>MAX(0,ROUND(H1384+Materiales!$H$201-G1386-H1385,4))</f>
        <v/>
      </c>
      <c r="I1387" s="69">
        <f>MAX(0,ROUND(I1384+Materiales!$H$201-H1386-I1385,4))</f>
        <v/>
      </c>
      <c r="J1387" s="69">
        <f>MAX(0,ROUND(J1384+Materiales!$H$201-I1386-J1385,4))</f>
        <v/>
      </c>
      <c r="K1387" s="69">
        <f>MAX(0,ROUND(K1384+Materiales!$H$201-J1386-K1385,4))</f>
        <v/>
      </c>
      <c r="L1387" s="69">
        <f>MAX(0,ROUND(L1384+Materiales!$H$201-K1386-L1385,4))</f>
        <v/>
      </c>
      <c r="M1387" s="66" t="n"/>
    </row>
    <row r="1388">
      <c r="C1388" s="63" t="inlineStr">
        <is>
          <t>Recepcion de orden planificada</t>
        </is>
      </c>
      <c r="D1388" s="64" t="n"/>
      <c r="E1388" s="65">
        <f>IF(E1387&lt;=0,0,IF(Materiales!$G$201&lt;=0,E1387,ROUNDUP(E1387/Materiales!$G$201,0)*Materiales!$G$201))</f>
        <v/>
      </c>
      <c r="F1388" s="65">
        <f>IF(F1387&lt;=0,0,IF(Materiales!$G$201&lt;=0,F1387,ROUNDUP(F1387/Materiales!$G$201,0)*Materiales!$G$201))</f>
        <v/>
      </c>
      <c r="G1388" s="65">
        <f>IF(G1387&lt;=0,0,IF(Materiales!$G$201&lt;=0,G1387,ROUNDUP(G1387/Materiales!$G$201,0)*Materiales!$G$201))</f>
        <v/>
      </c>
      <c r="H1388" s="65">
        <f>IF(H1387&lt;=0,0,IF(Materiales!$G$201&lt;=0,H1387,ROUNDUP(H1387/Materiales!$G$201,0)*Materiales!$G$201))</f>
        <v/>
      </c>
      <c r="I1388" s="65">
        <f>IF(I1387&lt;=0,0,IF(Materiales!$G$201&lt;=0,I1387,ROUNDUP(I1387/Materiales!$G$201,0)*Materiales!$G$201))</f>
        <v/>
      </c>
      <c r="J1388" s="65">
        <f>IF(J1387&lt;=0,0,IF(Materiales!$G$201&lt;=0,J1387,ROUNDUP(J1387/Materiales!$G$201,0)*Materiales!$G$201))</f>
        <v/>
      </c>
      <c r="K1388" s="65">
        <f>IF(K1387&lt;=0,0,IF(Materiales!$G$201&lt;=0,K1387,ROUNDUP(K1387/Materiales!$G$201,0)*Materiales!$G$201))</f>
        <v/>
      </c>
      <c r="L1388" s="65">
        <f>IF(L1387&lt;=0,0,IF(Materiales!$G$201&lt;=0,L1387,ROUNDUP(L1387/Materiales!$G$201,0)*Materiales!$G$201))</f>
        <v/>
      </c>
      <c r="M1388" s="66" t="n"/>
    </row>
    <row r="1389">
      <c r="C1389" s="70" t="inlineStr">
        <is>
          <t>LANZAMIENTO DE ORDEN — pedir esta semana</t>
        </is>
      </c>
      <c r="D1389" s="64" t="n"/>
      <c r="E1389" s="71">
        <f>IF(1+Materiales!$F$201&gt;8,0,INDEX($E$1388:$L$1388,1,1+Materiales!$F$201))</f>
        <v/>
      </c>
      <c r="F1389" s="71">
        <f>IF(2+Materiales!$F$201&gt;8,0,INDEX($E$1388:$L$1388,1,2+Materiales!$F$201))</f>
        <v/>
      </c>
      <c r="G1389" s="71">
        <f>IF(3+Materiales!$F$201&gt;8,0,INDEX($E$1388:$L$1388,1,3+Materiales!$F$201))</f>
        <v/>
      </c>
      <c r="H1389" s="71">
        <f>IF(4+Materiales!$F$201&gt;8,0,INDEX($E$1388:$L$1388,1,4+Materiales!$F$201))</f>
        <v/>
      </c>
      <c r="I1389" s="71">
        <f>IF(5+Materiales!$F$201&gt;8,0,INDEX($E$1388:$L$1388,1,5+Materiales!$F$201))</f>
        <v/>
      </c>
      <c r="J1389" s="71">
        <f>IF(6+Materiales!$F$201&gt;8,0,INDEX($E$1388:$L$1388,1,6+Materiales!$F$201))</f>
        <v/>
      </c>
      <c r="K1389" s="71">
        <f>IF(7+Materiales!$F$201&gt;8,0,INDEX($E$1388:$L$1388,1,7+Materiales!$F$201))</f>
        <v/>
      </c>
      <c r="L1389" s="71">
        <f>IF(8+Materiales!$F$201&gt;8,0,INDEX($E$1388:$L$1388,1,8+Materiales!$F$201))</f>
        <v/>
      </c>
      <c r="M1389" s="72">
        <f>IF($A1384="","",IF(SUMPRODUCT((COLUMN($E$1388:$L$1388)-4&lt;=Materiales!$F$201)*$E$1388:$L$1388)&gt;0,"PEDIR YA (atrasado)","OK"))</f>
        <v/>
      </c>
    </row>
    <row r="1390" ht="6" customHeight="1"/>
    <row r="1391">
      <c r="A1391" s="62">
        <f>IF(Materiales!$A$202="","",Materiales!$A$202)</f>
        <v/>
      </c>
      <c r="B1391" s="62">
        <f>IF(Materiales!$B$202="","",Materiales!$B$202)</f>
        <v/>
      </c>
      <c r="C1391" s="63" t="inlineStr">
        <is>
          <t>Necesidad bruta</t>
        </is>
      </c>
      <c r="D1391" s="64" t="n"/>
      <c r="E1391" s="65">
        <f>ROUND(SUMIF(Consumo!$P$4:$P$189,"#"&amp;$A1391,Consumo!H$4:H$189),4)</f>
        <v/>
      </c>
      <c r="F1391" s="65">
        <f>ROUND(SUMIF(Consumo!$P$4:$P$189,"#"&amp;$A1391,Consumo!I$4:I$189),4)</f>
        <v/>
      </c>
      <c r="G1391" s="65">
        <f>ROUND(SUMIF(Consumo!$P$4:$P$189,"#"&amp;$A1391,Consumo!J$4:J$189),4)</f>
        <v/>
      </c>
      <c r="H1391" s="65">
        <f>ROUND(SUMIF(Consumo!$P$4:$P$189,"#"&amp;$A1391,Consumo!K$4:K$189),4)</f>
        <v/>
      </c>
      <c r="I1391" s="65">
        <f>ROUND(SUMIF(Consumo!$P$4:$P$189,"#"&amp;$A1391,Consumo!L$4:L$189),4)</f>
        <v/>
      </c>
      <c r="J1391" s="65">
        <f>ROUND(SUMIF(Consumo!$P$4:$P$189,"#"&amp;$A1391,Consumo!M$4:M$189),4)</f>
        <v/>
      </c>
      <c r="K1391" s="65">
        <f>ROUND(SUMIF(Consumo!$P$4:$P$189,"#"&amp;$A1391,Consumo!N$4:N$189),4)</f>
        <v/>
      </c>
      <c r="L1391" s="65">
        <f>ROUND(SUMIF(Consumo!$P$4:$P$189,"#"&amp;$A1391,Consumo!O$4:O$189),4)</f>
        <v/>
      </c>
      <c r="M1391" s="66" t="n"/>
    </row>
    <row r="1392">
      <c r="C1392" s="63" t="inlineStr">
        <is>
          <t>Recepciones programadas (ya pedido)</t>
        </is>
      </c>
      <c r="D1392" s="64" t="n"/>
      <c r="E1392" s="65">
        <f>SUMIF(Inventario!$M$5:$M$505,"#"&amp;$A1391,Inventario!E$5:E$505)</f>
        <v/>
      </c>
      <c r="F1392" s="65">
        <f>SUMIF(Inventario!$M$5:$M$505,"#"&amp;$A1391,Inventario!F$5:F$505)</f>
        <v/>
      </c>
      <c r="G1392" s="65">
        <f>SUMIF(Inventario!$M$5:$M$505,"#"&amp;$A1391,Inventario!G$5:G$505)</f>
        <v/>
      </c>
      <c r="H1392" s="65">
        <f>SUMIF(Inventario!$M$5:$M$505,"#"&amp;$A1391,Inventario!H$5:H$505)</f>
        <v/>
      </c>
      <c r="I1392" s="65">
        <f>SUMIF(Inventario!$M$5:$M$505,"#"&amp;$A1391,Inventario!I$5:I$505)</f>
        <v/>
      </c>
      <c r="J1392" s="65">
        <f>SUMIF(Inventario!$M$5:$M$505,"#"&amp;$A1391,Inventario!J$5:J$505)</f>
        <v/>
      </c>
      <c r="K1392" s="65">
        <f>SUMIF(Inventario!$M$5:$M$505,"#"&amp;$A1391,Inventario!K$5:K$505)</f>
        <v/>
      </c>
      <c r="L1392" s="65">
        <f>SUMIF(Inventario!$M$5:$M$505,"#"&amp;$A1391,Inventario!L$5:L$505)</f>
        <v/>
      </c>
      <c r="M1392" s="66" t="n"/>
    </row>
    <row r="1393">
      <c r="C1393" s="63" t="inlineStr">
        <is>
          <t>Stock proyectado disponible</t>
        </is>
      </c>
      <c r="D1393" s="67">
        <f>SUMIF(Inventario!$M$5:$M$505,"#"&amp;$A1391,Inventario!$C$5:$C$505)</f>
        <v/>
      </c>
      <c r="E1393" s="68">
        <f>D1393+E1392+E1395-E1391</f>
        <v/>
      </c>
      <c r="F1393" s="68">
        <f>E1393+F1392+F1395-F1391</f>
        <v/>
      </c>
      <c r="G1393" s="68">
        <f>F1393+G1392+G1395-G1391</f>
        <v/>
      </c>
      <c r="H1393" s="68">
        <f>G1393+H1392+H1395-H1391</f>
        <v/>
      </c>
      <c r="I1393" s="68">
        <f>H1393+I1392+I1395-I1391</f>
        <v/>
      </c>
      <c r="J1393" s="68">
        <f>I1393+J1392+J1395-J1391</f>
        <v/>
      </c>
      <c r="K1393" s="68">
        <f>J1393+K1392+K1395-K1391</f>
        <v/>
      </c>
      <c r="L1393" s="68">
        <f>K1393+L1392+L1395-L1391</f>
        <v/>
      </c>
      <c r="M1393" s="66" t="n"/>
    </row>
    <row r="1394">
      <c r="C1394" s="63" t="inlineStr">
        <is>
          <t>Necesidad neta</t>
        </is>
      </c>
      <c r="D1394" s="64" t="n"/>
      <c r="E1394" s="69">
        <f>MAX(0,ROUND(E1391+Materiales!$H$202-D1393-E1392,4))</f>
        <v/>
      </c>
      <c r="F1394" s="69">
        <f>MAX(0,ROUND(F1391+Materiales!$H$202-E1393-F1392,4))</f>
        <v/>
      </c>
      <c r="G1394" s="69">
        <f>MAX(0,ROUND(G1391+Materiales!$H$202-F1393-G1392,4))</f>
        <v/>
      </c>
      <c r="H1394" s="69">
        <f>MAX(0,ROUND(H1391+Materiales!$H$202-G1393-H1392,4))</f>
        <v/>
      </c>
      <c r="I1394" s="69">
        <f>MAX(0,ROUND(I1391+Materiales!$H$202-H1393-I1392,4))</f>
        <v/>
      </c>
      <c r="J1394" s="69">
        <f>MAX(0,ROUND(J1391+Materiales!$H$202-I1393-J1392,4))</f>
        <v/>
      </c>
      <c r="K1394" s="69">
        <f>MAX(0,ROUND(K1391+Materiales!$H$202-J1393-K1392,4))</f>
        <v/>
      </c>
      <c r="L1394" s="69">
        <f>MAX(0,ROUND(L1391+Materiales!$H$202-K1393-L1392,4))</f>
        <v/>
      </c>
      <c r="M1394" s="66" t="n"/>
    </row>
    <row r="1395">
      <c r="C1395" s="63" t="inlineStr">
        <is>
          <t>Recepcion de orden planificada</t>
        </is>
      </c>
      <c r="D1395" s="64" t="n"/>
      <c r="E1395" s="65">
        <f>IF(E1394&lt;=0,0,IF(Materiales!$G$202&lt;=0,E1394,ROUNDUP(E1394/Materiales!$G$202,0)*Materiales!$G$202))</f>
        <v/>
      </c>
      <c r="F1395" s="65">
        <f>IF(F1394&lt;=0,0,IF(Materiales!$G$202&lt;=0,F1394,ROUNDUP(F1394/Materiales!$G$202,0)*Materiales!$G$202))</f>
        <v/>
      </c>
      <c r="G1395" s="65">
        <f>IF(G1394&lt;=0,0,IF(Materiales!$G$202&lt;=0,G1394,ROUNDUP(G1394/Materiales!$G$202,0)*Materiales!$G$202))</f>
        <v/>
      </c>
      <c r="H1395" s="65">
        <f>IF(H1394&lt;=0,0,IF(Materiales!$G$202&lt;=0,H1394,ROUNDUP(H1394/Materiales!$G$202,0)*Materiales!$G$202))</f>
        <v/>
      </c>
      <c r="I1395" s="65">
        <f>IF(I1394&lt;=0,0,IF(Materiales!$G$202&lt;=0,I1394,ROUNDUP(I1394/Materiales!$G$202,0)*Materiales!$G$202))</f>
        <v/>
      </c>
      <c r="J1395" s="65">
        <f>IF(J1394&lt;=0,0,IF(Materiales!$G$202&lt;=0,J1394,ROUNDUP(J1394/Materiales!$G$202,0)*Materiales!$G$202))</f>
        <v/>
      </c>
      <c r="K1395" s="65">
        <f>IF(K1394&lt;=0,0,IF(Materiales!$G$202&lt;=0,K1394,ROUNDUP(K1394/Materiales!$G$202,0)*Materiales!$G$202))</f>
        <v/>
      </c>
      <c r="L1395" s="65">
        <f>IF(L1394&lt;=0,0,IF(Materiales!$G$202&lt;=0,L1394,ROUNDUP(L1394/Materiales!$G$202,0)*Materiales!$G$202))</f>
        <v/>
      </c>
      <c r="M1395" s="66" t="n"/>
    </row>
    <row r="1396">
      <c r="C1396" s="70" t="inlineStr">
        <is>
          <t>LANZAMIENTO DE ORDEN — pedir esta semana</t>
        </is>
      </c>
      <c r="D1396" s="64" t="n"/>
      <c r="E1396" s="71">
        <f>IF(1+Materiales!$F$202&gt;8,0,INDEX($E$1395:$L$1395,1,1+Materiales!$F$202))</f>
        <v/>
      </c>
      <c r="F1396" s="71">
        <f>IF(2+Materiales!$F$202&gt;8,0,INDEX($E$1395:$L$1395,1,2+Materiales!$F$202))</f>
        <v/>
      </c>
      <c r="G1396" s="71">
        <f>IF(3+Materiales!$F$202&gt;8,0,INDEX($E$1395:$L$1395,1,3+Materiales!$F$202))</f>
        <v/>
      </c>
      <c r="H1396" s="71">
        <f>IF(4+Materiales!$F$202&gt;8,0,INDEX($E$1395:$L$1395,1,4+Materiales!$F$202))</f>
        <v/>
      </c>
      <c r="I1396" s="71">
        <f>IF(5+Materiales!$F$202&gt;8,0,INDEX($E$1395:$L$1395,1,5+Materiales!$F$202))</f>
        <v/>
      </c>
      <c r="J1396" s="71">
        <f>IF(6+Materiales!$F$202&gt;8,0,INDEX($E$1395:$L$1395,1,6+Materiales!$F$202))</f>
        <v/>
      </c>
      <c r="K1396" s="71">
        <f>IF(7+Materiales!$F$202&gt;8,0,INDEX($E$1395:$L$1395,1,7+Materiales!$F$202))</f>
        <v/>
      </c>
      <c r="L1396" s="71">
        <f>IF(8+Materiales!$F$202&gt;8,0,INDEX($E$1395:$L$1395,1,8+Materiales!$F$202))</f>
        <v/>
      </c>
      <c r="M1396" s="72">
        <f>IF($A1391="","",IF(SUMPRODUCT((COLUMN($E$1395:$L$1395)-4&lt;=Materiales!$F$202)*$E$1395:$L$1395)&gt;0,"PEDIR YA (atrasado)","OK"))</f>
        <v/>
      </c>
    </row>
    <row r="1397" ht="6" customHeight="1"/>
    <row r="1398">
      <c r="A1398" s="62">
        <f>IF(Materiales!$A$203="","",Materiales!$A$203)</f>
        <v/>
      </c>
      <c r="B1398" s="62">
        <f>IF(Materiales!$B$203="","",Materiales!$B$203)</f>
        <v/>
      </c>
      <c r="C1398" s="63" t="inlineStr">
        <is>
          <t>Necesidad bruta</t>
        </is>
      </c>
      <c r="D1398" s="64" t="n"/>
      <c r="E1398" s="65">
        <f>ROUND(SUMIF(Consumo!$P$4:$P$189,"#"&amp;$A1398,Consumo!H$4:H$189),4)</f>
        <v/>
      </c>
      <c r="F1398" s="65">
        <f>ROUND(SUMIF(Consumo!$P$4:$P$189,"#"&amp;$A1398,Consumo!I$4:I$189),4)</f>
        <v/>
      </c>
      <c r="G1398" s="65">
        <f>ROUND(SUMIF(Consumo!$P$4:$P$189,"#"&amp;$A1398,Consumo!J$4:J$189),4)</f>
        <v/>
      </c>
      <c r="H1398" s="65">
        <f>ROUND(SUMIF(Consumo!$P$4:$P$189,"#"&amp;$A1398,Consumo!K$4:K$189),4)</f>
        <v/>
      </c>
      <c r="I1398" s="65">
        <f>ROUND(SUMIF(Consumo!$P$4:$P$189,"#"&amp;$A1398,Consumo!L$4:L$189),4)</f>
        <v/>
      </c>
      <c r="J1398" s="65">
        <f>ROUND(SUMIF(Consumo!$P$4:$P$189,"#"&amp;$A1398,Consumo!M$4:M$189),4)</f>
        <v/>
      </c>
      <c r="K1398" s="65">
        <f>ROUND(SUMIF(Consumo!$P$4:$P$189,"#"&amp;$A1398,Consumo!N$4:N$189),4)</f>
        <v/>
      </c>
      <c r="L1398" s="65">
        <f>ROUND(SUMIF(Consumo!$P$4:$P$189,"#"&amp;$A1398,Consumo!O$4:O$189),4)</f>
        <v/>
      </c>
      <c r="M1398" s="66" t="n"/>
    </row>
    <row r="1399">
      <c r="C1399" s="63" t="inlineStr">
        <is>
          <t>Recepciones programadas (ya pedido)</t>
        </is>
      </c>
      <c r="D1399" s="64" t="n"/>
      <c r="E1399" s="65">
        <f>SUMIF(Inventario!$M$5:$M$505,"#"&amp;$A1398,Inventario!E$5:E$505)</f>
        <v/>
      </c>
      <c r="F1399" s="65">
        <f>SUMIF(Inventario!$M$5:$M$505,"#"&amp;$A1398,Inventario!F$5:F$505)</f>
        <v/>
      </c>
      <c r="G1399" s="65">
        <f>SUMIF(Inventario!$M$5:$M$505,"#"&amp;$A1398,Inventario!G$5:G$505)</f>
        <v/>
      </c>
      <c r="H1399" s="65">
        <f>SUMIF(Inventario!$M$5:$M$505,"#"&amp;$A1398,Inventario!H$5:H$505)</f>
        <v/>
      </c>
      <c r="I1399" s="65">
        <f>SUMIF(Inventario!$M$5:$M$505,"#"&amp;$A1398,Inventario!I$5:I$505)</f>
        <v/>
      </c>
      <c r="J1399" s="65">
        <f>SUMIF(Inventario!$M$5:$M$505,"#"&amp;$A1398,Inventario!J$5:J$505)</f>
        <v/>
      </c>
      <c r="K1399" s="65">
        <f>SUMIF(Inventario!$M$5:$M$505,"#"&amp;$A1398,Inventario!K$5:K$505)</f>
        <v/>
      </c>
      <c r="L1399" s="65">
        <f>SUMIF(Inventario!$M$5:$M$505,"#"&amp;$A1398,Inventario!L$5:L$505)</f>
        <v/>
      </c>
      <c r="M1399" s="66" t="n"/>
    </row>
    <row r="1400">
      <c r="C1400" s="63" t="inlineStr">
        <is>
          <t>Stock proyectado disponible</t>
        </is>
      </c>
      <c r="D1400" s="67">
        <f>SUMIF(Inventario!$M$5:$M$505,"#"&amp;$A1398,Inventario!$C$5:$C$505)</f>
        <v/>
      </c>
      <c r="E1400" s="68">
        <f>D1400+E1399+E1402-E1398</f>
        <v/>
      </c>
      <c r="F1400" s="68">
        <f>E1400+F1399+F1402-F1398</f>
        <v/>
      </c>
      <c r="G1400" s="68">
        <f>F1400+G1399+G1402-G1398</f>
        <v/>
      </c>
      <c r="H1400" s="68">
        <f>G1400+H1399+H1402-H1398</f>
        <v/>
      </c>
      <c r="I1400" s="68">
        <f>H1400+I1399+I1402-I1398</f>
        <v/>
      </c>
      <c r="J1400" s="68">
        <f>I1400+J1399+J1402-J1398</f>
        <v/>
      </c>
      <c r="K1400" s="68">
        <f>J1400+K1399+K1402-K1398</f>
        <v/>
      </c>
      <c r="L1400" s="68">
        <f>K1400+L1399+L1402-L1398</f>
        <v/>
      </c>
      <c r="M1400" s="66" t="n"/>
    </row>
    <row r="1401">
      <c r="C1401" s="63" t="inlineStr">
        <is>
          <t>Necesidad neta</t>
        </is>
      </c>
      <c r="D1401" s="64" t="n"/>
      <c r="E1401" s="69">
        <f>MAX(0,ROUND(E1398+Materiales!$H$203-D1400-E1399,4))</f>
        <v/>
      </c>
      <c r="F1401" s="69">
        <f>MAX(0,ROUND(F1398+Materiales!$H$203-E1400-F1399,4))</f>
        <v/>
      </c>
      <c r="G1401" s="69">
        <f>MAX(0,ROUND(G1398+Materiales!$H$203-F1400-G1399,4))</f>
        <v/>
      </c>
      <c r="H1401" s="69">
        <f>MAX(0,ROUND(H1398+Materiales!$H$203-G1400-H1399,4))</f>
        <v/>
      </c>
      <c r="I1401" s="69">
        <f>MAX(0,ROUND(I1398+Materiales!$H$203-H1400-I1399,4))</f>
        <v/>
      </c>
      <c r="J1401" s="69">
        <f>MAX(0,ROUND(J1398+Materiales!$H$203-I1400-J1399,4))</f>
        <v/>
      </c>
      <c r="K1401" s="69">
        <f>MAX(0,ROUND(K1398+Materiales!$H$203-J1400-K1399,4))</f>
        <v/>
      </c>
      <c r="L1401" s="69">
        <f>MAX(0,ROUND(L1398+Materiales!$H$203-K1400-L1399,4))</f>
        <v/>
      </c>
      <c r="M1401" s="66" t="n"/>
    </row>
    <row r="1402">
      <c r="C1402" s="63" t="inlineStr">
        <is>
          <t>Recepcion de orden planificada</t>
        </is>
      </c>
      <c r="D1402" s="64" t="n"/>
      <c r="E1402" s="65">
        <f>IF(E1401&lt;=0,0,IF(Materiales!$G$203&lt;=0,E1401,ROUNDUP(E1401/Materiales!$G$203,0)*Materiales!$G$203))</f>
        <v/>
      </c>
      <c r="F1402" s="65">
        <f>IF(F1401&lt;=0,0,IF(Materiales!$G$203&lt;=0,F1401,ROUNDUP(F1401/Materiales!$G$203,0)*Materiales!$G$203))</f>
        <v/>
      </c>
      <c r="G1402" s="65">
        <f>IF(G1401&lt;=0,0,IF(Materiales!$G$203&lt;=0,G1401,ROUNDUP(G1401/Materiales!$G$203,0)*Materiales!$G$203))</f>
        <v/>
      </c>
      <c r="H1402" s="65">
        <f>IF(H1401&lt;=0,0,IF(Materiales!$G$203&lt;=0,H1401,ROUNDUP(H1401/Materiales!$G$203,0)*Materiales!$G$203))</f>
        <v/>
      </c>
      <c r="I1402" s="65">
        <f>IF(I1401&lt;=0,0,IF(Materiales!$G$203&lt;=0,I1401,ROUNDUP(I1401/Materiales!$G$203,0)*Materiales!$G$203))</f>
        <v/>
      </c>
      <c r="J1402" s="65">
        <f>IF(J1401&lt;=0,0,IF(Materiales!$G$203&lt;=0,J1401,ROUNDUP(J1401/Materiales!$G$203,0)*Materiales!$G$203))</f>
        <v/>
      </c>
      <c r="K1402" s="65">
        <f>IF(K1401&lt;=0,0,IF(Materiales!$G$203&lt;=0,K1401,ROUNDUP(K1401/Materiales!$G$203,0)*Materiales!$G$203))</f>
        <v/>
      </c>
      <c r="L1402" s="65">
        <f>IF(L1401&lt;=0,0,IF(Materiales!$G$203&lt;=0,L1401,ROUNDUP(L1401/Materiales!$G$203,0)*Materiales!$G$203))</f>
        <v/>
      </c>
      <c r="M1402" s="66" t="n"/>
    </row>
    <row r="1403">
      <c r="C1403" s="70" t="inlineStr">
        <is>
          <t>LANZAMIENTO DE ORDEN — pedir esta semana</t>
        </is>
      </c>
      <c r="D1403" s="64" t="n"/>
      <c r="E1403" s="71">
        <f>IF(1+Materiales!$F$203&gt;8,0,INDEX($E$1402:$L$1402,1,1+Materiales!$F$203))</f>
        <v/>
      </c>
      <c r="F1403" s="71">
        <f>IF(2+Materiales!$F$203&gt;8,0,INDEX($E$1402:$L$1402,1,2+Materiales!$F$203))</f>
        <v/>
      </c>
      <c r="G1403" s="71">
        <f>IF(3+Materiales!$F$203&gt;8,0,INDEX($E$1402:$L$1402,1,3+Materiales!$F$203))</f>
        <v/>
      </c>
      <c r="H1403" s="71">
        <f>IF(4+Materiales!$F$203&gt;8,0,INDEX($E$1402:$L$1402,1,4+Materiales!$F$203))</f>
        <v/>
      </c>
      <c r="I1403" s="71">
        <f>IF(5+Materiales!$F$203&gt;8,0,INDEX($E$1402:$L$1402,1,5+Materiales!$F$203))</f>
        <v/>
      </c>
      <c r="J1403" s="71">
        <f>IF(6+Materiales!$F$203&gt;8,0,INDEX($E$1402:$L$1402,1,6+Materiales!$F$203))</f>
        <v/>
      </c>
      <c r="K1403" s="71">
        <f>IF(7+Materiales!$F$203&gt;8,0,INDEX($E$1402:$L$1402,1,7+Materiales!$F$203))</f>
        <v/>
      </c>
      <c r="L1403" s="71">
        <f>IF(8+Materiales!$F$203&gt;8,0,INDEX($E$1402:$L$1402,1,8+Materiales!$F$203))</f>
        <v/>
      </c>
      <c r="M1403" s="72">
        <f>IF($A1398="","",IF(SUMPRODUCT((COLUMN($E$1402:$L$1402)-4&lt;=Materiales!$F$203)*$E$1402:$L$1402)&gt;0,"PEDIR YA (atrasado)","OK"))</f>
        <v/>
      </c>
    </row>
    <row r="1404" ht="6" customHeight="1"/>
    <row r="1405">
      <c r="A1405" s="62">
        <f>IF(Materiales!$A$204="","",Materiales!$A$204)</f>
        <v/>
      </c>
      <c r="B1405" s="62">
        <f>IF(Materiales!$B$204="","",Materiales!$B$204)</f>
        <v/>
      </c>
      <c r="C1405" s="63" t="inlineStr">
        <is>
          <t>Necesidad bruta</t>
        </is>
      </c>
      <c r="D1405" s="64" t="n"/>
      <c r="E1405" s="65">
        <f>ROUND(SUMIF(Consumo!$P$4:$P$189,"#"&amp;$A1405,Consumo!H$4:H$189),4)</f>
        <v/>
      </c>
      <c r="F1405" s="65">
        <f>ROUND(SUMIF(Consumo!$P$4:$P$189,"#"&amp;$A1405,Consumo!I$4:I$189),4)</f>
        <v/>
      </c>
      <c r="G1405" s="65">
        <f>ROUND(SUMIF(Consumo!$P$4:$P$189,"#"&amp;$A1405,Consumo!J$4:J$189),4)</f>
        <v/>
      </c>
      <c r="H1405" s="65">
        <f>ROUND(SUMIF(Consumo!$P$4:$P$189,"#"&amp;$A1405,Consumo!K$4:K$189),4)</f>
        <v/>
      </c>
      <c r="I1405" s="65">
        <f>ROUND(SUMIF(Consumo!$P$4:$P$189,"#"&amp;$A1405,Consumo!L$4:L$189),4)</f>
        <v/>
      </c>
      <c r="J1405" s="65">
        <f>ROUND(SUMIF(Consumo!$P$4:$P$189,"#"&amp;$A1405,Consumo!M$4:M$189),4)</f>
        <v/>
      </c>
      <c r="K1405" s="65">
        <f>ROUND(SUMIF(Consumo!$P$4:$P$189,"#"&amp;$A1405,Consumo!N$4:N$189),4)</f>
        <v/>
      </c>
      <c r="L1405" s="65">
        <f>ROUND(SUMIF(Consumo!$P$4:$P$189,"#"&amp;$A1405,Consumo!O$4:O$189),4)</f>
        <v/>
      </c>
      <c r="M1405" s="66" t="n"/>
    </row>
    <row r="1406">
      <c r="C1406" s="63" t="inlineStr">
        <is>
          <t>Recepciones programadas (ya pedido)</t>
        </is>
      </c>
      <c r="D1406" s="64" t="n"/>
      <c r="E1406" s="65">
        <f>SUMIF(Inventario!$M$5:$M$505,"#"&amp;$A1405,Inventario!E$5:E$505)</f>
        <v/>
      </c>
      <c r="F1406" s="65">
        <f>SUMIF(Inventario!$M$5:$M$505,"#"&amp;$A1405,Inventario!F$5:F$505)</f>
        <v/>
      </c>
      <c r="G1406" s="65">
        <f>SUMIF(Inventario!$M$5:$M$505,"#"&amp;$A1405,Inventario!G$5:G$505)</f>
        <v/>
      </c>
      <c r="H1406" s="65">
        <f>SUMIF(Inventario!$M$5:$M$505,"#"&amp;$A1405,Inventario!H$5:H$505)</f>
        <v/>
      </c>
      <c r="I1406" s="65">
        <f>SUMIF(Inventario!$M$5:$M$505,"#"&amp;$A1405,Inventario!I$5:I$505)</f>
        <v/>
      </c>
      <c r="J1406" s="65">
        <f>SUMIF(Inventario!$M$5:$M$505,"#"&amp;$A1405,Inventario!J$5:J$505)</f>
        <v/>
      </c>
      <c r="K1406" s="65">
        <f>SUMIF(Inventario!$M$5:$M$505,"#"&amp;$A1405,Inventario!K$5:K$505)</f>
        <v/>
      </c>
      <c r="L1406" s="65">
        <f>SUMIF(Inventario!$M$5:$M$505,"#"&amp;$A1405,Inventario!L$5:L$505)</f>
        <v/>
      </c>
      <c r="M1406" s="66" t="n"/>
    </row>
    <row r="1407">
      <c r="C1407" s="63" t="inlineStr">
        <is>
          <t>Stock proyectado disponible</t>
        </is>
      </c>
      <c r="D1407" s="67">
        <f>SUMIF(Inventario!$M$5:$M$505,"#"&amp;$A1405,Inventario!$C$5:$C$505)</f>
        <v/>
      </c>
      <c r="E1407" s="68">
        <f>D1407+E1406+E1409-E1405</f>
        <v/>
      </c>
      <c r="F1407" s="68">
        <f>E1407+F1406+F1409-F1405</f>
        <v/>
      </c>
      <c r="G1407" s="68">
        <f>F1407+G1406+G1409-G1405</f>
        <v/>
      </c>
      <c r="H1407" s="68">
        <f>G1407+H1406+H1409-H1405</f>
        <v/>
      </c>
      <c r="I1407" s="68">
        <f>H1407+I1406+I1409-I1405</f>
        <v/>
      </c>
      <c r="J1407" s="68">
        <f>I1407+J1406+J1409-J1405</f>
        <v/>
      </c>
      <c r="K1407" s="68">
        <f>J1407+K1406+K1409-K1405</f>
        <v/>
      </c>
      <c r="L1407" s="68">
        <f>K1407+L1406+L1409-L1405</f>
        <v/>
      </c>
      <c r="M1407" s="66" t="n"/>
    </row>
    <row r="1408">
      <c r="C1408" s="63" t="inlineStr">
        <is>
          <t>Necesidad neta</t>
        </is>
      </c>
      <c r="D1408" s="64" t="n"/>
      <c r="E1408" s="69">
        <f>MAX(0,ROUND(E1405+Materiales!$H$204-D1407-E1406,4))</f>
        <v/>
      </c>
      <c r="F1408" s="69">
        <f>MAX(0,ROUND(F1405+Materiales!$H$204-E1407-F1406,4))</f>
        <v/>
      </c>
      <c r="G1408" s="69">
        <f>MAX(0,ROUND(G1405+Materiales!$H$204-F1407-G1406,4))</f>
        <v/>
      </c>
      <c r="H1408" s="69">
        <f>MAX(0,ROUND(H1405+Materiales!$H$204-G1407-H1406,4))</f>
        <v/>
      </c>
      <c r="I1408" s="69">
        <f>MAX(0,ROUND(I1405+Materiales!$H$204-H1407-I1406,4))</f>
        <v/>
      </c>
      <c r="J1408" s="69">
        <f>MAX(0,ROUND(J1405+Materiales!$H$204-I1407-J1406,4))</f>
        <v/>
      </c>
      <c r="K1408" s="69">
        <f>MAX(0,ROUND(K1405+Materiales!$H$204-J1407-K1406,4))</f>
        <v/>
      </c>
      <c r="L1408" s="69">
        <f>MAX(0,ROUND(L1405+Materiales!$H$204-K1407-L1406,4))</f>
        <v/>
      </c>
      <c r="M1408" s="66" t="n"/>
    </row>
    <row r="1409">
      <c r="C1409" s="63" t="inlineStr">
        <is>
          <t>Recepcion de orden planificada</t>
        </is>
      </c>
      <c r="D1409" s="64" t="n"/>
      <c r="E1409" s="65">
        <f>IF(E1408&lt;=0,0,IF(Materiales!$G$204&lt;=0,E1408,ROUNDUP(E1408/Materiales!$G$204,0)*Materiales!$G$204))</f>
        <v/>
      </c>
      <c r="F1409" s="65">
        <f>IF(F1408&lt;=0,0,IF(Materiales!$G$204&lt;=0,F1408,ROUNDUP(F1408/Materiales!$G$204,0)*Materiales!$G$204))</f>
        <v/>
      </c>
      <c r="G1409" s="65">
        <f>IF(G1408&lt;=0,0,IF(Materiales!$G$204&lt;=0,G1408,ROUNDUP(G1408/Materiales!$G$204,0)*Materiales!$G$204))</f>
        <v/>
      </c>
      <c r="H1409" s="65">
        <f>IF(H1408&lt;=0,0,IF(Materiales!$G$204&lt;=0,H1408,ROUNDUP(H1408/Materiales!$G$204,0)*Materiales!$G$204))</f>
        <v/>
      </c>
      <c r="I1409" s="65">
        <f>IF(I1408&lt;=0,0,IF(Materiales!$G$204&lt;=0,I1408,ROUNDUP(I1408/Materiales!$G$204,0)*Materiales!$G$204))</f>
        <v/>
      </c>
      <c r="J1409" s="65">
        <f>IF(J1408&lt;=0,0,IF(Materiales!$G$204&lt;=0,J1408,ROUNDUP(J1408/Materiales!$G$204,0)*Materiales!$G$204))</f>
        <v/>
      </c>
      <c r="K1409" s="65">
        <f>IF(K1408&lt;=0,0,IF(Materiales!$G$204&lt;=0,K1408,ROUNDUP(K1408/Materiales!$G$204,0)*Materiales!$G$204))</f>
        <v/>
      </c>
      <c r="L1409" s="65">
        <f>IF(L1408&lt;=0,0,IF(Materiales!$G$204&lt;=0,L1408,ROUNDUP(L1408/Materiales!$G$204,0)*Materiales!$G$204))</f>
        <v/>
      </c>
      <c r="M1409" s="66" t="n"/>
    </row>
    <row r="1410">
      <c r="C1410" s="70" t="inlineStr">
        <is>
          <t>LANZAMIENTO DE ORDEN — pedir esta semana</t>
        </is>
      </c>
      <c r="D1410" s="64" t="n"/>
      <c r="E1410" s="71">
        <f>IF(1+Materiales!$F$204&gt;8,0,INDEX($E$1409:$L$1409,1,1+Materiales!$F$204))</f>
        <v/>
      </c>
      <c r="F1410" s="71">
        <f>IF(2+Materiales!$F$204&gt;8,0,INDEX($E$1409:$L$1409,1,2+Materiales!$F$204))</f>
        <v/>
      </c>
      <c r="G1410" s="71">
        <f>IF(3+Materiales!$F$204&gt;8,0,INDEX($E$1409:$L$1409,1,3+Materiales!$F$204))</f>
        <v/>
      </c>
      <c r="H1410" s="71">
        <f>IF(4+Materiales!$F$204&gt;8,0,INDEX($E$1409:$L$1409,1,4+Materiales!$F$204))</f>
        <v/>
      </c>
      <c r="I1410" s="71">
        <f>IF(5+Materiales!$F$204&gt;8,0,INDEX($E$1409:$L$1409,1,5+Materiales!$F$204))</f>
        <v/>
      </c>
      <c r="J1410" s="71">
        <f>IF(6+Materiales!$F$204&gt;8,0,INDEX($E$1409:$L$1409,1,6+Materiales!$F$204))</f>
        <v/>
      </c>
      <c r="K1410" s="71">
        <f>IF(7+Materiales!$F$204&gt;8,0,INDEX($E$1409:$L$1409,1,7+Materiales!$F$204))</f>
        <v/>
      </c>
      <c r="L1410" s="71">
        <f>IF(8+Materiales!$F$204&gt;8,0,INDEX($E$1409:$L$1409,1,8+Materiales!$F$204))</f>
        <v/>
      </c>
      <c r="M1410" s="72">
        <f>IF($A1405="","",IF(SUMPRODUCT((COLUMN($E$1409:$L$1409)-4&lt;=Materiales!$F$204)*$E$1409:$L$1409)&gt;0,"PEDIR YA (atrasado)","OK"))</f>
        <v/>
      </c>
    </row>
    <row r="1411" ht="6" customHeight="1"/>
    <row r="1412">
      <c r="A1412" s="62">
        <f>IF(Materiales!$A$205="","",Materiales!$A$205)</f>
        <v/>
      </c>
      <c r="B1412" s="62">
        <f>IF(Materiales!$B$205="","",Materiales!$B$205)</f>
        <v/>
      </c>
      <c r="C1412" s="63" t="inlineStr">
        <is>
          <t>Necesidad bruta</t>
        </is>
      </c>
      <c r="D1412" s="64" t="n"/>
      <c r="E1412" s="65">
        <f>ROUND(SUMIF(Consumo!$P$4:$P$189,"#"&amp;$A1412,Consumo!H$4:H$189),4)</f>
        <v/>
      </c>
      <c r="F1412" s="65">
        <f>ROUND(SUMIF(Consumo!$P$4:$P$189,"#"&amp;$A1412,Consumo!I$4:I$189),4)</f>
        <v/>
      </c>
      <c r="G1412" s="65">
        <f>ROUND(SUMIF(Consumo!$P$4:$P$189,"#"&amp;$A1412,Consumo!J$4:J$189),4)</f>
        <v/>
      </c>
      <c r="H1412" s="65">
        <f>ROUND(SUMIF(Consumo!$P$4:$P$189,"#"&amp;$A1412,Consumo!K$4:K$189),4)</f>
        <v/>
      </c>
      <c r="I1412" s="65">
        <f>ROUND(SUMIF(Consumo!$P$4:$P$189,"#"&amp;$A1412,Consumo!L$4:L$189),4)</f>
        <v/>
      </c>
      <c r="J1412" s="65">
        <f>ROUND(SUMIF(Consumo!$P$4:$P$189,"#"&amp;$A1412,Consumo!M$4:M$189),4)</f>
        <v/>
      </c>
      <c r="K1412" s="65">
        <f>ROUND(SUMIF(Consumo!$P$4:$P$189,"#"&amp;$A1412,Consumo!N$4:N$189),4)</f>
        <v/>
      </c>
      <c r="L1412" s="65">
        <f>ROUND(SUMIF(Consumo!$P$4:$P$189,"#"&amp;$A1412,Consumo!O$4:O$189),4)</f>
        <v/>
      </c>
      <c r="M1412" s="66" t="n"/>
    </row>
    <row r="1413">
      <c r="C1413" s="63" t="inlineStr">
        <is>
          <t>Recepciones programadas (ya pedido)</t>
        </is>
      </c>
      <c r="D1413" s="64" t="n"/>
      <c r="E1413" s="65">
        <f>SUMIF(Inventario!$M$5:$M$505,"#"&amp;$A1412,Inventario!E$5:E$505)</f>
        <v/>
      </c>
      <c r="F1413" s="65">
        <f>SUMIF(Inventario!$M$5:$M$505,"#"&amp;$A1412,Inventario!F$5:F$505)</f>
        <v/>
      </c>
      <c r="G1413" s="65">
        <f>SUMIF(Inventario!$M$5:$M$505,"#"&amp;$A1412,Inventario!G$5:G$505)</f>
        <v/>
      </c>
      <c r="H1413" s="65">
        <f>SUMIF(Inventario!$M$5:$M$505,"#"&amp;$A1412,Inventario!H$5:H$505)</f>
        <v/>
      </c>
      <c r="I1413" s="65">
        <f>SUMIF(Inventario!$M$5:$M$505,"#"&amp;$A1412,Inventario!I$5:I$505)</f>
        <v/>
      </c>
      <c r="J1413" s="65">
        <f>SUMIF(Inventario!$M$5:$M$505,"#"&amp;$A1412,Inventario!J$5:J$505)</f>
        <v/>
      </c>
      <c r="K1413" s="65">
        <f>SUMIF(Inventario!$M$5:$M$505,"#"&amp;$A1412,Inventario!K$5:K$505)</f>
        <v/>
      </c>
      <c r="L1413" s="65">
        <f>SUMIF(Inventario!$M$5:$M$505,"#"&amp;$A1412,Inventario!L$5:L$505)</f>
        <v/>
      </c>
      <c r="M1413" s="66" t="n"/>
    </row>
    <row r="1414">
      <c r="C1414" s="63" t="inlineStr">
        <is>
          <t>Stock proyectado disponible</t>
        </is>
      </c>
      <c r="D1414" s="67">
        <f>SUMIF(Inventario!$M$5:$M$505,"#"&amp;$A1412,Inventario!$C$5:$C$505)</f>
        <v/>
      </c>
      <c r="E1414" s="68">
        <f>D1414+E1413+E1416-E1412</f>
        <v/>
      </c>
      <c r="F1414" s="68">
        <f>E1414+F1413+F1416-F1412</f>
        <v/>
      </c>
      <c r="G1414" s="68">
        <f>F1414+G1413+G1416-G1412</f>
        <v/>
      </c>
      <c r="H1414" s="68">
        <f>G1414+H1413+H1416-H1412</f>
        <v/>
      </c>
      <c r="I1414" s="68">
        <f>H1414+I1413+I1416-I1412</f>
        <v/>
      </c>
      <c r="J1414" s="68">
        <f>I1414+J1413+J1416-J1412</f>
        <v/>
      </c>
      <c r="K1414" s="68">
        <f>J1414+K1413+K1416-K1412</f>
        <v/>
      </c>
      <c r="L1414" s="68">
        <f>K1414+L1413+L1416-L1412</f>
        <v/>
      </c>
      <c r="M1414" s="66" t="n"/>
    </row>
    <row r="1415">
      <c r="C1415" s="63" t="inlineStr">
        <is>
          <t>Necesidad neta</t>
        </is>
      </c>
      <c r="D1415" s="64" t="n"/>
      <c r="E1415" s="69">
        <f>MAX(0,ROUND(E1412+Materiales!$H$205-D1414-E1413,4))</f>
        <v/>
      </c>
      <c r="F1415" s="69">
        <f>MAX(0,ROUND(F1412+Materiales!$H$205-E1414-F1413,4))</f>
        <v/>
      </c>
      <c r="G1415" s="69">
        <f>MAX(0,ROUND(G1412+Materiales!$H$205-F1414-G1413,4))</f>
        <v/>
      </c>
      <c r="H1415" s="69">
        <f>MAX(0,ROUND(H1412+Materiales!$H$205-G1414-H1413,4))</f>
        <v/>
      </c>
      <c r="I1415" s="69">
        <f>MAX(0,ROUND(I1412+Materiales!$H$205-H1414-I1413,4))</f>
        <v/>
      </c>
      <c r="J1415" s="69">
        <f>MAX(0,ROUND(J1412+Materiales!$H$205-I1414-J1413,4))</f>
        <v/>
      </c>
      <c r="K1415" s="69">
        <f>MAX(0,ROUND(K1412+Materiales!$H$205-J1414-K1413,4))</f>
        <v/>
      </c>
      <c r="L1415" s="69">
        <f>MAX(0,ROUND(L1412+Materiales!$H$205-K1414-L1413,4))</f>
        <v/>
      </c>
      <c r="M1415" s="66" t="n"/>
    </row>
    <row r="1416">
      <c r="C1416" s="63" t="inlineStr">
        <is>
          <t>Recepcion de orden planificada</t>
        </is>
      </c>
      <c r="D1416" s="64" t="n"/>
      <c r="E1416" s="65">
        <f>IF(E1415&lt;=0,0,IF(Materiales!$G$205&lt;=0,E1415,ROUNDUP(E1415/Materiales!$G$205,0)*Materiales!$G$205))</f>
        <v/>
      </c>
      <c r="F1416" s="65">
        <f>IF(F1415&lt;=0,0,IF(Materiales!$G$205&lt;=0,F1415,ROUNDUP(F1415/Materiales!$G$205,0)*Materiales!$G$205))</f>
        <v/>
      </c>
      <c r="G1416" s="65">
        <f>IF(G1415&lt;=0,0,IF(Materiales!$G$205&lt;=0,G1415,ROUNDUP(G1415/Materiales!$G$205,0)*Materiales!$G$205))</f>
        <v/>
      </c>
      <c r="H1416" s="65">
        <f>IF(H1415&lt;=0,0,IF(Materiales!$G$205&lt;=0,H1415,ROUNDUP(H1415/Materiales!$G$205,0)*Materiales!$G$205))</f>
        <v/>
      </c>
      <c r="I1416" s="65">
        <f>IF(I1415&lt;=0,0,IF(Materiales!$G$205&lt;=0,I1415,ROUNDUP(I1415/Materiales!$G$205,0)*Materiales!$G$205))</f>
        <v/>
      </c>
      <c r="J1416" s="65">
        <f>IF(J1415&lt;=0,0,IF(Materiales!$G$205&lt;=0,J1415,ROUNDUP(J1415/Materiales!$G$205,0)*Materiales!$G$205))</f>
        <v/>
      </c>
      <c r="K1416" s="65">
        <f>IF(K1415&lt;=0,0,IF(Materiales!$G$205&lt;=0,K1415,ROUNDUP(K1415/Materiales!$G$205,0)*Materiales!$G$205))</f>
        <v/>
      </c>
      <c r="L1416" s="65">
        <f>IF(L1415&lt;=0,0,IF(Materiales!$G$205&lt;=0,L1415,ROUNDUP(L1415/Materiales!$G$205,0)*Materiales!$G$205))</f>
        <v/>
      </c>
      <c r="M1416" s="66" t="n"/>
    </row>
    <row r="1417">
      <c r="C1417" s="70" t="inlineStr">
        <is>
          <t>LANZAMIENTO DE ORDEN — pedir esta semana</t>
        </is>
      </c>
      <c r="D1417" s="64" t="n"/>
      <c r="E1417" s="71">
        <f>IF(1+Materiales!$F$205&gt;8,0,INDEX($E$1416:$L$1416,1,1+Materiales!$F$205))</f>
        <v/>
      </c>
      <c r="F1417" s="71">
        <f>IF(2+Materiales!$F$205&gt;8,0,INDEX($E$1416:$L$1416,1,2+Materiales!$F$205))</f>
        <v/>
      </c>
      <c r="G1417" s="71">
        <f>IF(3+Materiales!$F$205&gt;8,0,INDEX($E$1416:$L$1416,1,3+Materiales!$F$205))</f>
        <v/>
      </c>
      <c r="H1417" s="71">
        <f>IF(4+Materiales!$F$205&gt;8,0,INDEX($E$1416:$L$1416,1,4+Materiales!$F$205))</f>
        <v/>
      </c>
      <c r="I1417" s="71">
        <f>IF(5+Materiales!$F$205&gt;8,0,INDEX($E$1416:$L$1416,1,5+Materiales!$F$205))</f>
        <v/>
      </c>
      <c r="J1417" s="71">
        <f>IF(6+Materiales!$F$205&gt;8,0,INDEX($E$1416:$L$1416,1,6+Materiales!$F$205))</f>
        <v/>
      </c>
      <c r="K1417" s="71">
        <f>IF(7+Materiales!$F$205&gt;8,0,INDEX($E$1416:$L$1416,1,7+Materiales!$F$205))</f>
        <v/>
      </c>
      <c r="L1417" s="71">
        <f>IF(8+Materiales!$F$205&gt;8,0,INDEX($E$1416:$L$1416,1,8+Materiales!$F$205))</f>
        <v/>
      </c>
      <c r="M1417" s="72">
        <f>IF($A1412="","",IF(SUMPRODUCT((COLUMN($E$1416:$L$1416)-4&lt;=Materiales!$F$205)*$E$1416:$L$1416)&gt;0,"PEDIR YA (atrasado)","OK"))</f>
        <v/>
      </c>
    </row>
    <row r="1418" ht="6" customHeight="1"/>
    <row r="1419">
      <c r="A1419" s="62">
        <f>IF(Materiales!$A$206="","",Materiales!$A$206)</f>
        <v/>
      </c>
      <c r="B1419" s="62">
        <f>IF(Materiales!$B$206="","",Materiales!$B$206)</f>
        <v/>
      </c>
      <c r="C1419" s="63" t="inlineStr">
        <is>
          <t>Necesidad bruta</t>
        </is>
      </c>
      <c r="D1419" s="64" t="n"/>
      <c r="E1419" s="65">
        <f>ROUND(SUMIF(Consumo!$P$4:$P$189,"#"&amp;$A1419,Consumo!H$4:H$189),4)</f>
        <v/>
      </c>
      <c r="F1419" s="65">
        <f>ROUND(SUMIF(Consumo!$P$4:$P$189,"#"&amp;$A1419,Consumo!I$4:I$189),4)</f>
        <v/>
      </c>
      <c r="G1419" s="65">
        <f>ROUND(SUMIF(Consumo!$P$4:$P$189,"#"&amp;$A1419,Consumo!J$4:J$189),4)</f>
        <v/>
      </c>
      <c r="H1419" s="65">
        <f>ROUND(SUMIF(Consumo!$P$4:$P$189,"#"&amp;$A1419,Consumo!K$4:K$189),4)</f>
        <v/>
      </c>
      <c r="I1419" s="65">
        <f>ROUND(SUMIF(Consumo!$P$4:$P$189,"#"&amp;$A1419,Consumo!L$4:L$189),4)</f>
        <v/>
      </c>
      <c r="J1419" s="65">
        <f>ROUND(SUMIF(Consumo!$P$4:$P$189,"#"&amp;$A1419,Consumo!M$4:M$189),4)</f>
        <v/>
      </c>
      <c r="K1419" s="65">
        <f>ROUND(SUMIF(Consumo!$P$4:$P$189,"#"&amp;$A1419,Consumo!N$4:N$189),4)</f>
        <v/>
      </c>
      <c r="L1419" s="65">
        <f>ROUND(SUMIF(Consumo!$P$4:$P$189,"#"&amp;$A1419,Consumo!O$4:O$189),4)</f>
        <v/>
      </c>
      <c r="M1419" s="66" t="n"/>
    </row>
    <row r="1420">
      <c r="C1420" s="63" t="inlineStr">
        <is>
          <t>Recepciones programadas (ya pedido)</t>
        </is>
      </c>
      <c r="D1420" s="64" t="n"/>
      <c r="E1420" s="65">
        <f>SUMIF(Inventario!$M$5:$M$505,"#"&amp;$A1419,Inventario!E$5:E$505)</f>
        <v/>
      </c>
      <c r="F1420" s="65">
        <f>SUMIF(Inventario!$M$5:$M$505,"#"&amp;$A1419,Inventario!F$5:F$505)</f>
        <v/>
      </c>
      <c r="G1420" s="65">
        <f>SUMIF(Inventario!$M$5:$M$505,"#"&amp;$A1419,Inventario!G$5:G$505)</f>
        <v/>
      </c>
      <c r="H1420" s="65">
        <f>SUMIF(Inventario!$M$5:$M$505,"#"&amp;$A1419,Inventario!H$5:H$505)</f>
        <v/>
      </c>
      <c r="I1420" s="65">
        <f>SUMIF(Inventario!$M$5:$M$505,"#"&amp;$A1419,Inventario!I$5:I$505)</f>
        <v/>
      </c>
      <c r="J1420" s="65">
        <f>SUMIF(Inventario!$M$5:$M$505,"#"&amp;$A1419,Inventario!J$5:J$505)</f>
        <v/>
      </c>
      <c r="K1420" s="65">
        <f>SUMIF(Inventario!$M$5:$M$505,"#"&amp;$A1419,Inventario!K$5:K$505)</f>
        <v/>
      </c>
      <c r="L1420" s="65">
        <f>SUMIF(Inventario!$M$5:$M$505,"#"&amp;$A1419,Inventario!L$5:L$505)</f>
        <v/>
      </c>
      <c r="M1420" s="66" t="n"/>
    </row>
    <row r="1421">
      <c r="C1421" s="63" t="inlineStr">
        <is>
          <t>Stock proyectado disponible</t>
        </is>
      </c>
      <c r="D1421" s="67">
        <f>SUMIF(Inventario!$M$5:$M$505,"#"&amp;$A1419,Inventario!$C$5:$C$505)</f>
        <v/>
      </c>
      <c r="E1421" s="68">
        <f>D1421+E1420+E1423-E1419</f>
        <v/>
      </c>
      <c r="F1421" s="68">
        <f>E1421+F1420+F1423-F1419</f>
        <v/>
      </c>
      <c r="G1421" s="68">
        <f>F1421+G1420+G1423-G1419</f>
        <v/>
      </c>
      <c r="H1421" s="68">
        <f>G1421+H1420+H1423-H1419</f>
        <v/>
      </c>
      <c r="I1421" s="68">
        <f>H1421+I1420+I1423-I1419</f>
        <v/>
      </c>
      <c r="J1421" s="68">
        <f>I1421+J1420+J1423-J1419</f>
        <v/>
      </c>
      <c r="K1421" s="68">
        <f>J1421+K1420+K1423-K1419</f>
        <v/>
      </c>
      <c r="L1421" s="68">
        <f>K1421+L1420+L1423-L1419</f>
        <v/>
      </c>
      <c r="M1421" s="66" t="n"/>
    </row>
    <row r="1422">
      <c r="C1422" s="63" t="inlineStr">
        <is>
          <t>Necesidad neta</t>
        </is>
      </c>
      <c r="D1422" s="64" t="n"/>
      <c r="E1422" s="69">
        <f>MAX(0,ROUND(E1419+Materiales!$H$206-D1421-E1420,4))</f>
        <v/>
      </c>
      <c r="F1422" s="69">
        <f>MAX(0,ROUND(F1419+Materiales!$H$206-E1421-F1420,4))</f>
        <v/>
      </c>
      <c r="G1422" s="69">
        <f>MAX(0,ROUND(G1419+Materiales!$H$206-F1421-G1420,4))</f>
        <v/>
      </c>
      <c r="H1422" s="69">
        <f>MAX(0,ROUND(H1419+Materiales!$H$206-G1421-H1420,4))</f>
        <v/>
      </c>
      <c r="I1422" s="69">
        <f>MAX(0,ROUND(I1419+Materiales!$H$206-H1421-I1420,4))</f>
        <v/>
      </c>
      <c r="J1422" s="69">
        <f>MAX(0,ROUND(J1419+Materiales!$H$206-I1421-J1420,4))</f>
        <v/>
      </c>
      <c r="K1422" s="69">
        <f>MAX(0,ROUND(K1419+Materiales!$H$206-J1421-K1420,4))</f>
        <v/>
      </c>
      <c r="L1422" s="69">
        <f>MAX(0,ROUND(L1419+Materiales!$H$206-K1421-L1420,4))</f>
        <v/>
      </c>
      <c r="M1422" s="66" t="n"/>
    </row>
    <row r="1423">
      <c r="C1423" s="63" t="inlineStr">
        <is>
          <t>Recepcion de orden planificada</t>
        </is>
      </c>
      <c r="D1423" s="64" t="n"/>
      <c r="E1423" s="65">
        <f>IF(E1422&lt;=0,0,IF(Materiales!$G$206&lt;=0,E1422,ROUNDUP(E1422/Materiales!$G$206,0)*Materiales!$G$206))</f>
        <v/>
      </c>
      <c r="F1423" s="65">
        <f>IF(F1422&lt;=0,0,IF(Materiales!$G$206&lt;=0,F1422,ROUNDUP(F1422/Materiales!$G$206,0)*Materiales!$G$206))</f>
        <v/>
      </c>
      <c r="G1423" s="65">
        <f>IF(G1422&lt;=0,0,IF(Materiales!$G$206&lt;=0,G1422,ROUNDUP(G1422/Materiales!$G$206,0)*Materiales!$G$206))</f>
        <v/>
      </c>
      <c r="H1423" s="65">
        <f>IF(H1422&lt;=0,0,IF(Materiales!$G$206&lt;=0,H1422,ROUNDUP(H1422/Materiales!$G$206,0)*Materiales!$G$206))</f>
        <v/>
      </c>
      <c r="I1423" s="65">
        <f>IF(I1422&lt;=0,0,IF(Materiales!$G$206&lt;=0,I1422,ROUNDUP(I1422/Materiales!$G$206,0)*Materiales!$G$206))</f>
        <v/>
      </c>
      <c r="J1423" s="65">
        <f>IF(J1422&lt;=0,0,IF(Materiales!$G$206&lt;=0,J1422,ROUNDUP(J1422/Materiales!$G$206,0)*Materiales!$G$206))</f>
        <v/>
      </c>
      <c r="K1423" s="65">
        <f>IF(K1422&lt;=0,0,IF(Materiales!$G$206&lt;=0,K1422,ROUNDUP(K1422/Materiales!$G$206,0)*Materiales!$G$206))</f>
        <v/>
      </c>
      <c r="L1423" s="65">
        <f>IF(L1422&lt;=0,0,IF(Materiales!$G$206&lt;=0,L1422,ROUNDUP(L1422/Materiales!$G$206,0)*Materiales!$G$206))</f>
        <v/>
      </c>
      <c r="M1423" s="66" t="n"/>
    </row>
    <row r="1424">
      <c r="C1424" s="70" t="inlineStr">
        <is>
          <t>LANZAMIENTO DE ORDEN — pedir esta semana</t>
        </is>
      </c>
      <c r="D1424" s="64" t="n"/>
      <c r="E1424" s="71">
        <f>IF(1+Materiales!$F$206&gt;8,0,INDEX($E$1423:$L$1423,1,1+Materiales!$F$206))</f>
        <v/>
      </c>
      <c r="F1424" s="71">
        <f>IF(2+Materiales!$F$206&gt;8,0,INDEX($E$1423:$L$1423,1,2+Materiales!$F$206))</f>
        <v/>
      </c>
      <c r="G1424" s="71">
        <f>IF(3+Materiales!$F$206&gt;8,0,INDEX($E$1423:$L$1423,1,3+Materiales!$F$206))</f>
        <v/>
      </c>
      <c r="H1424" s="71">
        <f>IF(4+Materiales!$F$206&gt;8,0,INDEX($E$1423:$L$1423,1,4+Materiales!$F$206))</f>
        <v/>
      </c>
      <c r="I1424" s="71">
        <f>IF(5+Materiales!$F$206&gt;8,0,INDEX($E$1423:$L$1423,1,5+Materiales!$F$206))</f>
        <v/>
      </c>
      <c r="J1424" s="71">
        <f>IF(6+Materiales!$F$206&gt;8,0,INDEX($E$1423:$L$1423,1,6+Materiales!$F$206))</f>
        <v/>
      </c>
      <c r="K1424" s="71">
        <f>IF(7+Materiales!$F$206&gt;8,0,INDEX($E$1423:$L$1423,1,7+Materiales!$F$206))</f>
        <v/>
      </c>
      <c r="L1424" s="71">
        <f>IF(8+Materiales!$F$206&gt;8,0,INDEX($E$1423:$L$1423,1,8+Materiales!$F$206))</f>
        <v/>
      </c>
      <c r="M1424" s="72">
        <f>IF($A1419="","",IF(SUMPRODUCT((COLUMN($E$1423:$L$1423)-4&lt;=Materiales!$F$206)*$E$1423:$L$1423)&gt;0,"PEDIR YA (atrasado)","OK"))</f>
        <v/>
      </c>
    </row>
    <row r="1425" ht="6" customHeight="1"/>
    <row r="1426">
      <c r="A1426" s="62">
        <f>IF(Materiales!$A$207="","",Materiales!$A$207)</f>
        <v/>
      </c>
      <c r="B1426" s="62">
        <f>IF(Materiales!$B$207="","",Materiales!$B$207)</f>
        <v/>
      </c>
      <c r="C1426" s="63" t="inlineStr">
        <is>
          <t>Necesidad bruta</t>
        </is>
      </c>
      <c r="D1426" s="64" t="n"/>
      <c r="E1426" s="65">
        <f>ROUND(SUMIF(Consumo!$P$4:$P$189,"#"&amp;$A1426,Consumo!H$4:H$189),4)</f>
        <v/>
      </c>
      <c r="F1426" s="65">
        <f>ROUND(SUMIF(Consumo!$P$4:$P$189,"#"&amp;$A1426,Consumo!I$4:I$189),4)</f>
        <v/>
      </c>
      <c r="G1426" s="65">
        <f>ROUND(SUMIF(Consumo!$P$4:$P$189,"#"&amp;$A1426,Consumo!J$4:J$189),4)</f>
        <v/>
      </c>
      <c r="H1426" s="65">
        <f>ROUND(SUMIF(Consumo!$P$4:$P$189,"#"&amp;$A1426,Consumo!K$4:K$189),4)</f>
        <v/>
      </c>
      <c r="I1426" s="65">
        <f>ROUND(SUMIF(Consumo!$P$4:$P$189,"#"&amp;$A1426,Consumo!L$4:L$189),4)</f>
        <v/>
      </c>
      <c r="J1426" s="65">
        <f>ROUND(SUMIF(Consumo!$P$4:$P$189,"#"&amp;$A1426,Consumo!M$4:M$189),4)</f>
        <v/>
      </c>
      <c r="K1426" s="65">
        <f>ROUND(SUMIF(Consumo!$P$4:$P$189,"#"&amp;$A1426,Consumo!N$4:N$189),4)</f>
        <v/>
      </c>
      <c r="L1426" s="65">
        <f>ROUND(SUMIF(Consumo!$P$4:$P$189,"#"&amp;$A1426,Consumo!O$4:O$189),4)</f>
        <v/>
      </c>
      <c r="M1426" s="66" t="n"/>
    </row>
    <row r="1427">
      <c r="C1427" s="63" t="inlineStr">
        <is>
          <t>Recepciones programadas (ya pedido)</t>
        </is>
      </c>
      <c r="D1427" s="64" t="n"/>
      <c r="E1427" s="65">
        <f>SUMIF(Inventario!$M$5:$M$505,"#"&amp;$A1426,Inventario!E$5:E$505)</f>
        <v/>
      </c>
      <c r="F1427" s="65">
        <f>SUMIF(Inventario!$M$5:$M$505,"#"&amp;$A1426,Inventario!F$5:F$505)</f>
        <v/>
      </c>
      <c r="G1427" s="65">
        <f>SUMIF(Inventario!$M$5:$M$505,"#"&amp;$A1426,Inventario!G$5:G$505)</f>
        <v/>
      </c>
      <c r="H1427" s="65">
        <f>SUMIF(Inventario!$M$5:$M$505,"#"&amp;$A1426,Inventario!H$5:H$505)</f>
        <v/>
      </c>
      <c r="I1427" s="65">
        <f>SUMIF(Inventario!$M$5:$M$505,"#"&amp;$A1426,Inventario!I$5:I$505)</f>
        <v/>
      </c>
      <c r="J1427" s="65">
        <f>SUMIF(Inventario!$M$5:$M$505,"#"&amp;$A1426,Inventario!J$5:J$505)</f>
        <v/>
      </c>
      <c r="K1427" s="65">
        <f>SUMIF(Inventario!$M$5:$M$505,"#"&amp;$A1426,Inventario!K$5:K$505)</f>
        <v/>
      </c>
      <c r="L1427" s="65">
        <f>SUMIF(Inventario!$M$5:$M$505,"#"&amp;$A1426,Inventario!L$5:L$505)</f>
        <v/>
      </c>
      <c r="M1427" s="66" t="n"/>
    </row>
    <row r="1428">
      <c r="C1428" s="63" t="inlineStr">
        <is>
          <t>Stock proyectado disponible</t>
        </is>
      </c>
      <c r="D1428" s="67">
        <f>SUMIF(Inventario!$M$5:$M$505,"#"&amp;$A1426,Inventario!$C$5:$C$505)</f>
        <v/>
      </c>
      <c r="E1428" s="68">
        <f>D1428+E1427+E1430-E1426</f>
        <v/>
      </c>
      <c r="F1428" s="68">
        <f>E1428+F1427+F1430-F1426</f>
        <v/>
      </c>
      <c r="G1428" s="68">
        <f>F1428+G1427+G1430-G1426</f>
        <v/>
      </c>
      <c r="H1428" s="68">
        <f>G1428+H1427+H1430-H1426</f>
        <v/>
      </c>
      <c r="I1428" s="68">
        <f>H1428+I1427+I1430-I1426</f>
        <v/>
      </c>
      <c r="J1428" s="68">
        <f>I1428+J1427+J1430-J1426</f>
        <v/>
      </c>
      <c r="K1428" s="68">
        <f>J1428+K1427+K1430-K1426</f>
        <v/>
      </c>
      <c r="L1428" s="68">
        <f>K1428+L1427+L1430-L1426</f>
        <v/>
      </c>
      <c r="M1428" s="66" t="n"/>
    </row>
    <row r="1429">
      <c r="C1429" s="63" t="inlineStr">
        <is>
          <t>Necesidad neta</t>
        </is>
      </c>
      <c r="D1429" s="64" t="n"/>
      <c r="E1429" s="69">
        <f>MAX(0,ROUND(E1426+Materiales!$H$207-D1428-E1427,4))</f>
        <v/>
      </c>
      <c r="F1429" s="69">
        <f>MAX(0,ROUND(F1426+Materiales!$H$207-E1428-F1427,4))</f>
        <v/>
      </c>
      <c r="G1429" s="69">
        <f>MAX(0,ROUND(G1426+Materiales!$H$207-F1428-G1427,4))</f>
        <v/>
      </c>
      <c r="H1429" s="69">
        <f>MAX(0,ROUND(H1426+Materiales!$H$207-G1428-H1427,4))</f>
        <v/>
      </c>
      <c r="I1429" s="69">
        <f>MAX(0,ROUND(I1426+Materiales!$H$207-H1428-I1427,4))</f>
        <v/>
      </c>
      <c r="J1429" s="69">
        <f>MAX(0,ROUND(J1426+Materiales!$H$207-I1428-J1427,4))</f>
        <v/>
      </c>
      <c r="K1429" s="69">
        <f>MAX(0,ROUND(K1426+Materiales!$H$207-J1428-K1427,4))</f>
        <v/>
      </c>
      <c r="L1429" s="69">
        <f>MAX(0,ROUND(L1426+Materiales!$H$207-K1428-L1427,4))</f>
        <v/>
      </c>
      <c r="M1429" s="66" t="n"/>
    </row>
    <row r="1430">
      <c r="C1430" s="63" t="inlineStr">
        <is>
          <t>Recepcion de orden planificada</t>
        </is>
      </c>
      <c r="D1430" s="64" t="n"/>
      <c r="E1430" s="65">
        <f>IF(E1429&lt;=0,0,IF(Materiales!$G$207&lt;=0,E1429,ROUNDUP(E1429/Materiales!$G$207,0)*Materiales!$G$207))</f>
        <v/>
      </c>
      <c r="F1430" s="65">
        <f>IF(F1429&lt;=0,0,IF(Materiales!$G$207&lt;=0,F1429,ROUNDUP(F1429/Materiales!$G$207,0)*Materiales!$G$207))</f>
        <v/>
      </c>
      <c r="G1430" s="65">
        <f>IF(G1429&lt;=0,0,IF(Materiales!$G$207&lt;=0,G1429,ROUNDUP(G1429/Materiales!$G$207,0)*Materiales!$G$207))</f>
        <v/>
      </c>
      <c r="H1430" s="65">
        <f>IF(H1429&lt;=0,0,IF(Materiales!$G$207&lt;=0,H1429,ROUNDUP(H1429/Materiales!$G$207,0)*Materiales!$G$207))</f>
        <v/>
      </c>
      <c r="I1430" s="65">
        <f>IF(I1429&lt;=0,0,IF(Materiales!$G$207&lt;=0,I1429,ROUNDUP(I1429/Materiales!$G$207,0)*Materiales!$G$207))</f>
        <v/>
      </c>
      <c r="J1430" s="65">
        <f>IF(J1429&lt;=0,0,IF(Materiales!$G$207&lt;=0,J1429,ROUNDUP(J1429/Materiales!$G$207,0)*Materiales!$G$207))</f>
        <v/>
      </c>
      <c r="K1430" s="65">
        <f>IF(K1429&lt;=0,0,IF(Materiales!$G$207&lt;=0,K1429,ROUNDUP(K1429/Materiales!$G$207,0)*Materiales!$G$207))</f>
        <v/>
      </c>
      <c r="L1430" s="65">
        <f>IF(L1429&lt;=0,0,IF(Materiales!$G$207&lt;=0,L1429,ROUNDUP(L1429/Materiales!$G$207,0)*Materiales!$G$207))</f>
        <v/>
      </c>
      <c r="M1430" s="66" t="n"/>
    </row>
    <row r="1431">
      <c r="C1431" s="70" t="inlineStr">
        <is>
          <t>LANZAMIENTO DE ORDEN — pedir esta semana</t>
        </is>
      </c>
      <c r="D1431" s="64" t="n"/>
      <c r="E1431" s="71">
        <f>IF(1+Materiales!$F$207&gt;8,0,INDEX($E$1430:$L$1430,1,1+Materiales!$F$207))</f>
        <v/>
      </c>
      <c r="F1431" s="71">
        <f>IF(2+Materiales!$F$207&gt;8,0,INDEX($E$1430:$L$1430,1,2+Materiales!$F$207))</f>
        <v/>
      </c>
      <c r="G1431" s="71">
        <f>IF(3+Materiales!$F$207&gt;8,0,INDEX($E$1430:$L$1430,1,3+Materiales!$F$207))</f>
        <v/>
      </c>
      <c r="H1431" s="71">
        <f>IF(4+Materiales!$F$207&gt;8,0,INDEX($E$1430:$L$1430,1,4+Materiales!$F$207))</f>
        <v/>
      </c>
      <c r="I1431" s="71">
        <f>IF(5+Materiales!$F$207&gt;8,0,INDEX($E$1430:$L$1430,1,5+Materiales!$F$207))</f>
        <v/>
      </c>
      <c r="J1431" s="71">
        <f>IF(6+Materiales!$F$207&gt;8,0,INDEX($E$1430:$L$1430,1,6+Materiales!$F$207))</f>
        <v/>
      </c>
      <c r="K1431" s="71">
        <f>IF(7+Materiales!$F$207&gt;8,0,INDEX($E$1430:$L$1430,1,7+Materiales!$F$207))</f>
        <v/>
      </c>
      <c r="L1431" s="71">
        <f>IF(8+Materiales!$F$207&gt;8,0,INDEX($E$1430:$L$1430,1,8+Materiales!$F$207))</f>
        <v/>
      </c>
      <c r="M1431" s="72">
        <f>IF($A1426="","",IF(SUMPRODUCT((COLUMN($E$1430:$L$1430)-4&lt;=Materiales!$F$207)*$E$1430:$L$1430)&gt;0,"PEDIR YA (atrasado)","OK"))</f>
        <v/>
      </c>
    </row>
    <row r="1432" ht="6" customHeight="1"/>
    <row r="1433">
      <c r="A1433" s="62">
        <f>IF(Materiales!$A$208="","",Materiales!$A$208)</f>
        <v/>
      </c>
      <c r="B1433" s="62">
        <f>IF(Materiales!$B$208="","",Materiales!$B$208)</f>
        <v/>
      </c>
      <c r="C1433" s="63" t="inlineStr">
        <is>
          <t>Necesidad bruta</t>
        </is>
      </c>
      <c r="D1433" s="64" t="n"/>
      <c r="E1433" s="65">
        <f>ROUND(SUMIF(Consumo!$P$4:$P$189,"#"&amp;$A1433,Consumo!H$4:H$189),4)</f>
        <v/>
      </c>
      <c r="F1433" s="65">
        <f>ROUND(SUMIF(Consumo!$P$4:$P$189,"#"&amp;$A1433,Consumo!I$4:I$189),4)</f>
        <v/>
      </c>
      <c r="G1433" s="65">
        <f>ROUND(SUMIF(Consumo!$P$4:$P$189,"#"&amp;$A1433,Consumo!J$4:J$189),4)</f>
        <v/>
      </c>
      <c r="H1433" s="65">
        <f>ROUND(SUMIF(Consumo!$P$4:$P$189,"#"&amp;$A1433,Consumo!K$4:K$189),4)</f>
        <v/>
      </c>
      <c r="I1433" s="65">
        <f>ROUND(SUMIF(Consumo!$P$4:$P$189,"#"&amp;$A1433,Consumo!L$4:L$189),4)</f>
        <v/>
      </c>
      <c r="J1433" s="65">
        <f>ROUND(SUMIF(Consumo!$P$4:$P$189,"#"&amp;$A1433,Consumo!M$4:M$189),4)</f>
        <v/>
      </c>
      <c r="K1433" s="65">
        <f>ROUND(SUMIF(Consumo!$P$4:$P$189,"#"&amp;$A1433,Consumo!N$4:N$189),4)</f>
        <v/>
      </c>
      <c r="L1433" s="65">
        <f>ROUND(SUMIF(Consumo!$P$4:$P$189,"#"&amp;$A1433,Consumo!O$4:O$189),4)</f>
        <v/>
      </c>
      <c r="M1433" s="66" t="n"/>
    </row>
    <row r="1434">
      <c r="C1434" s="63" t="inlineStr">
        <is>
          <t>Recepciones programadas (ya pedido)</t>
        </is>
      </c>
      <c r="D1434" s="64" t="n"/>
      <c r="E1434" s="65">
        <f>SUMIF(Inventario!$M$5:$M$505,"#"&amp;$A1433,Inventario!E$5:E$505)</f>
        <v/>
      </c>
      <c r="F1434" s="65">
        <f>SUMIF(Inventario!$M$5:$M$505,"#"&amp;$A1433,Inventario!F$5:F$505)</f>
        <v/>
      </c>
      <c r="G1434" s="65">
        <f>SUMIF(Inventario!$M$5:$M$505,"#"&amp;$A1433,Inventario!G$5:G$505)</f>
        <v/>
      </c>
      <c r="H1434" s="65">
        <f>SUMIF(Inventario!$M$5:$M$505,"#"&amp;$A1433,Inventario!H$5:H$505)</f>
        <v/>
      </c>
      <c r="I1434" s="65">
        <f>SUMIF(Inventario!$M$5:$M$505,"#"&amp;$A1433,Inventario!I$5:I$505)</f>
        <v/>
      </c>
      <c r="J1434" s="65">
        <f>SUMIF(Inventario!$M$5:$M$505,"#"&amp;$A1433,Inventario!J$5:J$505)</f>
        <v/>
      </c>
      <c r="K1434" s="65">
        <f>SUMIF(Inventario!$M$5:$M$505,"#"&amp;$A1433,Inventario!K$5:K$505)</f>
        <v/>
      </c>
      <c r="L1434" s="65">
        <f>SUMIF(Inventario!$M$5:$M$505,"#"&amp;$A1433,Inventario!L$5:L$505)</f>
        <v/>
      </c>
      <c r="M1434" s="66" t="n"/>
    </row>
    <row r="1435">
      <c r="C1435" s="63" t="inlineStr">
        <is>
          <t>Stock proyectado disponible</t>
        </is>
      </c>
      <c r="D1435" s="67">
        <f>SUMIF(Inventario!$M$5:$M$505,"#"&amp;$A1433,Inventario!$C$5:$C$505)</f>
        <v/>
      </c>
      <c r="E1435" s="68">
        <f>D1435+E1434+E1437-E1433</f>
        <v/>
      </c>
      <c r="F1435" s="68">
        <f>E1435+F1434+F1437-F1433</f>
        <v/>
      </c>
      <c r="G1435" s="68">
        <f>F1435+G1434+G1437-G1433</f>
        <v/>
      </c>
      <c r="H1435" s="68">
        <f>G1435+H1434+H1437-H1433</f>
        <v/>
      </c>
      <c r="I1435" s="68">
        <f>H1435+I1434+I1437-I1433</f>
        <v/>
      </c>
      <c r="J1435" s="68">
        <f>I1435+J1434+J1437-J1433</f>
        <v/>
      </c>
      <c r="K1435" s="68">
        <f>J1435+K1434+K1437-K1433</f>
        <v/>
      </c>
      <c r="L1435" s="68">
        <f>K1435+L1434+L1437-L1433</f>
        <v/>
      </c>
      <c r="M1435" s="66" t="n"/>
    </row>
    <row r="1436">
      <c r="C1436" s="63" t="inlineStr">
        <is>
          <t>Necesidad neta</t>
        </is>
      </c>
      <c r="D1436" s="64" t="n"/>
      <c r="E1436" s="69">
        <f>MAX(0,ROUND(E1433+Materiales!$H$208-D1435-E1434,4))</f>
        <v/>
      </c>
      <c r="F1436" s="69">
        <f>MAX(0,ROUND(F1433+Materiales!$H$208-E1435-F1434,4))</f>
        <v/>
      </c>
      <c r="G1436" s="69">
        <f>MAX(0,ROUND(G1433+Materiales!$H$208-F1435-G1434,4))</f>
        <v/>
      </c>
      <c r="H1436" s="69">
        <f>MAX(0,ROUND(H1433+Materiales!$H$208-G1435-H1434,4))</f>
        <v/>
      </c>
      <c r="I1436" s="69">
        <f>MAX(0,ROUND(I1433+Materiales!$H$208-H1435-I1434,4))</f>
        <v/>
      </c>
      <c r="J1436" s="69">
        <f>MAX(0,ROUND(J1433+Materiales!$H$208-I1435-J1434,4))</f>
        <v/>
      </c>
      <c r="K1436" s="69">
        <f>MAX(0,ROUND(K1433+Materiales!$H$208-J1435-K1434,4))</f>
        <v/>
      </c>
      <c r="L1436" s="69">
        <f>MAX(0,ROUND(L1433+Materiales!$H$208-K1435-L1434,4))</f>
        <v/>
      </c>
      <c r="M1436" s="66" t="n"/>
    </row>
    <row r="1437">
      <c r="C1437" s="63" t="inlineStr">
        <is>
          <t>Recepcion de orden planificada</t>
        </is>
      </c>
      <c r="D1437" s="64" t="n"/>
      <c r="E1437" s="65">
        <f>IF(E1436&lt;=0,0,IF(Materiales!$G$208&lt;=0,E1436,ROUNDUP(E1436/Materiales!$G$208,0)*Materiales!$G$208))</f>
        <v/>
      </c>
      <c r="F1437" s="65">
        <f>IF(F1436&lt;=0,0,IF(Materiales!$G$208&lt;=0,F1436,ROUNDUP(F1436/Materiales!$G$208,0)*Materiales!$G$208))</f>
        <v/>
      </c>
      <c r="G1437" s="65">
        <f>IF(G1436&lt;=0,0,IF(Materiales!$G$208&lt;=0,G1436,ROUNDUP(G1436/Materiales!$G$208,0)*Materiales!$G$208))</f>
        <v/>
      </c>
      <c r="H1437" s="65">
        <f>IF(H1436&lt;=0,0,IF(Materiales!$G$208&lt;=0,H1436,ROUNDUP(H1436/Materiales!$G$208,0)*Materiales!$G$208))</f>
        <v/>
      </c>
      <c r="I1437" s="65">
        <f>IF(I1436&lt;=0,0,IF(Materiales!$G$208&lt;=0,I1436,ROUNDUP(I1436/Materiales!$G$208,0)*Materiales!$G$208))</f>
        <v/>
      </c>
      <c r="J1437" s="65">
        <f>IF(J1436&lt;=0,0,IF(Materiales!$G$208&lt;=0,J1436,ROUNDUP(J1436/Materiales!$G$208,0)*Materiales!$G$208))</f>
        <v/>
      </c>
      <c r="K1437" s="65">
        <f>IF(K1436&lt;=0,0,IF(Materiales!$G$208&lt;=0,K1436,ROUNDUP(K1436/Materiales!$G$208,0)*Materiales!$G$208))</f>
        <v/>
      </c>
      <c r="L1437" s="65">
        <f>IF(L1436&lt;=0,0,IF(Materiales!$G$208&lt;=0,L1436,ROUNDUP(L1436/Materiales!$G$208,0)*Materiales!$G$208))</f>
        <v/>
      </c>
      <c r="M1437" s="66" t="n"/>
    </row>
    <row r="1438">
      <c r="C1438" s="70" t="inlineStr">
        <is>
          <t>LANZAMIENTO DE ORDEN — pedir esta semana</t>
        </is>
      </c>
      <c r="D1438" s="64" t="n"/>
      <c r="E1438" s="71">
        <f>IF(1+Materiales!$F$208&gt;8,0,INDEX($E$1437:$L$1437,1,1+Materiales!$F$208))</f>
        <v/>
      </c>
      <c r="F1438" s="71">
        <f>IF(2+Materiales!$F$208&gt;8,0,INDEX($E$1437:$L$1437,1,2+Materiales!$F$208))</f>
        <v/>
      </c>
      <c r="G1438" s="71">
        <f>IF(3+Materiales!$F$208&gt;8,0,INDEX($E$1437:$L$1437,1,3+Materiales!$F$208))</f>
        <v/>
      </c>
      <c r="H1438" s="71">
        <f>IF(4+Materiales!$F$208&gt;8,0,INDEX($E$1437:$L$1437,1,4+Materiales!$F$208))</f>
        <v/>
      </c>
      <c r="I1438" s="71">
        <f>IF(5+Materiales!$F$208&gt;8,0,INDEX($E$1437:$L$1437,1,5+Materiales!$F$208))</f>
        <v/>
      </c>
      <c r="J1438" s="71">
        <f>IF(6+Materiales!$F$208&gt;8,0,INDEX($E$1437:$L$1437,1,6+Materiales!$F$208))</f>
        <v/>
      </c>
      <c r="K1438" s="71">
        <f>IF(7+Materiales!$F$208&gt;8,0,INDEX($E$1437:$L$1437,1,7+Materiales!$F$208))</f>
        <v/>
      </c>
      <c r="L1438" s="71">
        <f>IF(8+Materiales!$F$208&gt;8,0,INDEX($E$1437:$L$1437,1,8+Materiales!$F$208))</f>
        <v/>
      </c>
      <c r="M1438" s="72">
        <f>IF($A1433="","",IF(SUMPRODUCT((COLUMN($E$1437:$L$1437)-4&lt;=Materiales!$F$208)*$E$1437:$L$1437)&gt;0,"PEDIR YA (atrasado)","OK"))</f>
        <v/>
      </c>
    </row>
    <row r="1439" ht="6" customHeight="1"/>
    <row r="1440">
      <c r="A1440" s="62">
        <f>IF(Materiales!$A$209="","",Materiales!$A$209)</f>
        <v/>
      </c>
      <c r="B1440" s="62">
        <f>IF(Materiales!$B$209="","",Materiales!$B$209)</f>
        <v/>
      </c>
      <c r="C1440" s="63" t="inlineStr">
        <is>
          <t>Necesidad bruta</t>
        </is>
      </c>
      <c r="D1440" s="64" t="n"/>
      <c r="E1440" s="65">
        <f>ROUND(SUMIF(Consumo!$P$4:$P$189,"#"&amp;$A1440,Consumo!H$4:H$189),4)</f>
        <v/>
      </c>
      <c r="F1440" s="65">
        <f>ROUND(SUMIF(Consumo!$P$4:$P$189,"#"&amp;$A1440,Consumo!I$4:I$189),4)</f>
        <v/>
      </c>
      <c r="G1440" s="65">
        <f>ROUND(SUMIF(Consumo!$P$4:$P$189,"#"&amp;$A1440,Consumo!J$4:J$189),4)</f>
        <v/>
      </c>
      <c r="H1440" s="65">
        <f>ROUND(SUMIF(Consumo!$P$4:$P$189,"#"&amp;$A1440,Consumo!K$4:K$189),4)</f>
        <v/>
      </c>
      <c r="I1440" s="65">
        <f>ROUND(SUMIF(Consumo!$P$4:$P$189,"#"&amp;$A1440,Consumo!L$4:L$189),4)</f>
        <v/>
      </c>
      <c r="J1440" s="65">
        <f>ROUND(SUMIF(Consumo!$P$4:$P$189,"#"&amp;$A1440,Consumo!M$4:M$189),4)</f>
        <v/>
      </c>
      <c r="K1440" s="65">
        <f>ROUND(SUMIF(Consumo!$P$4:$P$189,"#"&amp;$A1440,Consumo!N$4:N$189),4)</f>
        <v/>
      </c>
      <c r="L1440" s="65">
        <f>ROUND(SUMIF(Consumo!$P$4:$P$189,"#"&amp;$A1440,Consumo!O$4:O$189),4)</f>
        <v/>
      </c>
      <c r="M1440" s="66" t="n"/>
    </row>
    <row r="1441">
      <c r="C1441" s="63" t="inlineStr">
        <is>
          <t>Recepciones programadas (ya pedido)</t>
        </is>
      </c>
      <c r="D1441" s="64" t="n"/>
      <c r="E1441" s="65">
        <f>SUMIF(Inventario!$M$5:$M$505,"#"&amp;$A1440,Inventario!E$5:E$505)</f>
        <v/>
      </c>
      <c r="F1441" s="65">
        <f>SUMIF(Inventario!$M$5:$M$505,"#"&amp;$A1440,Inventario!F$5:F$505)</f>
        <v/>
      </c>
      <c r="G1441" s="65">
        <f>SUMIF(Inventario!$M$5:$M$505,"#"&amp;$A1440,Inventario!G$5:G$505)</f>
        <v/>
      </c>
      <c r="H1441" s="65">
        <f>SUMIF(Inventario!$M$5:$M$505,"#"&amp;$A1440,Inventario!H$5:H$505)</f>
        <v/>
      </c>
      <c r="I1441" s="65">
        <f>SUMIF(Inventario!$M$5:$M$505,"#"&amp;$A1440,Inventario!I$5:I$505)</f>
        <v/>
      </c>
      <c r="J1441" s="65">
        <f>SUMIF(Inventario!$M$5:$M$505,"#"&amp;$A1440,Inventario!J$5:J$505)</f>
        <v/>
      </c>
      <c r="K1441" s="65">
        <f>SUMIF(Inventario!$M$5:$M$505,"#"&amp;$A1440,Inventario!K$5:K$505)</f>
        <v/>
      </c>
      <c r="L1441" s="65">
        <f>SUMIF(Inventario!$M$5:$M$505,"#"&amp;$A1440,Inventario!L$5:L$505)</f>
        <v/>
      </c>
      <c r="M1441" s="66" t="n"/>
    </row>
    <row r="1442">
      <c r="C1442" s="63" t="inlineStr">
        <is>
          <t>Stock proyectado disponible</t>
        </is>
      </c>
      <c r="D1442" s="67">
        <f>SUMIF(Inventario!$M$5:$M$505,"#"&amp;$A1440,Inventario!$C$5:$C$505)</f>
        <v/>
      </c>
      <c r="E1442" s="68">
        <f>D1442+E1441+E1444-E1440</f>
        <v/>
      </c>
      <c r="F1442" s="68">
        <f>E1442+F1441+F1444-F1440</f>
        <v/>
      </c>
      <c r="G1442" s="68">
        <f>F1442+G1441+G1444-G1440</f>
        <v/>
      </c>
      <c r="H1442" s="68">
        <f>G1442+H1441+H1444-H1440</f>
        <v/>
      </c>
      <c r="I1442" s="68">
        <f>H1442+I1441+I1444-I1440</f>
        <v/>
      </c>
      <c r="J1442" s="68">
        <f>I1442+J1441+J1444-J1440</f>
        <v/>
      </c>
      <c r="K1442" s="68">
        <f>J1442+K1441+K1444-K1440</f>
        <v/>
      </c>
      <c r="L1442" s="68">
        <f>K1442+L1441+L1444-L1440</f>
        <v/>
      </c>
      <c r="M1442" s="66" t="n"/>
    </row>
    <row r="1443">
      <c r="C1443" s="63" t="inlineStr">
        <is>
          <t>Necesidad neta</t>
        </is>
      </c>
      <c r="D1443" s="64" t="n"/>
      <c r="E1443" s="69">
        <f>MAX(0,ROUND(E1440+Materiales!$H$209-D1442-E1441,4))</f>
        <v/>
      </c>
      <c r="F1443" s="69">
        <f>MAX(0,ROUND(F1440+Materiales!$H$209-E1442-F1441,4))</f>
        <v/>
      </c>
      <c r="G1443" s="69">
        <f>MAX(0,ROUND(G1440+Materiales!$H$209-F1442-G1441,4))</f>
        <v/>
      </c>
      <c r="H1443" s="69">
        <f>MAX(0,ROUND(H1440+Materiales!$H$209-G1442-H1441,4))</f>
        <v/>
      </c>
      <c r="I1443" s="69">
        <f>MAX(0,ROUND(I1440+Materiales!$H$209-H1442-I1441,4))</f>
        <v/>
      </c>
      <c r="J1443" s="69">
        <f>MAX(0,ROUND(J1440+Materiales!$H$209-I1442-J1441,4))</f>
        <v/>
      </c>
      <c r="K1443" s="69">
        <f>MAX(0,ROUND(K1440+Materiales!$H$209-J1442-K1441,4))</f>
        <v/>
      </c>
      <c r="L1443" s="69">
        <f>MAX(0,ROUND(L1440+Materiales!$H$209-K1442-L1441,4))</f>
        <v/>
      </c>
      <c r="M1443" s="66" t="n"/>
    </row>
    <row r="1444">
      <c r="C1444" s="63" t="inlineStr">
        <is>
          <t>Recepcion de orden planificada</t>
        </is>
      </c>
      <c r="D1444" s="64" t="n"/>
      <c r="E1444" s="65">
        <f>IF(E1443&lt;=0,0,IF(Materiales!$G$209&lt;=0,E1443,ROUNDUP(E1443/Materiales!$G$209,0)*Materiales!$G$209))</f>
        <v/>
      </c>
      <c r="F1444" s="65">
        <f>IF(F1443&lt;=0,0,IF(Materiales!$G$209&lt;=0,F1443,ROUNDUP(F1443/Materiales!$G$209,0)*Materiales!$G$209))</f>
        <v/>
      </c>
      <c r="G1444" s="65">
        <f>IF(G1443&lt;=0,0,IF(Materiales!$G$209&lt;=0,G1443,ROUNDUP(G1443/Materiales!$G$209,0)*Materiales!$G$209))</f>
        <v/>
      </c>
      <c r="H1444" s="65">
        <f>IF(H1443&lt;=0,0,IF(Materiales!$G$209&lt;=0,H1443,ROUNDUP(H1443/Materiales!$G$209,0)*Materiales!$G$209))</f>
        <v/>
      </c>
      <c r="I1444" s="65">
        <f>IF(I1443&lt;=0,0,IF(Materiales!$G$209&lt;=0,I1443,ROUNDUP(I1443/Materiales!$G$209,0)*Materiales!$G$209))</f>
        <v/>
      </c>
      <c r="J1444" s="65">
        <f>IF(J1443&lt;=0,0,IF(Materiales!$G$209&lt;=0,J1443,ROUNDUP(J1443/Materiales!$G$209,0)*Materiales!$G$209))</f>
        <v/>
      </c>
      <c r="K1444" s="65">
        <f>IF(K1443&lt;=0,0,IF(Materiales!$G$209&lt;=0,K1443,ROUNDUP(K1443/Materiales!$G$209,0)*Materiales!$G$209))</f>
        <v/>
      </c>
      <c r="L1444" s="65">
        <f>IF(L1443&lt;=0,0,IF(Materiales!$G$209&lt;=0,L1443,ROUNDUP(L1443/Materiales!$G$209,0)*Materiales!$G$209))</f>
        <v/>
      </c>
      <c r="M1444" s="66" t="n"/>
    </row>
    <row r="1445">
      <c r="C1445" s="70" t="inlineStr">
        <is>
          <t>LANZAMIENTO DE ORDEN — pedir esta semana</t>
        </is>
      </c>
      <c r="D1445" s="64" t="n"/>
      <c r="E1445" s="71">
        <f>IF(1+Materiales!$F$209&gt;8,0,INDEX($E$1444:$L$1444,1,1+Materiales!$F$209))</f>
        <v/>
      </c>
      <c r="F1445" s="71">
        <f>IF(2+Materiales!$F$209&gt;8,0,INDEX($E$1444:$L$1444,1,2+Materiales!$F$209))</f>
        <v/>
      </c>
      <c r="G1445" s="71">
        <f>IF(3+Materiales!$F$209&gt;8,0,INDEX($E$1444:$L$1444,1,3+Materiales!$F$209))</f>
        <v/>
      </c>
      <c r="H1445" s="71">
        <f>IF(4+Materiales!$F$209&gt;8,0,INDEX($E$1444:$L$1444,1,4+Materiales!$F$209))</f>
        <v/>
      </c>
      <c r="I1445" s="71">
        <f>IF(5+Materiales!$F$209&gt;8,0,INDEX($E$1444:$L$1444,1,5+Materiales!$F$209))</f>
        <v/>
      </c>
      <c r="J1445" s="71">
        <f>IF(6+Materiales!$F$209&gt;8,0,INDEX($E$1444:$L$1444,1,6+Materiales!$F$209))</f>
        <v/>
      </c>
      <c r="K1445" s="71">
        <f>IF(7+Materiales!$F$209&gt;8,0,INDEX($E$1444:$L$1444,1,7+Materiales!$F$209))</f>
        <v/>
      </c>
      <c r="L1445" s="71">
        <f>IF(8+Materiales!$F$209&gt;8,0,INDEX($E$1444:$L$1444,1,8+Materiales!$F$209))</f>
        <v/>
      </c>
      <c r="M1445" s="72">
        <f>IF($A1440="","",IF(SUMPRODUCT((COLUMN($E$1444:$L$1444)-4&lt;=Materiales!$F$209)*$E$1444:$L$1444)&gt;0,"PEDIR YA (atrasado)","OK"))</f>
        <v/>
      </c>
    </row>
    <row r="1446" ht="6" customHeight="1"/>
    <row r="1447">
      <c r="A1447" s="62">
        <f>IF(Materiales!$A$210="","",Materiales!$A$210)</f>
        <v/>
      </c>
      <c r="B1447" s="62">
        <f>IF(Materiales!$B$210="","",Materiales!$B$210)</f>
        <v/>
      </c>
      <c r="C1447" s="63" t="inlineStr">
        <is>
          <t>Necesidad bruta</t>
        </is>
      </c>
      <c r="D1447" s="64" t="n"/>
      <c r="E1447" s="65">
        <f>ROUND(SUMIF(Consumo!$P$4:$P$189,"#"&amp;$A1447,Consumo!H$4:H$189),4)</f>
        <v/>
      </c>
      <c r="F1447" s="65">
        <f>ROUND(SUMIF(Consumo!$P$4:$P$189,"#"&amp;$A1447,Consumo!I$4:I$189),4)</f>
        <v/>
      </c>
      <c r="G1447" s="65">
        <f>ROUND(SUMIF(Consumo!$P$4:$P$189,"#"&amp;$A1447,Consumo!J$4:J$189),4)</f>
        <v/>
      </c>
      <c r="H1447" s="65">
        <f>ROUND(SUMIF(Consumo!$P$4:$P$189,"#"&amp;$A1447,Consumo!K$4:K$189),4)</f>
        <v/>
      </c>
      <c r="I1447" s="65">
        <f>ROUND(SUMIF(Consumo!$P$4:$P$189,"#"&amp;$A1447,Consumo!L$4:L$189),4)</f>
        <v/>
      </c>
      <c r="J1447" s="65">
        <f>ROUND(SUMIF(Consumo!$P$4:$P$189,"#"&amp;$A1447,Consumo!M$4:M$189),4)</f>
        <v/>
      </c>
      <c r="K1447" s="65">
        <f>ROUND(SUMIF(Consumo!$P$4:$P$189,"#"&amp;$A1447,Consumo!N$4:N$189),4)</f>
        <v/>
      </c>
      <c r="L1447" s="65">
        <f>ROUND(SUMIF(Consumo!$P$4:$P$189,"#"&amp;$A1447,Consumo!O$4:O$189),4)</f>
        <v/>
      </c>
      <c r="M1447" s="66" t="n"/>
    </row>
    <row r="1448">
      <c r="C1448" s="63" t="inlineStr">
        <is>
          <t>Recepciones programadas (ya pedido)</t>
        </is>
      </c>
      <c r="D1448" s="64" t="n"/>
      <c r="E1448" s="65">
        <f>SUMIF(Inventario!$M$5:$M$505,"#"&amp;$A1447,Inventario!E$5:E$505)</f>
        <v/>
      </c>
      <c r="F1448" s="65">
        <f>SUMIF(Inventario!$M$5:$M$505,"#"&amp;$A1447,Inventario!F$5:F$505)</f>
        <v/>
      </c>
      <c r="G1448" s="65">
        <f>SUMIF(Inventario!$M$5:$M$505,"#"&amp;$A1447,Inventario!G$5:G$505)</f>
        <v/>
      </c>
      <c r="H1448" s="65">
        <f>SUMIF(Inventario!$M$5:$M$505,"#"&amp;$A1447,Inventario!H$5:H$505)</f>
        <v/>
      </c>
      <c r="I1448" s="65">
        <f>SUMIF(Inventario!$M$5:$M$505,"#"&amp;$A1447,Inventario!I$5:I$505)</f>
        <v/>
      </c>
      <c r="J1448" s="65">
        <f>SUMIF(Inventario!$M$5:$M$505,"#"&amp;$A1447,Inventario!J$5:J$505)</f>
        <v/>
      </c>
      <c r="K1448" s="65">
        <f>SUMIF(Inventario!$M$5:$M$505,"#"&amp;$A1447,Inventario!K$5:K$505)</f>
        <v/>
      </c>
      <c r="L1448" s="65">
        <f>SUMIF(Inventario!$M$5:$M$505,"#"&amp;$A1447,Inventario!L$5:L$505)</f>
        <v/>
      </c>
      <c r="M1448" s="66" t="n"/>
    </row>
    <row r="1449">
      <c r="C1449" s="63" t="inlineStr">
        <is>
          <t>Stock proyectado disponible</t>
        </is>
      </c>
      <c r="D1449" s="67">
        <f>SUMIF(Inventario!$M$5:$M$505,"#"&amp;$A1447,Inventario!$C$5:$C$505)</f>
        <v/>
      </c>
      <c r="E1449" s="68">
        <f>D1449+E1448+E1451-E1447</f>
        <v/>
      </c>
      <c r="F1449" s="68">
        <f>E1449+F1448+F1451-F1447</f>
        <v/>
      </c>
      <c r="G1449" s="68">
        <f>F1449+G1448+G1451-G1447</f>
        <v/>
      </c>
      <c r="H1449" s="68">
        <f>G1449+H1448+H1451-H1447</f>
        <v/>
      </c>
      <c r="I1449" s="68">
        <f>H1449+I1448+I1451-I1447</f>
        <v/>
      </c>
      <c r="J1449" s="68">
        <f>I1449+J1448+J1451-J1447</f>
        <v/>
      </c>
      <c r="K1449" s="68">
        <f>J1449+K1448+K1451-K1447</f>
        <v/>
      </c>
      <c r="L1449" s="68">
        <f>K1449+L1448+L1451-L1447</f>
        <v/>
      </c>
      <c r="M1449" s="66" t="n"/>
    </row>
    <row r="1450">
      <c r="C1450" s="63" t="inlineStr">
        <is>
          <t>Necesidad neta</t>
        </is>
      </c>
      <c r="D1450" s="64" t="n"/>
      <c r="E1450" s="69">
        <f>MAX(0,ROUND(E1447+Materiales!$H$210-D1449-E1448,4))</f>
        <v/>
      </c>
      <c r="F1450" s="69">
        <f>MAX(0,ROUND(F1447+Materiales!$H$210-E1449-F1448,4))</f>
        <v/>
      </c>
      <c r="G1450" s="69">
        <f>MAX(0,ROUND(G1447+Materiales!$H$210-F1449-G1448,4))</f>
        <v/>
      </c>
      <c r="H1450" s="69">
        <f>MAX(0,ROUND(H1447+Materiales!$H$210-G1449-H1448,4))</f>
        <v/>
      </c>
      <c r="I1450" s="69">
        <f>MAX(0,ROUND(I1447+Materiales!$H$210-H1449-I1448,4))</f>
        <v/>
      </c>
      <c r="J1450" s="69">
        <f>MAX(0,ROUND(J1447+Materiales!$H$210-I1449-J1448,4))</f>
        <v/>
      </c>
      <c r="K1450" s="69">
        <f>MAX(0,ROUND(K1447+Materiales!$H$210-J1449-K1448,4))</f>
        <v/>
      </c>
      <c r="L1450" s="69">
        <f>MAX(0,ROUND(L1447+Materiales!$H$210-K1449-L1448,4))</f>
        <v/>
      </c>
      <c r="M1450" s="66" t="n"/>
    </row>
    <row r="1451">
      <c r="C1451" s="63" t="inlineStr">
        <is>
          <t>Recepcion de orden planificada</t>
        </is>
      </c>
      <c r="D1451" s="64" t="n"/>
      <c r="E1451" s="65">
        <f>IF(E1450&lt;=0,0,IF(Materiales!$G$210&lt;=0,E1450,ROUNDUP(E1450/Materiales!$G$210,0)*Materiales!$G$210))</f>
        <v/>
      </c>
      <c r="F1451" s="65">
        <f>IF(F1450&lt;=0,0,IF(Materiales!$G$210&lt;=0,F1450,ROUNDUP(F1450/Materiales!$G$210,0)*Materiales!$G$210))</f>
        <v/>
      </c>
      <c r="G1451" s="65">
        <f>IF(G1450&lt;=0,0,IF(Materiales!$G$210&lt;=0,G1450,ROUNDUP(G1450/Materiales!$G$210,0)*Materiales!$G$210))</f>
        <v/>
      </c>
      <c r="H1451" s="65">
        <f>IF(H1450&lt;=0,0,IF(Materiales!$G$210&lt;=0,H1450,ROUNDUP(H1450/Materiales!$G$210,0)*Materiales!$G$210))</f>
        <v/>
      </c>
      <c r="I1451" s="65">
        <f>IF(I1450&lt;=0,0,IF(Materiales!$G$210&lt;=0,I1450,ROUNDUP(I1450/Materiales!$G$210,0)*Materiales!$G$210))</f>
        <v/>
      </c>
      <c r="J1451" s="65">
        <f>IF(J1450&lt;=0,0,IF(Materiales!$G$210&lt;=0,J1450,ROUNDUP(J1450/Materiales!$G$210,0)*Materiales!$G$210))</f>
        <v/>
      </c>
      <c r="K1451" s="65">
        <f>IF(K1450&lt;=0,0,IF(Materiales!$G$210&lt;=0,K1450,ROUNDUP(K1450/Materiales!$G$210,0)*Materiales!$G$210))</f>
        <v/>
      </c>
      <c r="L1451" s="65">
        <f>IF(L1450&lt;=0,0,IF(Materiales!$G$210&lt;=0,L1450,ROUNDUP(L1450/Materiales!$G$210,0)*Materiales!$G$210))</f>
        <v/>
      </c>
      <c r="M1451" s="66" t="n"/>
    </row>
    <row r="1452">
      <c r="C1452" s="70" t="inlineStr">
        <is>
          <t>LANZAMIENTO DE ORDEN — pedir esta semana</t>
        </is>
      </c>
      <c r="D1452" s="64" t="n"/>
      <c r="E1452" s="71">
        <f>IF(1+Materiales!$F$210&gt;8,0,INDEX($E$1451:$L$1451,1,1+Materiales!$F$210))</f>
        <v/>
      </c>
      <c r="F1452" s="71">
        <f>IF(2+Materiales!$F$210&gt;8,0,INDEX($E$1451:$L$1451,1,2+Materiales!$F$210))</f>
        <v/>
      </c>
      <c r="G1452" s="71">
        <f>IF(3+Materiales!$F$210&gt;8,0,INDEX($E$1451:$L$1451,1,3+Materiales!$F$210))</f>
        <v/>
      </c>
      <c r="H1452" s="71">
        <f>IF(4+Materiales!$F$210&gt;8,0,INDEX($E$1451:$L$1451,1,4+Materiales!$F$210))</f>
        <v/>
      </c>
      <c r="I1452" s="71">
        <f>IF(5+Materiales!$F$210&gt;8,0,INDEX($E$1451:$L$1451,1,5+Materiales!$F$210))</f>
        <v/>
      </c>
      <c r="J1452" s="71">
        <f>IF(6+Materiales!$F$210&gt;8,0,INDEX($E$1451:$L$1451,1,6+Materiales!$F$210))</f>
        <v/>
      </c>
      <c r="K1452" s="71">
        <f>IF(7+Materiales!$F$210&gt;8,0,INDEX($E$1451:$L$1451,1,7+Materiales!$F$210))</f>
        <v/>
      </c>
      <c r="L1452" s="71">
        <f>IF(8+Materiales!$F$210&gt;8,0,INDEX($E$1451:$L$1451,1,8+Materiales!$F$210))</f>
        <v/>
      </c>
      <c r="M1452" s="72">
        <f>IF($A1447="","",IF(SUMPRODUCT((COLUMN($E$1451:$L$1451)-4&lt;=Materiales!$F$210)*$E$1451:$L$1451)&gt;0,"PEDIR YA (atrasado)","OK"))</f>
        <v/>
      </c>
    </row>
    <row r="1453" ht="6" customHeight="1"/>
    <row r="1454">
      <c r="A1454" s="62">
        <f>IF(Materiales!$A$211="","",Materiales!$A$211)</f>
        <v/>
      </c>
      <c r="B1454" s="62">
        <f>IF(Materiales!$B$211="","",Materiales!$B$211)</f>
        <v/>
      </c>
      <c r="C1454" s="63" t="inlineStr">
        <is>
          <t>Necesidad bruta</t>
        </is>
      </c>
      <c r="D1454" s="64" t="n"/>
      <c r="E1454" s="65">
        <f>ROUND(SUMIF(Consumo!$P$4:$P$189,"#"&amp;$A1454,Consumo!H$4:H$189),4)</f>
        <v/>
      </c>
      <c r="F1454" s="65">
        <f>ROUND(SUMIF(Consumo!$P$4:$P$189,"#"&amp;$A1454,Consumo!I$4:I$189),4)</f>
        <v/>
      </c>
      <c r="G1454" s="65">
        <f>ROUND(SUMIF(Consumo!$P$4:$P$189,"#"&amp;$A1454,Consumo!J$4:J$189),4)</f>
        <v/>
      </c>
      <c r="H1454" s="65">
        <f>ROUND(SUMIF(Consumo!$P$4:$P$189,"#"&amp;$A1454,Consumo!K$4:K$189),4)</f>
        <v/>
      </c>
      <c r="I1454" s="65">
        <f>ROUND(SUMIF(Consumo!$P$4:$P$189,"#"&amp;$A1454,Consumo!L$4:L$189),4)</f>
        <v/>
      </c>
      <c r="J1454" s="65">
        <f>ROUND(SUMIF(Consumo!$P$4:$P$189,"#"&amp;$A1454,Consumo!M$4:M$189),4)</f>
        <v/>
      </c>
      <c r="K1454" s="65">
        <f>ROUND(SUMIF(Consumo!$P$4:$P$189,"#"&amp;$A1454,Consumo!N$4:N$189),4)</f>
        <v/>
      </c>
      <c r="L1454" s="65">
        <f>ROUND(SUMIF(Consumo!$P$4:$P$189,"#"&amp;$A1454,Consumo!O$4:O$189),4)</f>
        <v/>
      </c>
      <c r="M1454" s="66" t="n"/>
    </row>
    <row r="1455">
      <c r="C1455" s="63" t="inlineStr">
        <is>
          <t>Recepciones programadas (ya pedido)</t>
        </is>
      </c>
      <c r="D1455" s="64" t="n"/>
      <c r="E1455" s="65">
        <f>SUMIF(Inventario!$M$5:$M$505,"#"&amp;$A1454,Inventario!E$5:E$505)</f>
        <v/>
      </c>
      <c r="F1455" s="65">
        <f>SUMIF(Inventario!$M$5:$M$505,"#"&amp;$A1454,Inventario!F$5:F$505)</f>
        <v/>
      </c>
      <c r="G1455" s="65">
        <f>SUMIF(Inventario!$M$5:$M$505,"#"&amp;$A1454,Inventario!G$5:G$505)</f>
        <v/>
      </c>
      <c r="H1455" s="65">
        <f>SUMIF(Inventario!$M$5:$M$505,"#"&amp;$A1454,Inventario!H$5:H$505)</f>
        <v/>
      </c>
      <c r="I1455" s="65">
        <f>SUMIF(Inventario!$M$5:$M$505,"#"&amp;$A1454,Inventario!I$5:I$505)</f>
        <v/>
      </c>
      <c r="J1455" s="65">
        <f>SUMIF(Inventario!$M$5:$M$505,"#"&amp;$A1454,Inventario!J$5:J$505)</f>
        <v/>
      </c>
      <c r="K1455" s="65">
        <f>SUMIF(Inventario!$M$5:$M$505,"#"&amp;$A1454,Inventario!K$5:K$505)</f>
        <v/>
      </c>
      <c r="L1455" s="65">
        <f>SUMIF(Inventario!$M$5:$M$505,"#"&amp;$A1454,Inventario!L$5:L$505)</f>
        <v/>
      </c>
      <c r="M1455" s="66" t="n"/>
    </row>
    <row r="1456">
      <c r="C1456" s="63" t="inlineStr">
        <is>
          <t>Stock proyectado disponible</t>
        </is>
      </c>
      <c r="D1456" s="67">
        <f>SUMIF(Inventario!$M$5:$M$505,"#"&amp;$A1454,Inventario!$C$5:$C$505)</f>
        <v/>
      </c>
      <c r="E1456" s="68">
        <f>D1456+E1455+E1458-E1454</f>
        <v/>
      </c>
      <c r="F1456" s="68">
        <f>E1456+F1455+F1458-F1454</f>
        <v/>
      </c>
      <c r="G1456" s="68">
        <f>F1456+G1455+G1458-G1454</f>
        <v/>
      </c>
      <c r="H1456" s="68">
        <f>G1456+H1455+H1458-H1454</f>
        <v/>
      </c>
      <c r="I1456" s="68">
        <f>H1456+I1455+I1458-I1454</f>
        <v/>
      </c>
      <c r="J1456" s="68">
        <f>I1456+J1455+J1458-J1454</f>
        <v/>
      </c>
      <c r="K1456" s="68">
        <f>J1456+K1455+K1458-K1454</f>
        <v/>
      </c>
      <c r="L1456" s="68">
        <f>K1456+L1455+L1458-L1454</f>
        <v/>
      </c>
      <c r="M1456" s="66" t="n"/>
    </row>
    <row r="1457">
      <c r="C1457" s="63" t="inlineStr">
        <is>
          <t>Necesidad neta</t>
        </is>
      </c>
      <c r="D1457" s="64" t="n"/>
      <c r="E1457" s="69">
        <f>MAX(0,ROUND(E1454+Materiales!$H$211-D1456-E1455,4))</f>
        <v/>
      </c>
      <c r="F1457" s="69">
        <f>MAX(0,ROUND(F1454+Materiales!$H$211-E1456-F1455,4))</f>
        <v/>
      </c>
      <c r="G1457" s="69">
        <f>MAX(0,ROUND(G1454+Materiales!$H$211-F1456-G1455,4))</f>
        <v/>
      </c>
      <c r="H1457" s="69">
        <f>MAX(0,ROUND(H1454+Materiales!$H$211-G1456-H1455,4))</f>
        <v/>
      </c>
      <c r="I1457" s="69">
        <f>MAX(0,ROUND(I1454+Materiales!$H$211-H1456-I1455,4))</f>
        <v/>
      </c>
      <c r="J1457" s="69">
        <f>MAX(0,ROUND(J1454+Materiales!$H$211-I1456-J1455,4))</f>
        <v/>
      </c>
      <c r="K1457" s="69">
        <f>MAX(0,ROUND(K1454+Materiales!$H$211-J1456-K1455,4))</f>
        <v/>
      </c>
      <c r="L1457" s="69">
        <f>MAX(0,ROUND(L1454+Materiales!$H$211-K1456-L1455,4))</f>
        <v/>
      </c>
      <c r="M1457" s="66" t="n"/>
    </row>
    <row r="1458">
      <c r="C1458" s="63" t="inlineStr">
        <is>
          <t>Recepcion de orden planificada</t>
        </is>
      </c>
      <c r="D1458" s="64" t="n"/>
      <c r="E1458" s="65">
        <f>IF(E1457&lt;=0,0,IF(Materiales!$G$211&lt;=0,E1457,ROUNDUP(E1457/Materiales!$G$211,0)*Materiales!$G$211))</f>
        <v/>
      </c>
      <c r="F1458" s="65">
        <f>IF(F1457&lt;=0,0,IF(Materiales!$G$211&lt;=0,F1457,ROUNDUP(F1457/Materiales!$G$211,0)*Materiales!$G$211))</f>
        <v/>
      </c>
      <c r="G1458" s="65">
        <f>IF(G1457&lt;=0,0,IF(Materiales!$G$211&lt;=0,G1457,ROUNDUP(G1457/Materiales!$G$211,0)*Materiales!$G$211))</f>
        <v/>
      </c>
      <c r="H1458" s="65">
        <f>IF(H1457&lt;=0,0,IF(Materiales!$G$211&lt;=0,H1457,ROUNDUP(H1457/Materiales!$G$211,0)*Materiales!$G$211))</f>
        <v/>
      </c>
      <c r="I1458" s="65">
        <f>IF(I1457&lt;=0,0,IF(Materiales!$G$211&lt;=0,I1457,ROUNDUP(I1457/Materiales!$G$211,0)*Materiales!$G$211))</f>
        <v/>
      </c>
      <c r="J1458" s="65">
        <f>IF(J1457&lt;=0,0,IF(Materiales!$G$211&lt;=0,J1457,ROUNDUP(J1457/Materiales!$G$211,0)*Materiales!$G$211))</f>
        <v/>
      </c>
      <c r="K1458" s="65">
        <f>IF(K1457&lt;=0,0,IF(Materiales!$G$211&lt;=0,K1457,ROUNDUP(K1457/Materiales!$G$211,0)*Materiales!$G$211))</f>
        <v/>
      </c>
      <c r="L1458" s="65">
        <f>IF(L1457&lt;=0,0,IF(Materiales!$G$211&lt;=0,L1457,ROUNDUP(L1457/Materiales!$G$211,0)*Materiales!$G$211))</f>
        <v/>
      </c>
      <c r="M1458" s="66" t="n"/>
    </row>
    <row r="1459">
      <c r="C1459" s="70" t="inlineStr">
        <is>
          <t>LANZAMIENTO DE ORDEN — pedir esta semana</t>
        </is>
      </c>
      <c r="D1459" s="64" t="n"/>
      <c r="E1459" s="71">
        <f>IF(1+Materiales!$F$211&gt;8,0,INDEX($E$1458:$L$1458,1,1+Materiales!$F$211))</f>
        <v/>
      </c>
      <c r="F1459" s="71">
        <f>IF(2+Materiales!$F$211&gt;8,0,INDEX($E$1458:$L$1458,1,2+Materiales!$F$211))</f>
        <v/>
      </c>
      <c r="G1459" s="71">
        <f>IF(3+Materiales!$F$211&gt;8,0,INDEX($E$1458:$L$1458,1,3+Materiales!$F$211))</f>
        <v/>
      </c>
      <c r="H1459" s="71">
        <f>IF(4+Materiales!$F$211&gt;8,0,INDEX($E$1458:$L$1458,1,4+Materiales!$F$211))</f>
        <v/>
      </c>
      <c r="I1459" s="71">
        <f>IF(5+Materiales!$F$211&gt;8,0,INDEX($E$1458:$L$1458,1,5+Materiales!$F$211))</f>
        <v/>
      </c>
      <c r="J1459" s="71">
        <f>IF(6+Materiales!$F$211&gt;8,0,INDEX($E$1458:$L$1458,1,6+Materiales!$F$211))</f>
        <v/>
      </c>
      <c r="K1459" s="71">
        <f>IF(7+Materiales!$F$211&gt;8,0,INDEX($E$1458:$L$1458,1,7+Materiales!$F$211))</f>
        <v/>
      </c>
      <c r="L1459" s="71">
        <f>IF(8+Materiales!$F$211&gt;8,0,INDEX($E$1458:$L$1458,1,8+Materiales!$F$211))</f>
        <v/>
      </c>
      <c r="M1459" s="72">
        <f>IF($A1454="","",IF(SUMPRODUCT((COLUMN($E$1458:$L$1458)-4&lt;=Materiales!$F$211)*$E$1458:$L$1458)&gt;0,"PEDIR YA (atrasado)","OK"))</f>
        <v/>
      </c>
    </row>
    <row r="1460" ht="6" customHeight="1"/>
    <row r="1461">
      <c r="A1461" s="62">
        <f>IF(Materiales!$A$212="","",Materiales!$A$212)</f>
        <v/>
      </c>
      <c r="B1461" s="62">
        <f>IF(Materiales!$B$212="","",Materiales!$B$212)</f>
        <v/>
      </c>
      <c r="C1461" s="63" t="inlineStr">
        <is>
          <t>Necesidad bruta</t>
        </is>
      </c>
      <c r="D1461" s="64" t="n"/>
      <c r="E1461" s="65">
        <f>ROUND(SUMIF(Consumo!$P$4:$P$189,"#"&amp;$A1461,Consumo!H$4:H$189),4)</f>
        <v/>
      </c>
      <c r="F1461" s="65">
        <f>ROUND(SUMIF(Consumo!$P$4:$P$189,"#"&amp;$A1461,Consumo!I$4:I$189),4)</f>
        <v/>
      </c>
      <c r="G1461" s="65">
        <f>ROUND(SUMIF(Consumo!$P$4:$P$189,"#"&amp;$A1461,Consumo!J$4:J$189),4)</f>
        <v/>
      </c>
      <c r="H1461" s="65">
        <f>ROUND(SUMIF(Consumo!$P$4:$P$189,"#"&amp;$A1461,Consumo!K$4:K$189),4)</f>
        <v/>
      </c>
      <c r="I1461" s="65">
        <f>ROUND(SUMIF(Consumo!$P$4:$P$189,"#"&amp;$A1461,Consumo!L$4:L$189),4)</f>
        <v/>
      </c>
      <c r="J1461" s="65">
        <f>ROUND(SUMIF(Consumo!$P$4:$P$189,"#"&amp;$A1461,Consumo!M$4:M$189),4)</f>
        <v/>
      </c>
      <c r="K1461" s="65">
        <f>ROUND(SUMIF(Consumo!$P$4:$P$189,"#"&amp;$A1461,Consumo!N$4:N$189),4)</f>
        <v/>
      </c>
      <c r="L1461" s="65">
        <f>ROUND(SUMIF(Consumo!$P$4:$P$189,"#"&amp;$A1461,Consumo!O$4:O$189),4)</f>
        <v/>
      </c>
      <c r="M1461" s="66" t="n"/>
    </row>
    <row r="1462">
      <c r="C1462" s="63" t="inlineStr">
        <is>
          <t>Recepciones programadas (ya pedido)</t>
        </is>
      </c>
      <c r="D1462" s="64" t="n"/>
      <c r="E1462" s="65">
        <f>SUMIF(Inventario!$M$5:$M$505,"#"&amp;$A1461,Inventario!E$5:E$505)</f>
        <v/>
      </c>
      <c r="F1462" s="65">
        <f>SUMIF(Inventario!$M$5:$M$505,"#"&amp;$A1461,Inventario!F$5:F$505)</f>
        <v/>
      </c>
      <c r="G1462" s="65">
        <f>SUMIF(Inventario!$M$5:$M$505,"#"&amp;$A1461,Inventario!G$5:G$505)</f>
        <v/>
      </c>
      <c r="H1462" s="65">
        <f>SUMIF(Inventario!$M$5:$M$505,"#"&amp;$A1461,Inventario!H$5:H$505)</f>
        <v/>
      </c>
      <c r="I1462" s="65">
        <f>SUMIF(Inventario!$M$5:$M$505,"#"&amp;$A1461,Inventario!I$5:I$505)</f>
        <v/>
      </c>
      <c r="J1462" s="65">
        <f>SUMIF(Inventario!$M$5:$M$505,"#"&amp;$A1461,Inventario!J$5:J$505)</f>
        <v/>
      </c>
      <c r="K1462" s="65">
        <f>SUMIF(Inventario!$M$5:$M$505,"#"&amp;$A1461,Inventario!K$5:K$505)</f>
        <v/>
      </c>
      <c r="L1462" s="65">
        <f>SUMIF(Inventario!$M$5:$M$505,"#"&amp;$A1461,Inventario!L$5:L$505)</f>
        <v/>
      </c>
      <c r="M1462" s="66" t="n"/>
    </row>
    <row r="1463">
      <c r="C1463" s="63" t="inlineStr">
        <is>
          <t>Stock proyectado disponible</t>
        </is>
      </c>
      <c r="D1463" s="67">
        <f>SUMIF(Inventario!$M$5:$M$505,"#"&amp;$A1461,Inventario!$C$5:$C$505)</f>
        <v/>
      </c>
      <c r="E1463" s="68">
        <f>D1463+E1462+E1465-E1461</f>
        <v/>
      </c>
      <c r="F1463" s="68">
        <f>E1463+F1462+F1465-F1461</f>
        <v/>
      </c>
      <c r="G1463" s="68">
        <f>F1463+G1462+G1465-G1461</f>
        <v/>
      </c>
      <c r="H1463" s="68">
        <f>G1463+H1462+H1465-H1461</f>
        <v/>
      </c>
      <c r="I1463" s="68">
        <f>H1463+I1462+I1465-I1461</f>
        <v/>
      </c>
      <c r="J1463" s="68">
        <f>I1463+J1462+J1465-J1461</f>
        <v/>
      </c>
      <c r="K1463" s="68">
        <f>J1463+K1462+K1465-K1461</f>
        <v/>
      </c>
      <c r="L1463" s="68">
        <f>K1463+L1462+L1465-L1461</f>
        <v/>
      </c>
      <c r="M1463" s="66" t="n"/>
    </row>
    <row r="1464">
      <c r="C1464" s="63" t="inlineStr">
        <is>
          <t>Necesidad neta</t>
        </is>
      </c>
      <c r="D1464" s="64" t="n"/>
      <c r="E1464" s="69">
        <f>MAX(0,ROUND(E1461+Materiales!$H$212-D1463-E1462,4))</f>
        <v/>
      </c>
      <c r="F1464" s="69">
        <f>MAX(0,ROUND(F1461+Materiales!$H$212-E1463-F1462,4))</f>
        <v/>
      </c>
      <c r="G1464" s="69">
        <f>MAX(0,ROUND(G1461+Materiales!$H$212-F1463-G1462,4))</f>
        <v/>
      </c>
      <c r="H1464" s="69">
        <f>MAX(0,ROUND(H1461+Materiales!$H$212-G1463-H1462,4))</f>
        <v/>
      </c>
      <c r="I1464" s="69">
        <f>MAX(0,ROUND(I1461+Materiales!$H$212-H1463-I1462,4))</f>
        <v/>
      </c>
      <c r="J1464" s="69">
        <f>MAX(0,ROUND(J1461+Materiales!$H$212-I1463-J1462,4))</f>
        <v/>
      </c>
      <c r="K1464" s="69">
        <f>MAX(0,ROUND(K1461+Materiales!$H$212-J1463-K1462,4))</f>
        <v/>
      </c>
      <c r="L1464" s="69">
        <f>MAX(0,ROUND(L1461+Materiales!$H$212-K1463-L1462,4))</f>
        <v/>
      </c>
      <c r="M1464" s="66" t="n"/>
    </row>
    <row r="1465">
      <c r="C1465" s="63" t="inlineStr">
        <is>
          <t>Recepcion de orden planificada</t>
        </is>
      </c>
      <c r="D1465" s="64" t="n"/>
      <c r="E1465" s="65">
        <f>IF(E1464&lt;=0,0,IF(Materiales!$G$212&lt;=0,E1464,ROUNDUP(E1464/Materiales!$G$212,0)*Materiales!$G$212))</f>
        <v/>
      </c>
      <c r="F1465" s="65">
        <f>IF(F1464&lt;=0,0,IF(Materiales!$G$212&lt;=0,F1464,ROUNDUP(F1464/Materiales!$G$212,0)*Materiales!$G$212))</f>
        <v/>
      </c>
      <c r="G1465" s="65">
        <f>IF(G1464&lt;=0,0,IF(Materiales!$G$212&lt;=0,G1464,ROUNDUP(G1464/Materiales!$G$212,0)*Materiales!$G$212))</f>
        <v/>
      </c>
      <c r="H1465" s="65">
        <f>IF(H1464&lt;=0,0,IF(Materiales!$G$212&lt;=0,H1464,ROUNDUP(H1464/Materiales!$G$212,0)*Materiales!$G$212))</f>
        <v/>
      </c>
      <c r="I1465" s="65">
        <f>IF(I1464&lt;=0,0,IF(Materiales!$G$212&lt;=0,I1464,ROUNDUP(I1464/Materiales!$G$212,0)*Materiales!$G$212))</f>
        <v/>
      </c>
      <c r="J1465" s="65">
        <f>IF(J1464&lt;=0,0,IF(Materiales!$G$212&lt;=0,J1464,ROUNDUP(J1464/Materiales!$G$212,0)*Materiales!$G$212))</f>
        <v/>
      </c>
      <c r="K1465" s="65">
        <f>IF(K1464&lt;=0,0,IF(Materiales!$G$212&lt;=0,K1464,ROUNDUP(K1464/Materiales!$G$212,0)*Materiales!$G$212))</f>
        <v/>
      </c>
      <c r="L1465" s="65">
        <f>IF(L1464&lt;=0,0,IF(Materiales!$G$212&lt;=0,L1464,ROUNDUP(L1464/Materiales!$G$212,0)*Materiales!$G$212))</f>
        <v/>
      </c>
      <c r="M1465" s="66" t="n"/>
    </row>
    <row r="1466">
      <c r="C1466" s="70" t="inlineStr">
        <is>
          <t>LANZAMIENTO DE ORDEN — pedir esta semana</t>
        </is>
      </c>
      <c r="D1466" s="64" t="n"/>
      <c r="E1466" s="71">
        <f>IF(1+Materiales!$F$212&gt;8,0,INDEX($E$1465:$L$1465,1,1+Materiales!$F$212))</f>
        <v/>
      </c>
      <c r="F1466" s="71">
        <f>IF(2+Materiales!$F$212&gt;8,0,INDEX($E$1465:$L$1465,1,2+Materiales!$F$212))</f>
        <v/>
      </c>
      <c r="G1466" s="71">
        <f>IF(3+Materiales!$F$212&gt;8,0,INDEX($E$1465:$L$1465,1,3+Materiales!$F$212))</f>
        <v/>
      </c>
      <c r="H1466" s="71">
        <f>IF(4+Materiales!$F$212&gt;8,0,INDEX($E$1465:$L$1465,1,4+Materiales!$F$212))</f>
        <v/>
      </c>
      <c r="I1466" s="71">
        <f>IF(5+Materiales!$F$212&gt;8,0,INDEX($E$1465:$L$1465,1,5+Materiales!$F$212))</f>
        <v/>
      </c>
      <c r="J1466" s="71">
        <f>IF(6+Materiales!$F$212&gt;8,0,INDEX($E$1465:$L$1465,1,6+Materiales!$F$212))</f>
        <v/>
      </c>
      <c r="K1466" s="71">
        <f>IF(7+Materiales!$F$212&gt;8,0,INDEX($E$1465:$L$1465,1,7+Materiales!$F$212))</f>
        <v/>
      </c>
      <c r="L1466" s="71">
        <f>IF(8+Materiales!$F$212&gt;8,0,INDEX($E$1465:$L$1465,1,8+Materiales!$F$212))</f>
        <v/>
      </c>
      <c r="M1466" s="72">
        <f>IF($A1461="","",IF(SUMPRODUCT((COLUMN($E$1465:$L$1465)-4&lt;=Materiales!$F$212)*$E$1465:$L$1465)&gt;0,"PEDIR YA (atrasado)","OK"))</f>
        <v/>
      </c>
    </row>
    <row r="1467" ht="6" customHeight="1"/>
    <row r="1468">
      <c r="A1468" s="62">
        <f>IF(Materiales!$A$213="","",Materiales!$A$213)</f>
        <v/>
      </c>
      <c r="B1468" s="62">
        <f>IF(Materiales!$B$213="","",Materiales!$B$213)</f>
        <v/>
      </c>
      <c r="C1468" s="63" t="inlineStr">
        <is>
          <t>Necesidad bruta</t>
        </is>
      </c>
      <c r="D1468" s="64" t="n"/>
      <c r="E1468" s="65">
        <f>ROUND(SUMIF(Consumo!$P$4:$P$189,"#"&amp;$A1468,Consumo!H$4:H$189),4)</f>
        <v/>
      </c>
      <c r="F1468" s="65">
        <f>ROUND(SUMIF(Consumo!$P$4:$P$189,"#"&amp;$A1468,Consumo!I$4:I$189),4)</f>
        <v/>
      </c>
      <c r="G1468" s="65">
        <f>ROUND(SUMIF(Consumo!$P$4:$P$189,"#"&amp;$A1468,Consumo!J$4:J$189),4)</f>
        <v/>
      </c>
      <c r="H1468" s="65">
        <f>ROUND(SUMIF(Consumo!$P$4:$P$189,"#"&amp;$A1468,Consumo!K$4:K$189),4)</f>
        <v/>
      </c>
      <c r="I1468" s="65">
        <f>ROUND(SUMIF(Consumo!$P$4:$P$189,"#"&amp;$A1468,Consumo!L$4:L$189),4)</f>
        <v/>
      </c>
      <c r="J1468" s="65">
        <f>ROUND(SUMIF(Consumo!$P$4:$P$189,"#"&amp;$A1468,Consumo!M$4:M$189),4)</f>
        <v/>
      </c>
      <c r="K1468" s="65">
        <f>ROUND(SUMIF(Consumo!$P$4:$P$189,"#"&amp;$A1468,Consumo!N$4:N$189),4)</f>
        <v/>
      </c>
      <c r="L1468" s="65">
        <f>ROUND(SUMIF(Consumo!$P$4:$P$189,"#"&amp;$A1468,Consumo!O$4:O$189),4)</f>
        <v/>
      </c>
      <c r="M1468" s="66" t="n"/>
    </row>
    <row r="1469">
      <c r="C1469" s="63" t="inlineStr">
        <is>
          <t>Recepciones programadas (ya pedido)</t>
        </is>
      </c>
      <c r="D1469" s="64" t="n"/>
      <c r="E1469" s="65">
        <f>SUMIF(Inventario!$M$5:$M$505,"#"&amp;$A1468,Inventario!E$5:E$505)</f>
        <v/>
      </c>
      <c r="F1469" s="65">
        <f>SUMIF(Inventario!$M$5:$M$505,"#"&amp;$A1468,Inventario!F$5:F$505)</f>
        <v/>
      </c>
      <c r="G1469" s="65">
        <f>SUMIF(Inventario!$M$5:$M$505,"#"&amp;$A1468,Inventario!G$5:G$505)</f>
        <v/>
      </c>
      <c r="H1469" s="65">
        <f>SUMIF(Inventario!$M$5:$M$505,"#"&amp;$A1468,Inventario!H$5:H$505)</f>
        <v/>
      </c>
      <c r="I1469" s="65">
        <f>SUMIF(Inventario!$M$5:$M$505,"#"&amp;$A1468,Inventario!I$5:I$505)</f>
        <v/>
      </c>
      <c r="J1469" s="65">
        <f>SUMIF(Inventario!$M$5:$M$505,"#"&amp;$A1468,Inventario!J$5:J$505)</f>
        <v/>
      </c>
      <c r="K1469" s="65">
        <f>SUMIF(Inventario!$M$5:$M$505,"#"&amp;$A1468,Inventario!K$5:K$505)</f>
        <v/>
      </c>
      <c r="L1469" s="65">
        <f>SUMIF(Inventario!$M$5:$M$505,"#"&amp;$A1468,Inventario!L$5:L$505)</f>
        <v/>
      </c>
      <c r="M1469" s="66" t="n"/>
    </row>
    <row r="1470">
      <c r="C1470" s="63" t="inlineStr">
        <is>
          <t>Stock proyectado disponible</t>
        </is>
      </c>
      <c r="D1470" s="67">
        <f>SUMIF(Inventario!$M$5:$M$505,"#"&amp;$A1468,Inventario!$C$5:$C$505)</f>
        <v/>
      </c>
      <c r="E1470" s="68">
        <f>D1470+E1469+E1472-E1468</f>
        <v/>
      </c>
      <c r="F1470" s="68">
        <f>E1470+F1469+F1472-F1468</f>
        <v/>
      </c>
      <c r="G1470" s="68">
        <f>F1470+G1469+G1472-G1468</f>
        <v/>
      </c>
      <c r="H1470" s="68">
        <f>G1470+H1469+H1472-H1468</f>
        <v/>
      </c>
      <c r="I1470" s="68">
        <f>H1470+I1469+I1472-I1468</f>
        <v/>
      </c>
      <c r="J1470" s="68">
        <f>I1470+J1469+J1472-J1468</f>
        <v/>
      </c>
      <c r="K1470" s="68">
        <f>J1470+K1469+K1472-K1468</f>
        <v/>
      </c>
      <c r="L1470" s="68">
        <f>K1470+L1469+L1472-L1468</f>
        <v/>
      </c>
      <c r="M1470" s="66" t="n"/>
    </row>
    <row r="1471">
      <c r="C1471" s="63" t="inlineStr">
        <is>
          <t>Necesidad neta</t>
        </is>
      </c>
      <c r="D1471" s="64" t="n"/>
      <c r="E1471" s="69">
        <f>MAX(0,ROUND(E1468+Materiales!$H$213-D1470-E1469,4))</f>
        <v/>
      </c>
      <c r="F1471" s="69">
        <f>MAX(0,ROUND(F1468+Materiales!$H$213-E1470-F1469,4))</f>
        <v/>
      </c>
      <c r="G1471" s="69">
        <f>MAX(0,ROUND(G1468+Materiales!$H$213-F1470-G1469,4))</f>
        <v/>
      </c>
      <c r="H1471" s="69">
        <f>MAX(0,ROUND(H1468+Materiales!$H$213-G1470-H1469,4))</f>
        <v/>
      </c>
      <c r="I1471" s="69">
        <f>MAX(0,ROUND(I1468+Materiales!$H$213-H1470-I1469,4))</f>
        <v/>
      </c>
      <c r="J1471" s="69">
        <f>MAX(0,ROUND(J1468+Materiales!$H$213-I1470-J1469,4))</f>
        <v/>
      </c>
      <c r="K1471" s="69">
        <f>MAX(0,ROUND(K1468+Materiales!$H$213-J1470-K1469,4))</f>
        <v/>
      </c>
      <c r="L1471" s="69">
        <f>MAX(0,ROUND(L1468+Materiales!$H$213-K1470-L1469,4))</f>
        <v/>
      </c>
      <c r="M1471" s="66" t="n"/>
    </row>
    <row r="1472">
      <c r="C1472" s="63" t="inlineStr">
        <is>
          <t>Recepcion de orden planificada</t>
        </is>
      </c>
      <c r="D1472" s="64" t="n"/>
      <c r="E1472" s="65">
        <f>IF(E1471&lt;=0,0,IF(Materiales!$G$213&lt;=0,E1471,ROUNDUP(E1471/Materiales!$G$213,0)*Materiales!$G$213))</f>
        <v/>
      </c>
      <c r="F1472" s="65">
        <f>IF(F1471&lt;=0,0,IF(Materiales!$G$213&lt;=0,F1471,ROUNDUP(F1471/Materiales!$G$213,0)*Materiales!$G$213))</f>
        <v/>
      </c>
      <c r="G1472" s="65">
        <f>IF(G1471&lt;=0,0,IF(Materiales!$G$213&lt;=0,G1471,ROUNDUP(G1471/Materiales!$G$213,0)*Materiales!$G$213))</f>
        <v/>
      </c>
      <c r="H1472" s="65">
        <f>IF(H1471&lt;=0,0,IF(Materiales!$G$213&lt;=0,H1471,ROUNDUP(H1471/Materiales!$G$213,0)*Materiales!$G$213))</f>
        <v/>
      </c>
      <c r="I1472" s="65">
        <f>IF(I1471&lt;=0,0,IF(Materiales!$G$213&lt;=0,I1471,ROUNDUP(I1471/Materiales!$G$213,0)*Materiales!$G$213))</f>
        <v/>
      </c>
      <c r="J1472" s="65">
        <f>IF(J1471&lt;=0,0,IF(Materiales!$G$213&lt;=0,J1471,ROUNDUP(J1471/Materiales!$G$213,0)*Materiales!$G$213))</f>
        <v/>
      </c>
      <c r="K1472" s="65">
        <f>IF(K1471&lt;=0,0,IF(Materiales!$G$213&lt;=0,K1471,ROUNDUP(K1471/Materiales!$G$213,0)*Materiales!$G$213))</f>
        <v/>
      </c>
      <c r="L1472" s="65">
        <f>IF(L1471&lt;=0,0,IF(Materiales!$G$213&lt;=0,L1471,ROUNDUP(L1471/Materiales!$G$213,0)*Materiales!$G$213))</f>
        <v/>
      </c>
      <c r="M1472" s="66" t="n"/>
    </row>
    <row r="1473">
      <c r="C1473" s="70" t="inlineStr">
        <is>
          <t>LANZAMIENTO DE ORDEN — pedir esta semana</t>
        </is>
      </c>
      <c r="D1473" s="64" t="n"/>
      <c r="E1473" s="71">
        <f>IF(1+Materiales!$F$213&gt;8,0,INDEX($E$1472:$L$1472,1,1+Materiales!$F$213))</f>
        <v/>
      </c>
      <c r="F1473" s="71">
        <f>IF(2+Materiales!$F$213&gt;8,0,INDEX($E$1472:$L$1472,1,2+Materiales!$F$213))</f>
        <v/>
      </c>
      <c r="G1473" s="71">
        <f>IF(3+Materiales!$F$213&gt;8,0,INDEX($E$1472:$L$1472,1,3+Materiales!$F$213))</f>
        <v/>
      </c>
      <c r="H1473" s="71">
        <f>IF(4+Materiales!$F$213&gt;8,0,INDEX($E$1472:$L$1472,1,4+Materiales!$F$213))</f>
        <v/>
      </c>
      <c r="I1473" s="71">
        <f>IF(5+Materiales!$F$213&gt;8,0,INDEX($E$1472:$L$1472,1,5+Materiales!$F$213))</f>
        <v/>
      </c>
      <c r="J1473" s="71">
        <f>IF(6+Materiales!$F$213&gt;8,0,INDEX($E$1472:$L$1472,1,6+Materiales!$F$213))</f>
        <v/>
      </c>
      <c r="K1473" s="71">
        <f>IF(7+Materiales!$F$213&gt;8,0,INDEX($E$1472:$L$1472,1,7+Materiales!$F$213))</f>
        <v/>
      </c>
      <c r="L1473" s="71">
        <f>IF(8+Materiales!$F$213&gt;8,0,INDEX($E$1472:$L$1472,1,8+Materiales!$F$213))</f>
        <v/>
      </c>
      <c r="M1473" s="72">
        <f>IF($A1468="","",IF(SUMPRODUCT((COLUMN($E$1472:$L$1472)-4&lt;=Materiales!$F$213)*$E$1472:$L$1472)&gt;0,"PEDIR YA (atrasado)","OK"))</f>
        <v/>
      </c>
    </row>
    <row r="1474" ht="6" customHeight="1"/>
    <row r="1475">
      <c r="A1475" s="62">
        <f>IF(Materiales!$A$214="","",Materiales!$A$214)</f>
        <v/>
      </c>
      <c r="B1475" s="62">
        <f>IF(Materiales!$B$214="","",Materiales!$B$214)</f>
        <v/>
      </c>
      <c r="C1475" s="63" t="inlineStr">
        <is>
          <t>Necesidad bruta</t>
        </is>
      </c>
      <c r="D1475" s="64" t="n"/>
      <c r="E1475" s="65">
        <f>ROUND(SUMIF(Consumo!$P$4:$P$189,"#"&amp;$A1475,Consumo!H$4:H$189),4)</f>
        <v/>
      </c>
      <c r="F1475" s="65">
        <f>ROUND(SUMIF(Consumo!$P$4:$P$189,"#"&amp;$A1475,Consumo!I$4:I$189),4)</f>
        <v/>
      </c>
      <c r="G1475" s="65">
        <f>ROUND(SUMIF(Consumo!$P$4:$P$189,"#"&amp;$A1475,Consumo!J$4:J$189),4)</f>
        <v/>
      </c>
      <c r="H1475" s="65">
        <f>ROUND(SUMIF(Consumo!$P$4:$P$189,"#"&amp;$A1475,Consumo!K$4:K$189),4)</f>
        <v/>
      </c>
      <c r="I1475" s="65">
        <f>ROUND(SUMIF(Consumo!$P$4:$P$189,"#"&amp;$A1475,Consumo!L$4:L$189),4)</f>
        <v/>
      </c>
      <c r="J1475" s="65">
        <f>ROUND(SUMIF(Consumo!$P$4:$P$189,"#"&amp;$A1475,Consumo!M$4:M$189),4)</f>
        <v/>
      </c>
      <c r="K1475" s="65">
        <f>ROUND(SUMIF(Consumo!$P$4:$P$189,"#"&amp;$A1475,Consumo!N$4:N$189),4)</f>
        <v/>
      </c>
      <c r="L1475" s="65">
        <f>ROUND(SUMIF(Consumo!$P$4:$P$189,"#"&amp;$A1475,Consumo!O$4:O$189),4)</f>
        <v/>
      </c>
      <c r="M1475" s="66" t="n"/>
    </row>
    <row r="1476">
      <c r="C1476" s="63" t="inlineStr">
        <is>
          <t>Recepciones programadas (ya pedido)</t>
        </is>
      </c>
      <c r="D1476" s="64" t="n"/>
      <c r="E1476" s="65">
        <f>SUMIF(Inventario!$M$5:$M$505,"#"&amp;$A1475,Inventario!E$5:E$505)</f>
        <v/>
      </c>
      <c r="F1476" s="65">
        <f>SUMIF(Inventario!$M$5:$M$505,"#"&amp;$A1475,Inventario!F$5:F$505)</f>
        <v/>
      </c>
      <c r="G1476" s="65">
        <f>SUMIF(Inventario!$M$5:$M$505,"#"&amp;$A1475,Inventario!G$5:G$505)</f>
        <v/>
      </c>
      <c r="H1476" s="65">
        <f>SUMIF(Inventario!$M$5:$M$505,"#"&amp;$A1475,Inventario!H$5:H$505)</f>
        <v/>
      </c>
      <c r="I1476" s="65">
        <f>SUMIF(Inventario!$M$5:$M$505,"#"&amp;$A1475,Inventario!I$5:I$505)</f>
        <v/>
      </c>
      <c r="J1476" s="65">
        <f>SUMIF(Inventario!$M$5:$M$505,"#"&amp;$A1475,Inventario!J$5:J$505)</f>
        <v/>
      </c>
      <c r="K1476" s="65">
        <f>SUMIF(Inventario!$M$5:$M$505,"#"&amp;$A1475,Inventario!K$5:K$505)</f>
        <v/>
      </c>
      <c r="L1476" s="65">
        <f>SUMIF(Inventario!$M$5:$M$505,"#"&amp;$A1475,Inventario!L$5:L$505)</f>
        <v/>
      </c>
      <c r="M1476" s="66" t="n"/>
    </row>
    <row r="1477">
      <c r="C1477" s="63" t="inlineStr">
        <is>
          <t>Stock proyectado disponible</t>
        </is>
      </c>
      <c r="D1477" s="67">
        <f>SUMIF(Inventario!$M$5:$M$505,"#"&amp;$A1475,Inventario!$C$5:$C$505)</f>
        <v/>
      </c>
      <c r="E1477" s="68">
        <f>D1477+E1476+E1479-E1475</f>
        <v/>
      </c>
      <c r="F1477" s="68">
        <f>E1477+F1476+F1479-F1475</f>
        <v/>
      </c>
      <c r="G1477" s="68">
        <f>F1477+G1476+G1479-G1475</f>
        <v/>
      </c>
      <c r="H1477" s="68">
        <f>G1477+H1476+H1479-H1475</f>
        <v/>
      </c>
      <c r="I1477" s="68">
        <f>H1477+I1476+I1479-I1475</f>
        <v/>
      </c>
      <c r="J1477" s="68">
        <f>I1477+J1476+J1479-J1475</f>
        <v/>
      </c>
      <c r="K1477" s="68">
        <f>J1477+K1476+K1479-K1475</f>
        <v/>
      </c>
      <c r="L1477" s="68">
        <f>K1477+L1476+L1479-L1475</f>
        <v/>
      </c>
      <c r="M1477" s="66" t="n"/>
    </row>
    <row r="1478">
      <c r="C1478" s="63" t="inlineStr">
        <is>
          <t>Necesidad neta</t>
        </is>
      </c>
      <c r="D1478" s="64" t="n"/>
      <c r="E1478" s="69">
        <f>MAX(0,ROUND(E1475+Materiales!$H$214-D1477-E1476,4))</f>
        <v/>
      </c>
      <c r="F1478" s="69">
        <f>MAX(0,ROUND(F1475+Materiales!$H$214-E1477-F1476,4))</f>
        <v/>
      </c>
      <c r="G1478" s="69">
        <f>MAX(0,ROUND(G1475+Materiales!$H$214-F1477-G1476,4))</f>
        <v/>
      </c>
      <c r="H1478" s="69">
        <f>MAX(0,ROUND(H1475+Materiales!$H$214-G1477-H1476,4))</f>
        <v/>
      </c>
      <c r="I1478" s="69">
        <f>MAX(0,ROUND(I1475+Materiales!$H$214-H1477-I1476,4))</f>
        <v/>
      </c>
      <c r="J1478" s="69">
        <f>MAX(0,ROUND(J1475+Materiales!$H$214-I1477-J1476,4))</f>
        <v/>
      </c>
      <c r="K1478" s="69">
        <f>MAX(0,ROUND(K1475+Materiales!$H$214-J1477-K1476,4))</f>
        <v/>
      </c>
      <c r="L1478" s="69">
        <f>MAX(0,ROUND(L1475+Materiales!$H$214-K1477-L1476,4))</f>
        <v/>
      </c>
      <c r="M1478" s="66" t="n"/>
    </row>
    <row r="1479">
      <c r="C1479" s="63" t="inlineStr">
        <is>
          <t>Recepcion de orden planificada</t>
        </is>
      </c>
      <c r="D1479" s="64" t="n"/>
      <c r="E1479" s="65">
        <f>IF(E1478&lt;=0,0,IF(Materiales!$G$214&lt;=0,E1478,ROUNDUP(E1478/Materiales!$G$214,0)*Materiales!$G$214))</f>
        <v/>
      </c>
      <c r="F1479" s="65">
        <f>IF(F1478&lt;=0,0,IF(Materiales!$G$214&lt;=0,F1478,ROUNDUP(F1478/Materiales!$G$214,0)*Materiales!$G$214))</f>
        <v/>
      </c>
      <c r="G1479" s="65">
        <f>IF(G1478&lt;=0,0,IF(Materiales!$G$214&lt;=0,G1478,ROUNDUP(G1478/Materiales!$G$214,0)*Materiales!$G$214))</f>
        <v/>
      </c>
      <c r="H1479" s="65">
        <f>IF(H1478&lt;=0,0,IF(Materiales!$G$214&lt;=0,H1478,ROUNDUP(H1478/Materiales!$G$214,0)*Materiales!$G$214))</f>
        <v/>
      </c>
      <c r="I1479" s="65">
        <f>IF(I1478&lt;=0,0,IF(Materiales!$G$214&lt;=0,I1478,ROUNDUP(I1478/Materiales!$G$214,0)*Materiales!$G$214))</f>
        <v/>
      </c>
      <c r="J1479" s="65">
        <f>IF(J1478&lt;=0,0,IF(Materiales!$G$214&lt;=0,J1478,ROUNDUP(J1478/Materiales!$G$214,0)*Materiales!$G$214))</f>
        <v/>
      </c>
      <c r="K1479" s="65">
        <f>IF(K1478&lt;=0,0,IF(Materiales!$G$214&lt;=0,K1478,ROUNDUP(K1478/Materiales!$G$214,0)*Materiales!$G$214))</f>
        <v/>
      </c>
      <c r="L1479" s="65">
        <f>IF(L1478&lt;=0,0,IF(Materiales!$G$214&lt;=0,L1478,ROUNDUP(L1478/Materiales!$G$214,0)*Materiales!$G$214))</f>
        <v/>
      </c>
      <c r="M1479" s="66" t="n"/>
    </row>
    <row r="1480">
      <c r="C1480" s="70" t="inlineStr">
        <is>
          <t>LANZAMIENTO DE ORDEN — pedir esta semana</t>
        </is>
      </c>
      <c r="D1480" s="64" t="n"/>
      <c r="E1480" s="71">
        <f>IF(1+Materiales!$F$214&gt;8,0,INDEX($E$1479:$L$1479,1,1+Materiales!$F$214))</f>
        <v/>
      </c>
      <c r="F1480" s="71">
        <f>IF(2+Materiales!$F$214&gt;8,0,INDEX($E$1479:$L$1479,1,2+Materiales!$F$214))</f>
        <v/>
      </c>
      <c r="G1480" s="71">
        <f>IF(3+Materiales!$F$214&gt;8,0,INDEX($E$1479:$L$1479,1,3+Materiales!$F$214))</f>
        <v/>
      </c>
      <c r="H1480" s="71">
        <f>IF(4+Materiales!$F$214&gt;8,0,INDEX($E$1479:$L$1479,1,4+Materiales!$F$214))</f>
        <v/>
      </c>
      <c r="I1480" s="71">
        <f>IF(5+Materiales!$F$214&gt;8,0,INDEX($E$1479:$L$1479,1,5+Materiales!$F$214))</f>
        <v/>
      </c>
      <c r="J1480" s="71">
        <f>IF(6+Materiales!$F$214&gt;8,0,INDEX($E$1479:$L$1479,1,6+Materiales!$F$214))</f>
        <v/>
      </c>
      <c r="K1480" s="71">
        <f>IF(7+Materiales!$F$214&gt;8,0,INDEX($E$1479:$L$1479,1,7+Materiales!$F$214))</f>
        <v/>
      </c>
      <c r="L1480" s="71">
        <f>IF(8+Materiales!$F$214&gt;8,0,INDEX($E$1479:$L$1479,1,8+Materiales!$F$214))</f>
        <v/>
      </c>
      <c r="M1480" s="72">
        <f>IF($A1475="","",IF(SUMPRODUCT((COLUMN($E$1479:$L$1479)-4&lt;=Materiales!$F$214)*$E$1479:$L$1479)&gt;0,"PEDIR YA (atrasado)","OK"))</f>
        <v/>
      </c>
    </row>
    <row r="1481" ht="6" customHeight="1"/>
    <row r="1482">
      <c r="A1482" s="62">
        <f>IF(Materiales!$A$215="","",Materiales!$A$215)</f>
        <v/>
      </c>
      <c r="B1482" s="62">
        <f>IF(Materiales!$B$215="","",Materiales!$B$215)</f>
        <v/>
      </c>
      <c r="C1482" s="63" t="inlineStr">
        <is>
          <t>Necesidad bruta</t>
        </is>
      </c>
      <c r="D1482" s="64" t="n"/>
      <c r="E1482" s="65">
        <f>ROUND(SUMIF(Consumo!$P$4:$P$189,"#"&amp;$A1482,Consumo!H$4:H$189),4)</f>
        <v/>
      </c>
      <c r="F1482" s="65">
        <f>ROUND(SUMIF(Consumo!$P$4:$P$189,"#"&amp;$A1482,Consumo!I$4:I$189),4)</f>
        <v/>
      </c>
      <c r="G1482" s="65">
        <f>ROUND(SUMIF(Consumo!$P$4:$P$189,"#"&amp;$A1482,Consumo!J$4:J$189),4)</f>
        <v/>
      </c>
      <c r="H1482" s="65">
        <f>ROUND(SUMIF(Consumo!$P$4:$P$189,"#"&amp;$A1482,Consumo!K$4:K$189),4)</f>
        <v/>
      </c>
      <c r="I1482" s="65">
        <f>ROUND(SUMIF(Consumo!$P$4:$P$189,"#"&amp;$A1482,Consumo!L$4:L$189),4)</f>
        <v/>
      </c>
      <c r="J1482" s="65">
        <f>ROUND(SUMIF(Consumo!$P$4:$P$189,"#"&amp;$A1482,Consumo!M$4:M$189),4)</f>
        <v/>
      </c>
      <c r="K1482" s="65">
        <f>ROUND(SUMIF(Consumo!$P$4:$P$189,"#"&amp;$A1482,Consumo!N$4:N$189),4)</f>
        <v/>
      </c>
      <c r="L1482" s="65">
        <f>ROUND(SUMIF(Consumo!$P$4:$P$189,"#"&amp;$A1482,Consumo!O$4:O$189),4)</f>
        <v/>
      </c>
      <c r="M1482" s="66" t="n"/>
    </row>
    <row r="1483">
      <c r="C1483" s="63" t="inlineStr">
        <is>
          <t>Recepciones programadas (ya pedido)</t>
        </is>
      </c>
      <c r="D1483" s="64" t="n"/>
      <c r="E1483" s="65">
        <f>SUMIF(Inventario!$M$5:$M$505,"#"&amp;$A1482,Inventario!E$5:E$505)</f>
        <v/>
      </c>
      <c r="F1483" s="65">
        <f>SUMIF(Inventario!$M$5:$M$505,"#"&amp;$A1482,Inventario!F$5:F$505)</f>
        <v/>
      </c>
      <c r="G1483" s="65">
        <f>SUMIF(Inventario!$M$5:$M$505,"#"&amp;$A1482,Inventario!G$5:G$505)</f>
        <v/>
      </c>
      <c r="H1483" s="65">
        <f>SUMIF(Inventario!$M$5:$M$505,"#"&amp;$A1482,Inventario!H$5:H$505)</f>
        <v/>
      </c>
      <c r="I1483" s="65">
        <f>SUMIF(Inventario!$M$5:$M$505,"#"&amp;$A1482,Inventario!I$5:I$505)</f>
        <v/>
      </c>
      <c r="J1483" s="65">
        <f>SUMIF(Inventario!$M$5:$M$505,"#"&amp;$A1482,Inventario!J$5:J$505)</f>
        <v/>
      </c>
      <c r="K1483" s="65">
        <f>SUMIF(Inventario!$M$5:$M$505,"#"&amp;$A1482,Inventario!K$5:K$505)</f>
        <v/>
      </c>
      <c r="L1483" s="65">
        <f>SUMIF(Inventario!$M$5:$M$505,"#"&amp;$A1482,Inventario!L$5:L$505)</f>
        <v/>
      </c>
      <c r="M1483" s="66" t="n"/>
    </row>
    <row r="1484">
      <c r="C1484" s="63" t="inlineStr">
        <is>
          <t>Stock proyectado disponible</t>
        </is>
      </c>
      <c r="D1484" s="67">
        <f>SUMIF(Inventario!$M$5:$M$505,"#"&amp;$A1482,Inventario!$C$5:$C$505)</f>
        <v/>
      </c>
      <c r="E1484" s="68">
        <f>D1484+E1483+E1486-E1482</f>
        <v/>
      </c>
      <c r="F1484" s="68">
        <f>E1484+F1483+F1486-F1482</f>
        <v/>
      </c>
      <c r="G1484" s="68">
        <f>F1484+G1483+G1486-G1482</f>
        <v/>
      </c>
      <c r="H1484" s="68">
        <f>G1484+H1483+H1486-H1482</f>
        <v/>
      </c>
      <c r="I1484" s="68">
        <f>H1484+I1483+I1486-I1482</f>
        <v/>
      </c>
      <c r="J1484" s="68">
        <f>I1484+J1483+J1486-J1482</f>
        <v/>
      </c>
      <c r="K1484" s="68">
        <f>J1484+K1483+K1486-K1482</f>
        <v/>
      </c>
      <c r="L1484" s="68">
        <f>K1484+L1483+L1486-L1482</f>
        <v/>
      </c>
      <c r="M1484" s="66" t="n"/>
    </row>
    <row r="1485">
      <c r="C1485" s="63" t="inlineStr">
        <is>
          <t>Necesidad neta</t>
        </is>
      </c>
      <c r="D1485" s="64" t="n"/>
      <c r="E1485" s="69">
        <f>MAX(0,ROUND(E1482+Materiales!$H$215-D1484-E1483,4))</f>
        <v/>
      </c>
      <c r="F1485" s="69">
        <f>MAX(0,ROUND(F1482+Materiales!$H$215-E1484-F1483,4))</f>
        <v/>
      </c>
      <c r="G1485" s="69">
        <f>MAX(0,ROUND(G1482+Materiales!$H$215-F1484-G1483,4))</f>
        <v/>
      </c>
      <c r="H1485" s="69">
        <f>MAX(0,ROUND(H1482+Materiales!$H$215-G1484-H1483,4))</f>
        <v/>
      </c>
      <c r="I1485" s="69">
        <f>MAX(0,ROUND(I1482+Materiales!$H$215-H1484-I1483,4))</f>
        <v/>
      </c>
      <c r="J1485" s="69">
        <f>MAX(0,ROUND(J1482+Materiales!$H$215-I1484-J1483,4))</f>
        <v/>
      </c>
      <c r="K1485" s="69">
        <f>MAX(0,ROUND(K1482+Materiales!$H$215-J1484-K1483,4))</f>
        <v/>
      </c>
      <c r="L1485" s="69">
        <f>MAX(0,ROUND(L1482+Materiales!$H$215-K1484-L1483,4))</f>
        <v/>
      </c>
      <c r="M1485" s="66" t="n"/>
    </row>
    <row r="1486">
      <c r="C1486" s="63" t="inlineStr">
        <is>
          <t>Recepcion de orden planificada</t>
        </is>
      </c>
      <c r="D1486" s="64" t="n"/>
      <c r="E1486" s="65">
        <f>IF(E1485&lt;=0,0,IF(Materiales!$G$215&lt;=0,E1485,ROUNDUP(E1485/Materiales!$G$215,0)*Materiales!$G$215))</f>
        <v/>
      </c>
      <c r="F1486" s="65">
        <f>IF(F1485&lt;=0,0,IF(Materiales!$G$215&lt;=0,F1485,ROUNDUP(F1485/Materiales!$G$215,0)*Materiales!$G$215))</f>
        <v/>
      </c>
      <c r="G1486" s="65">
        <f>IF(G1485&lt;=0,0,IF(Materiales!$G$215&lt;=0,G1485,ROUNDUP(G1485/Materiales!$G$215,0)*Materiales!$G$215))</f>
        <v/>
      </c>
      <c r="H1486" s="65">
        <f>IF(H1485&lt;=0,0,IF(Materiales!$G$215&lt;=0,H1485,ROUNDUP(H1485/Materiales!$G$215,0)*Materiales!$G$215))</f>
        <v/>
      </c>
      <c r="I1486" s="65">
        <f>IF(I1485&lt;=0,0,IF(Materiales!$G$215&lt;=0,I1485,ROUNDUP(I1485/Materiales!$G$215,0)*Materiales!$G$215))</f>
        <v/>
      </c>
      <c r="J1486" s="65">
        <f>IF(J1485&lt;=0,0,IF(Materiales!$G$215&lt;=0,J1485,ROUNDUP(J1485/Materiales!$G$215,0)*Materiales!$G$215))</f>
        <v/>
      </c>
      <c r="K1486" s="65">
        <f>IF(K1485&lt;=0,0,IF(Materiales!$G$215&lt;=0,K1485,ROUNDUP(K1485/Materiales!$G$215,0)*Materiales!$G$215))</f>
        <v/>
      </c>
      <c r="L1486" s="65">
        <f>IF(L1485&lt;=0,0,IF(Materiales!$G$215&lt;=0,L1485,ROUNDUP(L1485/Materiales!$G$215,0)*Materiales!$G$215))</f>
        <v/>
      </c>
      <c r="M1486" s="66" t="n"/>
    </row>
    <row r="1487">
      <c r="C1487" s="70" t="inlineStr">
        <is>
          <t>LANZAMIENTO DE ORDEN — pedir esta semana</t>
        </is>
      </c>
      <c r="D1487" s="64" t="n"/>
      <c r="E1487" s="71">
        <f>IF(1+Materiales!$F$215&gt;8,0,INDEX($E$1486:$L$1486,1,1+Materiales!$F$215))</f>
        <v/>
      </c>
      <c r="F1487" s="71">
        <f>IF(2+Materiales!$F$215&gt;8,0,INDEX($E$1486:$L$1486,1,2+Materiales!$F$215))</f>
        <v/>
      </c>
      <c r="G1487" s="71">
        <f>IF(3+Materiales!$F$215&gt;8,0,INDEX($E$1486:$L$1486,1,3+Materiales!$F$215))</f>
        <v/>
      </c>
      <c r="H1487" s="71">
        <f>IF(4+Materiales!$F$215&gt;8,0,INDEX($E$1486:$L$1486,1,4+Materiales!$F$215))</f>
        <v/>
      </c>
      <c r="I1487" s="71">
        <f>IF(5+Materiales!$F$215&gt;8,0,INDEX($E$1486:$L$1486,1,5+Materiales!$F$215))</f>
        <v/>
      </c>
      <c r="J1487" s="71">
        <f>IF(6+Materiales!$F$215&gt;8,0,INDEX($E$1486:$L$1486,1,6+Materiales!$F$215))</f>
        <v/>
      </c>
      <c r="K1487" s="71">
        <f>IF(7+Materiales!$F$215&gt;8,0,INDEX($E$1486:$L$1486,1,7+Materiales!$F$215))</f>
        <v/>
      </c>
      <c r="L1487" s="71">
        <f>IF(8+Materiales!$F$215&gt;8,0,INDEX($E$1486:$L$1486,1,8+Materiales!$F$215))</f>
        <v/>
      </c>
      <c r="M1487" s="72">
        <f>IF($A1482="","",IF(SUMPRODUCT((COLUMN($E$1486:$L$1486)-4&lt;=Materiales!$F$215)*$E$1486:$L$1486)&gt;0,"PEDIR YA (atrasado)","OK"))</f>
        <v/>
      </c>
    </row>
    <row r="1488" ht="6" customHeight="1"/>
    <row r="1489">
      <c r="A1489" s="62">
        <f>IF(Materiales!$A$216="","",Materiales!$A$216)</f>
        <v/>
      </c>
      <c r="B1489" s="62">
        <f>IF(Materiales!$B$216="","",Materiales!$B$216)</f>
        <v/>
      </c>
      <c r="C1489" s="63" t="inlineStr">
        <is>
          <t>Necesidad bruta</t>
        </is>
      </c>
      <c r="D1489" s="64" t="n"/>
      <c r="E1489" s="65">
        <f>ROUND(SUMIF(Consumo!$P$4:$P$189,"#"&amp;$A1489,Consumo!H$4:H$189),4)</f>
        <v/>
      </c>
      <c r="F1489" s="65">
        <f>ROUND(SUMIF(Consumo!$P$4:$P$189,"#"&amp;$A1489,Consumo!I$4:I$189),4)</f>
        <v/>
      </c>
      <c r="G1489" s="65">
        <f>ROUND(SUMIF(Consumo!$P$4:$P$189,"#"&amp;$A1489,Consumo!J$4:J$189),4)</f>
        <v/>
      </c>
      <c r="H1489" s="65">
        <f>ROUND(SUMIF(Consumo!$P$4:$P$189,"#"&amp;$A1489,Consumo!K$4:K$189),4)</f>
        <v/>
      </c>
      <c r="I1489" s="65">
        <f>ROUND(SUMIF(Consumo!$P$4:$P$189,"#"&amp;$A1489,Consumo!L$4:L$189),4)</f>
        <v/>
      </c>
      <c r="J1489" s="65">
        <f>ROUND(SUMIF(Consumo!$P$4:$P$189,"#"&amp;$A1489,Consumo!M$4:M$189),4)</f>
        <v/>
      </c>
      <c r="K1489" s="65">
        <f>ROUND(SUMIF(Consumo!$P$4:$P$189,"#"&amp;$A1489,Consumo!N$4:N$189),4)</f>
        <v/>
      </c>
      <c r="L1489" s="65">
        <f>ROUND(SUMIF(Consumo!$P$4:$P$189,"#"&amp;$A1489,Consumo!O$4:O$189),4)</f>
        <v/>
      </c>
      <c r="M1489" s="66" t="n"/>
    </row>
    <row r="1490">
      <c r="C1490" s="63" t="inlineStr">
        <is>
          <t>Recepciones programadas (ya pedido)</t>
        </is>
      </c>
      <c r="D1490" s="64" t="n"/>
      <c r="E1490" s="65">
        <f>SUMIF(Inventario!$M$5:$M$505,"#"&amp;$A1489,Inventario!E$5:E$505)</f>
        <v/>
      </c>
      <c r="F1490" s="65">
        <f>SUMIF(Inventario!$M$5:$M$505,"#"&amp;$A1489,Inventario!F$5:F$505)</f>
        <v/>
      </c>
      <c r="G1490" s="65">
        <f>SUMIF(Inventario!$M$5:$M$505,"#"&amp;$A1489,Inventario!G$5:G$505)</f>
        <v/>
      </c>
      <c r="H1490" s="65">
        <f>SUMIF(Inventario!$M$5:$M$505,"#"&amp;$A1489,Inventario!H$5:H$505)</f>
        <v/>
      </c>
      <c r="I1490" s="65">
        <f>SUMIF(Inventario!$M$5:$M$505,"#"&amp;$A1489,Inventario!I$5:I$505)</f>
        <v/>
      </c>
      <c r="J1490" s="65">
        <f>SUMIF(Inventario!$M$5:$M$505,"#"&amp;$A1489,Inventario!J$5:J$505)</f>
        <v/>
      </c>
      <c r="K1490" s="65">
        <f>SUMIF(Inventario!$M$5:$M$505,"#"&amp;$A1489,Inventario!K$5:K$505)</f>
        <v/>
      </c>
      <c r="L1490" s="65">
        <f>SUMIF(Inventario!$M$5:$M$505,"#"&amp;$A1489,Inventario!L$5:L$505)</f>
        <v/>
      </c>
      <c r="M1490" s="66" t="n"/>
    </row>
    <row r="1491">
      <c r="C1491" s="63" t="inlineStr">
        <is>
          <t>Stock proyectado disponible</t>
        </is>
      </c>
      <c r="D1491" s="67">
        <f>SUMIF(Inventario!$M$5:$M$505,"#"&amp;$A1489,Inventario!$C$5:$C$505)</f>
        <v/>
      </c>
      <c r="E1491" s="68">
        <f>D1491+E1490+E1493-E1489</f>
        <v/>
      </c>
      <c r="F1491" s="68">
        <f>E1491+F1490+F1493-F1489</f>
        <v/>
      </c>
      <c r="G1491" s="68">
        <f>F1491+G1490+G1493-G1489</f>
        <v/>
      </c>
      <c r="H1491" s="68">
        <f>G1491+H1490+H1493-H1489</f>
        <v/>
      </c>
      <c r="I1491" s="68">
        <f>H1491+I1490+I1493-I1489</f>
        <v/>
      </c>
      <c r="J1491" s="68">
        <f>I1491+J1490+J1493-J1489</f>
        <v/>
      </c>
      <c r="K1491" s="68">
        <f>J1491+K1490+K1493-K1489</f>
        <v/>
      </c>
      <c r="L1491" s="68">
        <f>K1491+L1490+L1493-L1489</f>
        <v/>
      </c>
      <c r="M1491" s="66" t="n"/>
    </row>
    <row r="1492">
      <c r="C1492" s="63" t="inlineStr">
        <is>
          <t>Necesidad neta</t>
        </is>
      </c>
      <c r="D1492" s="64" t="n"/>
      <c r="E1492" s="69">
        <f>MAX(0,ROUND(E1489+Materiales!$H$216-D1491-E1490,4))</f>
        <v/>
      </c>
      <c r="F1492" s="69">
        <f>MAX(0,ROUND(F1489+Materiales!$H$216-E1491-F1490,4))</f>
        <v/>
      </c>
      <c r="G1492" s="69">
        <f>MAX(0,ROUND(G1489+Materiales!$H$216-F1491-G1490,4))</f>
        <v/>
      </c>
      <c r="H1492" s="69">
        <f>MAX(0,ROUND(H1489+Materiales!$H$216-G1491-H1490,4))</f>
        <v/>
      </c>
      <c r="I1492" s="69">
        <f>MAX(0,ROUND(I1489+Materiales!$H$216-H1491-I1490,4))</f>
        <v/>
      </c>
      <c r="J1492" s="69">
        <f>MAX(0,ROUND(J1489+Materiales!$H$216-I1491-J1490,4))</f>
        <v/>
      </c>
      <c r="K1492" s="69">
        <f>MAX(0,ROUND(K1489+Materiales!$H$216-J1491-K1490,4))</f>
        <v/>
      </c>
      <c r="L1492" s="69">
        <f>MAX(0,ROUND(L1489+Materiales!$H$216-K1491-L1490,4))</f>
        <v/>
      </c>
      <c r="M1492" s="66" t="n"/>
    </row>
    <row r="1493">
      <c r="C1493" s="63" t="inlineStr">
        <is>
          <t>Recepcion de orden planificada</t>
        </is>
      </c>
      <c r="D1493" s="64" t="n"/>
      <c r="E1493" s="65">
        <f>IF(E1492&lt;=0,0,IF(Materiales!$G$216&lt;=0,E1492,ROUNDUP(E1492/Materiales!$G$216,0)*Materiales!$G$216))</f>
        <v/>
      </c>
      <c r="F1493" s="65">
        <f>IF(F1492&lt;=0,0,IF(Materiales!$G$216&lt;=0,F1492,ROUNDUP(F1492/Materiales!$G$216,0)*Materiales!$G$216))</f>
        <v/>
      </c>
      <c r="G1493" s="65">
        <f>IF(G1492&lt;=0,0,IF(Materiales!$G$216&lt;=0,G1492,ROUNDUP(G1492/Materiales!$G$216,0)*Materiales!$G$216))</f>
        <v/>
      </c>
      <c r="H1493" s="65">
        <f>IF(H1492&lt;=0,0,IF(Materiales!$G$216&lt;=0,H1492,ROUNDUP(H1492/Materiales!$G$216,0)*Materiales!$G$216))</f>
        <v/>
      </c>
      <c r="I1493" s="65">
        <f>IF(I1492&lt;=0,0,IF(Materiales!$G$216&lt;=0,I1492,ROUNDUP(I1492/Materiales!$G$216,0)*Materiales!$G$216))</f>
        <v/>
      </c>
      <c r="J1493" s="65">
        <f>IF(J1492&lt;=0,0,IF(Materiales!$G$216&lt;=0,J1492,ROUNDUP(J1492/Materiales!$G$216,0)*Materiales!$G$216))</f>
        <v/>
      </c>
      <c r="K1493" s="65">
        <f>IF(K1492&lt;=0,0,IF(Materiales!$G$216&lt;=0,K1492,ROUNDUP(K1492/Materiales!$G$216,0)*Materiales!$G$216))</f>
        <v/>
      </c>
      <c r="L1493" s="65">
        <f>IF(L1492&lt;=0,0,IF(Materiales!$G$216&lt;=0,L1492,ROUNDUP(L1492/Materiales!$G$216,0)*Materiales!$G$216))</f>
        <v/>
      </c>
      <c r="M1493" s="66" t="n"/>
    </row>
    <row r="1494">
      <c r="C1494" s="70" t="inlineStr">
        <is>
          <t>LANZAMIENTO DE ORDEN — pedir esta semana</t>
        </is>
      </c>
      <c r="D1494" s="64" t="n"/>
      <c r="E1494" s="71">
        <f>IF(1+Materiales!$F$216&gt;8,0,INDEX($E$1493:$L$1493,1,1+Materiales!$F$216))</f>
        <v/>
      </c>
      <c r="F1494" s="71">
        <f>IF(2+Materiales!$F$216&gt;8,0,INDEX($E$1493:$L$1493,1,2+Materiales!$F$216))</f>
        <v/>
      </c>
      <c r="G1494" s="71">
        <f>IF(3+Materiales!$F$216&gt;8,0,INDEX($E$1493:$L$1493,1,3+Materiales!$F$216))</f>
        <v/>
      </c>
      <c r="H1494" s="71">
        <f>IF(4+Materiales!$F$216&gt;8,0,INDEX($E$1493:$L$1493,1,4+Materiales!$F$216))</f>
        <v/>
      </c>
      <c r="I1494" s="71">
        <f>IF(5+Materiales!$F$216&gt;8,0,INDEX($E$1493:$L$1493,1,5+Materiales!$F$216))</f>
        <v/>
      </c>
      <c r="J1494" s="71">
        <f>IF(6+Materiales!$F$216&gt;8,0,INDEX($E$1493:$L$1493,1,6+Materiales!$F$216))</f>
        <v/>
      </c>
      <c r="K1494" s="71">
        <f>IF(7+Materiales!$F$216&gt;8,0,INDEX($E$1493:$L$1493,1,7+Materiales!$F$216))</f>
        <v/>
      </c>
      <c r="L1494" s="71">
        <f>IF(8+Materiales!$F$216&gt;8,0,INDEX($E$1493:$L$1493,1,8+Materiales!$F$216))</f>
        <v/>
      </c>
      <c r="M1494" s="72">
        <f>IF($A1489="","",IF(SUMPRODUCT((COLUMN($E$1493:$L$1493)-4&lt;=Materiales!$F$216)*$E$1493:$L$1493)&gt;0,"PEDIR YA (atrasado)","OK"))</f>
        <v/>
      </c>
    </row>
    <row r="1495" ht="6" customHeight="1"/>
    <row r="1496">
      <c r="A1496" s="62">
        <f>IF(Materiales!$A$217="","",Materiales!$A$217)</f>
        <v/>
      </c>
      <c r="B1496" s="62">
        <f>IF(Materiales!$B$217="","",Materiales!$B$217)</f>
        <v/>
      </c>
      <c r="C1496" s="63" t="inlineStr">
        <is>
          <t>Necesidad bruta</t>
        </is>
      </c>
      <c r="D1496" s="64" t="n"/>
      <c r="E1496" s="65">
        <f>ROUND(SUMIF(Consumo!$P$4:$P$189,"#"&amp;$A1496,Consumo!H$4:H$189),4)</f>
        <v/>
      </c>
      <c r="F1496" s="65">
        <f>ROUND(SUMIF(Consumo!$P$4:$P$189,"#"&amp;$A1496,Consumo!I$4:I$189),4)</f>
        <v/>
      </c>
      <c r="G1496" s="65">
        <f>ROUND(SUMIF(Consumo!$P$4:$P$189,"#"&amp;$A1496,Consumo!J$4:J$189),4)</f>
        <v/>
      </c>
      <c r="H1496" s="65">
        <f>ROUND(SUMIF(Consumo!$P$4:$P$189,"#"&amp;$A1496,Consumo!K$4:K$189),4)</f>
        <v/>
      </c>
      <c r="I1496" s="65">
        <f>ROUND(SUMIF(Consumo!$P$4:$P$189,"#"&amp;$A1496,Consumo!L$4:L$189),4)</f>
        <v/>
      </c>
      <c r="J1496" s="65">
        <f>ROUND(SUMIF(Consumo!$P$4:$P$189,"#"&amp;$A1496,Consumo!M$4:M$189),4)</f>
        <v/>
      </c>
      <c r="K1496" s="65">
        <f>ROUND(SUMIF(Consumo!$P$4:$P$189,"#"&amp;$A1496,Consumo!N$4:N$189),4)</f>
        <v/>
      </c>
      <c r="L1496" s="65">
        <f>ROUND(SUMIF(Consumo!$P$4:$P$189,"#"&amp;$A1496,Consumo!O$4:O$189),4)</f>
        <v/>
      </c>
      <c r="M1496" s="66" t="n"/>
    </row>
    <row r="1497">
      <c r="C1497" s="63" t="inlineStr">
        <is>
          <t>Recepciones programadas (ya pedido)</t>
        </is>
      </c>
      <c r="D1497" s="64" t="n"/>
      <c r="E1497" s="65">
        <f>SUMIF(Inventario!$M$5:$M$505,"#"&amp;$A1496,Inventario!E$5:E$505)</f>
        <v/>
      </c>
      <c r="F1497" s="65">
        <f>SUMIF(Inventario!$M$5:$M$505,"#"&amp;$A1496,Inventario!F$5:F$505)</f>
        <v/>
      </c>
      <c r="G1497" s="65">
        <f>SUMIF(Inventario!$M$5:$M$505,"#"&amp;$A1496,Inventario!G$5:G$505)</f>
        <v/>
      </c>
      <c r="H1497" s="65">
        <f>SUMIF(Inventario!$M$5:$M$505,"#"&amp;$A1496,Inventario!H$5:H$505)</f>
        <v/>
      </c>
      <c r="I1497" s="65">
        <f>SUMIF(Inventario!$M$5:$M$505,"#"&amp;$A1496,Inventario!I$5:I$505)</f>
        <v/>
      </c>
      <c r="J1497" s="65">
        <f>SUMIF(Inventario!$M$5:$M$505,"#"&amp;$A1496,Inventario!J$5:J$505)</f>
        <v/>
      </c>
      <c r="K1497" s="65">
        <f>SUMIF(Inventario!$M$5:$M$505,"#"&amp;$A1496,Inventario!K$5:K$505)</f>
        <v/>
      </c>
      <c r="L1497" s="65">
        <f>SUMIF(Inventario!$M$5:$M$505,"#"&amp;$A1496,Inventario!L$5:L$505)</f>
        <v/>
      </c>
      <c r="M1497" s="66" t="n"/>
    </row>
    <row r="1498">
      <c r="C1498" s="63" t="inlineStr">
        <is>
          <t>Stock proyectado disponible</t>
        </is>
      </c>
      <c r="D1498" s="67">
        <f>SUMIF(Inventario!$M$5:$M$505,"#"&amp;$A1496,Inventario!$C$5:$C$505)</f>
        <v/>
      </c>
      <c r="E1498" s="68">
        <f>D1498+E1497+E1500-E1496</f>
        <v/>
      </c>
      <c r="F1498" s="68">
        <f>E1498+F1497+F1500-F1496</f>
        <v/>
      </c>
      <c r="G1498" s="68">
        <f>F1498+G1497+G1500-G1496</f>
        <v/>
      </c>
      <c r="H1498" s="68">
        <f>G1498+H1497+H1500-H1496</f>
        <v/>
      </c>
      <c r="I1498" s="68">
        <f>H1498+I1497+I1500-I1496</f>
        <v/>
      </c>
      <c r="J1498" s="68">
        <f>I1498+J1497+J1500-J1496</f>
        <v/>
      </c>
      <c r="K1498" s="68">
        <f>J1498+K1497+K1500-K1496</f>
        <v/>
      </c>
      <c r="L1498" s="68">
        <f>K1498+L1497+L1500-L1496</f>
        <v/>
      </c>
      <c r="M1498" s="66" t="n"/>
    </row>
    <row r="1499">
      <c r="C1499" s="63" t="inlineStr">
        <is>
          <t>Necesidad neta</t>
        </is>
      </c>
      <c r="D1499" s="64" t="n"/>
      <c r="E1499" s="69">
        <f>MAX(0,ROUND(E1496+Materiales!$H$217-D1498-E1497,4))</f>
        <v/>
      </c>
      <c r="F1499" s="69">
        <f>MAX(0,ROUND(F1496+Materiales!$H$217-E1498-F1497,4))</f>
        <v/>
      </c>
      <c r="G1499" s="69">
        <f>MAX(0,ROUND(G1496+Materiales!$H$217-F1498-G1497,4))</f>
        <v/>
      </c>
      <c r="H1499" s="69">
        <f>MAX(0,ROUND(H1496+Materiales!$H$217-G1498-H1497,4))</f>
        <v/>
      </c>
      <c r="I1499" s="69">
        <f>MAX(0,ROUND(I1496+Materiales!$H$217-H1498-I1497,4))</f>
        <v/>
      </c>
      <c r="J1499" s="69">
        <f>MAX(0,ROUND(J1496+Materiales!$H$217-I1498-J1497,4))</f>
        <v/>
      </c>
      <c r="K1499" s="69">
        <f>MAX(0,ROUND(K1496+Materiales!$H$217-J1498-K1497,4))</f>
        <v/>
      </c>
      <c r="L1499" s="69">
        <f>MAX(0,ROUND(L1496+Materiales!$H$217-K1498-L1497,4))</f>
        <v/>
      </c>
      <c r="M1499" s="66" t="n"/>
    </row>
    <row r="1500">
      <c r="C1500" s="63" t="inlineStr">
        <is>
          <t>Recepcion de orden planificada</t>
        </is>
      </c>
      <c r="D1500" s="64" t="n"/>
      <c r="E1500" s="65">
        <f>IF(E1499&lt;=0,0,IF(Materiales!$G$217&lt;=0,E1499,ROUNDUP(E1499/Materiales!$G$217,0)*Materiales!$G$217))</f>
        <v/>
      </c>
      <c r="F1500" s="65">
        <f>IF(F1499&lt;=0,0,IF(Materiales!$G$217&lt;=0,F1499,ROUNDUP(F1499/Materiales!$G$217,0)*Materiales!$G$217))</f>
        <v/>
      </c>
      <c r="G1500" s="65">
        <f>IF(G1499&lt;=0,0,IF(Materiales!$G$217&lt;=0,G1499,ROUNDUP(G1499/Materiales!$G$217,0)*Materiales!$G$217))</f>
        <v/>
      </c>
      <c r="H1500" s="65">
        <f>IF(H1499&lt;=0,0,IF(Materiales!$G$217&lt;=0,H1499,ROUNDUP(H1499/Materiales!$G$217,0)*Materiales!$G$217))</f>
        <v/>
      </c>
      <c r="I1500" s="65">
        <f>IF(I1499&lt;=0,0,IF(Materiales!$G$217&lt;=0,I1499,ROUNDUP(I1499/Materiales!$G$217,0)*Materiales!$G$217))</f>
        <v/>
      </c>
      <c r="J1500" s="65">
        <f>IF(J1499&lt;=0,0,IF(Materiales!$G$217&lt;=0,J1499,ROUNDUP(J1499/Materiales!$G$217,0)*Materiales!$G$217))</f>
        <v/>
      </c>
      <c r="K1500" s="65">
        <f>IF(K1499&lt;=0,0,IF(Materiales!$G$217&lt;=0,K1499,ROUNDUP(K1499/Materiales!$G$217,0)*Materiales!$G$217))</f>
        <v/>
      </c>
      <c r="L1500" s="65">
        <f>IF(L1499&lt;=0,0,IF(Materiales!$G$217&lt;=0,L1499,ROUNDUP(L1499/Materiales!$G$217,0)*Materiales!$G$217))</f>
        <v/>
      </c>
      <c r="M1500" s="66" t="n"/>
    </row>
    <row r="1501">
      <c r="C1501" s="70" t="inlineStr">
        <is>
          <t>LANZAMIENTO DE ORDEN — pedir esta semana</t>
        </is>
      </c>
      <c r="D1501" s="64" t="n"/>
      <c r="E1501" s="71">
        <f>IF(1+Materiales!$F$217&gt;8,0,INDEX($E$1500:$L$1500,1,1+Materiales!$F$217))</f>
        <v/>
      </c>
      <c r="F1501" s="71">
        <f>IF(2+Materiales!$F$217&gt;8,0,INDEX($E$1500:$L$1500,1,2+Materiales!$F$217))</f>
        <v/>
      </c>
      <c r="G1501" s="71">
        <f>IF(3+Materiales!$F$217&gt;8,0,INDEX($E$1500:$L$1500,1,3+Materiales!$F$217))</f>
        <v/>
      </c>
      <c r="H1501" s="71">
        <f>IF(4+Materiales!$F$217&gt;8,0,INDEX($E$1500:$L$1500,1,4+Materiales!$F$217))</f>
        <v/>
      </c>
      <c r="I1501" s="71">
        <f>IF(5+Materiales!$F$217&gt;8,0,INDEX($E$1500:$L$1500,1,5+Materiales!$F$217))</f>
        <v/>
      </c>
      <c r="J1501" s="71">
        <f>IF(6+Materiales!$F$217&gt;8,0,INDEX($E$1500:$L$1500,1,6+Materiales!$F$217))</f>
        <v/>
      </c>
      <c r="K1501" s="71">
        <f>IF(7+Materiales!$F$217&gt;8,0,INDEX($E$1500:$L$1500,1,7+Materiales!$F$217))</f>
        <v/>
      </c>
      <c r="L1501" s="71">
        <f>IF(8+Materiales!$F$217&gt;8,0,INDEX($E$1500:$L$1500,1,8+Materiales!$F$217))</f>
        <v/>
      </c>
      <c r="M1501" s="72">
        <f>IF($A1496="","",IF(SUMPRODUCT((COLUMN($E$1500:$L$1500)-4&lt;=Materiales!$F$217)*$E$1500:$L$1500)&gt;0,"PEDIR YA (atrasado)","OK"))</f>
        <v/>
      </c>
    </row>
    <row r="1502" ht="6" customHeight="1"/>
    <row r="1503">
      <c r="A1503" s="62">
        <f>IF(Materiales!$A$218="","",Materiales!$A$218)</f>
        <v/>
      </c>
      <c r="B1503" s="62">
        <f>IF(Materiales!$B$218="","",Materiales!$B$218)</f>
        <v/>
      </c>
      <c r="C1503" s="63" t="inlineStr">
        <is>
          <t>Necesidad bruta</t>
        </is>
      </c>
      <c r="D1503" s="64" t="n"/>
      <c r="E1503" s="65">
        <f>ROUND(SUMIF(Consumo!$P$4:$P$189,"#"&amp;$A1503,Consumo!H$4:H$189),4)</f>
        <v/>
      </c>
      <c r="F1503" s="65">
        <f>ROUND(SUMIF(Consumo!$P$4:$P$189,"#"&amp;$A1503,Consumo!I$4:I$189),4)</f>
        <v/>
      </c>
      <c r="G1503" s="65">
        <f>ROUND(SUMIF(Consumo!$P$4:$P$189,"#"&amp;$A1503,Consumo!J$4:J$189),4)</f>
        <v/>
      </c>
      <c r="H1503" s="65">
        <f>ROUND(SUMIF(Consumo!$P$4:$P$189,"#"&amp;$A1503,Consumo!K$4:K$189),4)</f>
        <v/>
      </c>
      <c r="I1503" s="65">
        <f>ROUND(SUMIF(Consumo!$P$4:$P$189,"#"&amp;$A1503,Consumo!L$4:L$189),4)</f>
        <v/>
      </c>
      <c r="J1503" s="65">
        <f>ROUND(SUMIF(Consumo!$P$4:$P$189,"#"&amp;$A1503,Consumo!M$4:M$189),4)</f>
        <v/>
      </c>
      <c r="K1503" s="65">
        <f>ROUND(SUMIF(Consumo!$P$4:$P$189,"#"&amp;$A1503,Consumo!N$4:N$189),4)</f>
        <v/>
      </c>
      <c r="L1503" s="65">
        <f>ROUND(SUMIF(Consumo!$P$4:$P$189,"#"&amp;$A1503,Consumo!O$4:O$189),4)</f>
        <v/>
      </c>
      <c r="M1503" s="66" t="n"/>
    </row>
    <row r="1504">
      <c r="C1504" s="63" t="inlineStr">
        <is>
          <t>Recepciones programadas (ya pedido)</t>
        </is>
      </c>
      <c r="D1504" s="64" t="n"/>
      <c r="E1504" s="65">
        <f>SUMIF(Inventario!$M$5:$M$505,"#"&amp;$A1503,Inventario!E$5:E$505)</f>
        <v/>
      </c>
      <c r="F1504" s="65">
        <f>SUMIF(Inventario!$M$5:$M$505,"#"&amp;$A1503,Inventario!F$5:F$505)</f>
        <v/>
      </c>
      <c r="G1504" s="65">
        <f>SUMIF(Inventario!$M$5:$M$505,"#"&amp;$A1503,Inventario!G$5:G$505)</f>
        <v/>
      </c>
      <c r="H1504" s="65">
        <f>SUMIF(Inventario!$M$5:$M$505,"#"&amp;$A1503,Inventario!H$5:H$505)</f>
        <v/>
      </c>
      <c r="I1504" s="65">
        <f>SUMIF(Inventario!$M$5:$M$505,"#"&amp;$A1503,Inventario!I$5:I$505)</f>
        <v/>
      </c>
      <c r="J1504" s="65">
        <f>SUMIF(Inventario!$M$5:$M$505,"#"&amp;$A1503,Inventario!J$5:J$505)</f>
        <v/>
      </c>
      <c r="K1504" s="65">
        <f>SUMIF(Inventario!$M$5:$M$505,"#"&amp;$A1503,Inventario!K$5:K$505)</f>
        <v/>
      </c>
      <c r="L1504" s="65">
        <f>SUMIF(Inventario!$M$5:$M$505,"#"&amp;$A1503,Inventario!L$5:L$505)</f>
        <v/>
      </c>
      <c r="M1504" s="66" t="n"/>
    </row>
    <row r="1505">
      <c r="C1505" s="63" t="inlineStr">
        <is>
          <t>Stock proyectado disponible</t>
        </is>
      </c>
      <c r="D1505" s="67">
        <f>SUMIF(Inventario!$M$5:$M$505,"#"&amp;$A1503,Inventario!$C$5:$C$505)</f>
        <v/>
      </c>
      <c r="E1505" s="68">
        <f>D1505+E1504+E1507-E1503</f>
        <v/>
      </c>
      <c r="F1505" s="68">
        <f>E1505+F1504+F1507-F1503</f>
        <v/>
      </c>
      <c r="G1505" s="68">
        <f>F1505+G1504+G1507-G1503</f>
        <v/>
      </c>
      <c r="H1505" s="68">
        <f>G1505+H1504+H1507-H1503</f>
        <v/>
      </c>
      <c r="I1505" s="68">
        <f>H1505+I1504+I1507-I1503</f>
        <v/>
      </c>
      <c r="J1505" s="68">
        <f>I1505+J1504+J1507-J1503</f>
        <v/>
      </c>
      <c r="K1505" s="68">
        <f>J1505+K1504+K1507-K1503</f>
        <v/>
      </c>
      <c r="L1505" s="68">
        <f>K1505+L1504+L1507-L1503</f>
        <v/>
      </c>
      <c r="M1505" s="66" t="n"/>
    </row>
    <row r="1506">
      <c r="C1506" s="63" t="inlineStr">
        <is>
          <t>Necesidad neta</t>
        </is>
      </c>
      <c r="D1506" s="64" t="n"/>
      <c r="E1506" s="69">
        <f>MAX(0,ROUND(E1503+Materiales!$H$218-D1505-E1504,4))</f>
        <v/>
      </c>
      <c r="F1506" s="69">
        <f>MAX(0,ROUND(F1503+Materiales!$H$218-E1505-F1504,4))</f>
        <v/>
      </c>
      <c r="G1506" s="69">
        <f>MAX(0,ROUND(G1503+Materiales!$H$218-F1505-G1504,4))</f>
        <v/>
      </c>
      <c r="H1506" s="69">
        <f>MAX(0,ROUND(H1503+Materiales!$H$218-G1505-H1504,4))</f>
        <v/>
      </c>
      <c r="I1506" s="69">
        <f>MAX(0,ROUND(I1503+Materiales!$H$218-H1505-I1504,4))</f>
        <v/>
      </c>
      <c r="J1506" s="69">
        <f>MAX(0,ROUND(J1503+Materiales!$H$218-I1505-J1504,4))</f>
        <v/>
      </c>
      <c r="K1506" s="69">
        <f>MAX(0,ROUND(K1503+Materiales!$H$218-J1505-K1504,4))</f>
        <v/>
      </c>
      <c r="L1506" s="69">
        <f>MAX(0,ROUND(L1503+Materiales!$H$218-K1505-L1504,4))</f>
        <v/>
      </c>
      <c r="M1506" s="66" t="n"/>
    </row>
    <row r="1507">
      <c r="C1507" s="63" t="inlineStr">
        <is>
          <t>Recepcion de orden planificada</t>
        </is>
      </c>
      <c r="D1507" s="64" t="n"/>
      <c r="E1507" s="65">
        <f>IF(E1506&lt;=0,0,IF(Materiales!$G$218&lt;=0,E1506,ROUNDUP(E1506/Materiales!$G$218,0)*Materiales!$G$218))</f>
        <v/>
      </c>
      <c r="F1507" s="65">
        <f>IF(F1506&lt;=0,0,IF(Materiales!$G$218&lt;=0,F1506,ROUNDUP(F1506/Materiales!$G$218,0)*Materiales!$G$218))</f>
        <v/>
      </c>
      <c r="G1507" s="65">
        <f>IF(G1506&lt;=0,0,IF(Materiales!$G$218&lt;=0,G1506,ROUNDUP(G1506/Materiales!$G$218,0)*Materiales!$G$218))</f>
        <v/>
      </c>
      <c r="H1507" s="65">
        <f>IF(H1506&lt;=0,0,IF(Materiales!$G$218&lt;=0,H1506,ROUNDUP(H1506/Materiales!$G$218,0)*Materiales!$G$218))</f>
        <v/>
      </c>
      <c r="I1507" s="65">
        <f>IF(I1506&lt;=0,0,IF(Materiales!$G$218&lt;=0,I1506,ROUNDUP(I1506/Materiales!$G$218,0)*Materiales!$G$218))</f>
        <v/>
      </c>
      <c r="J1507" s="65">
        <f>IF(J1506&lt;=0,0,IF(Materiales!$G$218&lt;=0,J1506,ROUNDUP(J1506/Materiales!$G$218,0)*Materiales!$G$218))</f>
        <v/>
      </c>
      <c r="K1507" s="65">
        <f>IF(K1506&lt;=0,0,IF(Materiales!$G$218&lt;=0,K1506,ROUNDUP(K1506/Materiales!$G$218,0)*Materiales!$G$218))</f>
        <v/>
      </c>
      <c r="L1507" s="65">
        <f>IF(L1506&lt;=0,0,IF(Materiales!$G$218&lt;=0,L1506,ROUNDUP(L1506/Materiales!$G$218,0)*Materiales!$G$218))</f>
        <v/>
      </c>
      <c r="M1507" s="66" t="n"/>
    </row>
    <row r="1508">
      <c r="C1508" s="70" t="inlineStr">
        <is>
          <t>LANZAMIENTO DE ORDEN — pedir esta semana</t>
        </is>
      </c>
      <c r="D1508" s="64" t="n"/>
      <c r="E1508" s="71">
        <f>IF(1+Materiales!$F$218&gt;8,0,INDEX($E$1507:$L$1507,1,1+Materiales!$F$218))</f>
        <v/>
      </c>
      <c r="F1508" s="71">
        <f>IF(2+Materiales!$F$218&gt;8,0,INDEX($E$1507:$L$1507,1,2+Materiales!$F$218))</f>
        <v/>
      </c>
      <c r="G1508" s="71">
        <f>IF(3+Materiales!$F$218&gt;8,0,INDEX($E$1507:$L$1507,1,3+Materiales!$F$218))</f>
        <v/>
      </c>
      <c r="H1508" s="71">
        <f>IF(4+Materiales!$F$218&gt;8,0,INDEX($E$1507:$L$1507,1,4+Materiales!$F$218))</f>
        <v/>
      </c>
      <c r="I1508" s="71">
        <f>IF(5+Materiales!$F$218&gt;8,0,INDEX($E$1507:$L$1507,1,5+Materiales!$F$218))</f>
        <v/>
      </c>
      <c r="J1508" s="71">
        <f>IF(6+Materiales!$F$218&gt;8,0,INDEX($E$1507:$L$1507,1,6+Materiales!$F$218))</f>
        <v/>
      </c>
      <c r="K1508" s="71">
        <f>IF(7+Materiales!$F$218&gt;8,0,INDEX($E$1507:$L$1507,1,7+Materiales!$F$218))</f>
        <v/>
      </c>
      <c r="L1508" s="71">
        <f>IF(8+Materiales!$F$218&gt;8,0,INDEX($E$1507:$L$1507,1,8+Materiales!$F$218))</f>
        <v/>
      </c>
      <c r="M1508" s="72">
        <f>IF($A1503="","",IF(SUMPRODUCT((COLUMN($E$1507:$L$1507)-4&lt;=Materiales!$F$218)*$E$1507:$L$1507)&gt;0,"PEDIR YA (atrasado)","OK"))</f>
        <v/>
      </c>
    </row>
    <row r="1509" ht="6" customHeight="1"/>
    <row r="1510">
      <c r="A1510" s="62">
        <f>IF(Materiales!$A$219="","",Materiales!$A$219)</f>
        <v/>
      </c>
      <c r="B1510" s="62">
        <f>IF(Materiales!$B$219="","",Materiales!$B$219)</f>
        <v/>
      </c>
      <c r="C1510" s="63" t="inlineStr">
        <is>
          <t>Necesidad bruta</t>
        </is>
      </c>
      <c r="D1510" s="64" t="n"/>
      <c r="E1510" s="65">
        <f>ROUND(SUMIF(Consumo!$P$4:$P$189,"#"&amp;$A1510,Consumo!H$4:H$189),4)</f>
        <v/>
      </c>
      <c r="F1510" s="65">
        <f>ROUND(SUMIF(Consumo!$P$4:$P$189,"#"&amp;$A1510,Consumo!I$4:I$189),4)</f>
        <v/>
      </c>
      <c r="G1510" s="65">
        <f>ROUND(SUMIF(Consumo!$P$4:$P$189,"#"&amp;$A1510,Consumo!J$4:J$189),4)</f>
        <v/>
      </c>
      <c r="H1510" s="65">
        <f>ROUND(SUMIF(Consumo!$P$4:$P$189,"#"&amp;$A1510,Consumo!K$4:K$189),4)</f>
        <v/>
      </c>
      <c r="I1510" s="65">
        <f>ROUND(SUMIF(Consumo!$P$4:$P$189,"#"&amp;$A1510,Consumo!L$4:L$189),4)</f>
        <v/>
      </c>
      <c r="J1510" s="65">
        <f>ROUND(SUMIF(Consumo!$P$4:$P$189,"#"&amp;$A1510,Consumo!M$4:M$189),4)</f>
        <v/>
      </c>
      <c r="K1510" s="65">
        <f>ROUND(SUMIF(Consumo!$P$4:$P$189,"#"&amp;$A1510,Consumo!N$4:N$189),4)</f>
        <v/>
      </c>
      <c r="L1510" s="65">
        <f>ROUND(SUMIF(Consumo!$P$4:$P$189,"#"&amp;$A1510,Consumo!O$4:O$189),4)</f>
        <v/>
      </c>
      <c r="M1510" s="66" t="n"/>
    </row>
    <row r="1511">
      <c r="C1511" s="63" t="inlineStr">
        <is>
          <t>Recepciones programadas (ya pedido)</t>
        </is>
      </c>
      <c r="D1511" s="64" t="n"/>
      <c r="E1511" s="65">
        <f>SUMIF(Inventario!$M$5:$M$505,"#"&amp;$A1510,Inventario!E$5:E$505)</f>
        <v/>
      </c>
      <c r="F1511" s="65">
        <f>SUMIF(Inventario!$M$5:$M$505,"#"&amp;$A1510,Inventario!F$5:F$505)</f>
        <v/>
      </c>
      <c r="G1511" s="65">
        <f>SUMIF(Inventario!$M$5:$M$505,"#"&amp;$A1510,Inventario!G$5:G$505)</f>
        <v/>
      </c>
      <c r="H1511" s="65">
        <f>SUMIF(Inventario!$M$5:$M$505,"#"&amp;$A1510,Inventario!H$5:H$505)</f>
        <v/>
      </c>
      <c r="I1511" s="65">
        <f>SUMIF(Inventario!$M$5:$M$505,"#"&amp;$A1510,Inventario!I$5:I$505)</f>
        <v/>
      </c>
      <c r="J1511" s="65">
        <f>SUMIF(Inventario!$M$5:$M$505,"#"&amp;$A1510,Inventario!J$5:J$505)</f>
        <v/>
      </c>
      <c r="K1511" s="65">
        <f>SUMIF(Inventario!$M$5:$M$505,"#"&amp;$A1510,Inventario!K$5:K$505)</f>
        <v/>
      </c>
      <c r="L1511" s="65">
        <f>SUMIF(Inventario!$M$5:$M$505,"#"&amp;$A1510,Inventario!L$5:L$505)</f>
        <v/>
      </c>
      <c r="M1511" s="66" t="n"/>
    </row>
    <row r="1512">
      <c r="C1512" s="63" t="inlineStr">
        <is>
          <t>Stock proyectado disponible</t>
        </is>
      </c>
      <c r="D1512" s="67">
        <f>SUMIF(Inventario!$M$5:$M$505,"#"&amp;$A1510,Inventario!$C$5:$C$505)</f>
        <v/>
      </c>
      <c r="E1512" s="68">
        <f>D1512+E1511+E1514-E1510</f>
        <v/>
      </c>
      <c r="F1512" s="68">
        <f>E1512+F1511+F1514-F1510</f>
        <v/>
      </c>
      <c r="G1512" s="68">
        <f>F1512+G1511+G1514-G1510</f>
        <v/>
      </c>
      <c r="H1512" s="68">
        <f>G1512+H1511+H1514-H1510</f>
        <v/>
      </c>
      <c r="I1512" s="68">
        <f>H1512+I1511+I1514-I1510</f>
        <v/>
      </c>
      <c r="J1512" s="68">
        <f>I1512+J1511+J1514-J1510</f>
        <v/>
      </c>
      <c r="K1512" s="68">
        <f>J1512+K1511+K1514-K1510</f>
        <v/>
      </c>
      <c r="L1512" s="68">
        <f>K1512+L1511+L1514-L1510</f>
        <v/>
      </c>
      <c r="M1512" s="66" t="n"/>
    </row>
    <row r="1513">
      <c r="C1513" s="63" t="inlineStr">
        <is>
          <t>Necesidad neta</t>
        </is>
      </c>
      <c r="D1513" s="64" t="n"/>
      <c r="E1513" s="69">
        <f>MAX(0,ROUND(E1510+Materiales!$H$219-D1512-E1511,4))</f>
        <v/>
      </c>
      <c r="F1513" s="69">
        <f>MAX(0,ROUND(F1510+Materiales!$H$219-E1512-F1511,4))</f>
        <v/>
      </c>
      <c r="G1513" s="69">
        <f>MAX(0,ROUND(G1510+Materiales!$H$219-F1512-G1511,4))</f>
        <v/>
      </c>
      <c r="H1513" s="69">
        <f>MAX(0,ROUND(H1510+Materiales!$H$219-G1512-H1511,4))</f>
        <v/>
      </c>
      <c r="I1513" s="69">
        <f>MAX(0,ROUND(I1510+Materiales!$H$219-H1512-I1511,4))</f>
        <v/>
      </c>
      <c r="J1513" s="69">
        <f>MAX(0,ROUND(J1510+Materiales!$H$219-I1512-J1511,4))</f>
        <v/>
      </c>
      <c r="K1513" s="69">
        <f>MAX(0,ROUND(K1510+Materiales!$H$219-J1512-K1511,4))</f>
        <v/>
      </c>
      <c r="L1513" s="69">
        <f>MAX(0,ROUND(L1510+Materiales!$H$219-K1512-L1511,4))</f>
        <v/>
      </c>
      <c r="M1513" s="66" t="n"/>
    </row>
    <row r="1514">
      <c r="C1514" s="63" t="inlineStr">
        <is>
          <t>Recepcion de orden planificada</t>
        </is>
      </c>
      <c r="D1514" s="64" t="n"/>
      <c r="E1514" s="65">
        <f>IF(E1513&lt;=0,0,IF(Materiales!$G$219&lt;=0,E1513,ROUNDUP(E1513/Materiales!$G$219,0)*Materiales!$G$219))</f>
        <v/>
      </c>
      <c r="F1514" s="65">
        <f>IF(F1513&lt;=0,0,IF(Materiales!$G$219&lt;=0,F1513,ROUNDUP(F1513/Materiales!$G$219,0)*Materiales!$G$219))</f>
        <v/>
      </c>
      <c r="G1514" s="65">
        <f>IF(G1513&lt;=0,0,IF(Materiales!$G$219&lt;=0,G1513,ROUNDUP(G1513/Materiales!$G$219,0)*Materiales!$G$219))</f>
        <v/>
      </c>
      <c r="H1514" s="65">
        <f>IF(H1513&lt;=0,0,IF(Materiales!$G$219&lt;=0,H1513,ROUNDUP(H1513/Materiales!$G$219,0)*Materiales!$G$219))</f>
        <v/>
      </c>
      <c r="I1514" s="65">
        <f>IF(I1513&lt;=0,0,IF(Materiales!$G$219&lt;=0,I1513,ROUNDUP(I1513/Materiales!$G$219,0)*Materiales!$G$219))</f>
        <v/>
      </c>
      <c r="J1514" s="65">
        <f>IF(J1513&lt;=0,0,IF(Materiales!$G$219&lt;=0,J1513,ROUNDUP(J1513/Materiales!$G$219,0)*Materiales!$G$219))</f>
        <v/>
      </c>
      <c r="K1514" s="65">
        <f>IF(K1513&lt;=0,0,IF(Materiales!$G$219&lt;=0,K1513,ROUNDUP(K1513/Materiales!$G$219,0)*Materiales!$G$219))</f>
        <v/>
      </c>
      <c r="L1514" s="65">
        <f>IF(L1513&lt;=0,0,IF(Materiales!$G$219&lt;=0,L1513,ROUNDUP(L1513/Materiales!$G$219,0)*Materiales!$G$219))</f>
        <v/>
      </c>
      <c r="M1514" s="66" t="n"/>
    </row>
    <row r="1515">
      <c r="C1515" s="70" t="inlineStr">
        <is>
          <t>LANZAMIENTO DE ORDEN — pedir esta semana</t>
        </is>
      </c>
      <c r="D1515" s="64" t="n"/>
      <c r="E1515" s="71">
        <f>IF(1+Materiales!$F$219&gt;8,0,INDEX($E$1514:$L$1514,1,1+Materiales!$F$219))</f>
        <v/>
      </c>
      <c r="F1515" s="71">
        <f>IF(2+Materiales!$F$219&gt;8,0,INDEX($E$1514:$L$1514,1,2+Materiales!$F$219))</f>
        <v/>
      </c>
      <c r="G1515" s="71">
        <f>IF(3+Materiales!$F$219&gt;8,0,INDEX($E$1514:$L$1514,1,3+Materiales!$F$219))</f>
        <v/>
      </c>
      <c r="H1515" s="71">
        <f>IF(4+Materiales!$F$219&gt;8,0,INDEX($E$1514:$L$1514,1,4+Materiales!$F$219))</f>
        <v/>
      </c>
      <c r="I1515" s="71">
        <f>IF(5+Materiales!$F$219&gt;8,0,INDEX($E$1514:$L$1514,1,5+Materiales!$F$219))</f>
        <v/>
      </c>
      <c r="J1515" s="71">
        <f>IF(6+Materiales!$F$219&gt;8,0,INDEX($E$1514:$L$1514,1,6+Materiales!$F$219))</f>
        <v/>
      </c>
      <c r="K1515" s="71">
        <f>IF(7+Materiales!$F$219&gt;8,0,INDEX($E$1514:$L$1514,1,7+Materiales!$F$219))</f>
        <v/>
      </c>
      <c r="L1515" s="71">
        <f>IF(8+Materiales!$F$219&gt;8,0,INDEX($E$1514:$L$1514,1,8+Materiales!$F$219))</f>
        <v/>
      </c>
      <c r="M1515" s="72">
        <f>IF($A1510="","",IF(SUMPRODUCT((COLUMN($E$1514:$L$1514)-4&lt;=Materiales!$F$219)*$E$1514:$L$1514)&gt;0,"PEDIR YA (atrasado)","OK"))</f>
        <v/>
      </c>
    </row>
    <row r="1516" ht="6" customHeight="1"/>
    <row r="1517">
      <c r="A1517" s="62">
        <f>IF(Materiales!$A$220="","",Materiales!$A$220)</f>
        <v/>
      </c>
      <c r="B1517" s="62">
        <f>IF(Materiales!$B$220="","",Materiales!$B$220)</f>
        <v/>
      </c>
      <c r="C1517" s="63" t="inlineStr">
        <is>
          <t>Necesidad bruta</t>
        </is>
      </c>
      <c r="D1517" s="64" t="n"/>
      <c r="E1517" s="65">
        <f>ROUND(SUMIF(Consumo!$P$4:$P$189,"#"&amp;$A1517,Consumo!H$4:H$189),4)</f>
        <v/>
      </c>
      <c r="F1517" s="65">
        <f>ROUND(SUMIF(Consumo!$P$4:$P$189,"#"&amp;$A1517,Consumo!I$4:I$189),4)</f>
        <v/>
      </c>
      <c r="G1517" s="65">
        <f>ROUND(SUMIF(Consumo!$P$4:$P$189,"#"&amp;$A1517,Consumo!J$4:J$189),4)</f>
        <v/>
      </c>
      <c r="H1517" s="65">
        <f>ROUND(SUMIF(Consumo!$P$4:$P$189,"#"&amp;$A1517,Consumo!K$4:K$189),4)</f>
        <v/>
      </c>
      <c r="I1517" s="65">
        <f>ROUND(SUMIF(Consumo!$P$4:$P$189,"#"&amp;$A1517,Consumo!L$4:L$189),4)</f>
        <v/>
      </c>
      <c r="J1517" s="65">
        <f>ROUND(SUMIF(Consumo!$P$4:$P$189,"#"&amp;$A1517,Consumo!M$4:M$189),4)</f>
        <v/>
      </c>
      <c r="K1517" s="65">
        <f>ROUND(SUMIF(Consumo!$P$4:$P$189,"#"&amp;$A1517,Consumo!N$4:N$189),4)</f>
        <v/>
      </c>
      <c r="L1517" s="65">
        <f>ROUND(SUMIF(Consumo!$P$4:$P$189,"#"&amp;$A1517,Consumo!O$4:O$189),4)</f>
        <v/>
      </c>
      <c r="M1517" s="66" t="n"/>
    </row>
    <row r="1518">
      <c r="C1518" s="63" t="inlineStr">
        <is>
          <t>Recepciones programadas (ya pedido)</t>
        </is>
      </c>
      <c r="D1518" s="64" t="n"/>
      <c r="E1518" s="65">
        <f>SUMIF(Inventario!$M$5:$M$505,"#"&amp;$A1517,Inventario!E$5:E$505)</f>
        <v/>
      </c>
      <c r="F1518" s="65">
        <f>SUMIF(Inventario!$M$5:$M$505,"#"&amp;$A1517,Inventario!F$5:F$505)</f>
        <v/>
      </c>
      <c r="G1518" s="65">
        <f>SUMIF(Inventario!$M$5:$M$505,"#"&amp;$A1517,Inventario!G$5:G$505)</f>
        <v/>
      </c>
      <c r="H1518" s="65">
        <f>SUMIF(Inventario!$M$5:$M$505,"#"&amp;$A1517,Inventario!H$5:H$505)</f>
        <v/>
      </c>
      <c r="I1518" s="65">
        <f>SUMIF(Inventario!$M$5:$M$505,"#"&amp;$A1517,Inventario!I$5:I$505)</f>
        <v/>
      </c>
      <c r="J1518" s="65">
        <f>SUMIF(Inventario!$M$5:$M$505,"#"&amp;$A1517,Inventario!J$5:J$505)</f>
        <v/>
      </c>
      <c r="K1518" s="65">
        <f>SUMIF(Inventario!$M$5:$M$505,"#"&amp;$A1517,Inventario!K$5:K$505)</f>
        <v/>
      </c>
      <c r="L1518" s="65">
        <f>SUMIF(Inventario!$M$5:$M$505,"#"&amp;$A1517,Inventario!L$5:L$505)</f>
        <v/>
      </c>
      <c r="M1518" s="66" t="n"/>
    </row>
    <row r="1519">
      <c r="C1519" s="63" t="inlineStr">
        <is>
          <t>Stock proyectado disponible</t>
        </is>
      </c>
      <c r="D1519" s="67">
        <f>SUMIF(Inventario!$M$5:$M$505,"#"&amp;$A1517,Inventario!$C$5:$C$505)</f>
        <v/>
      </c>
      <c r="E1519" s="68">
        <f>D1519+E1518+E1521-E1517</f>
        <v/>
      </c>
      <c r="F1519" s="68">
        <f>E1519+F1518+F1521-F1517</f>
        <v/>
      </c>
      <c r="G1519" s="68">
        <f>F1519+G1518+G1521-G1517</f>
        <v/>
      </c>
      <c r="H1519" s="68">
        <f>G1519+H1518+H1521-H1517</f>
        <v/>
      </c>
      <c r="I1519" s="68">
        <f>H1519+I1518+I1521-I1517</f>
        <v/>
      </c>
      <c r="J1519" s="68">
        <f>I1519+J1518+J1521-J1517</f>
        <v/>
      </c>
      <c r="K1519" s="68">
        <f>J1519+K1518+K1521-K1517</f>
        <v/>
      </c>
      <c r="L1519" s="68">
        <f>K1519+L1518+L1521-L1517</f>
        <v/>
      </c>
      <c r="M1519" s="66" t="n"/>
    </row>
    <row r="1520">
      <c r="C1520" s="63" t="inlineStr">
        <is>
          <t>Necesidad neta</t>
        </is>
      </c>
      <c r="D1520" s="64" t="n"/>
      <c r="E1520" s="69">
        <f>MAX(0,ROUND(E1517+Materiales!$H$220-D1519-E1518,4))</f>
        <v/>
      </c>
      <c r="F1520" s="69">
        <f>MAX(0,ROUND(F1517+Materiales!$H$220-E1519-F1518,4))</f>
        <v/>
      </c>
      <c r="G1520" s="69">
        <f>MAX(0,ROUND(G1517+Materiales!$H$220-F1519-G1518,4))</f>
        <v/>
      </c>
      <c r="H1520" s="69">
        <f>MAX(0,ROUND(H1517+Materiales!$H$220-G1519-H1518,4))</f>
        <v/>
      </c>
      <c r="I1520" s="69">
        <f>MAX(0,ROUND(I1517+Materiales!$H$220-H1519-I1518,4))</f>
        <v/>
      </c>
      <c r="J1520" s="69">
        <f>MAX(0,ROUND(J1517+Materiales!$H$220-I1519-J1518,4))</f>
        <v/>
      </c>
      <c r="K1520" s="69">
        <f>MAX(0,ROUND(K1517+Materiales!$H$220-J1519-K1518,4))</f>
        <v/>
      </c>
      <c r="L1520" s="69">
        <f>MAX(0,ROUND(L1517+Materiales!$H$220-K1519-L1518,4))</f>
        <v/>
      </c>
      <c r="M1520" s="66" t="n"/>
    </row>
    <row r="1521">
      <c r="C1521" s="63" t="inlineStr">
        <is>
          <t>Recepcion de orden planificada</t>
        </is>
      </c>
      <c r="D1521" s="64" t="n"/>
      <c r="E1521" s="65">
        <f>IF(E1520&lt;=0,0,IF(Materiales!$G$220&lt;=0,E1520,ROUNDUP(E1520/Materiales!$G$220,0)*Materiales!$G$220))</f>
        <v/>
      </c>
      <c r="F1521" s="65">
        <f>IF(F1520&lt;=0,0,IF(Materiales!$G$220&lt;=0,F1520,ROUNDUP(F1520/Materiales!$G$220,0)*Materiales!$G$220))</f>
        <v/>
      </c>
      <c r="G1521" s="65">
        <f>IF(G1520&lt;=0,0,IF(Materiales!$G$220&lt;=0,G1520,ROUNDUP(G1520/Materiales!$G$220,0)*Materiales!$G$220))</f>
        <v/>
      </c>
      <c r="H1521" s="65">
        <f>IF(H1520&lt;=0,0,IF(Materiales!$G$220&lt;=0,H1520,ROUNDUP(H1520/Materiales!$G$220,0)*Materiales!$G$220))</f>
        <v/>
      </c>
      <c r="I1521" s="65">
        <f>IF(I1520&lt;=0,0,IF(Materiales!$G$220&lt;=0,I1520,ROUNDUP(I1520/Materiales!$G$220,0)*Materiales!$G$220))</f>
        <v/>
      </c>
      <c r="J1521" s="65">
        <f>IF(J1520&lt;=0,0,IF(Materiales!$G$220&lt;=0,J1520,ROUNDUP(J1520/Materiales!$G$220,0)*Materiales!$G$220))</f>
        <v/>
      </c>
      <c r="K1521" s="65">
        <f>IF(K1520&lt;=0,0,IF(Materiales!$G$220&lt;=0,K1520,ROUNDUP(K1520/Materiales!$G$220,0)*Materiales!$G$220))</f>
        <v/>
      </c>
      <c r="L1521" s="65">
        <f>IF(L1520&lt;=0,0,IF(Materiales!$G$220&lt;=0,L1520,ROUNDUP(L1520/Materiales!$G$220,0)*Materiales!$G$220))</f>
        <v/>
      </c>
      <c r="M1521" s="66" t="n"/>
    </row>
    <row r="1522">
      <c r="C1522" s="70" t="inlineStr">
        <is>
          <t>LANZAMIENTO DE ORDEN — pedir esta semana</t>
        </is>
      </c>
      <c r="D1522" s="64" t="n"/>
      <c r="E1522" s="71">
        <f>IF(1+Materiales!$F$220&gt;8,0,INDEX($E$1521:$L$1521,1,1+Materiales!$F$220))</f>
        <v/>
      </c>
      <c r="F1522" s="71">
        <f>IF(2+Materiales!$F$220&gt;8,0,INDEX($E$1521:$L$1521,1,2+Materiales!$F$220))</f>
        <v/>
      </c>
      <c r="G1522" s="71">
        <f>IF(3+Materiales!$F$220&gt;8,0,INDEX($E$1521:$L$1521,1,3+Materiales!$F$220))</f>
        <v/>
      </c>
      <c r="H1522" s="71">
        <f>IF(4+Materiales!$F$220&gt;8,0,INDEX($E$1521:$L$1521,1,4+Materiales!$F$220))</f>
        <v/>
      </c>
      <c r="I1522" s="71">
        <f>IF(5+Materiales!$F$220&gt;8,0,INDEX($E$1521:$L$1521,1,5+Materiales!$F$220))</f>
        <v/>
      </c>
      <c r="J1522" s="71">
        <f>IF(6+Materiales!$F$220&gt;8,0,INDEX($E$1521:$L$1521,1,6+Materiales!$F$220))</f>
        <v/>
      </c>
      <c r="K1522" s="71">
        <f>IF(7+Materiales!$F$220&gt;8,0,INDEX($E$1521:$L$1521,1,7+Materiales!$F$220))</f>
        <v/>
      </c>
      <c r="L1522" s="71">
        <f>IF(8+Materiales!$F$220&gt;8,0,INDEX($E$1521:$L$1521,1,8+Materiales!$F$220))</f>
        <v/>
      </c>
      <c r="M1522" s="72">
        <f>IF($A1517="","",IF(SUMPRODUCT((COLUMN($E$1521:$L$1521)-4&lt;=Materiales!$F$220)*$E$1521:$L$1521)&gt;0,"PEDIR YA (atrasado)","OK"))</f>
        <v/>
      </c>
    </row>
    <row r="1523" ht="6" customHeight="1"/>
    <row r="1524">
      <c r="A1524" s="62">
        <f>IF(Materiales!$A$221="","",Materiales!$A$221)</f>
        <v/>
      </c>
      <c r="B1524" s="62">
        <f>IF(Materiales!$B$221="","",Materiales!$B$221)</f>
        <v/>
      </c>
      <c r="C1524" s="63" t="inlineStr">
        <is>
          <t>Necesidad bruta</t>
        </is>
      </c>
      <c r="D1524" s="64" t="n"/>
      <c r="E1524" s="65">
        <f>ROUND(SUMIF(Consumo!$P$4:$P$189,"#"&amp;$A1524,Consumo!H$4:H$189),4)</f>
        <v/>
      </c>
      <c r="F1524" s="65">
        <f>ROUND(SUMIF(Consumo!$P$4:$P$189,"#"&amp;$A1524,Consumo!I$4:I$189),4)</f>
        <v/>
      </c>
      <c r="G1524" s="65">
        <f>ROUND(SUMIF(Consumo!$P$4:$P$189,"#"&amp;$A1524,Consumo!J$4:J$189),4)</f>
        <v/>
      </c>
      <c r="H1524" s="65">
        <f>ROUND(SUMIF(Consumo!$P$4:$P$189,"#"&amp;$A1524,Consumo!K$4:K$189),4)</f>
        <v/>
      </c>
      <c r="I1524" s="65">
        <f>ROUND(SUMIF(Consumo!$P$4:$P$189,"#"&amp;$A1524,Consumo!L$4:L$189),4)</f>
        <v/>
      </c>
      <c r="J1524" s="65">
        <f>ROUND(SUMIF(Consumo!$P$4:$P$189,"#"&amp;$A1524,Consumo!M$4:M$189),4)</f>
        <v/>
      </c>
      <c r="K1524" s="65">
        <f>ROUND(SUMIF(Consumo!$P$4:$P$189,"#"&amp;$A1524,Consumo!N$4:N$189),4)</f>
        <v/>
      </c>
      <c r="L1524" s="65">
        <f>ROUND(SUMIF(Consumo!$P$4:$P$189,"#"&amp;$A1524,Consumo!O$4:O$189),4)</f>
        <v/>
      </c>
      <c r="M1524" s="66" t="n"/>
    </row>
    <row r="1525">
      <c r="C1525" s="63" t="inlineStr">
        <is>
          <t>Recepciones programadas (ya pedido)</t>
        </is>
      </c>
      <c r="D1525" s="64" t="n"/>
      <c r="E1525" s="65">
        <f>SUMIF(Inventario!$M$5:$M$505,"#"&amp;$A1524,Inventario!E$5:E$505)</f>
        <v/>
      </c>
      <c r="F1525" s="65">
        <f>SUMIF(Inventario!$M$5:$M$505,"#"&amp;$A1524,Inventario!F$5:F$505)</f>
        <v/>
      </c>
      <c r="G1525" s="65">
        <f>SUMIF(Inventario!$M$5:$M$505,"#"&amp;$A1524,Inventario!G$5:G$505)</f>
        <v/>
      </c>
      <c r="H1525" s="65">
        <f>SUMIF(Inventario!$M$5:$M$505,"#"&amp;$A1524,Inventario!H$5:H$505)</f>
        <v/>
      </c>
      <c r="I1525" s="65">
        <f>SUMIF(Inventario!$M$5:$M$505,"#"&amp;$A1524,Inventario!I$5:I$505)</f>
        <v/>
      </c>
      <c r="J1525" s="65">
        <f>SUMIF(Inventario!$M$5:$M$505,"#"&amp;$A1524,Inventario!J$5:J$505)</f>
        <v/>
      </c>
      <c r="K1525" s="65">
        <f>SUMIF(Inventario!$M$5:$M$505,"#"&amp;$A1524,Inventario!K$5:K$505)</f>
        <v/>
      </c>
      <c r="L1525" s="65">
        <f>SUMIF(Inventario!$M$5:$M$505,"#"&amp;$A1524,Inventario!L$5:L$505)</f>
        <v/>
      </c>
      <c r="M1525" s="66" t="n"/>
    </row>
    <row r="1526">
      <c r="C1526" s="63" t="inlineStr">
        <is>
          <t>Stock proyectado disponible</t>
        </is>
      </c>
      <c r="D1526" s="67">
        <f>SUMIF(Inventario!$M$5:$M$505,"#"&amp;$A1524,Inventario!$C$5:$C$505)</f>
        <v/>
      </c>
      <c r="E1526" s="68">
        <f>D1526+E1525+E1528-E1524</f>
        <v/>
      </c>
      <c r="F1526" s="68">
        <f>E1526+F1525+F1528-F1524</f>
        <v/>
      </c>
      <c r="G1526" s="68">
        <f>F1526+G1525+G1528-G1524</f>
        <v/>
      </c>
      <c r="H1526" s="68">
        <f>G1526+H1525+H1528-H1524</f>
        <v/>
      </c>
      <c r="I1526" s="68">
        <f>H1526+I1525+I1528-I1524</f>
        <v/>
      </c>
      <c r="J1526" s="68">
        <f>I1526+J1525+J1528-J1524</f>
        <v/>
      </c>
      <c r="K1526" s="68">
        <f>J1526+K1525+K1528-K1524</f>
        <v/>
      </c>
      <c r="L1526" s="68">
        <f>K1526+L1525+L1528-L1524</f>
        <v/>
      </c>
      <c r="M1526" s="66" t="n"/>
    </row>
    <row r="1527">
      <c r="C1527" s="63" t="inlineStr">
        <is>
          <t>Necesidad neta</t>
        </is>
      </c>
      <c r="D1527" s="64" t="n"/>
      <c r="E1527" s="69">
        <f>MAX(0,ROUND(E1524+Materiales!$H$221-D1526-E1525,4))</f>
        <v/>
      </c>
      <c r="F1527" s="69">
        <f>MAX(0,ROUND(F1524+Materiales!$H$221-E1526-F1525,4))</f>
        <v/>
      </c>
      <c r="G1527" s="69">
        <f>MAX(0,ROUND(G1524+Materiales!$H$221-F1526-G1525,4))</f>
        <v/>
      </c>
      <c r="H1527" s="69">
        <f>MAX(0,ROUND(H1524+Materiales!$H$221-G1526-H1525,4))</f>
        <v/>
      </c>
      <c r="I1527" s="69">
        <f>MAX(0,ROUND(I1524+Materiales!$H$221-H1526-I1525,4))</f>
        <v/>
      </c>
      <c r="J1527" s="69">
        <f>MAX(0,ROUND(J1524+Materiales!$H$221-I1526-J1525,4))</f>
        <v/>
      </c>
      <c r="K1527" s="69">
        <f>MAX(0,ROUND(K1524+Materiales!$H$221-J1526-K1525,4))</f>
        <v/>
      </c>
      <c r="L1527" s="69">
        <f>MAX(0,ROUND(L1524+Materiales!$H$221-K1526-L1525,4))</f>
        <v/>
      </c>
      <c r="M1527" s="66" t="n"/>
    </row>
    <row r="1528">
      <c r="C1528" s="63" t="inlineStr">
        <is>
          <t>Recepcion de orden planificada</t>
        </is>
      </c>
      <c r="D1528" s="64" t="n"/>
      <c r="E1528" s="65">
        <f>IF(E1527&lt;=0,0,IF(Materiales!$G$221&lt;=0,E1527,ROUNDUP(E1527/Materiales!$G$221,0)*Materiales!$G$221))</f>
        <v/>
      </c>
      <c r="F1528" s="65">
        <f>IF(F1527&lt;=0,0,IF(Materiales!$G$221&lt;=0,F1527,ROUNDUP(F1527/Materiales!$G$221,0)*Materiales!$G$221))</f>
        <v/>
      </c>
      <c r="G1528" s="65">
        <f>IF(G1527&lt;=0,0,IF(Materiales!$G$221&lt;=0,G1527,ROUNDUP(G1527/Materiales!$G$221,0)*Materiales!$G$221))</f>
        <v/>
      </c>
      <c r="H1528" s="65">
        <f>IF(H1527&lt;=0,0,IF(Materiales!$G$221&lt;=0,H1527,ROUNDUP(H1527/Materiales!$G$221,0)*Materiales!$G$221))</f>
        <v/>
      </c>
      <c r="I1528" s="65">
        <f>IF(I1527&lt;=0,0,IF(Materiales!$G$221&lt;=0,I1527,ROUNDUP(I1527/Materiales!$G$221,0)*Materiales!$G$221))</f>
        <v/>
      </c>
      <c r="J1528" s="65">
        <f>IF(J1527&lt;=0,0,IF(Materiales!$G$221&lt;=0,J1527,ROUNDUP(J1527/Materiales!$G$221,0)*Materiales!$G$221))</f>
        <v/>
      </c>
      <c r="K1528" s="65">
        <f>IF(K1527&lt;=0,0,IF(Materiales!$G$221&lt;=0,K1527,ROUNDUP(K1527/Materiales!$G$221,0)*Materiales!$G$221))</f>
        <v/>
      </c>
      <c r="L1528" s="65">
        <f>IF(L1527&lt;=0,0,IF(Materiales!$G$221&lt;=0,L1527,ROUNDUP(L1527/Materiales!$G$221,0)*Materiales!$G$221))</f>
        <v/>
      </c>
      <c r="M1528" s="66" t="n"/>
    </row>
    <row r="1529">
      <c r="C1529" s="70" t="inlineStr">
        <is>
          <t>LANZAMIENTO DE ORDEN — pedir esta semana</t>
        </is>
      </c>
      <c r="D1529" s="64" t="n"/>
      <c r="E1529" s="71">
        <f>IF(1+Materiales!$F$221&gt;8,0,INDEX($E$1528:$L$1528,1,1+Materiales!$F$221))</f>
        <v/>
      </c>
      <c r="F1529" s="71">
        <f>IF(2+Materiales!$F$221&gt;8,0,INDEX($E$1528:$L$1528,1,2+Materiales!$F$221))</f>
        <v/>
      </c>
      <c r="G1529" s="71">
        <f>IF(3+Materiales!$F$221&gt;8,0,INDEX($E$1528:$L$1528,1,3+Materiales!$F$221))</f>
        <v/>
      </c>
      <c r="H1529" s="71">
        <f>IF(4+Materiales!$F$221&gt;8,0,INDEX($E$1528:$L$1528,1,4+Materiales!$F$221))</f>
        <v/>
      </c>
      <c r="I1529" s="71">
        <f>IF(5+Materiales!$F$221&gt;8,0,INDEX($E$1528:$L$1528,1,5+Materiales!$F$221))</f>
        <v/>
      </c>
      <c r="J1529" s="71">
        <f>IF(6+Materiales!$F$221&gt;8,0,INDEX($E$1528:$L$1528,1,6+Materiales!$F$221))</f>
        <v/>
      </c>
      <c r="K1529" s="71">
        <f>IF(7+Materiales!$F$221&gt;8,0,INDEX($E$1528:$L$1528,1,7+Materiales!$F$221))</f>
        <v/>
      </c>
      <c r="L1529" s="71">
        <f>IF(8+Materiales!$F$221&gt;8,0,INDEX($E$1528:$L$1528,1,8+Materiales!$F$221))</f>
        <v/>
      </c>
      <c r="M1529" s="72">
        <f>IF($A1524="","",IF(SUMPRODUCT((COLUMN($E$1528:$L$1528)-4&lt;=Materiales!$F$221)*$E$1528:$L$1528)&gt;0,"PEDIR YA (atrasado)","OK"))</f>
        <v/>
      </c>
    </row>
    <row r="1530" ht="6" customHeight="1"/>
    <row r="1531">
      <c r="A1531" s="62">
        <f>IF(Materiales!$A$222="","",Materiales!$A$222)</f>
        <v/>
      </c>
      <c r="B1531" s="62">
        <f>IF(Materiales!$B$222="","",Materiales!$B$222)</f>
        <v/>
      </c>
      <c r="C1531" s="63" t="inlineStr">
        <is>
          <t>Necesidad bruta</t>
        </is>
      </c>
      <c r="D1531" s="64" t="n"/>
      <c r="E1531" s="65">
        <f>ROUND(SUMIF(Consumo!$P$4:$P$189,"#"&amp;$A1531,Consumo!H$4:H$189),4)</f>
        <v/>
      </c>
      <c r="F1531" s="65">
        <f>ROUND(SUMIF(Consumo!$P$4:$P$189,"#"&amp;$A1531,Consumo!I$4:I$189),4)</f>
        <v/>
      </c>
      <c r="G1531" s="65">
        <f>ROUND(SUMIF(Consumo!$P$4:$P$189,"#"&amp;$A1531,Consumo!J$4:J$189),4)</f>
        <v/>
      </c>
      <c r="H1531" s="65">
        <f>ROUND(SUMIF(Consumo!$P$4:$P$189,"#"&amp;$A1531,Consumo!K$4:K$189),4)</f>
        <v/>
      </c>
      <c r="I1531" s="65">
        <f>ROUND(SUMIF(Consumo!$P$4:$P$189,"#"&amp;$A1531,Consumo!L$4:L$189),4)</f>
        <v/>
      </c>
      <c r="J1531" s="65">
        <f>ROUND(SUMIF(Consumo!$P$4:$P$189,"#"&amp;$A1531,Consumo!M$4:M$189),4)</f>
        <v/>
      </c>
      <c r="K1531" s="65">
        <f>ROUND(SUMIF(Consumo!$P$4:$P$189,"#"&amp;$A1531,Consumo!N$4:N$189),4)</f>
        <v/>
      </c>
      <c r="L1531" s="65">
        <f>ROUND(SUMIF(Consumo!$P$4:$P$189,"#"&amp;$A1531,Consumo!O$4:O$189),4)</f>
        <v/>
      </c>
      <c r="M1531" s="66" t="n"/>
    </row>
    <row r="1532">
      <c r="C1532" s="63" t="inlineStr">
        <is>
          <t>Recepciones programadas (ya pedido)</t>
        </is>
      </c>
      <c r="D1532" s="64" t="n"/>
      <c r="E1532" s="65">
        <f>SUMIF(Inventario!$M$5:$M$505,"#"&amp;$A1531,Inventario!E$5:E$505)</f>
        <v/>
      </c>
      <c r="F1532" s="65">
        <f>SUMIF(Inventario!$M$5:$M$505,"#"&amp;$A1531,Inventario!F$5:F$505)</f>
        <v/>
      </c>
      <c r="G1532" s="65">
        <f>SUMIF(Inventario!$M$5:$M$505,"#"&amp;$A1531,Inventario!G$5:G$505)</f>
        <v/>
      </c>
      <c r="H1532" s="65">
        <f>SUMIF(Inventario!$M$5:$M$505,"#"&amp;$A1531,Inventario!H$5:H$505)</f>
        <v/>
      </c>
      <c r="I1532" s="65">
        <f>SUMIF(Inventario!$M$5:$M$505,"#"&amp;$A1531,Inventario!I$5:I$505)</f>
        <v/>
      </c>
      <c r="J1532" s="65">
        <f>SUMIF(Inventario!$M$5:$M$505,"#"&amp;$A1531,Inventario!J$5:J$505)</f>
        <v/>
      </c>
      <c r="K1532" s="65">
        <f>SUMIF(Inventario!$M$5:$M$505,"#"&amp;$A1531,Inventario!K$5:K$505)</f>
        <v/>
      </c>
      <c r="L1532" s="65">
        <f>SUMIF(Inventario!$M$5:$M$505,"#"&amp;$A1531,Inventario!L$5:L$505)</f>
        <v/>
      </c>
      <c r="M1532" s="66" t="n"/>
    </row>
    <row r="1533">
      <c r="C1533" s="63" t="inlineStr">
        <is>
          <t>Stock proyectado disponible</t>
        </is>
      </c>
      <c r="D1533" s="67">
        <f>SUMIF(Inventario!$M$5:$M$505,"#"&amp;$A1531,Inventario!$C$5:$C$505)</f>
        <v/>
      </c>
      <c r="E1533" s="68">
        <f>D1533+E1532+E1535-E1531</f>
        <v/>
      </c>
      <c r="F1533" s="68">
        <f>E1533+F1532+F1535-F1531</f>
        <v/>
      </c>
      <c r="G1533" s="68">
        <f>F1533+G1532+G1535-G1531</f>
        <v/>
      </c>
      <c r="H1533" s="68">
        <f>G1533+H1532+H1535-H1531</f>
        <v/>
      </c>
      <c r="I1533" s="68">
        <f>H1533+I1532+I1535-I1531</f>
        <v/>
      </c>
      <c r="J1533" s="68">
        <f>I1533+J1532+J1535-J1531</f>
        <v/>
      </c>
      <c r="K1533" s="68">
        <f>J1533+K1532+K1535-K1531</f>
        <v/>
      </c>
      <c r="L1533" s="68">
        <f>K1533+L1532+L1535-L1531</f>
        <v/>
      </c>
      <c r="M1533" s="66" t="n"/>
    </row>
    <row r="1534">
      <c r="C1534" s="63" t="inlineStr">
        <is>
          <t>Necesidad neta</t>
        </is>
      </c>
      <c r="D1534" s="64" t="n"/>
      <c r="E1534" s="69">
        <f>MAX(0,ROUND(E1531+Materiales!$H$222-D1533-E1532,4))</f>
        <v/>
      </c>
      <c r="F1534" s="69">
        <f>MAX(0,ROUND(F1531+Materiales!$H$222-E1533-F1532,4))</f>
        <v/>
      </c>
      <c r="G1534" s="69">
        <f>MAX(0,ROUND(G1531+Materiales!$H$222-F1533-G1532,4))</f>
        <v/>
      </c>
      <c r="H1534" s="69">
        <f>MAX(0,ROUND(H1531+Materiales!$H$222-G1533-H1532,4))</f>
        <v/>
      </c>
      <c r="I1534" s="69">
        <f>MAX(0,ROUND(I1531+Materiales!$H$222-H1533-I1532,4))</f>
        <v/>
      </c>
      <c r="J1534" s="69">
        <f>MAX(0,ROUND(J1531+Materiales!$H$222-I1533-J1532,4))</f>
        <v/>
      </c>
      <c r="K1534" s="69">
        <f>MAX(0,ROUND(K1531+Materiales!$H$222-J1533-K1532,4))</f>
        <v/>
      </c>
      <c r="L1534" s="69">
        <f>MAX(0,ROUND(L1531+Materiales!$H$222-K1533-L1532,4))</f>
        <v/>
      </c>
      <c r="M1534" s="66" t="n"/>
    </row>
    <row r="1535">
      <c r="C1535" s="63" t="inlineStr">
        <is>
          <t>Recepcion de orden planificada</t>
        </is>
      </c>
      <c r="D1535" s="64" t="n"/>
      <c r="E1535" s="65">
        <f>IF(E1534&lt;=0,0,IF(Materiales!$G$222&lt;=0,E1534,ROUNDUP(E1534/Materiales!$G$222,0)*Materiales!$G$222))</f>
        <v/>
      </c>
      <c r="F1535" s="65">
        <f>IF(F1534&lt;=0,0,IF(Materiales!$G$222&lt;=0,F1534,ROUNDUP(F1534/Materiales!$G$222,0)*Materiales!$G$222))</f>
        <v/>
      </c>
      <c r="G1535" s="65">
        <f>IF(G1534&lt;=0,0,IF(Materiales!$G$222&lt;=0,G1534,ROUNDUP(G1534/Materiales!$G$222,0)*Materiales!$G$222))</f>
        <v/>
      </c>
      <c r="H1535" s="65">
        <f>IF(H1534&lt;=0,0,IF(Materiales!$G$222&lt;=0,H1534,ROUNDUP(H1534/Materiales!$G$222,0)*Materiales!$G$222))</f>
        <v/>
      </c>
      <c r="I1535" s="65">
        <f>IF(I1534&lt;=0,0,IF(Materiales!$G$222&lt;=0,I1534,ROUNDUP(I1534/Materiales!$G$222,0)*Materiales!$G$222))</f>
        <v/>
      </c>
      <c r="J1535" s="65">
        <f>IF(J1534&lt;=0,0,IF(Materiales!$G$222&lt;=0,J1534,ROUNDUP(J1534/Materiales!$G$222,0)*Materiales!$G$222))</f>
        <v/>
      </c>
      <c r="K1535" s="65">
        <f>IF(K1534&lt;=0,0,IF(Materiales!$G$222&lt;=0,K1534,ROUNDUP(K1534/Materiales!$G$222,0)*Materiales!$G$222))</f>
        <v/>
      </c>
      <c r="L1535" s="65">
        <f>IF(L1534&lt;=0,0,IF(Materiales!$G$222&lt;=0,L1534,ROUNDUP(L1534/Materiales!$G$222,0)*Materiales!$G$222))</f>
        <v/>
      </c>
      <c r="M1535" s="66" t="n"/>
    </row>
    <row r="1536">
      <c r="C1536" s="70" t="inlineStr">
        <is>
          <t>LANZAMIENTO DE ORDEN — pedir esta semana</t>
        </is>
      </c>
      <c r="D1536" s="64" t="n"/>
      <c r="E1536" s="71">
        <f>IF(1+Materiales!$F$222&gt;8,0,INDEX($E$1535:$L$1535,1,1+Materiales!$F$222))</f>
        <v/>
      </c>
      <c r="F1536" s="71">
        <f>IF(2+Materiales!$F$222&gt;8,0,INDEX($E$1535:$L$1535,1,2+Materiales!$F$222))</f>
        <v/>
      </c>
      <c r="G1536" s="71">
        <f>IF(3+Materiales!$F$222&gt;8,0,INDEX($E$1535:$L$1535,1,3+Materiales!$F$222))</f>
        <v/>
      </c>
      <c r="H1536" s="71">
        <f>IF(4+Materiales!$F$222&gt;8,0,INDEX($E$1535:$L$1535,1,4+Materiales!$F$222))</f>
        <v/>
      </c>
      <c r="I1536" s="71">
        <f>IF(5+Materiales!$F$222&gt;8,0,INDEX($E$1535:$L$1535,1,5+Materiales!$F$222))</f>
        <v/>
      </c>
      <c r="J1536" s="71">
        <f>IF(6+Materiales!$F$222&gt;8,0,INDEX($E$1535:$L$1535,1,6+Materiales!$F$222))</f>
        <v/>
      </c>
      <c r="K1536" s="71">
        <f>IF(7+Materiales!$F$222&gt;8,0,INDEX($E$1535:$L$1535,1,7+Materiales!$F$222))</f>
        <v/>
      </c>
      <c r="L1536" s="71">
        <f>IF(8+Materiales!$F$222&gt;8,0,INDEX($E$1535:$L$1535,1,8+Materiales!$F$222))</f>
        <v/>
      </c>
      <c r="M1536" s="72">
        <f>IF($A1531="","",IF(SUMPRODUCT((COLUMN($E$1535:$L$1535)-4&lt;=Materiales!$F$222)*$E$1535:$L$1535)&gt;0,"PEDIR YA (atrasado)","OK"))</f>
        <v/>
      </c>
    </row>
    <row r="1537" ht="6" customHeight="1"/>
    <row r="1538">
      <c r="A1538" s="62">
        <f>IF(Materiales!$A$223="","",Materiales!$A$223)</f>
        <v/>
      </c>
      <c r="B1538" s="62">
        <f>IF(Materiales!$B$223="","",Materiales!$B$223)</f>
        <v/>
      </c>
      <c r="C1538" s="63" t="inlineStr">
        <is>
          <t>Necesidad bruta</t>
        </is>
      </c>
      <c r="D1538" s="64" t="n"/>
      <c r="E1538" s="65">
        <f>ROUND(SUMIF(Consumo!$P$4:$P$189,"#"&amp;$A1538,Consumo!H$4:H$189),4)</f>
        <v/>
      </c>
      <c r="F1538" s="65">
        <f>ROUND(SUMIF(Consumo!$P$4:$P$189,"#"&amp;$A1538,Consumo!I$4:I$189),4)</f>
        <v/>
      </c>
      <c r="G1538" s="65">
        <f>ROUND(SUMIF(Consumo!$P$4:$P$189,"#"&amp;$A1538,Consumo!J$4:J$189),4)</f>
        <v/>
      </c>
      <c r="H1538" s="65">
        <f>ROUND(SUMIF(Consumo!$P$4:$P$189,"#"&amp;$A1538,Consumo!K$4:K$189),4)</f>
        <v/>
      </c>
      <c r="I1538" s="65">
        <f>ROUND(SUMIF(Consumo!$P$4:$P$189,"#"&amp;$A1538,Consumo!L$4:L$189),4)</f>
        <v/>
      </c>
      <c r="J1538" s="65">
        <f>ROUND(SUMIF(Consumo!$P$4:$P$189,"#"&amp;$A1538,Consumo!M$4:M$189),4)</f>
        <v/>
      </c>
      <c r="K1538" s="65">
        <f>ROUND(SUMIF(Consumo!$P$4:$P$189,"#"&amp;$A1538,Consumo!N$4:N$189),4)</f>
        <v/>
      </c>
      <c r="L1538" s="65">
        <f>ROUND(SUMIF(Consumo!$P$4:$P$189,"#"&amp;$A1538,Consumo!O$4:O$189),4)</f>
        <v/>
      </c>
      <c r="M1538" s="66" t="n"/>
    </row>
    <row r="1539">
      <c r="C1539" s="63" t="inlineStr">
        <is>
          <t>Recepciones programadas (ya pedido)</t>
        </is>
      </c>
      <c r="D1539" s="64" t="n"/>
      <c r="E1539" s="65">
        <f>SUMIF(Inventario!$M$5:$M$505,"#"&amp;$A1538,Inventario!E$5:E$505)</f>
        <v/>
      </c>
      <c r="F1539" s="65">
        <f>SUMIF(Inventario!$M$5:$M$505,"#"&amp;$A1538,Inventario!F$5:F$505)</f>
        <v/>
      </c>
      <c r="G1539" s="65">
        <f>SUMIF(Inventario!$M$5:$M$505,"#"&amp;$A1538,Inventario!G$5:G$505)</f>
        <v/>
      </c>
      <c r="H1539" s="65">
        <f>SUMIF(Inventario!$M$5:$M$505,"#"&amp;$A1538,Inventario!H$5:H$505)</f>
        <v/>
      </c>
      <c r="I1539" s="65">
        <f>SUMIF(Inventario!$M$5:$M$505,"#"&amp;$A1538,Inventario!I$5:I$505)</f>
        <v/>
      </c>
      <c r="J1539" s="65">
        <f>SUMIF(Inventario!$M$5:$M$505,"#"&amp;$A1538,Inventario!J$5:J$505)</f>
        <v/>
      </c>
      <c r="K1539" s="65">
        <f>SUMIF(Inventario!$M$5:$M$505,"#"&amp;$A1538,Inventario!K$5:K$505)</f>
        <v/>
      </c>
      <c r="L1539" s="65">
        <f>SUMIF(Inventario!$M$5:$M$505,"#"&amp;$A1538,Inventario!L$5:L$505)</f>
        <v/>
      </c>
      <c r="M1539" s="66" t="n"/>
    </row>
    <row r="1540">
      <c r="C1540" s="63" t="inlineStr">
        <is>
          <t>Stock proyectado disponible</t>
        </is>
      </c>
      <c r="D1540" s="67">
        <f>SUMIF(Inventario!$M$5:$M$505,"#"&amp;$A1538,Inventario!$C$5:$C$505)</f>
        <v/>
      </c>
      <c r="E1540" s="68">
        <f>D1540+E1539+E1542-E1538</f>
        <v/>
      </c>
      <c r="F1540" s="68">
        <f>E1540+F1539+F1542-F1538</f>
        <v/>
      </c>
      <c r="G1540" s="68">
        <f>F1540+G1539+G1542-G1538</f>
        <v/>
      </c>
      <c r="H1540" s="68">
        <f>G1540+H1539+H1542-H1538</f>
        <v/>
      </c>
      <c r="I1540" s="68">
        <f>H1540+I1539+I1542-I1538</f>
        <v/>
      </c>
      <c r="J1540" s="68">
        <f>I1540+J1539+J1542-J1538</f>
        <v/>
      </c>
      <c r="K1540" s="68">
        <f>J1540+K1539+K1542-K1538</f>
        <v/>
      </c>
      <c r="L1540" s="68">
        <f>K1540+L1539+L1542-L1538</f>
        <v/>
      </c>
      <c r="M1540" s="66" t="n"/>
    </row>
    <row r="1541">
      <c r="C1541" s="63" t="inlineStr">
        <is>
          <t>Necesidad neta</t>
        </is>
      </c>
      <c r="D1541" s="64" t="n"/>
      <c r="E1541" s="69">
        <f>MAX(0,ROUND(E1538+Materiales!$H$223-D1540-E1539,4))</f>
        <v/>
      </c>
      <c r="F1541" s="69">
        <f>MAX(0,ROUND(F1538+Materiales!$H$223-E1540-F1539,4))</f>
        <v/>
      </c>
      <c r="G1541" s="69">
        <f>MAX(0,ROUND(G1538+Materiales!$H$223-F1540-G1539,4))</f>
        <v/>
      </c>
      <c r="H1541" s="69">
        <f>MAX(0,ROUND(H1538+Materiales!$H$223-G1540-H1539,4))</f>
        <v/>
      </c>
      <c r="I1541" s="69">
        <f>MAX(0,ROUND(I1538+Materiales!$H$223-H1540-I1539,4))</f>
        <v/>
      </c>
      <c r="J1541" s="69">
        <f>MAX(0,ROUND(J1538+Materiales!$H$223-I1540-J1539,4))</f>
        <v/>
      </c>
      <c r="K1541" s="69">
        <f>MAX(0,ROUND(K1538+Materiales!$H$223-J1540-K1539,4))</f>
        <v/>
      </c>
      <c r="L1541" s="69">
        <f>MAX(0,ROUND(L1538+Materiales!$H$223-K1540-L1539,4))</f>
        <v/>
      </c>
      <c r="M1541" s="66" t="n"/>
    </row>
    <row r="1542">
      <c r="C1542" s="63" t="inlineStr">
        <is>
          <t>Recepcion de orden planificada</t>
        </is>
      </c>
      <c r="D1542" s="64" t="n"/>
      <c r="E1542" s="65">
        <f>IF(E1541&lt;=0,0,IF(Materiales!$G$223&lt;=0,E1541,ROUNDUP(E1541/Materiales!$G$223,0)*Materiales!$G$223))</f>
        <v/>
      </c>
      <c r="F1542" s="65">
        <f>IF(F1541&lt;=0,0,IF(Materiales!$G$223&lt;=0,F1541,ROUNDUP(F1541/Materiales!$G$223,0)*Materiales!$G$223))</f>
        <v/>
      </c>
      <c r="G1542" s="65">
        <f>IF(G1541&lt;=0,0,IF(Materiales!$G$223&lt;=0,G1541,ROUNDUP(G1541/Materiales!$G$223,0)*Materiales!$G$223))</f>
        <v/>
      </c>
      <c r="H1542" s="65">
        <f>IF(H1541&lt;=0,0,IF(Materiales!$G$223&lt;=0,H1541,ROUNDUP(H1541/Materiales!$G$223,0)*Materiales!$G$223))</f>
        <v/>
      </c>
      <c r="I1542" s="65">
        <f>IF(I1541&lt;=0,0,IF(Materiales!$G$223&lt;=0,I1541,ROUNDUP(I1541/Materiales!$G$223,0)*Materiales!$G$223))</f>
        <v/>
      </c>
      <c r="J1542" s="65">
        <f>IF(J1541&lt;=0,0,IF(Materiales!$G$223&lt;=0,J1541,ROUNDUP(J1541/Materiales!$G$223,0)*Materiales!$G$223))</f>
        <v/>
      </c>
      <c r="K1542" s="65">
        <f>IF(K1541&lt;=0,0,IF(Materiales!$G$223&lt;=0,K1541,ROUNDUP(K1541/Materiales!$G$223,0)*Materiales!$G$223))</f>
        <v/>
      </c>
      <c r="L1542" s="65">
        <f>IF(L1541&lt;=0,0,IF(Materiales!$G$223&lt;=0,L1541,ROUNDUP(L1541/Materiales!$G$223,0)*Materiales!$G$223))</f>
        <v/>
      </c>
      <c r="M1542" s="66" t="n"/>
    </row>
    <row r="1543">
      <c r="C1543" s="70" t="inlineStr">
        <is>
          <t>LANZAMIENTO DE ORDEN — pedir esta semana</t>
        </is>
      </c>
      <c r="D1543" s="64" t="n"/>
      <c r="E1543" s="71">
        <f>IF(1+Materiales!$F$223&gt;8,0,INDEX($E$1542:$L$1542,1,1+Materiales!$F$223))</f>
        <v/>
      </c>
      <c r="F1543" s="71">
        <f>IF(2+Materiales!$F$223&gt;8,0,INDEX($E$1542:$L$1542,1,2+Materiales!$F$223))</f>
        <v/>
      </c>
      <c r="G1543" s="71">
        <f>IF(3+Materiales!$F$223&gt;8,0,INDEX($E$1542:$L$1542,1,3+Materiales!$F$223))</f>
        <v/>
      </c>
      <c r="H1543" s="71">
        <f>IF(4+Materiales!$F$223&gt;8,0,INDEX($E$1542:$L$1542,1,4+Materiales!$F$223))</f>
        <v/>
      </c>
      <c r="I1543" s="71">
        <f>IF(5+Materiales!$F$223&gt;8,0,INDEX($E$1542:$L$1542,1,5+Materiales!$F$223))</f>
        <v/>
      </c>
      <c r="J1543" s="71">
        <f>IF(6+Materiales!$F$223&gt;8,0,INDEX($E$1542:$L$1542,1,6+Materiales!$F$223))</f>
        <v/>
      </c>
      <c r="K1543" s="71">
        <f>IF(7+Materiales!$F$223&gt;8,0,INDEX($E$1542:$L$1542,1,7+Materiales!$F$223))</f>
        <v/>
      </c>
      <c r="L1543" s="71">
        <f>IF(8+Materiales!$F$223&gt;8,0,INDEX($E$1542:$L$1542,1,8+Materiales!$F$223))</f>
        <v/>
      </c>
      <c r="M1543" s="72">
        <f>IF($A1538="","",IF(SUMPRODUCT((COLUMN($E$1542:$L$1542)-4&lt;=Materiales!$F$223)*$E$1542:$L$1542)&gt;0,"PEDIR YA (atrasado)","OK"))</f>
        <v/>
      </c>
    </row>
    <row r="1544" ht="6" customHeight="1"/>
    <row r="1545">
      <c r="A1545" s="62">
        <f>IF(Materiales!$A$224="","",Materiales!$A$224)</f>
        <v/>
      </c>
      <c r="B1545" s="62">
        <f>IF(Materiales!$B$224="","",Materiales!$B$224)</f>
        <v/>
      </c>
      <c r="C1545" s="63" t="inlineStr">
        <is>
          <t>Necesidad bruta</t>
        </is>
      </c>
      <c r="D1545" s="64" t="n"/>
      <c r="E1545" s="65">
        <f>ROUND(SUMIF(Consumo!$P$4:$P$189,"#"&amp;$A1545,Consumo!H$4:H$189),4)</f>
        <v/>
      </c>
      <c r="F1545" s="65">
        <f>ROUND(SUMIF(Consumo!$P$4:$P$189,"#"&amp;$A1545,Consumo!I$4:I$189),4)</f>
        <v/>
      </c>
      <c r="G1545" s="65">
        <f>ROUND(SUMIF(Consumo!$P$4:$P$189,"#"&amp;$A1545,Consumo!J$4:J$189),4)</f>
        <v/>
      </c>
      <c r="H1545" s="65">
        <f>ROUND(SUMIF(Consumo!$P$4:$P$189,"#"&amp;$A1545,Consumo!K$4:K$189),4)</f>
        <v/>
      </c>
      <c r="I1545" s="65">
        <f>ROUND(SUMIF(Consumo!$P$4:$P$189,"#"&amp;$A1545,Consumo!L$4:L$189),4)</f>
        <v/>
      </c>
      <c r="J1545" s="65">
        <f>ROUND(SUMIF(Consumo!$P$4:$P$189,"#"&amp;$A1545,Consumo!M$4:M$189),4)</f>
        <v/>
      </c>
      <c r="K1545" s="65">
        <f>ROUND(SUMIF(Consumo!$P$4:$P$189,"#"&amp;$A1545,Consumo!N$4:N$189),4)</f>
        <v/>
      </c>
      <c r="L1545" s="65">
        <f>ROUND(SUMIF(Consumo!$P$4:$P$189,"#"&amp;$A1545,Consumo!O$4:O$189),4)</f>
        <v/>
      </c>
      <c r="M1545" s="66" t="n"/>
    </row>
    <row r="1546">
      <c r="C1546" s="63" t="inlineStr">
        <is>
          <t>Recepciones programadas (ya pedido)</t>
        </is>
      </c>
      <c r="D1546" s="64" t="n"/>
      <c r="E1546" s="65">
        <f>SUMIF(Inventario!$M$5:$M$505,"#"&amp;$A1545,Inventario!E$5:E$505)</f>
        <v/>
      </c>
      <c r="F1546" s="65">
        <f>SUMIF(Inventario!$M$5:$M$505,"#"&amp;$A1545,Inventario!F$5:F$505)</f>
        <v/>
      </c>
      <c r="G1546" s="65">
        <f>SUMIF(Inventario!$M$5:$M$505,"#"&amp;$A1545,Inventario!G$5:G$505)</f>
        <v/>
      </c>
      <c r="H1546" s="65">
        <f>SUMIF(Inventario!$M$5:$M$505,"#"&amp;$A1545,Inventario!H$5:H$505)</f>
        <v/>
      </c>
      <c r="I1546" s="65">
        <f>SUMIF(Inventario!$M$5:$M$505,"#"&amp;$A1545,Inventario!I$5:I$505)</f>
        <v/>
      </c>
      <c r="J1546" s="65">
        <f>SUMIF(Inventario!$M$5:$M$505,"#"&amp;$A1545,Inventario!J$5:J$505)</f>
        <v/>
      </c>
      <c r="K1546" s="65">
        <f>SUMIF(Inventario!$M$5:$M$505,"#"&amp;$A1545,Inventario!K$5:K$505)</f>
        <v/>
      </c>
      <c r="L1546" s="65">
        <f>SUMIF(Inventario!$M$5:$M$505,"#"&amp;$A1545,Inventario!L$5:L$505)</f>
        <v/>
      </c>
      <c r="M1546" s="66" t="n"/>
    </row>
    <row r="1547">
      <c r="C1547" s="63" t="inlineStr">
        <is>
          <t>Stock proyectado disponible</t>
        </is>
      </c>
      <c r="D1547" s="67">
        <f>SUMIF(Inventario!$M$5:$M$505,"#"&amp;$A1545,Inventario!$C$5:$C$505)</f>
        <v/>
      </c>
      <c r="E1547" s="68">
        <f>D1547+E1546+E1549-E1545</f>
        <v/>
      </c>
      <c r="F1547" s="68">
        <f>E1547+F1546+F1549-F1545</f>
        <v/>
      </c>
      <c r="G1547" s="68">
        <f>F1547+G1546+G1549-G1545</f>
        <v/>
      </c>
      <c r="H1547" s="68">
        <f>G1547+H1546+H1549-H1545</f>
        <v/>
      </c>
      <c r="I1547" s="68">
        <f>H1547+I1546+I1549-I1545</f>
        <v/>
      </c>
      <c r="J1547" s="68">
        <f>I1547+J1546+J1549-J1545</f>
        <v/>
      </c>
      <c r="K1547" s="68">
        <f>J1547+K1546+K1549-K1545</f>
        <v/>
      </c>
      <c r="L1547" s="68">
        <f>K1547+L1546+L1549-L1545</f>
        <v/>
      </c>
      <c r="M1547" s="66" t="n"/>
    </row>
    <row r="1548">
      <c r="C1548" s="63" t="inlineStr">
        <is>
          <t>Necesidad neta</t>
        </is>
      </c>
      <c r="D1548" s="64" t="n"/>
      <c r="E1548" s="69">
        <f>MAX(0,ROUND(E1545+Materiales!$H$224-D1547-E1546,4))</f>
        <v/>
      </c>
      <c r="F1548" s="69">
        <f>MAX(0,ROUND(F1545+Materiales!$H$224-E1547-F1546,4))</f>
        <v/>
      </c>
      <c r="G1548" s="69">
        <f>MAX(0,ROUND(G1545+Materiales!$H$224-F1547-G1546,4))</f>
        <v/>
      </c>
      <c r="H1548" s="69">
        <f>MAX(0,ROUND(H1545+Materiales!$H$224-G1547-H1546,4))</f>
        <v/>
      </c>
      <c r="I1548" s="69">
        <f>MAX(0,ROUND(I1545+Materiales!$H$224-H1547-I1546,4))</f>
        <v/>
      </c>
      <c r="J1548" s="69">
        <f>MAX(0,ROUND(J1545+Materiales!$H$224-I1547-J1546,4))</f>
        <v/>
      </c>
      <c r="K1548" s="69">
        <f>MAX(0,ROUND(K1545+Materiales!$H$224-J1547-K1546,4))</f>
        <v/>
      </c>
      <c r="L1548" s="69">
        <f>MAX(0,ROUND(L1545+Materiales!$H$224-K1547-L1546,4))</f>
        <v/>
      </c>
      <c r="M1548" s="66" t="n"/>
    </row>
    <row r="1549">
      <c r="C1549" s="63" t="inlineStr">
        <is>
          <t>Recepcion de orden planificada</t>
        </is>
      </c>
      <c r="D1549" s="64" t="n"/>
      <c r="E1549" s="65">
        <f>IF(E1548&lt;=0,0,IF(Materiales!$G$224&lt;=0,E1548,ROUNDUP(E1548/Materiales!$G$224,0)*Materiales!$G$224))</f>
        <v/>
      </c>
      <c r="F1549" s="65">
        <f>IF(F1548&lt;=0,0,IF(Materiales!$G$224&lt;=0,F1548,ROUNDUP(F1548/Materiales!$G$224,0)*Materiales!$G$224))</f>
        <v/>
      </c>
      <c r="G1549" s="65">
        <f>IF(G1548&lt;=0,0,IF(Materiales!$G$224&lt;=0,G1548,ROUNDUP(G1548/Materiales!$G$224,0)*Materiales!$G$224))</f>
        <v/>
      </c>
      <c r="H1549" s="65">
        <f>IF(H1548&lt;=0,0,IF(Materiales!$G$224&lt;=0,H1548,ROUNDUP(H1548/Materiales!$G$224,0)*Materiales!$G$224))</f>
        <v/>
      </c>
      <c r="I1549" s="65">
        <f>IF(I1548&lt;=0,0,IF(Materiales!$G$224&lt;=0,I1548,ROUNDUP(I1548/Materiales!$G$224,0)*Materiales!$G$224))</f>
        <v/>
      </c>
      <c r="J1549" s="65">
        <f>IF(J1548&lt;=0,0,IF(Materiales!$G$224&lt;=0,J1548,ROUNDUP(J1548/Materiales!$G$224,0)*Materiales!$G$224))</f>
        <v/>
      </c>
      <c r="K1549" s="65">
        <f>IF(K1548&lt;=0,0,IF(Materiales!$G$224&lt;=0,K1548,ROUNDUP(K1548/Materiales!$G$224,0)*Materiales!$G$224))</f>
        <v/>
      </c>
      <c r="L1549" s="65">
        <f>IF(L1548&lt;=0,0,IF(Materiales!$G$224&lt;=0,L1548,ROUNDUP(L1548/Materiales!$G$224,0)*Materiales!$G$224))</f>
        <v/>
      </c>
      <c r="M1549" s="66" t="n"/>
    </row>
    <row r="1550">
      <c r="C1550" s="70" t="inlineStr">
        <is>
          <t>LANZAMIENTO DE ORDEN — pedir esta semana</t>
        </is>
      </c>
      <c r="D1550" s="64" t="n"/>
      <c r="E1550" s="71">
        <f>IF(1+Materiales!$F$224&gt;8,0,INDEX($E$1549:$L$1549,1,1+Materiales!$F$224))</f>
        <v/>
      </c>
      <c r="F1550" s="71">
        <f>IF(2+Materiales!$F$224&gt;8,0,INDEX($E$1549:$L$1549,1,2+Materiales!$F$224))</f>
        <v/>
      </c>
      <c r="G1550" s="71">
        <f>IF(3+Materiales!$F$224&gt;8,0,INDEX($E$1549:$L$1549,1,3+Materiales!$F$224))</f>
        <v/>
      </c>
      <c r="H1550" s="71">
        <f>IF(4+Materiales!$F$224&gt;8,0,INDEX($E$1549:$L$1549,1,4+Materiales!$F$224))</f>
        <v/>
      </c>
      <c r="I1550" s="71">
        <f>IF(5+Materiales!$F$224&gt;8,0,INDEX($E$1549:$L$1549,1,5+Materiales!$F$224))</f>
        <v/>
      </c>
      <c r="J1550" s="71">
        <f>IF(6+Materiales!$F$224&gt;8,0,INDEX($E$1549:$L$1549,1,6+Materiales!$F$224))</f>
        <v/>
      </c>
      <c r="K1550" s="71">
        <f>IF(7+Materiales!$F$224&gt;8,0,INDEX($E$1549:$L$1549,1,7+Materiales!$F$224))</f>
        <v/>
      </c>
      <c r="L1550" s="71">
        <f>IF(8+Materiales!$F$224&gt;8,0,INDEX($E$1549:$L$1549,1,8+Materiales!$F$224))</f>
        <v/>
      </c>
      <c r="M1550" s="72">
        <f>IF($A1545="","",IF(SUMPRODUCT((COLUMN($E$1549:$L$1549)-4&lt;=Materiales!$F$224)*$E$1549:$L$1549)&gt;0,"PEDIR YA (atrasado)","OK"))</f>
        <v/>
      </c>
    </row>
    <row r="1551" ht="6" customHeight="1"/>
    <row r="1552">
      <c r="A1552" s="62">
        <f>IF(Materiales!$A$225="","",Materiales!$A$225)</f>
        <v/>
      </c>
      <c r="B1552" s="62">
        <f>IF(Materiales!$B$225="","",Materiales!$B$225)</f>
        <v/>
      </c>
      <c r="C1552" s="63" t="inlineStr">
        <is>
          <t>Necesidad bruta</t>
        </is>
      </c>
      <c r="D1552" s="64" t="n"/>
      <c r="E1552" s="65">
        <f>ROUND(SUMIF(Consumo!$P$4:$P$189,"#"&amp;$A1552,Consumo!H$4:H$189),4)</f>
        <v/>
      </c>
      <c r="F1552" s="65">
        <f>ROUND(SUMIF(Consumo!$P$4:$P$189,"#"&amp;$A1552,Consumo!I$4:I$189),4)</f>
        <v/>
      </c>
      <c r="G1552" s="65">
        <f>ROUND(SUMIF(Consumo!$P$4:$P$189,"#"&amp;$A1552,Consumo!J$4:J$189),4)</f>
        <v/>
      </c>
      <c r="H1552" s="65">
        <f>ROUND(SUMIF(Consumo!$P$4:$P$189,"#"&amp;$A1552,Consumo!K$4:K$189),4)</f>
        <v/>
      </c>
      <c r="I1552" s="65">
        <f>ROUND(SUMIF(Consumo!$P$4:$P$189,"#"&amp;$A1552,Consumo!L$4:L$189),4)</f>
        <v/>
      </c>
      <c r="J1552" s="65">
        <f>ROUND(SUMIF(Consumo!$P$4:$P$189,"#"&amp;$A1552,Consumo!M$4:M$189),4)</f>
        <v/>
      </c>
      <c r="K1552" s="65">
        <f>ROUND(SUMIF(Consumo!$P$4:$P$189,"#"&amp;$A1552,Consumo!N$4:N$189),4)</f>
        <v/>
      </c>
      <c r="L1552" s="65">
        <f>ROUND(SUMIF(Consumo!$P$4:$P$189,"#"&amp;$A1552,Consumo!O$4:O$189),4)</f>
        <v/>
      </c>
      <c r="M1552" s="66" t="n"/>
    </row>
    <row r="1553">
      <c r="C1553" s="63" t="inlineStr">
        <is>
          <t>Recepciones programadas (ya pedido)</t>
        </is>
      </c>
      <c r="D1553" s="64" t="n"/>
      <c r="E1553" s="65">
        <f>SUMIF(Inventario!$M$5:$M$505,"#"&amp;$A1552,Inventario!E$5:E$505)</f>
        <v/>
      </c>
      <c r="F1553" s="65">
        <f>SUMIF(Inventario!$M$5:$M$505,"#"&amp;$A1552,Inventario!F$5:F$505)</f>
        <v/>
      </c>
      <c r="G1553" s="65">
        <f>SUMIF(Inventario!$M$5:$M$505,"#"&amp;$A1552,Inventario!G$5:G$505)</f>
        <v/>
      </c>
      <c r="H1553" s="65">
        <f>SUMIF(Inventario!$M$5:$M$505,"#"&amp;$A1552,Inventario!H$5:H$505)</f>
        <v/>
      </c>
      <c r="I1553" s="65">
        <f>SUMIF(Inventario!$M$5:$M$505,"#"&amp;$A1552,Inventario!I$5:I$505)</f>
        <v/>
      </c>
      <c r="J1553" s="65">
        <f>SUMIF(Inventario!$M$5:$M$505,"#"&amp;$A1552,Inventario!J$5:J$505)</f>
        <v/>
      </c>
      <c r="K1553" s="65">
        <f>SUMIF(Inventario!$M$5:$M$505,"#"&amp;$A1552,Inventario!K$5:K$505)</f>
        <v/>
      </c>
      <c r="L1553" s="65">
        <f>SUMIF(Inventario!$M$5:$M$505,"#"&amp;$A1552,Inventario!L$5:L$505)</f>
        <v/>
      </c>
      <c r="M1553" s="66" t="n"/>
    </row>
    <row r="1554">
      <c r="C1554" s="63" t="inlineStr">
        <is>
          <t>Stock proyectado disponible</t>
        </is>
      </c>
      <c r="D1554" s="67">
        <f>SUMIF(Inventario!$M$5:$M$505,"#"&amp;$A1552,Inventario!$C$5:$C$505)</f>
        <v/>
      </c>
      <c r="E1554" s="68">
        <f>D1554+E1553+E1556-E1552</f>
        <v/>
      </c>
      <c r="F1554" s="68">
        <f>E1554+F1553+F1556-F1552</f>
        <v/>
      </c>
      <c r="G1554" s="68">
        <f>F1554+G1553+G1556-G1552</f>
        <v/>
      </c>
      <c r="H1554" s="68">
        <f>G1554+H1553+H1556-H1552</f>
        <v/>
      </c>
      <c r="I1554" s="68">
        <f>H1554+I1553+I1556-I1552</f>
        <v/>
      </c>
      <c r="J1554" s="68">
        <f>I1554+J1553+J1556-J1552</f>
        <v/>
      </c>
      <c r="K1554" s="68">
        <f>J1554+K1553+K1556-K1552</f>
        <v/>
      </c>
      <c r="L1554" s="68">
        <f>K1554+L1553+L1556-L1552</f>
        <v/>
      </c>
      <c r="M1554" s="66" t="n"/>
    </row>
    <row r="1555">
      <c r="C1555" s="63" t="inlineStr">
        <is>
          <t>Necesidad neta</t>
        </is>
      </c>
      <c r="D1555" s="64" t="n"/>
      <c r="E1555" s="69">
        <f>MAX(0,ROUND(E1552+Materiales!$H$225-D1554-E1553,4))</f>
        <v/>
      </c>
      <c r="F1555" s="69">
        <f>MAX(0,ROUND(F1552+Materiales!$H$225-E1554-F1553,4))</f>
        <v/>
      </c>
      <c r="G1555" s="69">
        <f>MAX(0,ROUND(G1552+Materiales!$H$225-F1554-G1553,4))</f>
        <v/>
      </c>
      <c r="H1555" s="69">
        <f>MAX(0,ROUND(H1552+Materiales!$H$225-G1554-H1553,4))</f>
        <v/>
      </c>
      <c r="I1555" s="69">
        <f>MAX(0,ROUND(I1552+Materiales!$H$225-H1554-I1553,4))</f>
        <v/>
      </c>
      <c r="J1555" s="69">
        <f>MAX(0,ROUND(J1552+Materiales!$H$225-I1554-J1553,4))</f>
        <v/>
      </c>
      <c r="K1555" s="69">
        <f>MAX(0,ROUND(K1552+Materiales!$H$225-J1554-K1553,4))</f>
        <v/>
      </c>
      <c r="L1555" s="69">
        <f>MAX(0,ROUND(L1552+Materiales!$H$225-K1554-L1553,4))</f>
        <v/>
      </c>
      <c r="M1555" s="66" t="n"/>
    </row>
    <row r="1556">
      <c r="C1556" s="63" t="inlineStr">
        <is>
          <t>Recepcion de orden planificada</t>
        </is>
      </c>
      <c r="D1556" s="64" t="n"/>
      <c r="E1556" s="65">
        <f>IF(E1555&lt;=0,0,IF(Materiales!$G$225&lt;=0,E1555,ROUNDUP(E1555/Materiales!$G$225,0)*Materiales!$G$225))</f>
        <v/>
      </c>
      <c r="F1556" s="65">
        <f>IF(F1555&lt;=0,0,IF(Materiales!$G$225&lt;=0,F1555,ROUNDUP(F1555/Materiales!$G$225,0)*Materiales!$G$225))</f>
        <v/>
      </c>
      <c r="G1556" s="65">
        <f>IF(G1555&lt;=0,0,IF(Materiales!$G$225&lt;=0,G1555,ROUNDUP(G1555/Materiales!$G$225,0)*Materiales!$G$225))</f>
        <v/>
      </c>
      <c r="H1556" s="65">
        <f>IF(H1555&lt;=0,0,IF(Materiales!$G$225&lt;=0,H1555,ROUNDUP(H1555/Materiales!$G$225,0)*Materiales!$G$225))</f>
        <v/>
      </c>
      <c r="I1556" s="65">
        <f>IF(I1555&lt;=0,0,IF(Materiales!$G$225&lt;=0,I1555,ROUNDUP(I1555/Materiales!$G$225,0)*Materiales!$G$225))</f>
        <v/>
      </c>
      <c r="J1556" s="65">
        <f>IF(J1555&lt;=0,0,IF(Materiales!$G$225&lt;=0,J1555,ROUNDUP(J1555/Materiales!$G$225,0)*Materiales!$G$225))</f>
        <v/>
      </c>
      <c r="K1556" s="65">
        <f>IF(K1555&lt;=0,0,IF(Materiales!$G$225&lt;=0,K1555,ROUNDUP(K1555/Materiales!$G$225,0)*Materiales!$G$225))</f>
        <v/>
      </c>
      <c r="L1556" s="65">
        <f>IF(L1555&lt;=0,0,IF(Materiales!$G$225&lt;=0,L1555,ROUNDUP(L1555/Materiales!$G$225,0)*Materiales!$G$225))</f>
        <v/>
      </c>
      <c r="M1556" s="66" t="n"/>
    </row>
    <row r="1557">
      <c r="C1557" s="70" t="inlineStr">
        <is>
          <t>LANZAMIENTO DE ORDEN — pedir esta semana</t>
        </is>
      </c>
      <c r="D1557" s="64" t="n"/>
      <c r="E1557" s="71">
        <f>IF(1+Materiales!$F$225&gt;8,0,INDEX($E$1556:$L$1556,1,1+Materiales!$F$225))</f>
        <v/>
      </c>
      <c r="F1557" s="71">
        <f>IF(2+Materiales!$F$225&gt;8,0,INDEX($E$1556:$L$1556,1,2+Materiales!$F$225))</f>
        <v/>
      </c>
      <c r="G1557" s="71">
        <f>IF(3+Materiales!$F$225&gt;8,0,INDEX($E$1556:$L$1556,1,3+Materiales!$F$225))</f>
        <v/>
      </c>
      <c r="H1557" s="71">
        <f>IF(4+Materiales!$F$225&gt;8,0,INDEX($E$1556:$L$1556,1,4+Materiales!$F$225))</f>
        <v/>
      </c>
      <c r="I1557" s="71">
        <f>IF(5+Materiales!$F$225&gt;8,0,INDEX($E$1556:$L$1556,1,5+Materiales!$F$225))</f>
        <v/>
      </c>
      <c r="J1557" s="71">
        <f>IF(6+Materiales!$F$225&gt;8,0,INDEX($E$1556:$L$1556,1,6+Materiales!$F$225))</f>
        <v/>
      </c>
      <c r="K1557" s="71">
        <f>IF(7+Materiales!$F$225&gt;8,0,INDEX($E$1556:$L$1556,1,7+Materiales!$F$225))</f>
        <v/>
      </c>
      <c r="L1557" s="71">
        <f>IF(8+Materiales!$F$225&gt;8,0,INDEX($E$1556:$L$1556,1,8+Materiales!$F$225))</f>
        <v/>
      </c>
      <c r="M1557" s="72">
        <f>IF($A1552="","",IF(SUMPRODUCT((COLUMN($E$1556:$L$1556)-4&lt;=Materiales!$F$225)*$E$1556:$L$1556)&gt;0,"PEDIR YA (atrasado)","OK"))</f>
        <v/>
      </c>
    </row>
    <row r="1558" ht="6" customHeight="1"/>
    <row r="1559">
      <c r="A1559" s="62">
        <f>IF(Materiales!$A$226="","",Materiales!$A$226)</f>
        <v/>
      </c>
      <c r="B1559" s="62">
        <f>IF(Materiales!$B$226="","",Materiales!$B$226)</f>
        <v/>
      </c>
      <c r="C1559" s="63" t="inlineStr">
        <is>
          <t>Necesidad bruta</t>
        </is>
      </c>
      <c r="D1559" s="64" t="n"/>
      <c r="E1559" s="65">
        <f>ROUND(SUMIF(Consumo!$P$4:$P$189,"#"&amp;$A1559,Consumo!H$4:H$189),4)</f>
        <v/>
      </c>
      <c r="F1559" s="65">
        <f>ROUND(SUMIF(Consumo!$P$4:$P$189,"#"&amp;$A1559,Consumo!I$4:I$189),4)</f>
        <v/>
      </c>
      <c r="G1559" s="65">
        <f>ROUND(SUMIF(Consumo!$P$4:$P$189,"#"&amp;$A1559,Consumo!J$4:J$189),4)</f>
        <v/>
      </c>
      <c r="H1559" s="65">
        <f>ROUND(SUMIF(Consumo!$P$4:$P$189,"#"&amp;$A1559,Consumo!K$4:K$189),4)</f>
        <v/>
      </c>
      <c r="I1559" s="65">
        <f>ROUND(SUMIF(Consumo!$P$4:$P$189,"#"&amp;$A1559,Consumo!L$4:L$189),4)</f>
        <v/>
      </c>
      <c r="J1559" s="65">
        <f>ROUND(SUMIF(Consumo!$P$4:$P$189,"#"&amp;$A1559,Consumo!M$4:M$189),4)</f>
        <v/>
      </c>
      <c r="K1559" s="65">
        <f>ROUND(SUMIF(Consumo!$P$4:$P$189,"#"&amp;$A1559,Consumo!N$4:N$189),4)</f>
        <v/>
      </c>
      <c r="L1559" s="65">
        <f>ROUND(SUMIF(Consumo!$P$4:$P$189,"#"&amp;$A1559,Consumo!O$4:O$189),4)</f>
        <v/>
      </c>
      <c r="M1559" s="66" t="n"/>
    </row>
    <row r="1560">
      <c r="C1560" s="63" t="inlineStr">
        <is>
          <t>Recepciones programadas (ya pedido)</t>
        </is>
      </c>
      <c r="D1560" s="64" t="n"/>
      <c r="E1560" s="65">
        <f>SUMIF(Inventario!$M$5:$M$505,"#"&amp;$A1559,Inventario!E$5:E$505)</f>
        <v/>
      </c>
      <c r="F1560" s="65">
        <f>SUMIF(Inventario!$M$5:$M$505,"#"&amp;$A1559,Inventario!F$5:F$505)</f>
        <v/>
      </c>
      <c r="G1560" s="65">
        <f>SUMIF(Inventario!$M$5:$M$505,"#"&amp;$A1559,Inventario!G$5:G$505)</f>
        <v/>
      </c>
      <c r="H1560" s="65">
        <f>SUMIF(Inventario!$M$5:$M$505,"#"&amp;$A1559,Inventario!H$5:H$505)</f>
        <v/>
      </c>
      <c r="I1560" s="65">
        <f>SUMIF(Inventario!$M$5:$M$505,"#"&amp;$A1559,Inventario!I$5:I$505)</f>
        <v/>
      </c>
      <c r="J1560" s="65">
        <f>SUMIF(Inventario!$M$5:$M$505,"#"&amp;$A1559,Inventario!J$5:J$505)</f>
        <v/>
      </c>
      <c r="K1560" s="65">
        <f>SUMIF(Inventario!$M$5:$M$505,"#"&amp;$A1559,Inventario!K$5:K$505)</f>
        <v/>
      </c>
      <c r="L1560" s="65">
        <f>SUMIF(Inventario!$M$5:$M$505,"#"&amp;$A1559,Inventario!L$5:L$505)</f>
        <v/>
      </c>
      <c r="M1560" s="66" t="n"/>
    </row>
    <row r="1561">
      <c r="C1561" s="63" t="inlineStr">
        <is>
          <t>Stock proyectado disponible</t>
        </is>
      </c>
      <c r="D1561" s="67">
        <f>SUMIF(Inventario!$M$5:$M$505,"#"&amp;$A1559,Inventario!$C$5:$C$505)</f>
        <v/>
      </c>
      <c r="E1561" s="68">
        <f>D1561+E1560+E1563-E1559</f>
        <v/>
      </c>
      <c r="F1561" s="68">
        <f>E1561+F1560+F1563-F1559</f>
        <v/>
      </c>
      <c r="G1561" s="68">
        <f>F1561+G1560+G1563-G1559</f>
        <v/>
      </c>
      <c r="H1561" s="68">
        <f>G1561+H1560+H1563-H1559</f>
        <v/>
      </c>
      <c r="I1561" s="68">
        <f>H1561+I1560+I1563-I1559</f>
        <v/>
      </c>
      <c r="J1561" s="68">
        <f>I1561+J1560+J1563-J1559</f>
        <v/>
      </c>
      <c r="K1561" s="68">
        <f>J1561+K1560+K1563-K1559</f>
        <v/>
      </c>
      <c r="L1561" s="68">
        <f>K1561+L1560+L1563-L1559</f>
        <v/>
      </c>
      <c r="M1561" s="66" t="n"/>
    </row>
    <row r="1562">
      <c r="C1562" s="63" t="inlineStr">
        <is>
          <t>Necesidad neta</t>
        </is>
      </c>
      <c r="D1562" s="64" t="n"/>
      <c r="E1562" s="69">
        <f>MAX(0,ROUND(E1559+Materiales!$H$226-D1561-E1560,4))</f>
        <v/>
      </c>
      <c r="F1562" s="69">
        <f>MAX(0,ROUND(F1559+Materiales!$H$226-E1561-F1560,4))</f>
        <v/>
      </c>
      <c r="G1562" s="69">
        <f>MAX(0,ROUND(G1559+Materiales!$H$226-F1561-G1560,4))</f>
        <v/>
      </c>
      <c r="H1562" s="69">
        <f>MAX(0,ROUND(H1559+Materiales!$H$226-G1561-H1560,4))</f>
        <v/>
      </c>
      <c r="I1562" s="69">
        <f>MAX(0,ROUND(I1559+Materiales!$H$226-H1561-I1560,4))</f>
        <v/>
      </c>
      <c r="J1562" s="69">
        <f>MAX(0,ROUND(J1559+Materiales!$H$226-I1561-J1560,4))</f>
        <v/>
      </c>
      <c r="K1562" s="69">
        <f>MAX(0,ROUND(K1559+Materiales!$H$226-J1561-K1560,4))</f>
        <v/>
      </c>
      <c r="L1562" s="69">
        <f>MAX(0,ROUND(L1559+Materiales!$H$226-K1561-L1560,4))</f>
        <v/>
      </c>
      <c r="M1562" s="66" t="n"/>
    </row>
    <row r="1563">
      <c r="C1563" s="63" t="inlineStr">
        <is>
          <t>Recepcion de orden planificada</t>
        </is>
      </c>
      <c r="D1563" s="64" t="n"/>
      <c r="E1563" s="65">
        <f>IF(E1562&lt;=0,0,IF(Materiales!$G$226&lt;=0,E1562,ROUNDUP(E1562/Materiales!$G$226,0)*Materiales!$G$226))</f>
        <v/>
      </c>
      <c r="F1563" s="65">
        <f>IF(F1562&lt;=0,0,IF(Materiales!$G$226&lt;=0,F1562,ROUNDUP(F1562/Materiales!$G$226,0)*Materiales!$G$226))</f>
        <v/>
      </c>
      <c r="G1563" s="65">
        <f>IF(G1562&lt;=0,0,IF(Materiales!$G$226&lt;=0,G1562,ROUNDUP(G1562/Materiales!$G$226,0)*Materiales!$G$226))</f>
        <v/>
      </c>
      <c r="H1563" s="65">
        <f>IF(H1562&lt;=0,0,IF(Materiales!$G$226&lt;=0,H1562,ROUNDUP(H1562/Materiales!$G$226,0)*Materiales!$G$226))</f>
        <v/>
      </c>
      <c r="I1563" s="65">
        <f>IF(I1562&lt;=0,0,IF(Materiales!$G$226&lt;=0,I1562,ROUNDUP(I1562/Materiales!$G$226,0)*Materiales!$G$226))</f>
        <v/>
      </c>
      <c r="J1563" s="65">
        <f>IF(J1562&lt;=0,0,IF(Materiales!$G$226&lt;=0,J1562,ROUNDUP(J1562/Materiales!$G$226,0)*Materiales!$G$226))</f>
        <v/>
      </c>
      <c r="K1563" s="65">
        <f>IF(K1562&lt;=0,0,IF(Materiales!$G$226&lt;=0,K1562,ROUNDUP(K1562/Materiales!$G$226,0)*Materiales!$G$226))</f>
        <v/>
      </c>
      <c r="L1563" s="65">
        <f>IF(L1562&lt;=0,0,IF(Materiales!$G$226&lt;=0,L1562,ROUNDUP(L1562/Materiales!$G$226,0)*Materiales!$G$226))</f>
        <v/>
      </c>
      <c r="M1563" s="66" t="n"/>
    </row>
    <row r="1564">
      <c r="C1564" s="70" t="inlineStr">
        <is>
          <t>LANZAMIENTO DE ORDEN — pedir esta semana</t>
        </is>
      </c>
      <c r="D1564" s="64" t="n"/>
      <c r="E1564" s="71">
        <f>IF(1+Materiales!$F$226&gt;8,0,INDEX($E$1563:$L$1563,1,1+Materiales!$F$226))</f>
        <v/>
      </c>
      <c r="F1564" s="71">
        <f>IF(2+Materiales!$F$226&gt;8,0,INDEX($E$1563:$L$1563,1,2+Materiales!$F$226))</f>
        <v/>
      </c>
      <c r="G1564" s="71">
        <f>IF(3+Materiales!$F$226&gt;8,0,INDEX($E$1563:$L$1563,1,3+Materiales!$F$226))</f>
        <v/>
      </c>
      <c r="H1564" s="71">
        <f>IF(4+Materiales!$F$226&gt;8,0,INDEX($E$1563:$L$1563,1,4+Materiales!$F$226))</f>
        <v/>
      </c>
      <c r="I1564" s="71">
        <f>IF(5+Materiales!$F$226&gt;8,0,INDEX($E$1563:$L$1563,1,5+Materiales!$F$226))</f>
        <v/>
      </c>
      <c r="J1564" s="71">
        <f>IF(6+Materiales!$F$226&gt;8,0,INDEX($E$1563:$L$1563,1,6+Materiales!$F$226))</f>
        <v/>
      </c>
      <c r="K1564" s="71">
        <f>IF(7+Materiales!$F$226&gt;8,0,INDEX($E$1563:$L$1563,1,7+Materiales!$F$226))</f>
        <v/>
      </c>
      <c r="L1564" s="71">
        <f>IF(8+Materiales!$F$226&gt;8,0,INDEX($E$1563:$L$1563,1,8+Materiales!$F$226))</f>
        <v/>
      </c>
      <c r="M1564" s="72">
        <f>IF($A1559="","",IF(SUMPRODUCT((COLUMN($E$1563:$L$1563)-4&lt;=Materiales!$F$226)*$E$1563:$L$1563)&gt;0,"PEDIR YA (atrasado)","OK"))</f>
        <v/>
      </c>
    </row>
    <row r="1565" ht="6" customHeight="1"/>
    <row r="1566">
      <c r="A1566" s="62">
        <f>IF(Materiales!$A$227="","",Materiales!$A$227)</f>
        <v/>
      </c>
      <c r="B1566" s="62">
        <f>IF(Materiales!$B$227="","",Materiales!$B$227)</f>
        <v/>
      </c>
      <c r="C1566" s="63" t="inlineStr">
        <is>
          <t>Necesidad bruta</t>
        </is>
      </c>
      <c r="D1566" s="64" t="n"/>
      <c r="E1566" s="65">
        <f>ROUND(SUMIF(Consumo!$P$4:$P$189,"#"&amp;$A1566,Consumo!H$4:H$189),4)</f>
        <v/>
      </c>
      <c r="F1566" s="65">
        <f>ROUND(SUMIF(Consumo!$P$4:$P$189,"#"&amp;$A1566,Consumo!I$4:I$189),4)</f>
        <v/>
      </c>
      <c r="G1566" s="65">
        <f>ROUND(SUMIF(Consumo!$P$4:$P$189,"#"&amp;$A1566,Consumo!J$4:J$189),4)</f>
        <v/>
      </c>
      <c r="H1566" s="65">
        <f>ROUND(SUMIF(Consumo!$P$4:$P$189,"#"&amp;$A1566,Consumo!K$4:K$189),4)</f>
        <v/>
      </c>
      <c r="I1566" s="65">
        <f>ROUND(SUMIF(Consumo!$P$4:$P$189,"#"&amp;$A1566,Consumo!L$4:L$189),4)</f>
        <v/>
      </c>
      <c r="J1566" s="65">
        <f>ROUND(SUMIF(Consumo!$P$4:$P$189,"#"&amp;$A1566,Consumo!M$4:M$189),4)</f>
        <v/>
      </c>
      <c r="K1566" s="65">
        <f>ROUND(SUMIF(Consumo!$P$4:$P$189,"#"&amp;$A1566,Consumo!N$4:N$189),4)</f>
        <v/>
      </c>
      <c r="L1566" s="65">
        <f>ROUND(SUMIF(Consumo!$P$4:$P$189,"#"&amp;$A1566,Consumo!O$4:O$189),4)</f>
        <v/>
      </c>
      <c r="M1566" s="66" t="n"/>
    </row>
    <row r="1567">
      <c r="C1567" s="63" t="inlineStr">
        <is>
          <t>Recepciones programadas (ya pedido)</t>
        </is>
      </c>
      <c r="D1567" s="64" t="n"/>
      <c r="E1567" s="65">
        <f>SUMIF(Inventario!$M$5:$M$505,"#"&amp;$A1566,Inventario!E$5:E$505)</f>
        <v/>
      </c>
      <c r="F1567" s="65">
        <f>SUMIF(Inventario!$M$5:$M$505,"#"&amp;$A1566,Inventario!F$5:F$505)</f>
        <v/>
      </c>
      <c r="G1567" s="65">
        <f>SUMIF(Inventario!$M$5:$M$505,"#"&amp;$A1566,Inventario!G$5:G$505)</f>
        <v/>
      </c>
      <c r="H1567" s="65">
        <f>SUMIF(Inventario!$M$5:$M$505,"#"&amp;$A1566,Inventario!H$5:H$505)</f>
        <v/>
      </c>
      <c r="I1567" s="65">
        <f>SUMIF(Inventario!$M$5:$M$505,"#"&amp;$A1566,Inventario!I$5:I$505)</f>
        <v/>
      </c>
      <c r="J1567" s="65">
        <f>SUMIF(Inventario!$M$5:$M$505,"#"&amp;$A1566,Inventario!J$5:J$505)</f>
        <v/>
      </c>
      <c r="K1567" s="65">
        <f>SUMIF(Inventario!$M$5:$M$505,"#"&amp;$A1566,Inventario!K$5:K$505)</f>
        <v/>
      </c>
      <c r="L1567" s="65">
        <f>SUMIF(Inventario!$M$5:$M$505,"#"&amp;$A1566,Inventario!L$5:L$505)</f>
        <v/>
      </c>
      <c r="M1567" s="66" t="n"/>
    </row>
    <row r="1568">
      <c r="C1568" s="63" t="inlineStr">
        <is>
          <t>Stock proyectado disponible</t>
        </is>
      </c>
      <c r="D1568" s="67">
        <f>SUMIF(Inventario!$M$5:$M$505,"#"&amp;$A1566,Inventario!$C$5:$C$505)</f>
        <v/>
      </c>
      <c r="E1568" s="68">
        <f>D1568+E1567+E1570-E1566</f>
        <v/>
      </c>
      <c r="F1568" s="68">
        <f>E1568+F1567+F1570-F1566</f>
        <v/>
      </c>
      <c r="G1568" s="68">
        <f>F1568+G1567+G1570-G1566</f>
        <v/>
      </c>
      <c r="H1568" s="68">
        <f>G1568+H1567+H1570-H1566</f>
        <v/>
      </c>
      <c r="I1568" s="68">
        <f>H1568+I1567+I1570-I1566</f>
        <v/>
      </c>
      <c r="J1568" s="68">
        <f>I1568+J1567+J1570-J1566</f>
        <v/>
      </c>
      <c r="K1568" s="68">
        <f>J1568+K1567+K1570-K1566</f>
        <v/>
      </c>
      <c r="L1568" s="68">
        <f>K1568+L1567+L1570-L1566</f>
        <v/>
      </c>
      <c r="M1568" s="66" t="n"/>
    </row>
    <row r="1569">
      <c r="C1569" s="63" t="inlineStr">
        <is>
          <t>Necesidad neta</t>
        </is>
      </c>
      <c r="D1569" s="64" t="n"/>
      <c r="E1569" s="69">
        <f>MAX(0,ROUND(E1566+Materiales!$H$227-D1568-E1567,4))</f>
        <v/>
      </c>
      <c r="F1569" s="69">
        <f>MAX(0,ROUND(F1566+Materiales!$H$227-E1568-F1567,4))</f>
        <v/>
      </c>
      <c r="G1569" s="69">
        <f>MAX(0,ROUND(G1566+Materiales!$H$227-F1568-G1567,4))</f>
        <v/>
      </c>
      <c r="H1569" s="69">
        <f>MAX(0,ROUND(H1566+Materiales!$H$227-G1568-H1567,4))</f>
        <v/>
      </c>
      <c r="I1569" s="69">
        <f>MAX(0,ROUND(I1566+Materiales!$H$227-H1568-I1567,4))</f>
        <v/>
      </c>
      <c r="J1569" s="69">
        <f>MAX(0,ROUND(J1566+Materiales!$H$227-I1568-J1567,4))</f>
        <v/>
      </c>
      <c r="K1569" s="69">
        <f>MAX(0,ROUND(K1566+Materiales!$H$227-J1568-K1567,4))</f>
        <v/>
      </c>
      <c r="L1569" s="69">
        <f>MAX(0,ROUND(L1566+Materiales!$H$227-K1568-L1567,4))</f>
        <v/>
      </c>
      <c r="M1569" s="66" t="n"/>
    </row>
    <row r="1570">
      <c r="C1570" s="63" t="inlineStr">
        <is>
          <t>Recepcion de orden planificada</t>
        </is>
      </c>
      <c r="D1570" s="64" t="n"/>
      <c r="E1570" s="65">
        <f>IF(E1569&lt;=0,0,IF(Materiales!$G$227&lt;=0,E1569,ROUNDUP(E1569/Materiales!$G$227,0)*Materiales!$G$227))</f>
        <v/>
      </c>
      <c r="F1570" s="65">
        <f>IF(F1569&lt;=0,0,IF(Materiales!$G$227&lt;=0,F1569,ROUNDUP(F1569/Materiales!$G$227,0)*Materiales!$G$227))</f>
        <v/>
      </c>
      <c r="G1570" s="65">
        <f>IF(G1569&lt;=0,0,IF(Materiales!$G$227&lt;=0,G1569,ROUNDUP(G1569/Materiales!$G$227,0)*Materiales!$G$227))</f>
        <v/>
      </c>
      <c r="H1570" s="65">
        <f>IF(H1569&lt;=0,0,IF(Materiales!$G$227&lt;=0,H1569,ROUNDUP(H1569/Materiales!$G$227,0)*Materiales!$G$227))</f>
        <v/>
      </c>
      <c r="I1570" s="65">
        <f>IF(I1569&lt;=0,0,IF(Materiales!$G$227&lt;=0,I1569,ROUNDUP(I1569/Materiales!$G$227,0)*Materiales!$G$227))</f>
        <v/>
      </c>
      <c r="J1570" s="65">
        <f>IF(J1569&lt;=0,0,IF(Materiales!$G$227&lt;=0,J1569,ROUNDUP(J1569/Materiales!$G$227,0)*Materiales!$G$227))</f>
        <v/>
      </c>
      <c r="K1570" s="65">
        <f>IF(K1569&lt;=0,0,IF(Materiales!$G$227&lt;=0,K1569,ROUNDUP(K1569/Materiales!$G$227,0)*Materiales!$G$227))</f>
        <v/>
      </c>
      <c r="L1570" s="65">
        <f>IF(L1569&lt;=0,0,IF(Materiales!$G$227&lt;=0,L1569,ROUNDUP(L1569/Materiales!$G$227,0)*Materiales!$G$227))</f>
        <v/>
      </c>
      <c r="M1570" s="66" t="n"/>
    </row>
    <row r="1571">
      <c r="C1571" s="70" t="inlineStr">
        <is>
          <t>LANZAMIENTO DE ORDEN — pedir esta semana</t>
        </is>
      </c>
      <c r="D1571" s="64" t="n"/>
      <c r="E1571" s="71">
        <f>IF(1+Materiales!$F$227&gt;8,0,INDEX($E$1570:$L$1570,1,1+Materiales!$F$227))</f>
        <v/>
      </c>
      <c r="F1571" s="71">
        <f>IF(2+Materiales!$F$227&gt;8,0,INDEX($E$1570:$L$1570,1,2+Materiales!$F$227))</f>
        <v/>
      </c>
      <c r="G1571" s="71">
        <f>IF(3+Materiales!$F$227&gt;8,0,INDEX($E$1570:$L$1570,1,3+Materiales!$F$227))</f>
        <v/>
      </c>
      <c r="H1571" s="71">
        <f>IF(4+Materiales!$F$227&gt;8,0,INDEX($E$1570:$L$1570,1,4+Materiales!$F$227))</f>
        <v/>
      </c>
      <c r="I1571" s="71">
        <f>IF(5+Materiales!$F$227&gt;8,0,INDEX($E$1570:$L$1570,1,5+Materiales!$F$227))</f>
        <v/>
      </c>
      <c r="J1571" s="71">
        <f>IF(6+Materiales!$F$227&gt;8,0,INDEX($E$1570:$L$1570,1,6+Materiales!$F$227))</f>
        <v/>
      </c>
      <c r="K1571" s="71">
        <f>IF(7+Materiales!$F$227&gt;8,0,INDEX($E$1570:$L$1570,1,7+Materiales!$F$227))</f>
        <v/>
      </c>
      <c r="L1571" s="71">
        <f>IF(8+Materiales!$F$227&gt;8,0,INDEX($E$1570:$L$1570,1,8+Materiales!$F$227))</f>
        <v/>
      </c>
      <c r="M1571" s="72">
        <f>IF($A1566="","",IF(SUMPRODUCT((COLUMN($E$1570:$L$1570)-4&lt;=Materiales!$F$227)*$E$1570:$L$1570)&gt;0,"PEDIR YA (atrasado)","OK"))</f>
        <v/>
      </c>
    </row>
    <row r="1572" ht="6" customHeight="1"/>
    <row r="1573">
      <c r="A1573" s="62">
        <f>IF(Materiales!$A$228="","",Materiales!$A$228)</f>
        <v/>
      </c>
      <c r="B1573" s="62">
        <f>IF(Materiales!$B$228="","",Materiales!$B$228)</f>
        <v/>
      </c>
      <c r="C1573" s="63" t="inlineStr">
        <is>
          <t>Necesidad bruta</t>
        </is>
      </c>
      <c r="D1573" s="64" t="n"/>
      <c r="E1573" s="65">
        <f>ROUND(SUMIF(Consumo!$P$4:$P$189,"#"&amp;$A1573,Consumo!H$4:H$189),4)</f>
        <v/>
      </c>
      <c r="F1573" s="65">
        <f>ROUND(SUMIF(Consumo!$P$4:$P$189,"#"&amp;$A1573,Consumo!I$4:I$189),4)</f>
        <v/>
      </c>
      <c r="G1573" s="65">
        <f>ROUND(SUMIF(Consumo!$P$4:$P$189,"#"&amp;$A1573,Consumo!J$4:J$189),4)</f>
        <v/>
      </c>
      <c r="H1573" s="65">
        <f>ROUND(SUMIF(Consumo!$P$4:$P$189,"#"&amp;$A1573,Consumo!K$4:K$189),4)</f>
        <v/>
      </c>
      <c r="I1573" s="65">
        <f>ROUND(SUMIF(Consumo!$P$4:$P$189,"#"&amp;$A1573,Consumo!L$4:L$189),4)</f>
        <v/>
      </c>
      <c r="J1573" s="65">
        <f>ROUND(SUMIF(Consumo!$P$4:$P$189,"#"&amp;$A1573,Consumo!M$4:M$189),4)</f>
        <v/>
      </c>
      <c r="K1573" s="65">
        <f>ROUND(SUMIF(Consumo!$P$4:$P$189,"#"&amp;$A1573,Consumo!N$4:N$189),4)</f>
        <v/>
      </c>
      <c r="L1573" s="65">
        <f>ROUND(SUMIF(Consumo!$P$4:$P$189,"#"&amp;$A1573,Consumo!O$4:O$189),4)</f>
        <v/>
      </c>
      <c r="M1573" s="66" t="n"/>
    </row>
    <row r="1574">
      <c r="C1574" s="63" t="inlineStr">
        <is>
          <t>Recepciones programadas (ya pedido)</t>
        </is>
      </c>
      <c r="D1574" s="64" t="n"/>
      <c r="E1574" s="65">
        <f>SUMIF(Inventario!$M$5:$M$505,"#"&amp;$A1573,Inventario!E$5:E$505)</f>
        <v/>
      </c>
      <c r="F1574" s="65">
        <f>SUMIF(Inventario!$M$5:$M$505,"#"&amp;$A1573,Inventario!F$5:F$505)</f>
        <v/>
      </c>
      <c r="G1574" s="65">
        <f>SUMIF(Inventario!$M$5:$M$505,"#"&amp;$A1573,Inventario!G$5:G$505)</f>
        <v/>
      </c>
      <c r="H1574" s="65">
        <f>SUMIF(Inventario!$M$5:$M$505,"#"&amp;$A1573,Inventario!H$5:H$505)</f>
        <v/>
      </c>
      <c r="I1574" s="65">
        <f>SUMIF(Inventario!$M$5:$M$505,"#"&amp;$A1573,Inventario!I$5:I$505)</f>
        <v/>
      </c>
      <c r="J1574" s="65">
        <f>SUMIF(Inventario!$M$5:$M$505,"#"&amp;$A1573,Inventario!J$5:J$505)</f>
        <v/>
      </c>
      <c r="K1574" s="65">
        <f>SUMIF(Inventario!$M$5:$M$505,"#"&amp;$A1573,Inventario!K$5:K$505)</f>
        <v/>
      </c>
      <c r="L1574" s="65">
        <f>SUMIF(Inventario!$M$5:$M$505,"#"&amp;$A1573,Inventario!L$5:L$505)</f>
        <v/>
      </c>
      <c r="M1574" s="66" t="n"/>
    </row>
    <row r="1575">
      <c r="C1575" s="63" t="inlineStr">
        <is>
          <t>Stock proyectado disponible</t>
        </is>
      </c>
      <c r="D1575" s="67">
        <f>SUMIF(Inventario!$M$5:$M$505,"#"&amp;$A1573,Inventario!$C$5:$C$505)</f>
        <v/>
      </c>
      <c r="E1575" s="68">
        <f>D1575+E1574+E1577-E1573</f>
        <v/>
      </c>
      <c r="F1575" s="68">
        <f>E1575+F1574+F1577-F1573</f>
        <v/>
      </c>
      <c r="G1575" s="68">
        <f>F1575+G1574+G1577-G1573</f>
        <v/>
      </c>
      <c r="H1575" s="68">
        <f>G1575+H1574+H1577-H1573</f>
        <v/>
      </c>
      <c r="I1575" s="68">
        <f>H1575+I1574+I1577-I1573</f>
        <v/>
      </c>
      <c r="J1575" s="68">
        <f>I1575+J1574+J1577-J1573</f>
        <v/>
      </c>
      <c r="K1575" s="68">
        <f>J1575+K1574+K1577-K1573</f>
        <v/>
      </c>
      <c r="L1575" s="68">
        <f>K1575+L1574+L1577-L1573</f>
        <v/>
      </c>
      <c r="M1575" s="66" t="n"/>
    </row>
    <row r="1576">
      <c r="C1576" s="63" t="inlineStr">
        <is>
          <t>Necesidad neta</t>
        </is>
      </c>
      <c r="D1576" s="64" t="n"/>
      <c r="E1576" s="69">
        <f>MAX(0,ROUND(E1573+Materiales!$H$228-D1575-E1574,4))</f>
        <v/>
      </c>
      <c r="F1576" s="69">
        <f>MAX(0,ROUND(F1573+Materiales!$H$228-E1575-F1574,4))</f>
        <v/>
      </c>
      <c r="G1576" s="69">
        <f>MAX(0,ROUND(G1573+Materiales!$H$228-F1575-G1574,4))</f>
        <v/>
      </c>
      <c r="H1576" s="69">
        <f>MAX(0,ROUND(H1573+Materiales!$H$228-G1575-H1574,4))</f>
        <v/>
      </c>
      <c r="I1576" s="69">
        <f>MAX(0,ROUND(I1573+Materiales!$H$228-H1575-I1574,4))</f>
        <v/>
      </c>
      <c r="J1576" s="69">
        <f>MAX(0,ROUND(J1573+Materiales!$H$228-I1575-J1574,4))</f>
        <v/>
      </c>
      <c r="K1576" s="69">
        <f>MAX(0,ROUND(K1573+Materiales!$H$228-J1575-K1574,4))</f>
        <v/>
      </c>
      <c r="L1576" s="69">
        <f>MAX(0,ROUND(L1573+Materiales!$H$228-K1575-L1574,4))</f>
        <v/>
      </c>
      <c r="M1576" s="66" t="n"/>
    </row>
    <row r="1577">
      <c r="C1577" s="63" t="inlineStr">
        <is>
          <t>Recepcion de orden planificada</t>
        </is>
      </c>
      <c r="D1577" s="64" t="n"/>
      <c r="E1577" s="65">
        <f>IF(E1576&lt;=0,0,IF(Materiales!$G$228&lt;=0,E1576,ROUNDUP(E1576/Materiales!$G$228,0)*Materiales!$G$228))</f>
        <v/>
      </c>
      <c r="F1577" s="65">
        <f>IF(F1576&lt;=0,0,IF(Materiales!$G$228&lt;=0,F1576,ROUNDUP(F1576/Materiales!$G$228,0)*Materiales!$G$228))</f>
        <v/>
      </c>
      <c r="G1577" s="65">
        <f>IF(G1576&lt;=0,0,IF(Materiales!$G$228&lt;=0,G1576,ROUNDUP(G1576/Materiales!$G$228,0)*Materiales!$G$228))</f>
        <v/>
      </c>
      <c r="H1577" s="65">
        <f>IF(H1576&lt;=0,0,IF(Materiales!$G$228&lt;=0,H1576,ROUNDUP(H1576/Materiales!$G$228,0)*Materiales!$G$228))</f>
        <v/>
      </c>
      <c r="I1577" s="65">
        <f>IF(I1576&lt;=0,0,IF(Materiales!$G$228&lt;=0,I1576,ROUNDUP(I1576/Materiales!$G$228,0)*Materiales!$G$228))</f>
        <v/>
      </c>
      <c r="J1577" s="65">
        <f>IF(J1576&lt;=0,0,IF(Materiales!$G$228&lt;=0,J1576,ROUNDUP(J1576/Materiales!$G$228,0)*Materiales!$G$228))</f>
        <v/>
      </c>
      <c r="K1577" s="65">
        <f>IF(K1576&lt;=0,0,IF(Materiales!$G$228&lt;=0,K1576,ROUNDUP(K1576/Materiales!$G$228,0)*Materiales!$G$228))</f>
        <v/>
      </c>
      <c r="L1577" s="65">
        <f>IF(L1576&lt;=0,0,IF(Materiales!$G$228&lt;=0,L1576,ROUNDUP(L1576/Materiales!$G$228,0)*Materiales!$G$228))</f>
        <v/>
      </c>
      <c r="M1577" s="66" t="n"/>
    </row>
    <row r="1578">
      <c r="C1578" s="70" t="inlineStr">
        <is>
          <t>LANZAMIENTO DE ORDEN — pedir esta semana</t>
        </is>
      </c>
      <c r="D1578" s="64" t="n"/>
      <c r="E1578" s="71">
        <f>IF(1+Materiales!$F$228&gt;8,0,INDEX($E$1577:$L$1577,1,1+Materiales!$F$228))</f>
        <v/>
      </c>
      <c r="F1578" s="71">
        <f>IF(2+Materiales!$F$228&gt;8,0,INDEX($E$1577:$L$1577,1,2+Materiales!$F$228))</f>
        <v/>
      </c>
      <c r="G1578" s="71">
        <f>IF(3+Materiales!$F$228&gt;8,0,INDEX($E$1577:$L$1577,1,3+Materiales!$F$228))</f>
        <v/>
      </c>
      <c r="H1578" s="71">
        <f>IF(4+Materiales!$F$228&gt;8,0,INDEX($E$1577:$L$1577,1,4+Materiales!$F$228))</f>
        <v/>
      </c>
      <c r="I1578" s="71">
        <f>IF(5+Materiales!$F$228&gt;8,0,INDEX($E$1577:$L$1577,1,5+Materiales!$F$228))</f>
        <v/>
      </c>
      <c r="J1578" s="71">
        <f>IF(6+Materiales!$F$228&gt;8,0,INDEX($E$1577:$L$1577,1,6+Materiales!$F$228))</f>
        <v/>
      </c>
      <c r="K1578" s="71">
        <f>IF(7+Materiales!$F$228&gt;8,0,INDEX($E$1577:$L$1577,1,7+Materiales!$F$228))</f>
        <v/>
      </c>
      <c r="L1578" s="71">
        <f>IF(8+Materiales!$F$228&gt;8,0,INDEX($E$1577:$L$1577,1,8+Materiales!$F$228))</f>
        <v/>
      </c>
      <c r="M1578" s="72">
        <f>IF($A1573="","",IF(SUMPRODUCT((COLUMN($E$1577:$L$1577)-4&lt;=Materiales!$F$228)*$E$1577:$L$1577)&gt;0,"PEDIR YA (atrasado)","OK"))</f>
        <v/>
      </c>
    </row>
    <row r="1579" ht="6" customHeight="1"/>
    <row r="1580">
      <c r="A1580" s="62">
        <f>IF(Materiales!$A$229="","",Materiales!$A$229)</f>
        <v/>
      </c>
      <c r="B1580" s="62">
        <f>IF(Materiales!$B$229="","",Materiales!$B$229)</f>
        <v/>
      </c>
      <c r="C1580" s="63" t="inlineStr">
        <is>
          <t>Necesidad bruta</t>
        </is>
      </c>
      <c r="D1580" s="64" t="n"/>
      <c r="E1580" s="65">
        <f>ROUND(SUMIF(Consumo!$P$4:$P$189,"#"&amp;$A1580,Consumo!H$4:H$189),4)</f>
        <v/>
      </c>
      <c r="F1580" s="65">
        <f>ROUND(SUMIF(Consumo!$P$4:$P$189,"#"&amp;$A1580,Consumo!I$4:I$189),4)</f>
        <v/>
      </c>
      <c r="G1580" s="65">
        <f>ROUND(SUMIF(Consumo!$P$4:$P$189,"#"&amp;$A1580,Consumo!J$4:J$189),4)</f>
        <v/>
      </c>
      <c r="H1580" s="65">
        <f>ROUND(SUMIF(Consumo!$P$4:$P$189,"#"&amp;$A1580,Consumo!K$4:K$189),4)</f>
        <v/>
      </c>
      <c r="I1580" s="65">
        <f>ROUND(SUMIF(Consumo!$P$4:$P$189,"#"&amp;$A1580,Consumo!L$4:L$189),4)</f>
        <v/>
      </c>
      <c r="J1580" s="65">
        <f>ROUND(SUMIF(Consumo!$P$4:$P$189,"#"&amp;$A1580,Consumo!M$4:M$189),4)</f>
        <v/>
      </c>
      <c r="K1580" s="65">
        <f>ROUND(SUMIF(Consumo!$P$4:$P$189,"#"&amp;$A1580,Consumo!N$4:N$189),4)</f>
        <v/>
      </c>
      <c r="L1580" s="65">
        <f>ROUND(SUMIF(Consumo!$P$4:$P$189,"#"&amp;$A1580,Consumo!O$4:O$189),4)</f>
        <v/>
      </c>
      <c r="M1580" s="66" t="n"/>
    </row>
    <row r="1581">
      <c r="C1581" s="63" t="inlineStr">
        <is>
          <t>Recepciones programadas (ya pedido)</t>
        </is>
      </c>
      <c r="D1581" s="64" t="n"/>
      <c r="E1581" s="65">
        <f>SUMIF(Inventario!$M$5:$M$505,"#"&amp;$A1580,Inventario!E$5:E$505)</f>
        <v/>
      </c>
      <c r="F1581" s="65">
        <f>SUMIF(Inventario!$M$5:$M$505,"#"&amp;$A1580,Inventario!F$5:F$505)</f>
        <v/>
      </c>
      <c r="G1581" s="65">
        <f>SUMIF(Inventario!$M$5:$M$505,"#"&amp;$A1580,Inventario!G$5:G$505)</f>
        <v/>
      </c>
      <c r="H1581" s="65">
        <f>SUMIF(Inventario!$M$5:$M$505,"#"&amp;$A1580,Inventario!H$5:H$505)</f>
        <v/>
      </c>
      <c r="I1581" s="65">
        <f>SUMIF(Inventario!$M$5:$M$505,"#"&amp;$A1580,Inventario!I$5:I$505)</f>
        <v/>
      </c>
      <c r="J1581" s="65">
        <f>SUMIF(Inventario!$M$5:$M$505,"#"&amp;$A1580,Inventario!J$5:J$505)</f>
        <v/>
      </c>
      <c r="K1581" s="65">
        <f>SUMIF(Inventario!$M$5:$M$505,"#"&amp;$A1580,Inventario!K$5:K$505)</f>
        <v/>
      </c>
      <c r="L1581" s="65">
        <f>SUMIF(Inventario!$M$5:$M$505,"#"&amp;$A1580,Inventario!L$5:L$505)</f>
        <v/>
      </c>
      <c r="M1581" s="66" t="n"/>
    </row>
    <row r="1582">
      <c r="C1582" s="63" t="inlineStr">
        <is>
          <t>Stock proyectado disponible</t>
        </is>
      </c>
      <c r="D1582" s="67">
        <f>SUMIF(Inventario!$M$5:$M$505,"#"&amp;$A1580,Inventario!$C$5:$C$505)</f>
        <v/>
      </c>
      <c r="E1582" s="68">
        <f>D1582+E1581+E1584-E1580</f>
        <v/>
      </c>
      <c r="F1582" s="68">
        <f>E1582+F1581+F1584-F1580</f>
        <v/>
      </c>
      <c r="G1582" s="68">
        <f>F1582+G1581+G1584-G1580</f>
        <v/>
      </c>
      <c r="H1582" s="68">
        <f>G1582+H1581+H1584-H1580</f>
        <v/>
      </c>
      <c r="I1582" s="68">
        <f>H1582+I1581+I1584-I1580</f>
        <v/>
      </c>
      <c r="J1582" s="68">
        <f>I1582+J1581+J1584-J1580</f>
        <v/>
      </c>
      <c r="K1582" s="68">
        <f>J1582+K1581+K1584-K1580</f>
        <v/>
      </c>
      <c r="L1582" s="68">
        <f>K1582+L1581+L1584-L1580</f>
        <v/>
      </c>
      <c r="M1582" s="66" t="n"/>
    </row>
    <row r="1583">
      <c r="C1583" s="63" t="inlineStr">
        <is>
          <t>Necesidad neta</t>
        </is>
      </c>
      <c r="D1583" s="64" t="n"/>
      <c r="E1583" s="69">
        <f>MAX(0,ROUND(E1580+Materiales!$H$229-D1582-E1581,4))</f>
        <v/>
      </c>
      <c r="F1583" s="69">
        <f>MAX(0,ROUND(F1580+Materiales!$H$229-E1582-F1581,4))</f>
        <v/>
      </c>
      <c r="G1583" s="69">
        <f>MAX(0,ROUND(G1580+Materiales!$H$229-F1582-G1581,4))</f>
        <v/>
      </c>
      <c r="H1583" s="69">
        <f>MAX(0,ROUND(H1580+Materiales!$H$229-G1582-H1581,4))</f>
        <v/>
      </c>
      <c r="I1583" s="69">
        <f>MAX(0,ROUND(I1580+Materiales!$H$229-H1582-I1581,4))</f>
        <v/>
      </c>
      <c r="J1583" s="69">
        <f>MAX(0,ROUND(J1580+Materiales!$H$229-I1582-J1581,4))</f>
        <v/>
      </c>
      <c r="K1583" s="69">
        <f>MAX(0,ROUND(K1580+Materiales!$H$229-J1582-K1581,4))</f>
        <v/>
      </c>
      <c r="L1583" s="69">
        <f>MAX(0,ROUND(L1580+Materiales!$H$229-K1582-L1581,4))</f>
        <v/>
      </c>
      <c r="M1583" s="66" t="n"/>
    </row>
    <row r="1584">
      <c r="C1584" s="63" t="inlineStr">
        <is>
          <t>Recepcion de orden planificada</t>
        </is>
      </c>
      <c r="D1584" s="64" t="n"/>
      <c r="E1584" s="65">
        <f>IF(E1583&lt;=0,0,IF(Materiales!$G$229&lt;=0,E1583,ROUNDUP(E1583/Materiales!$G$229,0)*Materiales!$G$229))</f>
        <v/>
      </c>
      <c r="F1584" s="65">
        <f>IF(F1583&lt;=0,0,IF(Materiales!$G$229&lt;=0,F1583,ROUNDUP(F1583/Materiales!$G$229,0)*Materiales!$G$229))</f>
        <v/>
      </c>
      <c r="G1584" s="65">
        <f>IF(G1583&lt;=0,0,IF(Materiales!$G$229&lt;=0,G1583,ROUNDUP(G1583/Materiales!$G$229,0)*Materiales!$G$229))</f>
        <v/>
      </c>
      <c r="H1584" s="65">
        <f>IF(H1583&lt;=0,0,IF(Materiales!$G$229&lt;=0,H1583,ROUNDUP(H1583/Materiales!$G$229,0)*Materiales!$G$229))</f>
        <v/>
      </c>
      <c r="I1584" s="65">
        <f>IF(I1583&lt;=0,0,IF(Materiales!$G$229&lt;=0,I1583,ROUNDUP(I1583/Materiales!$G$229,0)*Materiales!$G$229))</f>
        <v/>
      </c>
      <c r="J1584" s="65">
        <f>IF(J1583&lt;=0,0,IF(Materiales!$G$229&lt;=0,J1583,ROUNDUP(J1583/Materiales!$G$229,0)*Materiales!$G$229))</f>
        <v/>
      </c>
      <c r="K1584" s="65">
        <f>IF(K1583&lt;=0,0,IF(Materiales!$G$229&lt;=0,K1583,ROUNDUP(K1583/Materiales!$G$229,0)*Materiales!$G$229))</f>
        <v/>
      </c>
      <c r="L1584" s="65">
        <f>IF(L1583&lt;=0,0,IF(Materiales!$G$229&lt;=0,L1583,ROUNDUP(L1583/Materiales!$G$229,0)*Materiales!$G$229))</f>
        <v/>
      </c>
      <c r="M1584" s="66" t="n"/>
    </row>
    <row r="1585">
      <c r="C1585" s="70" t="inlineStr">
        <is>
          <t>LANZAMIENTO DE ORDEN — pedir esta semana</t>
        </is>
      </c>
      <c r="D1585" s="64" t="n"/>
      <c r="E1585" s="71">
        <f>IF(1+Materiales!$F$229&gt;8,0,INDEX($E$1584:$L$1584,1,1+Materiales!$F$229))</f>
        <v/>
      </c>
      <c r="F1585" s="71">
        <f>IF(2+Materiales!$F$229&gt;8,0,INDEX($E$1584:$L$1584,1,2+Materiales!$F$229))</f>
        <v/>
      </c>
      <c r="G1585" s="71">
        <f>IF(3+Materiales!$F$229&gt;8,0,INDEX($E$1584:$L$1584,1,3+Materiales!$F$229))</f>
        <v/>
      </c>
      <c r="H1585" s="71">
        <f>IF(4+Materiales!$F$229&gt;8,0,INDEX($E$1584:$L$1584,1,4+Materiales!$F$229))</f>
        <v/>
      </c>
      <c r="I1585" s="71">
        <f>IF(5+Materiales!$F$229&gt;8,0,INDEX($E$1584:$L$1584,1,5+Materiales!$F$229))</f>
        <v/>
      </c>
      <c r="J1585" s="71">
        <f>IF(6+Materiales!$F$229&gt;8,0,INDEX($E$1584:$L$1584,1,6+Materiales!$F$229))</f>
        <v/>
      </c>
      <c r="K1585" s="71">
        <f>IF(7+Materiales!$F$229&gt;8,0,INDEX($E$1584:$L$1584,1,7+Materiales!$F$229))</f>
        <v/>
      </c>
      <c r="L1585" s="71">
        <f>IF(8+Materiales!$F$229&gt;8,0,INDEX($E$1584:$L$1584,1,8+Materiales!$F$229))</f>
        <v/>
      </c>
      <c r="M1585" s="72">
        <f>IF($A1580="","",IF(SUMPRODUCT((COLUMN($E$1584:$L$1584)-4&lt;=Materiales!$F$229)*$E$1584:$L$1584)&gt;0,"PEDIR YA (atrasado)","OK"))</f>
        <v/>
      </c>
    </row>
    <row r="1586" ht="6" customHeight="1"/>
    <row r="1587">
      <c r="A1587" s="62">
        <f>IF(Materiales!$A$230="","",Materiales!$A$230)</f>
        <v/>
      </c>
      <c r="B1587" s="62">
        <f>IF(Materiales!$B$230="","",Materiales!$B$230)</f>
        <v/>
      </c>
      <c r="C1587" s="63" t="inlineStr">
        <is>
          <t>Necesidad bruta</t>
        </is>
      </c>
      <c r="D1587" s="64" t="n"/>
      <c r="E1587" s="65">
        <f>ROUND(SUMIF(Consumo!$P$4:$P$189,"#"&amp;$A1587,Consumo!H$4:H$189),4)</f>
        <v/>
      </c>
      <c r="F1587" s="65">
        <f>ROUND(SUMIF(Consumo!$P$4:$P$189,"#"&amp;$A1587,Consumo!I$4:I$189),4)</f>
        <v/>
      </c>
      <c r="G1587" s="65">
        <f>ROUND(SUMIF(Consumo!$P$4:$P$189,"#"&amp;$A1587,Consumo!J$4:J$189),4)</f>
        <v/>
      </c>
      <c r="H1587" s="65">
        <f>ROUND(SUMIF(Consumo!$P$4:$P$189,"#"&amp;$A1587,Consumo!K$4:K$189),4)</f>
        <v/>
      </c>
      <c r="I1587" s="65">
        <f>ROUND(SUMIF(Consumo!$P$4:$P$189,"#"&amp;$A1587,Consumo!L$4:L$189),4)</f>
        <v/>
      </c>
      <c r="J1587" s="65">
        <f>ROUND(SUMIF(Consumo!$P$4:$P$189,"#"&amp;$A1587,Consumo!M$4:M$189),4)</f>
        <v/>
      </c>
      <c r="K1587" s="65">
        <f>ROUND(SUMIF(Consumo!$P$4:$P$189,"#"&amp;$A1587,Consumo!N$4:N$189),4)</f>
        <v/>
      </c>
      <c r="L1587" s="65">
        <f>ROUND(SUMIF(Consumo!$P$4:$P$189,"#"&amp;$A1587,Consumo!O$4:O$189),4)</f>
        <v/>
      </c>
      <c r="M1587" s="66" t="n"/>
    </row>
    <row r="1588">
      <c r="C1588" s="63" t="inlineStr">
        <is>
          <t>Recepciones programadas (ya pedido)</t>
        </is>
      </c>
      <c r="D1588" s="64" t="n"/>
      <c r="E1588" s="65">
        <f>SUMIF(Inventario!$M$5:$M$505,"#"&amp;$A1587,Inventario!E$5:E$505)</f>
        <v/>
      </c>
      <c r="F1588" s="65">
        <f>SUMIF(Inventario!$M$5:$M$505,"#"&amp;$A1587,Inventario!F$5:F$505)</f>
        <v/>
      </c>
      <c r="G1588" s="65">
        <f>SUMIF(Inventario!$M$5:$M$505,"#"&amp;$A1587,Inventario!G$5:G$505)</f>
        <v/>
      </c>
      <c r="H1588" s="65">
        <f>SUMIF(Inventario!$M$5:$M$505,"#"&amp;$A1587,Inventario!H$5:H$505)</f>
        <v/>
      </c>
      <c r="I1588" s="65">
        <f>SUMIF(Inventario!$M$5:$M$505,"#"&amp;$A1587,Inventario!I$5:I$505)</f>
        <v/>
      </c>
      <c r="J1588" s="65">
        <f>SUMIF(Inventario!$M$5:$M$505,"#"&amp;$A1587,Inventario!J$5:J$505)</f>
        <v/>
      </c>
      <c r="K1588" s="65">
        <f>SUMIF(Inventario!$M$5:$M$505,"#"&amp;$A1587,Inventario!K$5:K$505)</f>
        <v/>
      </c>
      <c r="L1588" s="65">
        <f>SUMIF(Inventario!$M$5:$M$505,"#"&amp;$A1587,Inventario!L$5:L$505)</f>
        <v/>
      </c>
      <c r="M1588" s="66" t="n"/>
    </row>
    <row r="1589">
      <c r="C1589" s="63" t="inlineStr">
        <is>
          <t>Stock proyectado disponible</t>
        </is>
      </c>
      <c r="D1589" s="67">
        <f>SUMIF(Inventario!$M$5:$M$505,"#"&amp;$A1587,Inventario!$C$5:$C$505)</f>
        <v/>
      </c>
      <c r="E1589" s="68">
        <f>D1589+E1588+E1591-E1587</f>
        <v/>
      </c>
      <c r="F1589" s="68">
        <f>E1589+F1588+F1591-F1587</f>
        <v/>
      </c>
      <c r="G1589" s="68">
        <f>F1589+G1588+G1591-G1587</f>
        <v/>
      </c>
      <c r="H1589" s="68">
        <f>G1589+H1588+H1591-H1587</f>
        <v/>
      </c>
      <c r="I1589" s="68">
        <f>H1589+I1588+I1591-I1587</f>
        <v/>
      </c>
      <c r="J1589" s="68">
        <f>I1589+J1588+J1591-J1587</f>
        <v/>
      </c>
      <c r="K1589" s="68">
        <f>J1589+K1588+K1591-K1587</f>
        <v/>
      </c>
      <c r="L1589" s="68">
        <f>K1589+L1588+L1591-L1587</f>
        <v/>
      </c>
      <c r="M1589" s="66" t="n"/>
    </row>
    <row r="1590">
      <c r="C1590" s="63" t="inlineStr">
        <is>
          <t>Necesidad neta</t>
        </is>
      </c>
      <c r="D1590" s="64" t="n"/>
      <c r="E1590" s="69">
        <f>MAX(0,ROUND(E1587+Materiales!$H$230-D1589-E1588,4))</f>
        <v/>
      </c>
      <c r="F1590" s="69">
        <f>MAX(0,ROUND(F1587+Materiales!$H$230-E1589-F1588,4))</f>
        <v/>
      </c>
      <c r="G1590" s="69">
        <f>MAX(0,ROUND(G1587+Materiales!$H$230-F1589-G1588,4))</f>
        <v/>
      </c>
      <c r="H1590" s="69">
        <f>MAX(0,ROUND(H1587+Materiales!$H$230-G1589-H1588,4))</f>
        <v/>
      </c>
      <c r="I1590" s="69">
        <f>MAX(0,ROUND(I1587+Materiales!$H$230-H1589-I1588,4))</f>
        <v/>
      </c>
      <c r="J1590" s="69">
        <f>MAX(0,ROUND(J1587+Materiales!$H$230-I1589-J1588,4))</f>
        <v/>
      </c>
      <c r="K1590" s="69">
        <f>MAX(0,ROUND(K1587+Materiales!$H$230-J1589-K1588,4))</f>
        <v/>
      </c>
      <c r="L1590" s="69">
        <f>MAX(0,ROUND(L1587+Materiales!$H$230-K1589-L1588,4))</f>
        <v/>
      </c>
      <c r="M1590" s="66" t="n"/>
    </row>
    <row r="1591">
      <c r="C1591" s="63" t="inlineStr">
        <is>
          <t>Recepcion de orden planificada</t>
        </is>
      </c>
      <c r="D1591" s="64" t="n"/>
      <c r="E1591" s="65">
        <f>IF(E1590&lt;=0,0,IF(Materiales!$G$230&lt;=0,E1590,ROUNDUP(E1590/Materiales!$G$230,0)*Materiales!$G$230))</f>
        <v/>
      </c>
      <c r="F1591" s="65">
        <f>IF(F1590&lt;=0,0,IF(Materiales!$G$230&lt;=0,F1590,ROUNDUP(F1590/Materiales!$G$230,0)*Materiales!$G$230))</f>
        <v/>
      </c>
      <c r="G1591" s="65">
        <f>IF(G1590&lt;=0,0,IF(Materiales!$G$230&lt;=0,G1590,ROUNDUP(G1590/Materiales!$G$230,0)*Materiales!$G$230))</f>
        <v/>
      </c>
      <c r="H1591" s="65">
        <f>IF(H1590&lt;=0,0,IF(Materiales!$G$230&lt;=0,H1590,ROUNDUP(H1590/Materiales!$G$230,0)*Materiales!$G$230))</f>
        <v/>
      </c>
      <c r="I1591" s="65">
        <f>IF(I1590&lt;=0,0,IF(Materiales!$G$230&lt;=0,I1590,ROUNDUP(I1590/Materiales!$G$230,0)*Materiales!$G$230))</f>
        <v/>
      </c>
      <c r="J1591" s="65">
        <f>IF(J1590&lt;=0,0,IF(Materiales!$G$230&lt;=0,J1590,ROUNDUP(J1590/Materiales!$G$230,0)*Materiales!$G$230))</f>
        <v/>
      </c>
      <c r="K1591" s="65">
        <f>IF(K1590&lt;=0,0,IF(Materiales!$G$230&lt;=0,K1590,ROUNDUP(K1590/Materiales!$G$230,0)*Materiales!$G$230))</f>
        <v/>
      </c>
      <c r="L1591" s="65">
        <f>IF(L1590&lt;=0,0,IF(Materiales!$G$230&lt;=0,L1590,ROUNDUP(L1590/Materiales!$G$230,0)*Materiales!$G$230))</f>
        <v/>
      </c>
      <c r="M1591" s="66" t="n"/>
    </row>
    <row r="1592">
      <c r="C1592" s="70" t="inlineStr">
        <is>
          <t>LANZAMIENTO DE ORDEN — pedir esta semana</t>
        </is>
      </c>
      <c r="D1592" s="64" t="n"/>
      <c r="E1592" s="71">
        <f>IF(1+Materiales!$F$230&gt;8,0,INDEX($E$1591:$L$1591,1,1+Materiales!$F$230))</f>
        <v/>
      </c>
      <c r="F1592" s="71">
        <f>IF(2+Materiales!$F$230&gt;8,0,INDEX($E$1591:$L$1591,1,2+Materiales!$F$230))</f>
        <v/>
      </c>
      <c r="G1592" s="71">
        <f>IF(3+Materiales!$F$230&gt;8,0,INDEX($E$1591:$L$1591,1,3+Materiales!$F$230))</f>
        <v/>
      </c>
      <c r="H1592" s="71">
        <f>IF(4+Materiales!$F$230&gt;8,0,INDEX($E$1591:$L$1591,1,4+Materiales!$F$230))</f>
        <v/>
      </c>
      <c r="I1592" s="71">
        <f>IF(5+Materiales!$F$230&gt;8,0,INDEX($E$1591:$L$1591,1,5+Materiales!$F$230))</f>
        <v/>
      </c>
      <c r="J1592" s="71">
        <f>IF(6+Materiales!$F$230&gt;8,0,INDEX($E$1591:$L$1591,1,6+Materiales!$F$230))</f>
        <v/>
      </c>
      <c r="K1592" s="71">
        <f>IF(7+Materiales!$F$230&gt;8,0,INDEX($E$1591:$L$1591,1,7+Materiales!$F$230))</f>
        <v/>
      </c>
      <c r="L1592" s="71">
        <f>IF(8+Materiales!$F$230&gt;8,0,INDEX($E$1591:$L$1591,1,8+Materiales!$F$230))</f>
        <v/>
      </c>
      <c r="M1592" s="72">
        <f>IF($A1587="","",IF(SUMPRODUCT((COLUMN($E$1591:$L$1591)-4&lt;=Materiales!$F$230)*$E$1591:$L$1591)&gt;0,"PEDIR YA (atrasado)","OK"))</f>
        <v/>
      </c>
    </row>
    <row r="1593" ht="6" customHeight="1"/>
    <row r="1594">
      <c r="A1594" s="62">
        <f>IF(Materiales!$A$231="","",Materiales!$A$231)</f>
        <v/>
      </c>
      <c r="B1594" s="62">
        <f>IF(Materiales!$B$231="","",Materiales!$B$231)</f>
        <v/>
      </c>
      <c r="C1594" s="63" t="inlineStr">
        <is>
          <t>Necesidad bruta</t>
        </is>
      </c>
      <c r="D1594" s="64" t="n"/>
      <c r="E1594" s="65">
        <f>ROUND(SUMIF(Consumo!$P$4:$P$189,"#"&amp;$A1594,Consumo!H$4:H$189),4)</f>
        <v/>
      </c>
      <c r="F1594" s="65">
        <f>ROUND(SUMIF(Consumo!$P$4:$P$189,"#"&amp;$A1594,Consumo!I$4:I$189),4)</f>
        <v/>
      </c>
      <c r="G1594" s="65">
        <f>ROUND(SUMIF(Consumo!$P$4:$P$189,"#"&amp;$A1594,Consumo!J$4:J$189),4)</f>
        <v/>
      </c>
      <c r="H1594" s="65">
        <f>ROUND(SUMIF(Consumo!$P$4:$P$189,"#"&amp;$A1594,Consumo!K$4:K$189),4)</f>
        <v/>
      </c>
      <c r="I1594" s="65">
        <f>ROUND(SUMIF(Consumo!$P$4:$P$189,"#"&amp;$A1594,Consumo!L$4:L$189),4)</f>
        <v/>
      </c>
      <c r="J1594" s="65">
        <f>ROUND(SUMIF(Consumo!$P$4:$P$189,"#"&amp;$A1594,Consumo!M$4:M$189),4)</f>
        <v/>
      </c>
      <c r="K1594" s="65">
        <f>ROUND(SUMIF(Consumo!$P$4:$P$189,"#"&amp;$A1594,Consumo!N$4:N$189),4)</f>
        <v/>
      </c>
      <c r="L1594" s="65">
        <f>ROUND(SUMIF(Consumo!$P$4:$P$189,"#"&amp;$A1594,Consumo!O$4:O$189),4)</f>
        <v/>
      </c>
      <c r="M1594" s="66" t="n"/>
    </row>
    <row r="1595">
      <c r="C1595" s="63" t="inlineStr">
        <is>
          <t>Recepciones programadas (ya pedido)</t>
        </is>
      </c>
      <c r="D1595" s="64" t="n"/>
      <c r="E1595" s="65">
        <f>SUMIF(Inventario!$M$5:$M$505,"#"&amp;$A1594,Inventario!E$5:E$505)</f>
        <v/>
      </c>
      <c r="F1595" s="65">
        <f>SUMIF(Inventario!$M$5:$M$505,"#"&amp;$A1594,Inventario!F$5:F$505)</f>
        <v/>
      </c>
      <c r="G1595" s="65">
        <f>SUMIF(Inventario!$M$5:$M$505,"#"&amp;$A1594,Inventario!G$5:G$505)</f>
        <v/>
      </c>
      <c r="H1595" s="65">
        <f>SUMIF(Inventario!$M$5:$M$505,"#"&amp;$A1594,Inventario!H$5:H$505)</f>
        <v/>
      </c>
      <c r="I1595" s="65">
        <f>SUMIF(Inventario!$M$5:$M$505,"#"&amp;$A1594,Inventario!I$5:I$505)</f>
        <v/>
      </c>
      <c r="J1595" s="65">
        <f>SUMIF(Inventario!$M$5:$M$505,"#"&amp;$A1594,Inventario!J$5:J$505)</f>
        <v/>
      </c>
      <c r="K1595" s="65">
        <f>SUMIF(Inventario!$M$5:$M$505,"#"&amp;$A1594,Inventario!K$5:K$505)</f>
        <v/>
      </c>
      <c r="L1595" s="65">
        <f>SUMIF(Inventario!$M$5:$M$505,"#"&amp;$A1594,Inventario!L$5:L$505)</f>
        <v/>
      </c>
      <c r="M1595" s="66" t="n"/>
    </row>
    <row r="1596">
      <c r="C1596" s="63" t="inlineStr">
        <is>
          <t>Stock proyectado disponible</t>
        </is>
      </c>
      <c r="D1596" s="67">
        <f>SUMIF(Inventario!$M$5:$M$505,"#"&amp;$A1594,Inventario!$C$5:$C$505)</f>
        <v/>
      </c>
      <c r="E1596" s="68">
        <f>D1596+E1595+E1598-E1594</f>
        <v/>
      </c>
      <c r="F1596" s="68">
        <f>E1596+F1595+F1598-F1594</f>
        <v/>
      </c>
      <c r="G1596" s="68">
        <f>F1596+G1595+G1598-G1594</f>
        <v/>
      </c>
      <c r="H1596" s="68">
        <f>G1596+H1595+H1598-H1594</f>
        <v/>
      </c>
      <c r="I1596" s="68">
        <f>H1596+I1595+I1598-I1594</f>
        <v/>
      </c>
      <c r="J1596" s="68">
        <f>I1596+J1595+J1598-J1594</f>
        <v/>
      </c>
      <c r="K1596" s="68">
        <f>J1596+K1595+K1598-K1594</f>
        <v/>
      </c>
      <c r="L1596" s="68">
        <f>K1596+L1595+L1598-L1594</f>
        <v/>
      </c>
      <c r="M1596" s="66" t="n"/>
    </row>
    <row r="1597">
      <c r="C1597" s="63" t="inlineStr">
        <is>
          <t>Necesidad neta</t>
        </is>
      </c>
      <c r="D1597" s="64" t="n"/>
      <c r="E1597" s="69">
        <f>MAX(0,ROUND(E1594+Materiales!$H$231-D1596-E1595,4))</f>
        <v/>
      </c>
      <c r="F1597" s="69">
        <f>MAX(0,ROUND(F1594+Materiales!$H$231-E1596-F1595,4))</f>
        <v/>
      </c>
      <c r="G1597" s="69">
        <f>MAX(0,ROUND(G1594+Materiales!$H$231-F1596-G1595,4))</f>
        <v/>
      </c>
      <c r="H1597" s="69">
        <f>MAX(0,ROUND(H1594+Materiales!$H$231-G1596-H1595,4))</f>
        <v/>
      </c>
      <c r="I1597" s="69">
        <f>MAX(0,ROUND(I1594+Materiales!$H$231-H1596-I1595,4))</f>
        <v/>
      </c>
      <c r="J1597" s="69">
        <f>MAX(0,ROUND(J1594+Materiales!$H$231-I1596-J1595,4))</f>
        <v/>
      </c>
      <c r="K1597" s="69">
        <f>MAX(0,ROUND(K1594+Materiales!$H$231-J1596-K1595,4))</f>
        <v/>
      </c>
      <c r="L1597" s="69">
        <f>MAX(0,ROUND(L1594+Materiales!$H$231-K1596-L1595,4))</f>
        <v/>
      </c>
      <c r="M1597" s="66" t="n"/>
    </row>
    <row r="1598">
      <c r="C1598" s="63" t="inlineStr">
        <is>
          <t>Recepcion de orden planificada</t>
        </is>
      </c>
      <c r="D1598" s="64" t="n"/>
      <c r="E1598" s="65">
        <f>IF(E1597&lt;=0,0,IF(Materiales!$G$231&lt;=0,E1597,ROUNDUP(E1597/Materiales!$G$231,0)*Materiales!$G$231))</f>
        <v/>
      </c>
      <c r="F1598" s="65">
        <f>IF(F1597&lt;=0,0,IF(Materiales!$G$231&lt;=0,F1597,ROUNDUP(F1597/Materiales!$G$231,0)*Materiales!$G$231))</f>
        <v/>
      </c>
      <c r="G1598" s="65">
        <f>IF(G1597&lt;=0,0,IF(Materiales!$G$231&lt;=0,G1597,ROUNDUP(G1597/Materiales!$G$231,0)*Materiales!$G$231))</f>
        <v/>
      </c>
      <c r="H1598" s="65">
        <f>IF(H1597&lt;=0,0,IF(Materiales!$G$231&lt;=0,H1597,ROUNDUP(H1597/Materiales!$G$231,0)*Materiales!$G$231))</f>
        <v/>
      </c>
      <c r="I1598" s="65">
        <f>IF(I1597&lt;=0,0,IF(Materiales!$G$231&lt;=0,I1597,ROUNDUP(I1597/Materiales!$G$231,0)*Materiales!$G$231))</f>
        <v/>
      </c>
      <c r="J1598" s="65">
        <f>IF(J1597&lt;=0,0,IF(Materiales!$G$231&lt;=0,J1597,ROUNDUP(J1597/Materiales!$G$231,0)*Materiales!$G$231))</f>
        <v/>
      </c>
      <c r="K1598" s="65">
        <f>IF(K1597&lt;=0,0,IF(Materiales!$G$231&lt;=0,K1597,ROUNDUP(K1597/Materiales!$G$231,0)*Materiales!$G$231))</f>
        <v/>
      </c>
      <c r="L1598" s="65">
        <f>IF(L1597&lt;=0,0,IF(Materiales!$G$231&lt;=0,L1597,ROUNDUP(L1597/Materiales!$G$231,0)*Materiales!$G$231))</f>
        <v/>
      </c>
      <c r="M1598" s="66" t="n"/>
    </row>
    <row r="1599">
      <c r="C1599" s="70" t="inlineStr">
        <is>
          <t>LANZAMIENTO DE ORDEN — pedir esta semana</t>
        </is>
      </c>
      <c r="D1599" s="64" t="n"/>
      <c r="E1599" s="71">
        <f>IF(1+Materiales!$F$231&gt;8,0,INDEX($E$1598:$L$1598,1,1+Materiales!$F$231))</f>
        <v/>
      </c>
      <c r="F1599" s="71">
        <f>IF(2+Materiales!$F$231&gt;8,0,INDEX($E$1598:$L$1598,1,2+Materiales!$F$231))</f>
        <v/>
      </c>
      <c r="G1599" s="71">
        <f>IF(3+Materiales!$F$231&gt;8,0,INDEX($E$1598:$L$1598,1,3+Materiales!$F$231))</f>
        <v/>
      </c>
      <c r="H1599" s="71">
        <f>IF(4+Materiales!$F$231&gt;8,0,INDEX($E$1598:$L$1598,1,4+Materiales!$F$231))</f>
        <v/>
      </c>
      <c r="I1599" s="71">
        <f>IF(5+Materiales!$F$231&gt;8,0,INDEX($E$1598:$L$1598,1,5+Materiales!$F$231))</f>
        <v/>
      </c>
      <c r="J1599" s="71">
        <f>IF(6+Materiales!$F$231&gt;8,0,INDEX($E$1598:$L$1598,1,6+Materiales!$F$231))</f>
        <v/>
      </c>
      <c r="K1599" s="71">
        <f>IF(7+Materiales!$F$231&gt;8,0,INDEX($E$1598:$L$1598,1,7+Materiales!$F$231))</f>
        <v/>
      </c>
      <c r="L1599" s="71">
        <f>IF(8+Materiales!$F$231&gt;8,0,INDEX($E$1598:$L$1598,1,8+Materiales!$F$231))</f>
        <v/>
      </c>
      <c r="M1599" s="72">
        <f>IF($A1594="","",IF(SUMPRODUCT((COLUMN($E$1598:$L$1598)-4&lt;=Materiales!$F$231)*$E$1598:$L$1598)&gt;0,"PEDIR YA (atrasado)","OK"))</f>
        <v/>
      </c>
    </row>
    <row r="1600" ht="6" customHeight="1"/>
    <row r="1601">
      <c r="A1601" s="62">
        <f>IF(Materiales!$A$232="","",Materiales!$A$232)</f>
        <v/>
      </c>
      <c r="B1601" s="62">
        <f>IF(Materiales!$B$232="","",Materiales!$B$232)</f>
        <v/>
      </c>
      <c r="C1601" s="63" t="inlineStr">
        <is>
          <t>Necesidad bruta</t>
        </is>
      </c>
      <c r="D1601" s="64" t="n"/>
      <c r="E1601" s="65">
        <f>ROUND(SUMIF(Consumo!$P$4:$P$189,"#"&amp;$A1601,Consumo!H$4:H$189),4)</f>
        <v/>
      </c>
      <c r="F1601" s="65">
        <f>ROUND(SUMIF(Consumo!$P$4:$P$189,"#"&amp;$A1601,Consumo!I$4:I$189),4)</f>
        <v/>
      </c>
      <c r="G1601" s="65">
        <f>ROUND(SUMIF(Consumo!$P$4:$P$189,"#"&amp;$A1601,Consumo!J$4:J$189),4)</f>
        <v/>
      </c>
      <c r="H1601" s="65">
        <f>ROUND(SUMIF(Consumo!$P$4:$P$189,"#"&amp;$A1601,Consumo!K$4:K$189),4)</f>
        <v/>
      </c>
      <c r="I1601" s="65">
        <f>ROUND(SUMIF(Consumo!$P$4:$P$189,"#"&amp;$A1601,Consumo!L$4:L$189),4)</f>
        <v/>
      </c>
      <c r="J1601" s="65">
        <f>ROUND(SUMIF(Consumo!$P$4:$P$189,"#"&amp;$A1601,Consumo!M$4:M$189),4)</f>
        <v/>
      </c>
      <c r="K1601" s="65">
        <f>ROUND(SUMIF(Consumo!$P$4:$P$189,"#"&amp;$A1601,Consumo!N$4:N$189),4)</f>
        <v/>
      </c>
      <c r="L1601" s="65">
        <f>ROUND(SUMIF(Consumo!$P$4:$P$189,"#"&amp;$A1601,Consumo!O$4:O$189),4)</f>
        <v/>
      </c>
      <c r="M1601" s="66" t="n"/>
    </row>
    <row r="1602">
      <c r="C1602" s="63" t="inlineStr">
        <is>
          <t>Recepciones programadas (ya pedido)</t>
        </is>
      </c>
      <c r="D1602" s="64" t="n"/>
      <c r="E1602" s="65">
        <f>SUMIF(Inventario!$M$5:$M$505,"#"&amp;$A1601,Inventario!E$5:E$505)</f>
        <v/>
      </c>
      <c r="F1602" s="65">
        <f>SUMIF(Inventario!$M$5:$M$505,"#"&amp;$A1601,Inventario!F$5:F$505)</f>
        <v/>
      </c>
      <c r="G1602" s="65">
        <f>SUMIF(Inventario!$M$5:$M$505,"#"&amp;$A1601,Inventario!G$5:G$505)</f>
        <v/>
      </c>
      <c r="H1602" s="65">
        <f>SUMIF(Inventario!$M$5:$M$505,"#"&amp;$A1601,Inventario!H$5:H$505)</f>
        <v/>
      </c>
      <c r="I1602" s="65">
        <f>SUMIF(Inventario!$M$5:$M$505,"#"&amp;$A1601,Inventario!I$5:I$505)</f>
        <v/>
      </c>
      <c r="J1602" s="65">
        <f>SUMIF(Inventario!$M$5:$M$505,"#"&amp;$A1601,Inventario!J$5:J$505)</f>
        <v/>
      </c>
      <c r="K1602" s="65">
        <f>SUMIF(Inventario!$M$5:$M$505,"#"&amp;$A1601,Inventario!K$5:K$505)</f>
        <v/>
      </c>
      <c r="L1602" s="65">
        <f>SUMIF(Inventario!$M$5:$M$505,"#"&amp;$A1601,Inventario!L$5:L$505)</f>
        <v/>
      </c>
      <c r="M1602" s="66" t="n"/>
    </row>
    <row r="1603">
      <c r="C1603" s="63" t="inlineStr">
        <is>
          <t>Stock proyectado disponible</t>
        </is>
      </c>
      <c r="D1603" s="67">
        <f>SUMIF(Inventario!$M$5:$M$505,"#"&amp;$A1601,Inventario!$C$5:$C$505)</f>
        <v/>
      </c>
      <c r="E1603" s="68">
        <f>D1603+E1602+E1605-E1601</f>
        <v/>
      </c>
      <c r="F1603" s="68">
        <f>E1603+F1602+F1605-F1601</f>
        <v/>
      </c>
      <c r="G1603" s="68">
        <f>F1603+G1602+G1605-G1601</f>
        <v/>
      </c>
      <c r="H1603" s="68">
        <f>G1603+H1602+H1605-H1601</f>
        <v/>
      </c>
      <c r="I1603" s="68">
        <f>H1603+I1602+I1605-I1601</f>
        <v/>
      </c>
      <c r="J1603" s="68">
        <f>I1603+J1602+J1605-J1601</f>
        <v/>
      </c>
      <c r="K1603" s="68">
        <f>J1603+K1602+K1605-K1601</f>
        <v/>
      </c>
      <c r="L1603" s="68">
        <f>K1603+L1602+L1605-L1601</f>
        <v/>
      </c>
      <c r="M1603" s="66" t="n"/>
    </row>
    <row r="1604">
      <c r="C1604" s="63" t="inlineStr">
        <is>
          <t>Necesidad neta</t>
        </is>
      </c>
      <c r="D1604" s="64" t="n"/>
      <c r="E1604" s="69">
        <f>MAX(0,ROUND(E1601+Materiales!$H$232-D1603-E1602,4))</f>
        <v/>
      </c>
      <c r="F1604" s="69">
        <f>MAX(0,ROUND(F1601+Materiales!$H$232-E1603-F1602,4))</f>
        <v/>
      </c>
      <c r="G1604" s="69">
        <f>MAX(0,ROUND(G1601+Materiales!$H$232-F1603-G1602,4))</f>
        <v/>
      </c>
      <c r="H1604" s="69">
        <f>MAX(0,ROUND(H1601+Materiales!$H$232-G1603-H1602,4))</f>
        <v/>
      </c>
      <c r="I1604" s="69">
        <f>MAX(0,ROUND(I1601+Materiales!$H$232-H1603-I1602,4))</f>
        <v/>
      </c>
      <c r="J1604" s="69">
        <f>MAX(0,ROUND(J1601+Materiales!$H$232-I1603-J1602,4))</f>
        <v/>
      </c>
      <c r="K1604" s="69">
        <f>MAX(0,ROUND(K1601+Materiales!$H$232-J1603-K1602,4))</f>
        <v/>
      </c>
      <c r="L1604" s="69">
        <f>MAX(0,ROUND(L1601+Materiales!$H$232-K1603-L1602,4))</f>
        <v/>
      </c>
      <c r="M1604" s="66" t="n"/>
    </row>
    <row r="1605">
      <c r="C1605" s="63" t="inlineStr">
        <is>
          <t>Recepcion de orden planificada</t>
        </is>
      </c>
      <c r="D1605" s="64" t="n"/>
      <c r="E1605" s="65">
        <f>IF(E1604&lt;=0,0,IF(Materiales!$G$232&lt;=0,E1604,ROUNDUP(E1604/Materiales!$G$232,0)*Materiales!$G$232))</f>
        <v/>
      </c>
      <c r="F1605" s="65">
        <f>IF(F1604&lt;=0,0,IF(Materiales!$G$232&lt;=0,F1604,ROUNDUP(F1604/Materiales!$G$232,0)*Materiales!$G$232))</f>
        <v/>
      </c>
      <c r="G1605" s="65">
        <f>IF(G1604&lt;=0,0,IF(Materiales!$G$232&lt;=0,G1604,ROUNDUP(G1604/Materiales!$G$232,0)*Materiales!$G$232))</f>
        <v/>
      </c>
      <c r="H1605" s="65">
        <f>IF(H1604&lt;=0,0,IF(Materiales!$G$232&lt;=0,H1604,ROUNDUP(H1604/Materiales!$G$232,0)*Materiales!$G$232))</f>
        <v/>
      </c>
      <c r="I1605" s="65">
        <f>IF(I1604&lt;=0,0,IF(Materiales!$G$232&lt;=0,I1604,ROUNDUP(I1604/Materiales!$G$232,0)*Materiales!$G$232))</f>
        <v/>
      </c>
      <c r="J1605" s="65">
        <f>IF(J1604&lt;=0,0,IF(Materiales!$G$232&lt;=0,J1604,ROUNDUP(J1604/Materiales!$G$232,0)*Materiales!$G$232))</f>
        <v/>
      </c>
      <c r="K1605" s="65">
        <f>IF(K1604&lt;=0,0,IF(Materiales!$G$232&lt;=0,K1604,ROUNDUP(K1604/Materiales!$G$232,0)*Materiales!$G$232))</f>
        <v/>
      </c>
      <c r="L1605" s="65">
        <f>IF(L1604&lt;=0,0,IF(Materiales!$G$232&lt;=0,L1604,ROUNDUP(L1604/Materiales!$G$232,0)*Materiales!$G$232))</f>
        <v/>
      </c>
      <c r="M1605" s="66" t="n"/>
    </row>
    <row r="1606">
      <c r="C1606" s="70" t="inlineStr">
        <is>
          <t>LANZAMIENTO DE ORDEN — pedir esta semana</t>
        </is>
      </c>
      <c r="D1606" s="64" t="n"/>
      <c r="E1606" s="71">
        <f>IF(1+Materiales!$F$232&gt;8,0,INDEX($E$1605:$L$1605,1,1+Materiales!$F$232))</f>
        <v/>
      </c>
      <c r="F1606" s="71">
        <f>IF(2+Materiales!$F$232&gt;8,0,INDEX($E$1605:$L$1605,1,2+Materiales!$F$232))</f>
        <v/>
      </c>
      <c r="G1606" s="71">
        <f>IF(3+Materiales!$F$232&gt;8,0,INDEX($E$1605:$L$1605,1,3+Materiales!$F$232))</f>
        <v/>
      </c>
      <c r="H1606" s="71">
        <f>IF(4+Materiales!$F$232&gt;8,0,INDEX($E$1605:$L$1605,1,4+Materiales!$F$232))</f>
        <v/>
      </c>
      <c r="I1606" s="71">
        <f>IF(5+Materiales!$F$232&gt;8,0,INDEX($E$1605:$L$1605,1,5+Materiales!$F$232))</f>
        <v/>
      </c>
      <c r="J1606" s="71">
        <f>IF(6+Materiales!$F$232&gt;8,0,INDEX($E$1605:$L$1605,1,6+Materiales!$F$232))</f>
        <v/>
      </c>
      <c r="K1606" s="71">
        <f>IF(7+Materiales!$F$232&gt;8,0,INDEX($E$1605:$L$1605,1,7+Materiales!$F$232))</f>
        <v/>
      </c>
      <c r="L1606" s="71">
        <f>IF(8+Materiales!$F$232&gt;8,0,INDEX($E$1605:$L$1605,1,8+Materiales!$F$232))</f>
        <v/>
      </c>
      <c r="M1606" s="72">
        <f>IF($A1601="","",IF(SUMPRODUCT((COLUMN($E$1605:$L$1605)-4&lt;=Materiales!$F$232)*$E$1605:$L$1605)&gt;0,"PEDIR YA (atrasado)","OK"))</f>
        <v/>
      </c>
    </row>
    <row r="1607" ht="6" customHeight="1"/>
    <row r="1608">
      <c r="A1608" s="62">
        <f>IF(Materiales!$A$233="","",Materiales!$A$233)</f>
        <v/>
      </c>
      <c r="B1608" s="62">
        <f>IF(Materiales!$B$233="","",Materiales!$B$233)</f>
        <v/>
      </c>
      <c r="C1608" s="63" t="inlineStr">
        <is>
          <t>Necesidad bruta</t>
        </is>
      </c>
      <c r="D1608" s="64" t="n"/>
      <c r="E1608" s="65">
        <f>ROUND(SUMIF(Consumo!$P$4:$P$189,"#"&amp;$A1608,Consumo!H$4:H$189),4)</f>
        <v/>
      </c>
      <c r="F1608" s="65">
        <f>ROUND(SUMIF(Consumo!$P$4:$P$189,"#"&amp;$A1608,Consumo!I$4:I$189),4)</f>
        <v/>
      </c>
      <c r="G1608" s="65">
        <f>ROUND(SUMIF(Consumo!$P$4:$P$189,"#"&amp;$A1608,Consumo!J$4:J$189),4)</f>
        <v/>
      </c>
      <c r="H1608" s="65">
        <f>ROUND(SUMIF(Consumo!$P$4:$P$189,"#"&amp;$A1608,Consumo!K$4:K$189),4)</f>
        <v/>
      </c>
      <c r="I1608" s="65">
        <f>ROUND(SUMIF(Consumo!$P$4:$P$189,"#"&amp;$A1608,Consumo!L$4:L$189),4)</f>
        <v/>
      </c>
      <c r="J1608" s="65">
        <f>ROUND(SUMIF(Consumo!$P$4:$P$189,"#"&amp;$A1608,Consumo!M$4:M$189),4)</f>
        <v/>
      </c>
      <c r="K1608" s="65">
        <f>ROUND(SUMIF(Consumo!$P$4:$P$189,"#"&amp;$A1608,Consumo!N$4:N$189),4)</f>
        <v/>
      </c>
      <c r="L1608" s="65">
        <f>ROUND(SUMIF(Consumo!$P$4:$P$189,"#"&amp;$A1608,Consumo!O$4:O$189),4)</f>
        <v/>
      </c>
      <c r="M1608" s="66" t="n"/>
    </row>
    <row r="1609">
      <c r="C1609" s="63" t="inlineStr">
        <is>
          <t>Recepciones programadas (ya pedido)</t>
        </is>
      </c>
      <c r="D1609" s="64" t="n"/>
      <c r="E1609" s="65">
        <f>SUMIF(Inventario!$M$5:$M$505,"#"&amp;$A1608,Inventario!E$5:E$505)</f>
        <v/>
      </c>
      <c r="F1609" s="65">
        <f>SUMIF(Inventario!$M$5:$M$505,"#"&amp;$A1608,Inventario!F$5:F$505)</f>
        <v/>
      </c>
      <c r="G1609" s="65">
        <f>SUMIF(Inventario!$M$5:$M$505,"#"&amp;$A1608,Inventario!G$5:G$505)</f>
        <v/>
      </c>
      <c r="H1609" s="65">
        <f>SUMIF(Inventario!$M$5:$M$505,"#"&amp;$A1608,Inventario!H$5:H$505)</f>
        <v/>
      </c>
      <c r="I1609" s="65">
        <f>SUMIF(Inventario!$M$5:$M$505,"#"&amp;$A1608,Inventario!I$5:I$505)</f>
        <v/>
      </c>
      <c r="J1609" s="65">
        <f>SUMIF(Inventario!$M$5:$M$505,"#"&amp;$A1608,Inventario!J$5:J$505)</f>
        <v/>
      </c>
      <c r="K1609" s="65">
        <f>SUMIF(Inventario!$M$5:$M$505,"#"&amp;$A1608,Inventario!K$5:K$505)</f>
        <v/>
      </c>
      <c r="L1609" s="65">
        <f>SUMIF(Inventario!$M$5:$M$505,"#"&amp;$A1608,Inventario!L$5:L$505)</f>
        <v/>
      </c>
      <c r="M1609" s="66" t="n"/>
    </row>
    <row r="1610">
      <c r="C1610" s="63" t="inlineStr">
        <is>
          <t>Stock proyectado disponible</t>
        </is>
      </c>
      <c r="D1610" s="67">
        <f>SUMIF(Inventario!$M$5:$M$505,"#"&amp;$A1608,Inventario!$C$5:$C$505)</f>
        <v/>
      </c>
      <c r="E1610" s="68">
        <f>D1610+E1609+E1612-E1608</f>
        <v/>
      </c>
      <c r="F1610" s="68">
        <f>E1610+F1609+F1612-F1608</f>
        <v/>
      </c>
      <c r="G1610" s="68">
        <f>F1610+G1609+G1612-G1608</f>
        <v/>
      </c>
      <c r="H1610" s="68">
        <f>G1610+H1609+H1612-H1608</f>
        <v/>
      </c>
      <c r="I1610" s="68">
        <f>H1610+I1609+I1612-I1608</f>
        <v/>
      </c>
      <c r="J1610" s="68">
        <f>I1610+J1609+J1612-J1608</f>
        <v/>
      </c>
      <c r="K1610" s="68">
        <f>J1610+K1609+K1612-K1608</f>
        <v/>
      </c>
      <c r="L1610" s="68">
        <f>K1610+L1609+L1612-L1608</f>
        <v/>
      </c>
      <c r="M1610" s="66" t="n"/>
    </row>
    <row r="1611">
      <c r="C1611" s="63" t="inlineStr">
        <is>
          <t>Necesidad neta</t>
        </is>
      </c>
      <c r="D1611" s="64" t="n"/>
      <c r="E1611" s="69">
        <f>MAX(0,ROUND(E1608+Materiales!$H$233-D1610-E1609,4))</f>
        <v/>
      </c>
      <c r="F1611" s="69">
        <f>MAX(0,ROUND(F1608+Materiales!$H$233-E1610-F1609,4))</f>
        <v/>
      </c>
      <c r="G1611" s="69">
        <f>MAX(0,ROUND(G1608+Materiales!$H$233-F1610-G1609,4))</f>
        <v/>
      </c>
      <c r="H1611" s="69">
        <f>MAX(0,ROUND(H1608+Materiales!$H$233-G1610-H1609,4))</f>
        <v/>
      </c>
      <c r="I1611" s="69">
        <f>MAX(0,ROUND(I1608+Materiales!$H$233-H1610-I1609,4))</f>
        <v/>
      </c>
      <c r="J1611" s="69">
        <f>MAX(0,ROUND(J1608+Materiales!$H$233-I1610-J1609,4))</f>
        <v/>
      </c>
      <c r="K1611" s="69">
        <f>MAX(0,ROUND(K1608+Materiales!$H$233-J1610-K1609,4))</f>
        <v/>
      </c>
      <c r="L1611" s="69">
        <f>MAX(0,ROUND(L1608+Materiales!$H$233-K1610-L1609,4))</f>
        <v/>
      </c>
      <c r="M1611" s="66" t="n"/>
    </row>
    <row r="1612">
      <c r="C1612" s="63" t="inlineStr">
        <is>
          <t>Recepcion de orden planificada</t>
        </is>
      </c>
      <c r="D1612" s="64" t="n"/>
      <c r="E1612" s="65">
        <f>IF(E1611&lt;=0,0,IF(Materiales!$G$233&lt;=0,E1611,ROUNDUP(E1611/Materiales!$G$233,0)*Materiales!$G$233))</f>
        <v/>
      </c>
      <c r="F1612" s="65">
        <f>IF(F1611&lt;=0,0,IF(Materiales!$G$233&lt;=0,F1611,ROUNDUP(F1611/Materiales!$G$233,0)*Materiales!$G$233))</f>
        <v/>
      </c>
      <c r="G1612" s="65">
        <f>IF(G1611&lt;=0,0,IF(Materiales!$G$233&lt;=0,G1611,ROUNDUP(G1611/Materiales!$G$233,0)*Materiales!$G$233))</f>
        <v/>
      </c>
      <c r="H1612" s="65">
        <f>IF(H1611&lt;=0,0,IF(Materiales!$G$233&lt;=0,H1611,ROUNDUP(H1611/Materiales!$G$233,0)*Materiales!$G$233))</f>
        <v/>
      </c>
      <c r="I1612" s="65">
        <f>IF(I1611&lt;=0,0,IF(Materiales!$G$233&lt;=0,I1611,ROUNDUP(I1611/Materiales!$G$233,0)*Materiales!$G$233))</f>
        <v/>
      </c>
      <c r="J1612" s="65">
        <f>IF(J1611&lt;=0,0,IF(Materiales!$G$233&lt;=0,J1611,ROUNDUP(J1611/Materiales!$G$233,0)*Materiales!$G$233))</f>
        <v/>
      </c>
      <c r="K1612" s="65">
        <f>IF(K1611&lt;=0,0,IF(Materiales!$G$233&lt;=0,K1611,ROUNDUP(K1611/Materiales!$G$233,0)*Materiales!$G$233))</f>
        <v/>
      </c>
      <c r="L1612" s="65">
        <f>IF(L1611&lt;=0,0,IF(Materiales!$G$233&lt;=0,L1611,ROUNDUP(L1611/Materiales!$G$233,0)*Materiales!$G$233))</f>
        <v/>
      </c>
      <c r="M1612" s="66" t="n"/>
    </row>
    <row r="1613">
      <c r="C1613" s="70" t="inlineStr">
        <is>
          <t>LANZAMIENTO DE ORDEN — pedir esta semana</t>
        </is>
      </c>
      <c r="D1613" s="64" t="n"/>
      <c r="E1613" s="71">
        <f>IF(1+Materiales!$F$233&gt;8,0,INDEX($E$1612:$L$1612,1,1+Materiales!$F$233))</f>
        <v/>
      </c>
      <c r="F1613" s="71">
        <f>IF(2+Materiales!$F$233&gt;8,0,INDEX($E$1612:$L$1612,1,2+Materiales!$F$233))</f>
        <v/>
      </c>
      <c r="G1613" s="71">
        <f>IF(3+Materiales!$F$233&gt;8,0,INDEX($E$1612:$L$1612,1,3+Materiales!$F$233))</f>
        <v/>
      </c>
      <c r="H1613" s="71">
        <f>IF(4+Materiales!$F$233&gt;8,0,INDEX($E$1612:$L$1612,1,4+Materiales!$F$233))</f>
        <v/>
      </c>
      <c r="I1613" s="71">
        <f>IF(5+Materiales!$F$233&gt;8,0,INDEX($E$1612:$L$1612,1,5+Materiales!$F$233))</f>
        <v/>
      </c>
      <c r="J1613" s="71">
        <f>IF(6+Materiales!$F$233&gt;8,0,INDEX($E$1612:$L$1612,1,6+Materiales!$F$233))</f>
        <v/>
      </c>
      <c r="K1613" s="71">
        <f>IF(7+Materiales!$F$233&gt;8,0,INDEX($E$1612:$L$1612,1,7+Materiales!$F$233))</f>
        <v/>
      </c>
      <c r="L1613" s="71">
        <f>IF(8+Materiales!$F$233&gt;8,0,INDEX($E$1612:$L$1612,1,8+Materiales!$F$233))</f>
        <v/>
      </c>
      <c r="M1613" s="72">
        <f>IF($A1608="","",IF(SUMPRODUCT((COLUMN($E$1612:$L$1612)-4&lt;=Materiales!$F$233)*$E$1612:$L$1612)&gt;0,"PEDIR YA (atrasado)","OK"))</f>
        <v/>
      </c>
    </row>
    <row r="1614" ht="6" customHeight="1"/>
    <row r="1615">
      <c r="A1615" s="62">
        <f>IF(Materiales!$A$234="","",Materiales!$A$234)</f>
        <v/>
      </c>
      <c r="B1615" s="62">
        <f>IF(Materiales!$B$234="","",Materiales!$B$234)</f>
        <v/>
      </c>
      <c r="C1615" s="63" t="inlineStr">
        <is>
          <t>Necesidad bruta</t>
        </is>
      </c>
      <c r="D1615" s="64" t="n"/>
      <c r="E1615" s="65">
        <f>ROUND(SUMIF(Consumo!$P$4:$P$189,"#"&amp;$A1615,Consumo!H$4:H$189),4)</f>
        <v/>
      </c>
      <c r="F1615" s="65">
        <f>ROUND(SUMIF(Consumo!$P$4:$P$189,"#"&amp;$A1615,Consumo!I$4:I$189),4)</f>
        <v/>
      </c>
      <c r="G1615" s="65">
        <f>ROUND(SUMIF(Consumo!$P$4:$P$189,"#"&amp;$A1615,Consumo!J$4:J$189),4)</f>
        <v/>
      </c>
      <c r="H1615" s="65">
        <f>ROUND(SUMIF(Consumo!$P$4:$P$189,"#"&amp;$A1615,Consumo!K$4:K$189),4)</f>
        <v/>
      </c>
      <c r="I1615" s="65">
        <f>ROUND(SUMIF(Consumo!$P$4:$P$189,"#"&amp;$A1615,Consumo!L$4:L$189),4)</f>
        <v/>
      </c>
      <c r="J1615" s="65">
        <f>ROUND(SUMIF(Consumo!$P$4:$P$189,"#"&amp;$A1615,Consumo!M$4:M$189),4)</f>
        <v/>
      </c>
      <c r="K1615" s="65">
        <f>ROUND(SUMIF(Consumo!$P$4:$P$189,"#"&amp;$A1615,Consumo!N$4:N$189),4)</f>
        <v/>
      </c>
      <c r="L1615" s="65">
        <f>ROUND(SUMIF(Consumo!$P$4:$P$189,"#"&amp;$A1615,Consumo!O$4:O$189),4)</f>
        <v/>
      </c>
      <c r="M1615" s="66" t="n"/>
    </row>
    <row r="1616">
      <c r="C1616" s="63" t="inlineStr">
        <is>
          <t>Recepciones programadas (ya pedido)</t>
        </is>
      </c>
      <c r="D1616" s="64" t="n"/>
      <c r="E1616" s="65">
        <f>SUMIF(Inventario!$M$5:$M$505,"#"&amp;$A1615,Inventario!E$5:E$505)</f>
        <v/>
      </c>
      <c r="F1616" s="65">
        <f>SUMIF(Inventario!$M$5:$M$505,"#"&amp;$A1615,Inventario!F$5:F$505)</f>
        <v/>
      </c>
      <c r="G1616" s="65">
        <f>SUMIF(Inventario!$M$5:$M$505,"#"&amp;$A1615,Inventario!G$5:G$505)</f>
        <v/>
      </c>
      <c r="H1616" s="65">
        <f>SUMIF(Inventario!$M$5:$M$505,"#"&amp;$A1615,Inventario!H$5:H$505)</f>
        <v/>
      </c>
      <c r="I1616" s="65">
        <f>SUMIF(Inventario!$M$5:$M$505,"#"&amp;$A1615,Inventario!I$5:I$505)</f>
        <v/>
      </c>
      <c r="J1616" s="65">
        <f>SUMIF(Inventario!$M$5:$M$505,"#"&amp;$A1615,Inventario!J$5:J$505)</f>
        <v/>
      </c>
      <c r="K1616" s="65">
        <f>SUMIF(Inventario!$M$5:$M$505,"#"&amp;$A1615,Inventario!K$5:K$505)</f>
        <v/>
      </c>
      <c r="L1616" s="65">
        <f>SUMIF(Inventario!$M$5:$M$505,"#"&amp;$A1615,Inventario!L$5:L$505)</f>
        <v/>
      </c>
      <c r="M1616" s="66" t="n"/>
    </row>
    <row r="1617">
      <c r="C1617" s="63" t="inlineStr">
        <is>
          <t>Stock proyectado disponible</t>
        </is>
      </c>
      <c r="D1617" s="67">
        <f>SUMIF(Inventario!$M$5:$M$505,"#"&amp;$A1615,Inventario!$C$5:$C$505)</f>
        <v/>
      </c>
      <c r="E1617" s="68">
        <f>D1617+E1616+E1619-E1615</f>
        <v/>
      </c>
      <c r="F1617" s="68">
        <f>E1617+F1616+F1619-F1615</f>
        <v/>
      </c>
      <c r="G1617" s="68">
        <f>F1617+G1616+G1619-G1615</f>
        <v/>
      </c>
      <c r="H1617" s="68">
        <f>G1617+H1616+H1619-H1615</f>
        <v/>
      </c>
      <c r="I1617" s="68">
        <f>H1617+I1616+I1619-I1615</f>
        <v/>
      </c>
      <c r="J1617" s="68">
        <f>I1617+J1616+J1619-J1615</f>
        <v/>
      </c>
      <c r="K1617" s="68">
        <f>J1617+K1616+K1619-K1615</f>
        <v/>
      </c>
      <c r="L1617" s="68">
        <f>K1617+L1616+L1619-L1615</f>
        <v/>
      </c>
      <c r="M1617" s="66" t="n"/>
    </row>
    <row r="1618">
      <c r="C1618" s="63" t="inlineStr">
        <is>
          <t>Necesidad neta</t>
        </is>
      </c>
      <c r="D1618" s="64" t="n"/>
      <c r="E1618" s="69">
        <f>MAX(0,ROUND(E1615+Materiales!$H$234-D1617-E1616,4))</f>
        <v/>
      </c>
      <c r="F1618" s="69">
        <f>MAX(0,ROUND(F1615+Materiales!$H$234-E1617-F1616,4))</f>
        <v/>
      </c>
      <c r="G1618" s="69">
        <f>MAX(0,ROUND(G1615+Materiales!$H$234-F1617-G1616,4))</f>
        <v/>
      </c>
      <c r="H1618" s="69">
        <f>MAX(0,ROUND(H1615+Materiales!$H$234-G1617-H1616,4))</f>
        <v/>
      </c>
      <c r="I1618" s="69">
        <f>MAX(0,ROUND(I1615+Materiales!$H$234-H1617-I1616,4))</f>
        <v/>
      </c>
      <c r="J1618" s="69">
        <f>MAX(0,ROUND(J1615+Materiales!$H$234-I1617-J1616,4))</f>
        <v/>
      </c>
      <c r="K1618" s="69">
        <f>MAX(0,ROUND(K1615+Materiales!$H$234-J1617-K1616,4))</f>
        <v/>
      </c>
      <c r="L1618" s="69">
        <f>MAX(0,ROUND(L1615+Materiales!$H$234-K1617-L1616,4))</f>
        <v/>
      </c>
      <c r="M1618" s="66" t="n"/>
    </row>
    <row r="1619">
      <c r="C1619" s="63" t="inlineStr">
        <is>
          <t>Recepcion de orden planificada</t>
        </is>
      </c>
      <c r="D1619" s="64" t="n"/>
      <c r="E1619" s="65">
        <f>IF(E1618&lt;=0,0,IF(Materiales!$G$234&lt;=0,E1618,ROUNDUP(E1618/Materiales!$G$234,0)*Materiales!$G$234))</f>
        <v/>
      </c>
      <c r="F1619" s="65">
        <f>IF(F1618&lt;=0,0,IF(Materiales!$G$234&lt;=0,F1618,ROUNDUP(F1618/Materiales!$G$234,0)*Materiales!$G$234))</f>
        <v/>
      </c>
      <c r="G1619" s="65">
        <f>IF(G1618&lt;=0,0,IF(Materiales!$G$234&lt;=0,G1618,ROUNDUP(G1618/Materiales!$G$234,0)*Materiales!$G$234))</f>
        <v/>
      </c>
      <c r="H1619" s="65">
        <f>IF(H1618&lt;=0,0,IF(Materiales!$G$234&lt;=0,H1618,ROUNDUP(H1618/Materiales!$G$234,0)*Materiales!$G$234))</f>
        <v/>
      </c>
      <c r="I1619" s="65">
        <f>IF(I1618&lt;=0,0,IF(Materiales!$G$234&lt;=0,I1618,ROUNDUP(I1618/Materiales!$G$234,0)*Materiales!$G$234))</f>
        <v/>
      </c>
      <c r="J1619" s="65">
        <f>IF(J1618&lt;=0,0,IF(Materiales!$G$234&lt;=0,J1618,ROUNDUP(J1618/Materiales!$G$234,0)*Materiales!$G$234))</f>
        <v/>
      </c>
      <c r="K1619" s="65">
        <f>IF(K1618&lt;=0,0,IF(Materiales!$G$234&lt;=0,K1618,ROUNDUP(K1618/Materiales!$G$234,0)*Materiales!$G$234))</f>
        <v/>
      </c>
      <c r="L1619" s="65">
        <f>IF(L1618&lt;=0,0,IF(Materiales!$G$234&lt;=0,L1618,ROUNDUP(L1618/Materiales!$G$234,0)*Materiales!$G$234))</f>
        <v/>
      </c>
      <c r="M1619" s="66" t="n"/>
    </row>
    <row r="1620">
      <c r="C1620" s="70" t="inlineStr">
        <is>
          <t>LANZAMIENTO DE ORDEN — pedir esta semana</t>
        </is>
      </c>
      <c r="D1620" s="64" t="n"/>
      <c r="E1620" s="71">
        <f>IF(1+Materiales!$F$234&gt;8,0,INDEX($E$1619:$L$1619,1,1+Materiales!$F$234))</f>
        <v/>
      </c>
      <c r="F1620" s="71">
        <f>IF(2+Materiales!$F$234&gt;8,0,INDEX($E$1619:$L$1619,1,2+Materiales!$F$234))</f>
        <v/>
      </c>
      <c r="G1620" s="71">
        <f>IF(3+Materiales!$F$234&gt;8,0,INDEX($E$1619:$L$1619,1,3+Materiales!$F$234))</f>
        <v/>
      </c>
      <c r="H1620" s="71">
        <f>IF(4+Materiales!$F$234&gt;8,0,INDEX($E$1619:$L$1619,1,4+Materiales!$F$234))</f>
        <v/>
      </c>
      <c r="I1620" s="71">
        <f>IF(5+Materiales!$F$234&gt;8,0,INDEX($E$1619:$L$1619,1,5+Materiales!$F$234))</f>
        <v/>
      </c>
      <c r="J1620" s="71">
        <f>IF(6+Materiales!$F$234&gt;8,0,INDEX($E$1619:$L$1619,1,6+Materiales!$F$234))</f>
        <v/>
      </c>
      <c r="K1620" s="71">
        <f>IF(7+Materiales!$F$234&gt;8,0,INDEX($E$1619:$L$1619,1,7+Materiales!$F$234))</f>
        <v/>
      </c>
      <c r="L1620" s="71">
        <f>IF(8+Materiales!$F$234&gt;8,0,INDEX($E$1619:$L$1619,1,8+Materiales!$F$234))</f>
        <v/>
      </c>
      <c r="M1620" s="72">
        <f>IF($A1615="","",IF(SUMPRODUCT((COLUMN($E$1619:$L$1619)-4&lt;=Materiales!$F$234)*$E$1619:$L$1619)&gt;0,"PEDIR YA (atrasado)","OK"))</f>
        <v/>
      </c>
    </row>
    <row r="1621" ht="6" customHeight="1"/>
    <row r="1622">
      <c r="A1622" s="62">
        <f>IF(Materiales!$A$235="","",Materiales!$A$235)</f>
        <v/>
      </c>
      <c r="B1622" s="62">
        <f>IF(Materiales!$B$235="","",Materiales!$B$235)</f>
        <v/>
      </c>
      <c r="C1622" s="63" t="inlineStr">
        <is>
          <t>Necesidad bruta</t>
        </is>
      </c>
      <c r="D1622" s="64" t="n"/>
      <c r="E1622" s="65">
        <f>ROUND(SUMIF(Consumo!$P$4:$P$189,"#"&amp;$A1622,Consumo!H$4:H$189),4)</f>
        <v/>
      </c>
      <c r="F1622" s="65">
        <f>ROUND(SUMIF(Consumo!$P$4:$P$189,"#"&amp;$A1622,Consumo!I$4:I$189),4)</f>
        <v/>
      </c>
      <c r="G1622" s="65">
        <f>ROUND(SUMIF(Consumo!$P$4:$P$189,"#"&amp;$A1622,Consumo!J$4:J$189),4)</f>
        <v/>
      </c>
      <c r="H1622" s="65">
        <f>ROUND(SUMIF(Consumo!$P$4:$P$189,"#"&amp;$A1622,Consumo!K$4:K$189),4)</f>
        <v/>
      </c>
      <c r="I1622" s="65">
        <f>ROUND(SUMIF(Consumo!$P$4:$P$189,"#"&amp;$A1622,Consumo!L$4:L$189),4)</f>
        <v/>
      </c>
      <c r="J1622" s="65">
        <f>ROUND(SUMIF(Consumo!$P$4:$P$189,"#"&amp;$A1622,Consumo!M$4:M$189),4)</f>
        <v/>
      </c>
      <c r="K1622" s="65">
        <f>ROUND(SUMIF(Consumo!$P$4:$P$189,"#"&amp;$A1622,Consumo!N$4:N$189),4)</f>
        <v/>
      </c>
      <c r="L1622" s="65">
        <f>ROUND(SUMIF(Consumo!$P$4:$P$189,"#"&amp;$A1622,Consumo!O$4:O$189),4)</f>
        <v/>
      </c>
      <c r="M1622" s="66" t="n"/>
    </row>
    <row r="1623">
      <c r="C1623" s="63" t="inlineStr">
        <is>
          <t>Recepciones programadas (ya pedido)</t>
        </is>
      </c>
      <c r="D1623" s="64" t="n"/>
      <c r="E1623" s="65">
        <f>SUMIF(Inventario!$M$5:$M$505,"#"&amp;$A1622,Inventario!E$5:E$505)</f>
        <v/>
      </c>
      <c r="F1623" s="65">
        <f>SUMIF(Inventario!$M$5:$M$505,"#"&amp;$A1622,Inventario!F$5:F$505)</f>
        <v/>
      </c>
      <c r="G1623" s="65">
        <f>SUMIF(Inventario!$M$5:$M$505,"#"&amp;$A1622,Inventario!G$5:G$505)</f>
        <v/>
      </c>
      <c r="H1623" s="65">
        <f>SUMIF(Inventario!$M$5:$M$505,"#"&amp;$A1622,Inventario!H$5:H$505)</f>
        <v/>
      </c>
      <c r="I1623" s="65">
        <f>SUMIF(Inventario!$M$5:$M$505,"#"&amp;$A1622,Inventario!I$5:I$505)</f>
        <v/>
      </c>
      <c r="J1623" s="65">
        <f>SUMIF(Inventario!$M$5:$M$505,"#"&amp;$A1622,Inventario!J$5:J$505)</f>
        <v/>
      </c>
      <c r="K1623" s="65">
        <f>SUMIF(Inventario!$M$5:$M$505,"#"&amp;$A1622,Inventario!K$5:K$505)</f>
        <v/>
      </c>
      <c r="L1623" s="65">
        <f>SUMIF(Inventario!$M$5:$M$505,"#"&amp;$A1622,Inventario!L$5:L$505)</f>
        <v/>
      </c>
      <c r="M1623" s="66" t="n"/>
    </row>
    <row r="1624">
      <c r="C1624" s="63" t="inlineStr">
        <is>
          <t>Stock proyectado disponible</t>
        </is>
      </c>
      <c r="D1624" s="67">
        <f>SUMIF(Inventario!$M$5:$M$505,"#"&amp;$A1622,Inventario!$C$5:$C$505)</f>
        <v/>
      </c>
      <c r="E1624" s="68">
        <f>D1624+E1623+E1626-E1622</f>
        <v/>
      </c>
      <c r="F1624" s="68">
        <f>E1624+F1623+F1626-F1622</f>
        <v/>
      </c>
      <c r="G1624" s="68">
        <f>F1624+G1623+G1626-G1622</f>
        <v/>
      </c>
      <c r="H1624" s="68">
        <f>G1624+H1623+H1626-H1622</f>
        <v/>
      </c>
      <c r="I1624" s="68">
        <f>H1624+I1623+I1626-I1622</f>
        <v/>
      </c>
      <c r="J1624" s="68">
        <f>I1624+J1623+J1626-J1622</f>
        <v/>
      </c>
      <c r="K1624" s="68">
        <f>J1624+K1623+K1626-K1622</f>
        <v/>
      </c>
      <c r="L1624" s="68">
        <f>K1624+L1623+L1626-L1622</f>
        <v/>
      </c>
      <c r="M1624" s="66" t="n"/>
    </row>
    <row r="1625">
      <c r="C1625" s="63" t="inlineStr">
        <is>
          <t>Necesidad neta</t>
        </is>
      </c>
      <c r="D1625" s="64" t="n"/>
      <c r="E1625" s="69">
        <f>MAX(0,ROUND(E1622+Materiales!$H$235-D1624-E1623,4))</f>
        <v/>
      </c>
      <c r="F1625" s="69">
        <f>MAX(0,ROUND(F1622+Materiales!$H$235-E1624-F1623,4))</f>
        <v/>
      </c>
      <c r="G1625" s="69">
        <f>MAX(0,ROUND(G1622+Materiales!$H$235-F1624-G1623,4))</f>
        <v/>
      </c>
      <c r="H1625" s="69">
        <f>MAX(0,ROUND(H1622+Materiales!$H$235-G1624-H1623,4))</f>
        <v/>
      </c>
      <c r="I1625" s="69">
        <f>MAX(0,ROUND(I1622+Materiales!$H$235-H1624-I1623,4))</f>
        <v/>
      </c>
      <c r="J1625" s="69">
        <f>MAX(0,ROUND(J1622+Materiales!$H$235-I1624-J1623,4))</f>
        <v/>
      </c>
      <c r="K1625" s="69">
        <f>MAX(0,ROUND(K1622+Materiales!$H$235-J1624-K1623,4))</f>
        <v/>
      </c>
      <c r="L1625" s="69">
        <f>MAX(0,ROUND(L1622+Materiales!$H$235-K1624-L1623,4))</f>
        <v/>
      </c>
      <c r="M1625" s="66" t="n"/>
    </row>
    <row r="1626">
      <c r="C1626" s="63" t="inlineStr">
        <is>
          <t>Recepcion de orden planificada</t>
        </is>
      </c>
      <c r="D1626" s="64" t="n"/>
      <c r="E1626" s="65">
        <f>IF(E1625&lt;=0,0,IF(Materiales!$G$235&lt;=0,E1625,ROUNDUP(E1625/Materiales!$G$235,0)*Materiales!$G$235))</f>
        <v/>
      </c>
      <c r="F1626" s="65">
        <f>IF(F1625&lt;=0,0,IF(Materiales!$G$235&lt;=0,F1625,ROUNDUP(F1625/Materiales!$G$235,0)*Materiales!$G$235))</f>
        <v/>
      </c>
      <c r="G1626" s="65">
        <f>IF(G1625&lt;=0,0,IF(Materiales!$G$235&lt;=0,G1625,ROUNDUP(G1625/Materiales!$G$235,0)*Materiales!$G$235))</f>
        <v/>
      </c>
      <c r="H1626" s="65">
        <f>IF(H1625&lt;=0,0,IF(Materiales!$G$235&lt;=0,H1625,ROUNDUP(H1625/Materiales!$G$235,0)*Materiales!$G$235))</f>
        <v/>
      </c>
      <c r="I1626" s="65">
        <f>IF(I1625&lt;=0,0,IF(Materiales!$G$235&lt;=0,I1625,ROUNDUP(I1625/Materiales!$G$235,0)*Materiales!$G$235))</f>
        <v/>
      </c>
      <c r="J1626" s="65">
        <f>IF(J1625&lt;=0,0,IF(Materiales!$G$235&lt;=0,J1625,ROUNDUP(J1625/Materiales!$G$235,0)*Materiales!$G$235))</f>
        <v/>
      </c>
      <c r="K1626" s="65">
        <f>IF(K1625&lt;=0,0,IF(Materiales!$G$235&lt;=0,K1625,ROUNDUP(K1625/Materiales!$G$235,0)*Materiales!$G$235))</f>
        <v/>
      </c>
      <c r="L1626" s="65">
        <f>IF(L1625&lt;=0,0,IF(Materiales!$G$235&lt;=0,L1625,ROUNDUP(L1625/Materiales!$G$235,0)*Materiales!$G$235))</f>
        <v/>
      </c>
      <c r="M1626" s="66" t="n"/>
    </row>
    <row r="1627">
      <c r="C1627" s="70" t="inlineStr">
        <is>
          <t>LANZAMIENTO DE ORDEN — pedir esta semana</t>
        </is>
      </c>
      <c r="D1627" s="64" t="n"/>
      <c r="E1627" s="71">
        <f>IF(1+Materiales!$F$235&gt;8,0,INDEX($E$1626:$L$1626,1,1+Materiales!$F$235))</f>
        <v/>
      </c>
      <c r="F1627" s="71">
        <f>IF(2+Materiales!$F$235&gt;8,0,INDEX($E$1626:$L$1626,1,2+Materiales!$F$235))</f>
        <v/>
      </c>
      <c r="G1627" s="71">
        <f>IF(3+Materiales!$F$235&gt;8,0,INDEX($E$1626:$L$1626,1,3+Materiales!$F$235))</f>
        <v/>
      </c>
      <c r="H1627" s="71">
        <f>IF(4+Materiales!$F$235&gt;8,0,INDEX($E$1626:$L$1626,1,4+Materiales!$F$235))</f>
        <v/>
      </c>
      <c r="I1627" s="71">
        <f>IF(5+Materiales!$F$235&gt;8,0,INDEX($E$1626:$L$1626,1,5+Materiales!$F$235))</f>
        <v/>
      </c>
      <c r="J1627" s="71">
        <f>IF(6+Materiales!$F$235&gt;8,0,INDEX($E$1626:$L$1626,1,6+Materiales!$F$235))</f>
        <v/>
      </c>
      <c r="K1627" s="71">
        <f>IF(7+Materiales!$F$235&gt;8,0,INDEX($E$1626:$L$1626,1,7+Materiales!$F$235))</f>
        <v/>
      </c>
      <c r="L1627" s="71">
        <f>IF(8+Materiales!$F$235&gt;8,0,INDEX($E$1626:$L$1626,1,8+Materiales!$F$235))</f>
        <v/>
      </c>
      <c r="M1627" s="72">
        <f>IF($A1622="","",IF(SUMPRODUCT((COLUMN($E$1626:$L$1626)-4&lt;=Materiales!$F$235)*$E$1626:$L$1626)&gt;0,"PEDIR YA (atrasado)","OK"))</f>
        <v/>
      </c>
    </row>
    <row r="1628" ht="6" customHeight="1"/>
    <row r="1629">
      <c r="A1629" s="62">
        <f>IF(Materiales!$A$236="","",Materiales!$A$236)</f>
        <v/>
      </c>
      <c r="B1629" s="62">
        <f>IF(Materiales!$B$236="","",Materiales!$B$236)</f>
        <v/>
      </c>
      <c r="C1629" s="63" t="inlineStr">
        <is>
          <t>Necesidad bruta</t>
        </is>
      </c>
      <c r="D1629" s="64" t="n"/>
      <c r="E1629" s="65">
        <f>ROUND(SUMIF(Consumo!$P$4:$P$189,"#"&amp;$A1629,Consumo!H$4:H$189),4)</f>
        <v/>
      </c>
      <c r="F1629" s="65">
        <f>ROUND(SUMIF(Consumo!$P$4:$P$189,"#"&amp;$A1629,Consumo!I$4:I$189),4)</f>
        <v/>
      </c>
      <c r="G1629" s="65">
        <f>ROUND(SUMIF(Consumo!$P$4:$P$189,"#"&amp;$A1629,Consumo!J$4:J$189),4)</f>
        <v/>
      </c>
      <c r="H1629" s="65">
        <f>ROUND(SUMIF(Consumo!$P$4:$P$189,"#"&amp;$A1629,Consumo!K$4:K$189),4)</f>
        <v/>
      </c>
      <c r="I1629" s="65">
        <f>ROUND(SUMIF(Consumo!$P$4:$P$189,"#"&amp;$A1629,Consumo!L$4:L$189),4)</f>
        <v/>
      </c>
      <c r="J1629" s="65">
        <f>ROUND(SUMIF(Consumo!$P$4:$P$189,"#"&amp;$A1629,Consumo!M$4:M$189),4)</f>
        <v/>
      </c>
      <c r="K1629" s="65">
        <f>ROUND(SUMIF(Consumo!$P$4:$P$189,"#"&amp;$A1629,Consumo!N$4:N$189),4)</f>
        <v/>
      </c>
      <c r="L1629" s="65">
        <f>ROUND(SUMIF(Consumo!$P$4:$P$189,"#"&amp;$A1629,Consumo!O$4:O$189),4)</f>
        <v/>
      </c>
      <c r="M1629" s="66" t="n"/>
    </row>
    <row r="1630">
      <c r="C1630" s="63" t="inlineStr">
        <is>
          <t>Recepciones programadas (ya pedido)</t>
        </is>
      </c>
      <c r="D1630" s="64" t="n"/>
      <c r="E1630" s="65">
        <f>SUMIF(Inventario!$M$5:$M$505,"#"&amp;$A1629,Inventario!E$5:E$505)</f>
        <v/>
      </c>
      <c r="F1630" s="65">
        <f>SUMIF(Inventario!$M$5:$M$505,"#"&amp;$A1629,Inventario!F$5:F$505)</f>
        <v/>
      </c>
      <c r="G1630" s="65">
        <f>SUMIF(Inventario!$M$5:$M$505,"#"&amp;$A1629,Inventario!G$5:G$505)</f>
        <v/>
      </c>
      <c r="H1630" s="65">
        <f>SUMIF(Inventario!$M$5:$M$505,"#"&amp;$A1629,Inventario!H$5:H$505)</f>
        <v/>
      </c>
      <c r="I1630" s="65">
        <f>SUMIF(Inventario!$M$5:$M$505,"#"&amp;$A1629,Inventario!I$5:I$505)</f>
        <v/>
      </c>
      <c r="J1630" s="65">
        <f>SUMIF(Inventario!$M$5:$M$505,"#"&amp;$A1629,Inventario!J$5:J$505)</f>
        <v/>
      </c>
      <c r="K1630" s="65">
        <f>SUMIF(Inventario!$M$5:$M$505,"#"&amp;$A1629,Inventario!K$5:K$505)</f>
        <v/>
      </c>
      <c r="L1630" s="65">
        <f>SUMIF(Inventario!$M$5:$M$505,"#"&amp;$A1629,Inventario!L$5:L$505)</f>
        <v/>
      </c>
      <c r="M1630" s="66" t="n"/>
    </row>
    <row r="1631">
      <c r="C1631" s="63" t="inlineStr">
        <is>
          <t>Stock proyectado disponible</t>
        </is>
      </c>
      <c r="D1631" s="67">
        <f>SUMIF(Inventario!$M$5:$M$505,"#"&amp;$A1629,Inventario!$C$5:$C$505)</f>
        <v/>
      </c>
      <c r="E1631" s="68">
        <f>D1631+E1630+E1633-E1629</f>
        <v/>
      </c>
      <c r="F1631" s="68">
        <f>E1631+F1630+F1633-F1629</f>
        <v/>
      </c>
      <c r="G1631" s="68">
        <f>F1631+G1630+G1633-G1629</f>
        <v/>
      </c>
      <c r="H1631" s="68">
        <f>G1631+H1630+H1633-H1629</f>
        <v/>
      </c>
      <c r="I1631" s="68">
        <f>H1631+I1630+I1633-I1629</f>
        <v/>
      </c>
      <c r="J1631" s="68">
        <f>I1631+J1630+J1633-J1629</f>
        <v/>
      </c>
      <c r="K1631" s="68">
        <f>J1631+K1630+K1633-K1629</f>
        <v/>
      </c>
      <c r="L1631" s="68">
        <f>K1631+L1630+L1633-L1629</f>
        <v/>
      </c>
      <c r="M1631" s="66" t="n"/>
    </row>
    <row r="1632">
      <c r="C1632" s="63" t="inlineStr">
        <is>
          <t>Necesidad neta</t>
        </is>
      </c>
      <c r="D1632" s="64" t="n"/>
      <c r="E1632" s="69">
        <f>MAX(0,ROUND(E1629+Materiales!$H$236-D1631-E1630,4))</f>
        <v/>
      </c>
      <c r="F1632" s="69">
        <f>MAX(0,ROUND(F1629+Materiales!$H$236-E1631-F1630,4))</f>
        <v/>
      </c>
      <c r="G1632" s="69">
        <f>MAX(0,ROUND(G1629+Materiales!$H$236-F1631-G1630,4))</f>
        <v/>
      </c>
      <c r="H1632" s="69">
        <f>MAX(0,ROUND(H1629+Materiales!$H$236-G1631-H1630,4))</f>
        <v/>
      </c>
      <c r="I1632" s="69">
        <f>MAX(0,ROUND(I1629+Materiales!$H$236-H1631-I1630,4))</f>
        <v/>
      </c>
      <c r="J1632" s="69">
        <f>MAX(0,ROUND(J1629+Materiales!$H$236-I1631-J1630,4))</f>
        <v/>
      </c>
      <c r="K1632" s="69">
        <f>MAX(0,ROUND(K1629+Materiales!$H$236-J1631-K1630,4))</f>
        <v/>
      </c>
      <c r="L1632" s="69">
        <f>MAX(0,ROUND(L1629+Materiales!$H$236-K1631-L1630,4))</f>
        <v/>
      </c>
      <c r="M1632" s="66" t="n"/>
    </row>
    <row r="1633">
      <c r="C1633" s="63" t="inlineStr">
        <is>
          <t>Recepcion de orden planificada</t>
        </is>
      </c>
      <c r="D1633" s="64" t="n"/>
      <c r="E1633" s="65">
        <f>IF(E1632&lt;=0,0,IF(Materiales!$G$236&lt;=0,E1632,ROUNDUP(E1632/Materiales!$G$236,0)*Materiales!$G$236))</f>
        <v/>
      </c>
      <c r="F1633" s="65">
        <f>IF(F1632&lt;=0,0,IF(Materiales!$G$236&lt;=0,F1632,ROUNDUP(F1632/Materiales!$G$236,0)*Materiales!$G$236))</f>
        <v/>
      </c>
      <c r="G1633" s="65">
        <f>IF(G1632&lt;=0,0,IF(Materiales!$G$236&lt;=0,G1632,ROUNDUP(G1632/Materiales!$G$236,0)*Materiales!$G$236))</f>
        <v/>
      </c>
      <c r="H1633" s="65">
        <f>IF(H1632&lt;=0,0,IF(Materiales!$G$236&lt;=0,H1632,ROUNDUP(H1632/Materiales!$G$236,0)*Materiales!$G$236))</f>
        <v/>
      </c>
      <c r="I1633" s="65">
        <f>IF(I1632&lt;=0,0,IF(Materiales!$G$236&lt;=0,I1632,ROUNDUP(I1632/Materiales!$G$236,0)*Materiales!$G$236))</f>
        <v/>
      </c>
      <c r="J1633" s="65">
        <f>IF(J1632&lt;=0,0,IF(Materiales!$G$236&lt;=0,J1632,ROUNDUP(J1632/Materiales!$G$236,0)*Materiales!$G$236))</f>
        <v/>
      </c>
      <c r="K1633" s="65">
        <f>IF(K1632&lt;=0,0,IF(Materiales!$G$236&lt;=0,K1632,ROUNDUP(K1632/Materiales!$G$236,0)*Materiales!$G$236))</f>
        <v/>
      </c>
      <c r="L1633" s="65">
        <f>IF(L1632&lt;=0,0,IF(Materiales!$G$236&lt;=0,L1632,ROUNDUP(L1632/Materiales!$G$236,0)*Materiales!$G$236))</f>
        <v/>
      </c>
      <c r="M1633" s="66" t="n"/>
    </row>
    <row r="1634">
      <c r="C1634" s="70" t="inlineStr">
        <is>
          <t>LANZAMIENTO DE ORDEN — pedir esta semana</t>
        </is>
      </c>
      <c r="D1634" s="64" t="n"/>
      <c r="E1634" s="71">
        <f>IF(1+Materiales!$F$236&gt;8,0,INDEX($E$1633:$L$1633,1,1+Materiales!$F$236))</f>
        <v/>
      </c>
      <c r="F1634" s="71">
        <f>IF(2+Materiales!$F$236&gt;8,0,INDEX($E$1633:$L$1633,1,2+Materiales!$F$236))</f>
        <v/>
      </c>
      <c r="G1634" s="71">
        <f>IF(3+Materiales!$F$236&gt;8,0,INDEX($E$1633:$L$1633,1,3+Materiales!$F$236))</f>
        <v/>
      </c>
      <c r="H1634" s="71">
        <f>IF(4+Materiales!$F$236&gt;8,0,INDEX($E$1633:$L$1633,1,4+Materiales!$F$236))</f>
        <v/>
      </c>
      <c r="I1634" s="71">
        <f>IF(5+Materiales!$F$236&gt;8,0,INDEX($E$1633:$L$1633,1,5+Materiales!$F$236))</f>
        <v/>
      </c>
      <c r="J1634" s="71">
        <f>IF(6+Materiales!$F$236&gt;8,0,INDEX($E$1633:$L$1633,1,6+Materiales!$F$236))</f>
        <v/>
      </c>
      <c r="K1634" s="71">
        <f>IF(7+Materiales!$F$236&gt;8,0,INDEX($E$1633:$L$1633,1,7+Materiales!$F$236))</f>
        <v/>
      </c>
      <c r="L1634" s="71">
        <f>IF(8+Materiales!$F$236&gt;8,0,INDEX($E$1633:$L$1633,1,8+Materiales!$F$236))</f>
        <v/>
      </c>
      <c r="M1634" s="72">
        <f>IF($A1629="","",IF(SUMPRODUCT((COLUMN($E$1633:$L$1633)-4&lt;=Materiales!$F$236)*$E$1633:$L$1633)&gt;0,"PEDIR YA (atrasado)","OK"))</f>
        <v/>
      </c>
    </row>
    <row r="1635" ht="6" customHeight="1"/>
    <row r="1636">
      <c r="A1636" s="62">
        <f>IF(Materiales!$A$237="","",Materiales!$A$237)</f>
        <v/>
      </c>
      <c r="B1636" s="62">
        <f>IF(Materiales!$B$237="","",Materiales!$B$237)</f>
        <v/>
      </c>
      <c r="C1636" s="63" t="inlineStr">
        <is>
          <t>Necesidad bruta</t>
        </is>
      </c>
      <c r="D1636" s="64" t="n"/>
      <c r="E1636" s="65">
        <f>ROUND(SUMIF(Consumo!$P$4:$P$189,"#"&amp;$A1636,Consumo!H$4:H$189),4)</f>
        <v/>
      </c>
      <c r="F1636" s="65">
        <f>ROUND(SUMIF(Consumo!$P$4:$P$189,"#"&amp;$A1636,Consumo!I$4:I$189),4)</f>
        <v/>
      </c>
      <c r="G1636" s="65">
        <f>ROUND(SUMIF(Consumo!$P$4:$P$189,"#"&amp;$A1636,Consumo!J$4:J$189),4)</f>
        <v/>
      </c>
      <c r="H1636" s="65">
        <f>ROUND(SUMIF(Consumo!$P$4:$P$189,"#"&amp;$A1636,Consumo!K$4:K$189),4)</f>
        <v/>
      </c>
      <c r="I1636" s="65">
        <f>ROUND(SUMIF(Consumo!$P$4:$P$189,"#"&amp;$A1636,Consumo!L$4:L$189),4)</f>
        <v/>
      </c>
      <c r="J1636" s="65">
        <f>ROUND(SUMIF(Consumo!$P$4:$P$189,"#"&amp;$A1636,Consumo!M$4:M$189),4)</f>
        <v/>
      </c>
      <c r="K1636" s="65">
        <f>ROUND(SUMIF(Consumo!$P$4:$P$189,"#"&amp;$A1636,Consumo!N$4:N$189),4)</f>
        <v/>
      </c>
      <c r="L1636" s="65">
        <f>ROUND(SUMIF(Consumo!$P$4:$P$189,"#"&amp;$A1636,Consumo!O$4:O$189),4)</f>
        <v/>
      </c>
      <c r="M1636" s="66" t="n"/>
    </row>
    <row r="1637">
      <c r="C1637" s="63" t="inlineStr">
        <is>
          <t>Recepciones programadas (ya pedido)</t>
        </is>
      </c>
      <c r="D1637" s="64" t="n"/>
      <c r="E1637" s="65">
        <f>SUMIF(Inventario!$M$5:$M$505,"#"&amp;$A1636,Inventario!E$5:E$505)</f>
        <v/>
      </c>
      <c r="F1637" s="65">
        <f>SUMIF(Inventario!$M$5:$M$505,"#"&amp;$A1636,Inventario!F$5:F$505)</f>
        <v/>
      </c>
      <c r="G1637" s="65">
        <f>SUMIF(Inventario!$M$5:$M$505,"#"&amp;$A1636,Inventario!G$5:G$505)</f>
        <v/>
      </c>
      <c r="H1637" s="65">
        <f>SUMIF(Inventario!$M$5:$M$505,"#"&amp;$A1636,Inventario!H$5:H$505)</f>
        <v/>
      </c>
      <c r="I1637" s="65">
        <f>SUMIF(Inventario!$M$5:$M$505,"#"&amp;$A1636,Inventario!I$5:I$505)</f>
        <v/>
      </c>
      <c r="J1637" s="65">
        <f>SUMIF(Inventario!$M$5:$M$505,"#"&amp;$A1636,Inventario!J$5:J$505)</f>
        <v/>
      </c>
      <c r="K1637" s="65">
        <f>SUMIF(Inventario!$M$5:$M$505,"#"&amp;$A1636,Inventario!K$5:K$505)</f>
        <v/>
      </c>
      <c r="L1637" s="65">
        <f>SUMIF(Inventario!$M$5:$M$505,"#"&amp;$A1636,Inventario!L$5:L$505)</f>
        <v/>
      </c>
      <c r="M1637" s="66" t="n"/>
    </row>
    <row r="1638">
      <c r="C1638" s="63" t="inlineStr">
        <is>
          <t>Stock proyectado disponible</t>
        </is>
      </c>
      <c r="D1638" s="67">
        <f>SUMIF(Inventario!$M$5:$M$505,"#"&amp;$A1636,Inventario!$C$5:$C$505)</f>
        <v/>
      </c>
      <c r="E1638" s="68">
        <f>D1638+E1637+E1640-E1636</f>
        <v/>
      </c>
      <c r="F1638" s="68">
        <f>E1638+F1637+F1640-F1636</f>
        <v/>
      </c>
      <c r="G1638" s="68">
        <f>F1638+G1637+G1640-G1636</f>
        <v/>
      </c>
      <c r="H1638" s="68">
        <f>G1638+H1637+H1640-H1636</f>
        <v/>
      </c>
      <c r="I1638" s="68">
        <f>H1638+I1637+I1640-I1636</f>
        <v/>
      </c>
      <c r="J1638" s="68">
        <f>I1638+J1637+J1640-J1636</f>
        <v/>
      </c>
      <c r="K1638" s="68">
        <f>J1638+K1637+K1640-K1636</f>
        <v/>
      </c>
      <c r="L1638" s="68">
        <f>K1638+L1637+L1640-L1636</f>
        <v/>
      </c>
      <c r="M1638" s="66" t="n"/>
    </row>
    <row r="1639">
      <c r="C1639" s="63" t="inlineStr">
        <is>
          <t>Necesidad neta</t>
        </is>
      </c>
      <c r="D1639" s="64" t="n"/>
      <c r="E1639" s="69">
        <f>MAX(0,ROUND(E1636+Materiales!$H$237-D1638-E1637,4))</f>
        <v/>
      </c>
      <c r="F1639" s="69">
        <f>MAX(0,ROUND(F1636+Materiales!$H$237-E1638-F1637,4))</f>
        <v/>
      </c>
      <c r="G1639" s="69">
        <f>MAX(0,ROUND(G1636+Materiales!$H$237-F1638-G1637,4))</f>
        <v/>
      </c>
      <c r="H1639" s="69">
        <f>MAX(0,ROUND(H1636+Materiales!$H$237-G1638-H1637,4))</f>
        <v/>
      </c>
      <c r="I1639" s="69">
        <f>MAX(0,ROUND(I1636+Materiales!$H$237-H1638-I1637,4))</f>
        <v/>
      </c>
      <c r="J1639" s="69">
        <f>MAX(0,ROUND(J1636+Materiales!$H$237-I1638-J1637,4))</f>
        <v/>
      </c>
      <c r="K1639" s="69">
        <f>MAX(0,ROUND(K1636+Materiales!$H$237-J1638-K1637,4))</f>
        <v/>
      </c>
      <c r="L1639" s="69">
        <f>MAX(0,ROUND(L1636+Materiales!$H$237-K1638-L1637,4))</f>
        <v/>
      </c>
      <c r="M1639" s="66" t="n"/>
    </row>
    <row r="1640">
      <c r="C1640" s="63" t="inlineStr">
        <is>
          <t>Recepcion de orden planificada</t>
        </is>
      </c>
      <c r="D1640" s="64" t="n"/>
      <c r="E1640" s="65">
        <f>IF(E1639&lt;=0,0,IF(Materiales!$G$237&lt;=0,E1639,ROUNDUP(E1639/Materiales!$G$237,0)*Materiales!$G$237))</f>
        <v/>
      </c>
      <c r="F1640" s="65">
        <f>IF(F1639&lt;=0,0,IF(Materiales!$G$237&lt;=0,F1639,ROUNDUP(F1639/Materiales!$G$237,0)*Materiales!$G$237))</f>
        <v/>
      </c>
      <c r="G1640" s="65">
        <f>IF(G1639&lt;=0,0,IF(Materiales!$G$237&lt;=0,G1639,ROUNDUP(G1639/Materiales!$G$237,0)*Materiales!$G$237))</f>
        <v/>
      </c>
      <c r="H1640" s="65">
        <f>IF(H1639&lt;=0,0,IF(Materiales!$G$237&lt;=0,H1639,ROUNDUP(H1639/Materiales!$G$237,0)*Materiales!$G$237))</f>
        <v/>
      </c>
      <c r="I1640" s="65">
        <f>IF(I1639&lt;=0,0,IF(Materiales!$G$237&lt;=0,I1639,ROUNDUP(I1639/Materiales!$G$237,0)*Materiales!$G$237))</f>
        <v/>
      </c>
      <c r="J1640" s="65">
        <f>IF(J1639&lt;=0,0,IF(Materiales!$G$237&lt;=0,J1639,ROUNDUP(J1639/Materiales!$G$237,0)*Materiales!$G$237))</f>
        <v/>
      </c>
      <c r="K1640" s="65">
        <f>IF(K1639&lt;=0,0,IF(Materiales!$G$237&lt;=0,K1639,ROUNDUP(K1639/Materiales!$G$237,0)*Materiales!$G$237))</f>
        <v/>
      </c>
      <c r="L1640" s="65">
        <f>IF(L1639&lt;=0,0,IF(Materiales!$G$237&lt;=0,L1639,ROUNDUP(L1639/Materiales!$G$237,0)*Materiales!$G$237))</f>
        <v/>
      </c>
      <c r="M1640" s="66" t="n"/>
    </row>
    <row r="1641">
      <c r="C1641" s="70" t="inlineStr">
        <is>
          <t>LANZAMIENTO DE ORDEN — pedir esta semana</t>
        </is>
      </c>
      <c r="D1641" s="64" t="n"/>
      <c r="E1641" s="71">
        <f>IF(1+Materiales!$F$237&gt;8,0,INDEX($E$1640:$L$1640,1,1+Materiales!$F$237))</f>
        <v/>
      </c>
      <c r="F1641" s="71">
        <f>IF(2+Materiales!$F$237&gt;8,0,INDEX($E$1640:$L$1640,1,2+Materiales!$F$237))</f>
        <v/>
      </c>
      <c r="G1641" s="71">
        <f>IF(3+Materiales!$F$237&gt;8,0,INDEX($E$1640:$L$1640,1,3+Materiales!$F$237))</f>
        <v/>
      </c>
      <c r="H1641" s="71">
        <f>IF(4+Materiales!$F$237&gt;8,0,INDEX($E$1640:$L$1640,1,4+Materiales!$F$237))</f>
        <v/>
      </c>
      <c r="I1641" s="71">
        <f>IF(5+Materiales!$F$237&gt;8,0,INDEX($E$1640:$L$1640,1,5+Materiales!$F$237))</f>
        <v/>
      </c>
      <c r="J1641" s="71">
        <f>IF(6+Materiales!$F$237&gt;8,0,INDEX($E$1640:$L$1640,1,6+Materiales!$F$237))</f>
        <v/>
      </c>
      <c r="K1641" s="71">
        <f>IF(7+Materiales!$F$237&gt;8,0,INDEX($E$1640:$L$1640,1,7+Materiales!$F$237))</f>
        <v/>
      </c>
      <c r="L1641" s="71">
        <f>IF(8+Materiales!$F$237&gt;8,0,INDEX($E$1640:$L$1640,1,8+Materiales!$F$237))</f>
        <v/>
      </c>
      <c r="M1641" s="72">
        <f>IF($A1636="","",IF(SUMPRODUCT((COLUMN($E$1640:$L$1640)-4&lt;=Materiales!$F$237)*$E$1640:$L$1640)&gt;0,"PEDIR YA (atrasado)","OK"))</f>
        <v/>
      </c>
    </row>
    <row r="1642" ht="6" customHeight="1"/>
    <row r="1643">
      <c r="A1643" s="62">
        <f>IF(Materiales!$A$238="","",Materiales!$A$238)</f>
        <v/>
      </c>
      <c r="B1643" s="62">
        <f>IF(Materiales!$B$238="","",Materiales!$B$238)</f>
        <v/>
      </c>
      <c r="C1643" s="63" t="inlineStr">
        <is>
          <t>Necesidad bruta</t>
        </is>
      </c>
      <c r="D1643" s="64" t="n"/>
      <c r="E1643" s="65">
        <f>ROUND(SUMIF(Consumo!$P$4:$P$189,"#"&amp;$A1643,Consumo!H$4:H$189),4)</f>
        <v/>
      </c>
      <c r="F1643" s="65">
        <f>ROUND(SUMIF(Consumo!$P$4:$P$189,"#"&amp;$A1643,Consumo!I$4:I$189),4)</f>
        <v/>
      </c>
      <c r="G1643" s="65">
        <f>ROUND(SUMIF(Consumo!$P$4:$P$189,"#"&amp;$A1643,Consumo!J$4:J$189),4)</f>
        <v/>
      </c>
      <c r="H1643" s="65">
        <f>ROUND(SUMIF(Consumo!$P$4:$P$189,"#"&amp;$A1643,Consumo!K$4:K$189),4)</f>
        <v/>
      </c>
      <c r="I1643" s="65">
        <f>ROUND(SUMIF(Consumo!$P$4:$P$189,"#"&amp;$A1643,Consumo!L$4:L$189),4)</f>
        <v/>
      </c>
      <c r="J1643" s="65">
        <f>ROUND(SUMIF(Consumo!$P$4:$P$189,"#"&amp;$A1643,Consumo!M$4:M$189),4)</f>
        <v/>
      </c>
      <c r="K1643" s="65">
        <f>ROUND(SUMIF(Consumo!$P$4:$P$189,"#"&amp;$A1643,Consumo!N$4:N$189),4)</f>
        <v/>
      </c>
      <c r="L1643" s="65">
        <f>ROUND(SUMIF(Consumo!$P$4:$P$189,"#"&amp;$A1643,Consumo!O$4:O$189),4)</f>
        <v/>
      </c>
      <c r="M1643" s="66" t="n"/>
    </row>
    <row r="1644">
      <c r="C1644" s="63" t="inlineStr">
        <is>
          <t>Recepciones programadas (ya pedido)</t>
        </is>
      </c>
      <c r="D1644" s="64" t="n"/>
      <c r="E1644" s="65">
        <f>SUMIF(Inventario!$M$5:$M$505,"#"&amp;$A1643,Inventario!E$5:E$505)</f>
        <v/>
      </c>
      <c r="F1644" s="65">
        <f>SUMIF(Inventario!$M$5:$M$505,"#"&amp;$A1643,Inventario!F$5:F$505)</f>
        <v/>
      </c>
      <c r="G1644" s="65">
        <f>SUMIF(Inventario!$M$5:$M$505,"#"&amp;$A1643,Inventario!G$5:G$505)</f>
        <v/>
      </c>
      <c r="H1644" s="65">
        <f>SUMIF(Inventario!$M$5:$M$505,"#"&amp;$A1643,Inventario!H$5:H$505)</f>
        <v/>
      </c>
      <c r="I1644" s="65">
        <f>SUMIF(Inventario!$M$5:$M$505,"#"&amp;$A1643,Inventario!I$5:I$505)</f>
        <v/>
      </c>
      <c r="J1644" s="65">
        <f>SUMIF(Inventario!$M$5:$M$505,"#"&amp;$A1643,Inventario!J$5:J$505)</f>
        <v/>
      </c>
      <c r="K1644" s="65">
        <f>SUMIF(Inventario!$M$5:$M$505,"#"&amp;$A1643,Inventario!K$5:K$505)</f>
        <v/>
      </c>
      <c r="L1644" s="65">
        <f>SUMIF(Inventario!$M$5:$M$505,"#"&amp;$A1643,Inventario!L$5:L$505)</f>
        <v/>
      </c>
      <c r="M1644" s="66" t="n"/>
    </row>
    <row r="1645">
      <c r="C1645" s="63" t="inlineStr">
        <is>
          <t>Stock proyectado disponible</t>
        </is>
      </c>
      <c r="D1645" s="67">
        <f>SUMIF(Inventario!$M$5:$M$505,"#"&amp;$A1643,Inventario!$C$5:$C$505)</f>
        <v/>
      </c>
      <c r="E1645" s="68">
        <f>D1645+E1644+E1647-E1643</f>
        <v/>
      </c>
      <c r="F1645" s="68">
        <f>E1645+F1644+F1647-F1643</f>
        <v/>
      </c>
      <c r="G1645" s="68">
        <f>F1645+G1644+G1647-G1643</f>
        <v/>
      </c>
      <c r="H1645" s="68">
        <f>G1645+H1644+H1647-H1643</f>
        <v/>
      </c>
      <c r="I1645" s="68">
        <f>H1645+I1644+I1647-I1643</f>
        <v/>
      </c>
      <c r="J1645" s="68">
        <f>I1645+J1644+J1647-J1643</f>
        <v/>
      </c>
      <c r="K1645" s="68">
        <f>J1645+K1644+K1647-K1643</f>
        <v/>
      </c>
      <c r="L1645" s="68">
        <f>K1645+L1644+L1647-L1643</f>
        <v/>
      </c>
      <c r="M1645" s="66" t="n"/>
    </row>
    <row r="1646">
      <c r="C1646" s="63" t="inlineStr">
        <is>
          <t>Necesidad neta</t>
        </is>
      </c>
      <c r="D1646" s="64" t="n"/>
      <c r="E1646" s="69">
        <f>MAX(0,ROUND(E1643+Materiales!$H$238-D1645-E1644,4))</f>
        <v/>
      </c>
      <c r="F1646" s="69">
        <f>MAX(0,ROUND(F1643+Materiales!$H$238-E1645-F1644,4))</f>
        <v/>
      </c>
      <c r="G1646" s="69">
        <f>MAX(0,ROUND(G1643+Materiales!$H$238-F1645-G1644,4))</f>
        <v/>
      </c>
      <c r="H1646" s="69">
        <f>MAX(0,ROUND(H1643+Materiales!$H$238-G1645-H1644,4))</f>
        <v/>
      </c>
      <c r="I1646" s="69">
        <f>MAX(0,ROUND(I1643+Materiales!$H$238-H1645-I1644,4))</f>
        <v/>
      </c>
      <c r="J1646" s="69">
        <f>MAX(0,ROUND(J1643+Materiales!$H$238-I1645-J1644,4))</f>
        <v/>
      </c>
      <c r="K1646" s="69">
        <f>MAX(0,ROUND(K1643+Materiales!$H$238-J1645-K1644,4))</f>
        <v/>
      </c>
      <c r="L1646" s="69">
        <f>MAX(0,ROUND(L1643+Materiales!$H$238-K1645-L1644,4))</f>
        <v/>
      </c>
      <c r="M1646" s="66" t="n"/>
    </row>
    <row r="1647">
      <c r="C1647" s="63" t="inlineStr">
        <is>
          <t>Recepcion de orden planificada</t>
        </is>
      </c>
      <c r="D1647" s="64" t="n"/>
      <c r="E1647" s="65">
        <f>IF(E1646&lt;=0,0,IF(Materiales!$G$238&lt;=0,E1646,ROUNDUP(E1646/Materiales!$G$238,0)*Materiales!$G$238))</f>
        <v/>
      </c>
      <c r="F1647" s="65">
        <f>IF(F1646&lt;=0,0,IF(Materiales!$G$238&lt;=0,F1646,ROUNDUP(F1646/Materiales!$G$238,0)*Materiales!$G$238))</f>
        <v/>
      </c>
      <c r="G1647" s="65">
        <f>IF(G1646&lt;=0,0,IF(Materiales!$G$238&lt;=0,G1646,ROUNDUP(G1646/Materiales!$G$238,0)*Materiales!$G$238))</f>
        <v/>
      </c>
      <c r="H1647" s="65">
        <f>IF(H1646&lt;=0,0,IF(Materiales!$G$238&lt;=0,H1646,ROUNDUP(H1646/Materiales!$G$238,0)*Materiales!$G$238))</f>
        <v/>
      </c>
      <c r="I1647" s="65">
        <f>IF(I1646&lt;=0,0,IF(Materiales!$G$238&lt;=0,I1646,ROUNDUP(I1646/Materiales!$G$238,0)*Materiales!$G$238))</f>
        <v/>
      </c>
      <c r="J1647" s="65">
        <f>IF(J1646&lt;=0,0,IF(Materiales!$G$238&lt;=0,J1646,ROUNDUP(J1646/Materiales!$G$238,0)*Materiales!$G$238))</f>
        <v/>
      </c>
      <c r="K1647" s="65">
        <f>IF(K1646&lt;=0,0,IF(Materiales!$G$238&lt;=0,K1646,ROUNDUP(K1646/Materiales!$G$238,0)*Materiales!$G$238))</f>
        <v/>
      </c>
      <c r="L1647" s="65">
        <f>IF(L1646&lt;=0,0,IF(Materiales!$G$238&lt;=0,L1646,ROUNDUP(L1646/Materiales!$G$238,0)*Materiales!$G$238))</f>
        <v/>
      </c>
      <c r="M1647" s="66" t="n"/>
    </row>
    <row r="1648">
      <c r="C1648" s="70" t="inlineStr">
        <is>
          <t>LANZAMIENTO DE ORDEN — pedir esta semana</t>
        </is>
      </c>
      <c r="D1648" s="64" t="n"/>
      <c r="E1648" s="71">
        <f>IF(1+Materiales!$F$238&gt;8,0,INDEX($E$1647:$L$1647,1,1+Materiales!$F$238))</f>
        <v/>
      </c>
      <c r="F1648" s="71">
        <f>IF(2+Materiales!$F$238&gt;8,0,INDEX($E$1647:$L$1647,1,2+Materiales!$F$238))</f>
        <v/>
      </c>
      <c r="G1648" s="71">
        <f>IF(3+Materiales!$F$238&gt;8,0,INDEX($E$1647:$L$1647,1,3+Materiales!$F$238))</f>
        <v/>
      </c>
      <c r="H1648" s="71">
        <f>IF(4+Materiales!$F$238&gt;8,0,INDEX($E$1647:$L$1647,1,4+Materiales!$F$238))</f>
        <v/>
      </c>
      <c r="I1648" s="71">
        <f>IF(5+Materiales!$F$238&gt;8,0,INDEX($E$1647:$L$1647,1,5+Materiales!$F$238))</f>
        <v/>
      </c>
      <c r="J1648" s="71">
        <f>IF(6+Materiales!$F$238&gt;8,0,INDEX($E$1647:$L$1647,1,6+Materiales!$F$238))</f>
        <v/>
      </c>
      <c r="K1648" s="71">
        <f>IF(7+Materiales!$F$238&gt;8,0,INDEX($E$1647:$L$1647,1,7+Materiales!$F$238))</f>
        <v/>
      </c>
      <c r="L1648" s="71">
        <f>IF(8+Materiales!$F$238&gt;8,0,INDEX($E$1647:$L$1647,1,8+Materiales!$F$238))</f>
        <v/>
      </c>
      <c r="M1648" s="72">
        <f>IF($A1643="","",IF(SUMPRODUCT((COLUMN($E$1647:$L$1647)-4&lt;=Materiales!$F$238)*$E$1647:$L$1647)&gt;0,"PEDIR YA (atrasado)","OK"))</f>
        <v/>
      </c>
    </row>
    <row r="1649" ht="6" customHeight="1"/>
    <row r="1650">
      <c r="A1650" s="62">
        <f>IF(Materiales!$A$239="","",Materiales!$A$239)</f>
        <v/>
      </c>
      <c r="B1650" s="62">
        <f>IF(Materiales!$B$239="","",Materiales!$B$239)</f>
        <v/>
      </c>
      <c r="C1650" s="63" t="inlineStr">
        <is>
          <t>Necesidad bruta</t>
        </is>
      </c>
      <c r="D1650" s="64" t="n"/>
      <c r="E1650" s="65">
        <f>ROUND(SUMIF(Consumo!$P$4:$P$189,"#"&amp;$A1650,Consumo!H$4:H$189),4)</f>
        <v/>
      </c>
      <c r="F1650" s="65">
        <f>ROUND(SUMIF(Consumo!$P$4:$P$189,"#"&amp;$A1650,Consumo!I$4:I$189),4)</f>
        <v/>
      </c>
      <c r="G1650" s="65">
        <f>ROUND(SUMIF(Consumo!$P$4:$P$189,"#"&amp;$A1650,Consumo!J$4:J$189),4)</f>
        <v/>
      </c>
      <c r="H1650" s="65">
        <f>ROUND(SUMIF(Consumo!$P$4:$P$189,"#"&amp;$A1650,Consumo!K$4:K$189),4)</f>
        <v/>
      </c>
      <c r="I1650" s="65">
        <f>ROUND(SUMIF(Consumo!$P$4:$P$189,"#"&amp;$A1650,Consumo!L$4:L$189),4)</f>
        <v/>
      </c>
      <c r="J1650" s="65">
        <f>ROUND(SUMIF(Consumo!$P$4:$P$189,"#"&amp;$A1650,Consumo!M$4:M$189),4)</f>
        <v/>
      </c>
      <c r="K1650" s="65">
        <f>ROUND(SUMIF(Consumo!$P$4:$P$189,"#"&amp;$A1650,Consumo!N$4:N$189),4)</f>
        <v/>
      </c>
      <c r="L1650" s="65">
        <f>ROUND(SUMIF(Consumo!$P$4:$P$189,"#"&amp;$A1650,Consumo!O$4:O$189),4)</f>
        <v/>
      </c>
      <c r="M1650" s="66" t="n"/>
    </row>
    <row r="1651">
      <c r="C1651" s="63" t="inlineStr">
        <is>
          <t>Recepciones programadas (ya pedido)</t>
        </is>
      </c>
      <c r="D1651" s="64" t="n"/>
      <c r="E1651" s="65">
        <f>SUMIF(Inventario!$M$5:$M$505,"#"&amp;$A1650,Inventario!E$5:E$505)</f>
        <v/>
      </c>
      <c r="F1651" s="65">
        <f>SUMIF(Inventario!$M$5:$M$505,"#"&amp;$A1650,Inventario!F$5:F$505)</f>
        <v/>
      </c>
      <c r="G1651" s="65">
        <f>SUMIF(Inventario!$M$5:$M$505,"#"&amp;$A1650,Inventario!G$5:G$505)</f>
        <v/>
      </c>
      <c r="H1651" s="65">
        <f>SUMIF(Inventario!$M$5:$M$505,"#"&amp;$A1650,Inventario!H$5:H$505)</f>
        <v/>
      </c>
      <c r="I1651" s="65">
        <f>SUMIF(Inventario!$M$5:$M$505,"#"&amp;$A1650,Inventario!I$5:I$505)</f>
        <v/>
      </c>
      <c r="J1651" s="65">
        <f>SUMIF(Inventario!$M$5:$M$505,"#"&amp;$A1650,Inventario!J$5:J$505)</f>
        <v/>
      </c>
      <c r="K1651" s="65">
        <f>SUMIF(Inventario!$M$5:$M$505,"#"&amp;$A1650,Inventario!K$5:K$505)</f>
        <v/>
      </c>
      <c r="L1651" s="65">
        <f>SUMIF(Inventario!$M$5:$M$505,"#"&amp;$A1650,Inventario!L$5:L$505)</f>
        <v/>
      </c>
      <c r="M1651" s="66" t="n"/>
    </row>
    <row r="1652">
      <c r="C1652" s="63" t="inlineStr">
        <is>
          <t>Stock proyectado disponible</t>
        </is>
      </c>
      <c r="D1652" s="67">
        <f>SUMIF(Inventario!$M$5:$M$505,"#"&amp;$A1650,Inventario!$C$5:$C$505)</f>
        <v/>
      </c>
      <c r="E1652" s="68">
        <f>D1652+E1651+E1654-E1650</f>
        <v/>
      </c>
      <c r="F1652" s="68">
        <f>E1652+F1651+F1654-F1650</f>
        <v/>
      </c>
      <c r="G1652" s="68">
        <f>F1652+G1651+G1654-G1650</f>
        <v/>
      </c>
      <c r="H1652" s="68">
        <f>G1652+H1651+H1654-H1650</f>
        <v/>
      </c>
      <c r="I1652" s="68">
        <f>H1652+I1651+I1654-I1650</f>
        <v/>
      </c>
      <c r="J1652" s="68">
        <f>I1652+J1651+J1654-J1650</f>
        <v/>
      </c>
      <c r="K1652" s="68">
        <f>J1652+K1651+K1654-K1650</f>
        <v/>
      </c>
      <c r="L1652" s="68">
        <f>K1652+L1651+L1654-L1650</f>
        <v/>
      </c>
      <c r="M1652" s="66" t="n"/>
    </row>
    <row r="1653">
      <c r="C1653" s="63" t="inlineStr">
        <is>
          <t>Necesidad neta</t>
        </is>
      </c>
      <c r="D1653" s="64" t="n"/>
      <c r="E1653" s="69">
        <f>MAX(0,ROUND(E1650+Materiales!$H$239-D1652-E1651,4))</f>
        <v/>
      </c>
      <c r="F1653" s="69">
        <f>MAX(0,ROUND(F1650+Materiales!$H$239-E1652-F1651,4))</f>
        <v/>
      </c>
      <c r="G1653" s="69">
        <f>MAX(0,ROUND(G1650+Materiales!$H$239-F1652-G1651,4))</f>
        <v/>
      </c>
      <c r="H1653" s="69">
        <f>MAX(0,ROUND(H1650+Materiales!$H$239-G1652-H1651,4))</f>
        <v/>
      </c>
      <c r="I1653" s="69">
        <f>MAX(0,ROUND(I1650+Materiales!$H$239-H1652-I1651,4))</f>
        <v/>
      </c>
      <c r="J1653" s="69">
        <f>MAX(0,ROUND(J1650+Materiales!$H$239-I1652-J1651,4))</f>
        <v/>
      </c>
      <c r="K1653" s="69">
        <f>MAX(0,ROUND(K1650+Materiales!$H$239-J1652-K1651,4))</f>
        <v/>
      </c>
      <c r="L1653" s="69">
        <f>MAX(0,ROUND(L1650+Materiales!$H$239-K1652-L1651,4))</f>
        <v/>
      </c>
      <c r="M1653" s="66" t="n"/>
    </row>
    <row r="1654">
      <c r="C1654" s="63" t="inlineStr">
        <is>
          <t>Recepcion de orden planificada</t>
        </is>
      </c>
      <c r="D1654" s="64" t="n"/>
      <c r="E1654" s="65">
        <f>IF(E1653&lt;=0,0,IF(Materiales!$G$239&lt;=0,E1653,ROUNDUP(E1653/Materiales!$G$239,0)*Materiales!$G$239))</f>
        <v/>
      </c>
      <c r="F1654" s="65">
        <f>IF(F1653&lt;=0,0,IF(Materiales!$G$239&lt;=0,F1653,ROUNDUP(F1653/Materiales!$G$239,0)*Materiales!$G$239))</f>
        <v/>
      </c>
      <c r="G1654" s="65">
        <f>IF(G1653&lt;=0,0,IF(Materiales!$G$239&lt;=0,G1653,ROUNDUP(G1653/Materiales!$G$239,0)*Materiales!$G$239))</f>
        <v/>
      </c>
      <c r="H1654" s="65">
        <f>IF(H1653&lt;=0,0,IF(Materiales!$G$239&lt;=0,H1653,ROUNDUP(H1653/Materiales!$G$239,0)*Materiales!$G$239))</f>
        <v/>
      </c>
      <c r="I1654" s="65">
        <f>IF(I1653&lt;=0,0,IF(Materiales!$G$239&lt;=0,I1653,ROUNDUP(I1653/Materiales!$G$239,0)*Materiales!$G$239))</f>
        <v/>
      </c>
      <c r="J1654" s="65">
        <f>IF(J1653&lt;=0,0,IF(Materiales!$G$239&lt;=0,J1653,ROUNDUP(J1653/Materiales!$G$239,0)*Materiales!$G$239))</f>
        <v/>
      </c>
      <c r="K1654" s="65">
        <f>IF(K1653&lt;=0,0,IF(Materiales!$G$239&lt;=0,K1653,ROUNDUP(K1653/Materiales!$G$239,0)*Materiales!$G$239))</f>
        <v/>
      </c>
      <c r="L1654" s="65">
        <f>IF(L1653&lt;=0,0,IF(Materiales!$G$239&lt;=0,L1653,ROUNDUP(L1653/Materiales!$G$239,0)*Materiales!$G$239))</f>
        <v/>
      </c>
      <c r="M1654" s="66" t="n"/>
    </row>
    <row r="1655">
      <c r="C1655" s="70" t="inlineStr">
        <is>
          <t>LANZAMIENTO DE ORDEN — pedir esta semana</t>
        </is>
      </c>
      <c r="D1655" s="64" t="n"/>
      <c r="E1655" s="71">
        <f>IF(1+Materiales!$F$239&gt;8,0,INDEX($E$1654:$L$1654,1,1+Materiales!$F$239))</f>
        <v/>
      </c>
      <c r="F1655" s="71">
        <f>IF(2+Materiales!$F$239&gt;8,0,INDEX($E$1654:$L$1654,1,2+Materiales!$F$239))</f>
        <v/>
      </c>
      <c r="G1655" s="71">
        <f>IF(3+Materiales!$F$239&gt;8,0,INDEX($E$1654:$L$1654,1,3+Materiales!$F$239))</f>
        <v/>
      </c>
      <c r="H1655" s="71">
        <f>IF(4+Materiales!$F$239&gt;8,0,INDEX($E$1654:$L$1654,1,4+Materiales!$F$239))</f>
        <v/>
      </c>
      <c r="I1655" s="71">
        <f>IF(5+Materiales!$F$239&gt;8,0,INDEX($E$1654:$L$1654,1,5+Materiales!$F$239))</f>
        <v/>
      </c>
      <c r="J1655" s="71">
        <f>IF(6+Materiales!$F$239&gt;8,0,INDEX($E$1654:$L$1654,1,6+Materiales!$F$239))</f>
        <v/>
      </c>
      <c r="K1655" s="71">
        <f>IF(7+Materiales!$F$239&gt;8,0,INDEX($E$1654:$L$1654,1,7+Materiales!$F$239))</f>
        <v/>
      </c>
      <c r="L1655" s="71">
        <f>IF(8+Materiales!$F$239&gt;8,0,INDEX($E$1654:$L$1654,1,8+Materiales!$F$239))</f>
        <v/>
      </c>
      <c r="M1655" s="72">
        <f>IF($A1650="","",IF(SUMPRODUCT((COLUMN($E$1654:$L$1654)-4&lt;=Materiales!$F$239)*$E$1654:$L$1654)&gt;0,"PEDIR YA (atrasado)","OK"))</f>
        <v/>
      </c>
    </row>
    <row r="1656" ht="6" customHeight="1"/>
    <row r="1657">
      <c r="A1657" s="62">
        <f>IF(Materiales!$A$240="","",Materiales!$A$240)</f>
        <v/>
      </c>
      <c r="B1657" s="62">
        <f>IF(Materiales!$B$240="","",Materiales!$B$240)</f>
        <v/>
      </c>
      <c r="C1657" s="63" t="inlineStr">
        <is>
          <t>Necesidad bruta</t>
        </is>
      </c>
      <c r="D1657" s="64" t="n"/>
      <c r="E1657" s="65">
        <f>ROUND(SUMIF(Consumo!$P$4:$P$189,"#"&amp;$A1657,Consumo!H$4:H$189),4)</f>
        <v/>
      </c>
      <c r="F1657" s="65">
        <f>ROUND(SUMIF(Consumo!$P$4:$P$189,"#"&amp;$A1657,Consumo!I$4:I$189),4)</f>
        <v/>
      </c>
      <c r="G1657" s="65">
        <f>ROUND(SUMIF(Consumo!$P$4:$P$189,"#"&amp;$A1657,Consumo!J$4:J$189),4)</f>
        <v/>
      </c>
      <c r="H1657" s="65">
        <f>ROUND(SUMIF(Consumo!$P$4:$P$189,"#"&amp;$A1657,Consumo!K$4:K$189),4)</f>
        <v/>
      </c>
      <c r="I1657" s="65">
        <f>ROUND(SUMIF(Consumo!$P$4:$P$189,"#"&amp;$A1657,Consumo!L$4:L$189),4)</f>
        <v/>
      </c>
      <c r="J1657" s="65">
        <f>ROUND(SUMIF(Consumo!$P$4:$P$189,"#"&amp;$A1657,Consumo!M$4:M$189),4)</f>
        <v/>
      </c>
      <c r="K1657" s="65">
        <f>ROUND(SUMIF(Consumo!$P$4:$P$189,"#"&amp;$A1657,Consumo!N$4:N$189),4)</f>
        <v/>
      </c>
      <c r="L1657" s="65">
        <f>ROUND(SUMIF(Consumo!$P$4:$P$189,"#"&amp;$A1657,Consumo!O$4:O$189),4)</f>
        <v/>
      </c>
      <c r="M1657" s="66" t="n"/>
    </row>
    <row r="1658">
      <c r="C1658" s="63" t="inlineStr">
        <is>
          <t>Recepciones programadas (ya pedido)</t>
        </is>
      </c>
      <c r="D1658" s="64" t="n"/>
      <c r="E1658" s="65">
        <f>SUMIF(Inventario!$M$5:$M$505,"#"&amp;$A1657,Inventario!E$5:E$505)</f>
        <v/>
      </c>
      <c r="F1658" s="65">
        <f>SUMIF(Inventario!$M$5:$M$505,"#"&amp;$A1657,Inventario!F$5:F$505)</f>
        <v/>
      </c>
      <c r="G1658" s="65">
        <f>SUMIF(Inventario!$M$5:$M$505,"#"&amp;$A1657,Inventario!G$5:G$505)</f>
        <v/>
      </c>
      <c r="H1658" s="65">
        <f>SUMIF(Inventario!$M$5:$M$505,"#"&amp;$A1657,Inventario!H$5:H$505)</f>
        <v/>
      </c>
      <c r="I1658" s="65">
        <f>SUMIF(Inventario!$M$5:$M$505,"#"&amp;$A1657,Inventario!I$5:I$505)</f>
        <v/>
      </c>
      <c r="J1658" s="65">
        <f>SUMIF(Inventario!$M$5:$M$505,"#"&amp;$A1657,Inventario!J$5:J$505)</f>
        <v/>
      </c>
      <c r="K1658" s="65">
        <f>SUMIF(Inventario!$M$5:$M$505,"#"&amp;$A1657,Inventario!K$5:K$505)</f>
        <v/>
      </c>
      <c r="L1658" s="65">
        <f>SUMIF(Inventario!$M$5:$M$505,"#"&amp;$A1657,Inventario!L$5:L$505)</f>
        <v/>
      </c>
      <c r="M1658" s="66" t="n"/>
    </row>
    <row r="1659">
      <c r="C1659" s="63" t="inlineStr">
        <is>
          <t>Stock proyectado disponible</t>
        </is>
      </c>
      <c r="D1659" s="67">
        <f>SUMIF(Inventario!$M$5:$M$505,"#"&amp;$A1657,Inventario!$C$5:$C$505)</f>
        <v/>
      </c>
      <c r="E1659" s="68">
        <f>D1659+E1658+E1661-E1657</f>
        <v/>
      </c>
      <c r="F1659" s="68">
        <f>E1659+F1658+F1661-F1657</f>
        <v/>
      </c>
      <c r="G1659" s="68">
        <f>F1659+G1658+G1661-G1657</f>
        <v/>
      </c>
      <c r="H1659" s="68">
        <f>G1659+H1658+H1661-H1657</f>
        <v/>
      </c>
      <c r="I1659" s="68">
        <f>H1659+I1658+I1661-I1657</f>
        <v/>
      </c>
      <c r="J1659" s="68">
        <f>I1659+J1658+J1661-J1657</f>
        <v/>
      </c>
      <c r="K1659" s="68">
        <f>J1659+K1658+K1661-K1657</f>
        <v/>
      </c>
      <c r="L1659" s="68">
        <f>K1659+L1658+L1661-L1657</f>
        <v/>
      </c>
      <c r="M1659" s="66" t="n"/>
    </row>
    <row r="1660">
      <c r="C1660" s="63" t="inlineStr">
        <is>
          <t>Necesidad neta</t>
        </is>
      </c>
      <c r="D1660" s="64" t="n"/>
      <c r="E1660" s="69">
        <f>MAX(0,ROUND(E1657+Materiales!$H$240-D1659-E1658,4))</f>
        <v/>
      </c>
      <c r="F1660" s="69">
        <f>MAX(0,ROUND(F1657+Materiales!$H$240-E1659-F1658,4))</f>
        <v/>
      </c>
      <c r="G1660" s="69">
        <f>MAX(0,ROUND(G1657+Materiales!$H$240-F1659-G1658,4))</f>
        <v/>
      </c>
      <c r="H1660" s="69">
        <f>MAX(0,ROUND(H1657+Materiales!$H$240-G1659-H1658,4))</f>
        <v/>
      </c>
      <c r="I1660" s="69">
        <f>MAX(0,ROUND(I1657+Materiales!$H$240-H1659-I1658,4))</f>
        <v/>
      </c>
      <c r="J1660" s="69">
        <f>MAX(0,ROUND(J1657+Materiales!$H$240-I1659-J1658,4))</f>
        <v/>
      </c>
      <c r="K1660" s="69">
        <f>MAX(0,ROUND(K1657+Materiales!$H$240-J1659-K1658,4))</f>
        <v/>
      </c>
      <c r="L1660" s="69">
        <f>MAX(0,ROUND(L1657+Materiales!$H$240-K1659-L1658,4))</f>
        <v/>
      </c>
      <c r="M1660" s="66" t="n"/>
    </row>
    <row r="1661">
      <c r="C1661" s="63" t="inlineStr">
        <is>
          <t>Recepcion de orden planificada</t>
        </is>
      </c>
      <c r="D1661" s="64" t="n"/>
      <c r="E1661" s="65">
        <f>IF(E1660&lt;=0,0,IF(Materiales!$G$240&lt;=0,E1660,ROUNDUP(E1660/Materiales!$G$240,0)*Materiales!$G$240))</f>
        <v/>
      </c>
      <c r="F1661" s="65">
        <f>IF(F1660&lt;=0,0,IF(Materiales!$G$240&lt;=0,F1660,ROUNDUP(F1660/Materiales!$G$240,0)*Materiales!$G$240))</f>
        <v/>
      </c>
      <c r="G1661" s="65">
        <f>IF(G1660&lt;=0,0,IF(Materiales!$G$240&lt;=0,G1660,ROUNDUP(G1660/Materiales!$G$240,0)*Materiales!$G$240))</f>
        <v/>
      </c>
      <c r="H1661" s="65">
        <f>IF(H1660&lt;=0,0,IF(Materiales!$G$240&lt;=0,H1660,ROUNDUP(H1660/Materiales!$G$240,0)*Materiales!$G$240))</f>
        <v/>
      </c>
      <c r="I1661" s="65">
        <f>IF(I1660&lt;=0,0,IF(Materiales!$G$240&lt;=0,I1660,ROUNDUP(I1660/Materiales!$G$240,0)*Materiales!$G$240))</f>
        <v/>
      </c>
      <c r="J1661" s="65">
        <f>IF(J1660&lt;=0,0,IF(Materiales!$G$240&lt;=0,J1660,ROUNDUP(J1660/Materiales!$G$240,0)*Materiales!$G$240))</f>
        <v/>
      </c>
      <c r="K1661" s="65">
        <f>IF(K1660&lt;=0,0,IF(Materiales!$G$240&lt;=0,K1660,ROUNDUP(K1660/Materiales!$G$240,0)*Materiales!$G$240))</f>
        <v/>
      </c>
      <c r="L1661" s="65">
        <f>IF(L1660&lt;=0,0,IF(Materiales!$G$240&lt;=0,L1660,ROUNDUP(L1660/Materiales!$G$240,0)*Materiales!$G$240))</f>
        <v/>
      </c>
      <c r="M1661" s="66" t="n"/>
    </row>
    <row r="1662">
      <c r="C1662" s="70" t="inlineStr">
        <is>
          <t>LANZAMIENTO DE ORDEN — pedir esta semana</t>
        </is>
      </c>
      <c r="D1662" s="64" t="n"/>
      <c r="E1662" s="71">
        <f>IF(1+Materiales!$F$240&gt;8,0,INDEX($E$1661:$L$1661,1,1+Materiales!$F$240))</f>
        <v/>
      </c>
      <c r="F1662" s="71">
        <f>IF(2+Materiales!$F$240&gt;8,0,INDEX($E$1661:$L$1661,1,2+Materiales!$F$240))</f>
        <v/>
      </c>
      <c r="G1662" s="71">
        <f>IF(3+Materiales!$F$240&gt;8,0,INDEX($E$1661:$L$1661,1,3+Materiales!$F$240))</f>
        <v/>
      </c>
      <c r="H1662" s="71">
        <f>IF(4+Materiales!$F$240&gt;8,0,INDEX($E$1661:$L$1661,1,4+Materiales!$F$240))</f>
        <v/>
      </c>
      <c r="I1662" s="71">
        <f>IF(5+Materiales!$F$240&gt;8,0,INDEX($E$1661:$L$1661,1,5+Materiales!$F$240))</f>
        <v/>
      </c>
      <c r="J1662" s="71">
        <f>IF(6+Materiales!$F$240&gt;8,0,INDEX($E$1661:$L$1661,1,6+Materiales!$F$240))</f>
        <v/>
      </c>
      <c r="K1662" s="71">
        <f>IF(7+Materiales!$F$240&gt;8,0,INDEX($E$1661:$L$1661,1,7+Materiales!$F$240))</f>
        <v/>
      </c>
      <c r="L1662" s="71">
        <f>IF(8+Materiales!$F$240&gt;8,0,INDEX($E$1661:$L$1661,1,8+Materiales!$F$240))</f>
        <v/>
      </c>
      <c r="M1662" s="72">
        <f>IF($A1657="","",IF(SUMPRODUCT((COLUMN($E$1661:$L$1661)-4&lt;=Materiales!$F$240)*$E$1661:$L$1661)&gt;0,"PEDIR YA (atrasado)","OK"))</f>
        <v/>
      </c>
    </row>
    <row r="1663" ht="6" customHeight="1"/>
    <row r="1664">
      <c r="A1664" s="62">
        <f>IF(Materiales!$A$241="","",Materiales!$A$241)</f>
        <v/>
      </c>
      <c r="B1664" s="62">
        <f>IF(Materiales!$B$241="","",Materiales!$B$241)</f>
        <v/>
      </c>
      <c r="C1664" s="63" t="inlineStr">
        <is>
          <t>Necesidad bruta</t>
        </is>
      </c>
      <c r="D1664" s="64" t="n"/>
      <c r="E1664" s="65">
        <f>ROUND(SUMIF(Consumo!$P$4:$P$189,"#"&amp;$A1664,Consumo!H$4:H$189),4)</f>
        <v/>
      </c>
      <c r="F1664" s="65">
        <f>ROUND(SUMIF(Consumo!$P$4:$P$189,"#"&amp;$A1664,Consumo!I$4:I$189),4)</f>
        <v/>
      </c>
      <c r="G1664" s="65">
        <f>ROUND(SUMIF(Consumo!$P$4:$P$189,"#"&amp;$A1664,Consumo!J$4:J$189),4)</f>
        <v/>
      </c>
      <c r="H1664" s="65">
        <f>ROUND(SUMIF(Consumo!$P$4:$P$189,"#"&amp;$A1664,Consumo!K$4:K$189),4)</f>
        <v/>
      </c>
      <c r="I1664" s="65">
        <f>ROUND(SUMIF(Consumo!$P$4:$P$189,"#"&amp;$A1664,Consumo!L$4:L$189),4)</f>
        <v/>
      </c>
      <c r="J1664" s="65">
        <f>ROUND(SUMIF(Consumo!$P$4:$P$189,"#"&amp;$A1664,Consumo!M$4:M$189),4)</f>
        <v/>
      </c>
      <c r="K1664" s="65">
        <f>ROUND(SUMIF(Consumo!$P$4:$P$189,"#"&amp;$A1664,Consumo!N$4:N$189),4)</f>
        <v/>
      </c>
      <c r="L1664" s="65">
        <f>ROUND(SUMIF(Consumo!$P$4:$P$189,"#"&amp;$A1664,Consumo!O$4:O$189),4)</f>
        <v/>
      </c>
      <c r="M1664" s="66" t="n"/>
    </row>
    <row r="1665">
      <c r="C1665" s="63" t="inlineStr">
        <is>
          <t>Recepciones programadas (ya pedido)</t>
        </is>
      </c>
      <c r="D1665" s="64" t="n"/>
      <c r="E1665" s="65">
        <f>SUMIF(Inventario!$M$5:$M$505,"#"&amp;$A1664,Inventario!E$5:E$505)</f>
        <v/>
      </c>
      <c r="F1665" s="65">
        <f>SUMIF(Inventario!$M$5:$M$505,"#"&amp;$A1664,Inventario!F$5:F$505)</f>
        <v/>
      </c>
      <c r="G1665" s="65">
        <f>SUMIF(Inventario!$M$5:$M$505,"#"&amp;$A1664,Inventario!G$5:G$505)</f>
        <v/>
      </c>
      <c r="H1665" s="65">
        <f>SUMIF(Inventario!$M$5:$M$505,"#"&amp;$A1664,Inventario!H$5:H$505)</f>
        <v/>
      </c>
      <c r="I1665" s="65">
        <f>SUMIF(Inventario!$M$5:$M$505,"#"&amp;$A1664,Inventario!I$5:I$505)</f>
        <v/>
      </c>
      <c r="J1665" s="65">
        <f>SUMIF(Inventario!$M$5:$M$505,"#"&amp;$A1664,Inventario!J$5:J$505)</f>
        <v/>
      </c>
      <c r="K1665" s="65">
        <f>SUMIF(Inventario!$M$5:$M$505,"#"&amp;$A1664,Inventario!K$5:K$505)</f>
        <v/>
      </c>
      <c r="L1665" s="65">
        <f>SUMIF(Inventario!$M$5:$M$505,"#"&amp;$A1664,Inventario!L$5:L$505)</f>
        <v/>
      </c>
      <c r="M1665" s="66" t="n"/>
    </row>
    <row r="1666">
      <c r="C1666" s="63" t="inlineStr">
        <is>
          <t>Stock proyectado disponible</t>
        </is>
      </c>
      <c r="D1666" s="67">
        <f>SUMIF(Inventario!$M$5:$M$505,"#"&amp;$A1664,Inventario!$C$5:$C$505)</f>
        <v/>
      </c>
      <c r="E1666" s="68">
        <f>D1666+E1665+E1668-E1664</f>
        <v/>
      </c>
      <c r="F1666" s="68">
        <f>E1666+F1665+F1668-F1664</f>
        <v/>
      </c>
      <c r="G1666" s="68">
        <f>F1666+G1665+G1668-G1664</f>
        <v/>
      </c>
      <c r="H1666" s="68">
        <f>G1666+H1665+H1668-H1664</f>
        <v/>
      </c>
      <c r="I1666" s="68">
        <f>H1666+I1665+I1668-I1664</f>
        <v/>
      </c>
      <c r="J1666" s="68">
        <f>I1666+J1665+J1668-J1664</f>
        <v/>
      </c>
      <c r="K1666" s="68">
        <f>J1666+K1665+K1668-K1664</f>
        <v/>
      </c>
      <c r="L1666" s="68">
        <f>K1666+L1665+L1668-L1664</f>
        <v/>
      </c>
      <c r="M1666" s="66" t="n"/>
    </row>
    <row r="1667">
      <c r="C1667" s="63" t="inlineStr">
        <is>
          <t>Necesidad neta</t>
        </is>
      </c>
      <c r="D1667" s="64" t="n"/>
      <c r="E1667" s="69">
        <f>MAX(0,ROUND(E1664+Materiales!$H$241-D1666-E1665,4))</f>
        <v/>
      </c>
      <c r="F1667" s="69">
        <f>MAX(0,ROUND(F1664+Materiales!$H$241-E1666-F1665,4))</f>
        <v/>
      </c>
      <c r="G1667" s="69">
        <f>MAX(0,ROUND(G1664+Materiales!$H$241-F1666-G1665,4))</f>
        <v/>
      </c>
      <c r="H1667" s="69">
        <f>MAX(0,ROUND(H1664+Materiales!$H$241-G1666-H1665,4))</f>
        <v/>
      </c>
      <c r="I1667" s="69">
        <f>MAX(0,ROUND(I1664+Materiales!$H$241-H1666-I1665,4))</f>
        <v/>
      </c>
      <c r="J1667" s="69">
        <f>MAX(0,ROUND(J1664+Materiales!$H$241-I1666-J1665,4))</f>
        <v/>
      </c>
      <c r="K1667" s="69">
        <f>MAX(0,ROUND(K1664+Materiales!$H$241-J1666-K1665,4))</f>
        <v/>
      </c>
      <c r="L1667" s="69">
        <f>MAX(0,ROUND(L1664+Materiales!$H$241-K1666-L1665,4))</f>
        <v/>
      </c>
      <c r="M1667" s="66" t="n"/>
    </row>
    <row r="1668">
      <c r="C1668" s="63" t="inlineStr">
        <is>
          <t>Recepcion de orden planificada</t>
        </is>
      </c>
      <c r="D1668" s="64" t="n"/>
      <c r="E1668" s="65">
        <f>IF(E1667&lt;=0,0,IF(Materiales!$G$241&lt;=0,E1667,ROUNDUP(E1667/Materiales!$G$241,0)*Materiales!$G$241))</f>
        <v/>
      </c>
      <c r="F1668" s="65">
        <f>IF(F1667&lt;=0,0,IF(Materiales!$G$241&lt;=0,F1667,ROUNDUP(F1667/Materiales!$G$241,0)*Materiales!$G$241))</f>
        <v/>
      </c>
      <c r="G1668" s="65">
        <f>IF(G1667&lt;=0,0,IF(Materiales!$G$241&lt;=0,G1667,ROUNDUP(G1667/Materiales!$G$241,0)*Materiales!$G$241))</f>
        <v/>
      </c>
      <c r="H1668" s="65">
        <f>IF(H1667&lt;=0,0,IF(Materiales!$G$241&lt;=0,H1667,ROUNDUP(H1667/Materiales!$G$241,0)*Materiales!$G$241))</f>
        <v/>
      </c>
      <c r="I1668" s="65">
        <f>IF(I1667&lt;=0,0,IF(Materiales!$G$241&lt;=0,I1667,ROUNDUP(I1667/Materiales!$G$241,0)*Materiales!$G$241))</f>
        <v/>
      </c>
      <c r="J1668" s="65">
        <f>IF(J1667&lt;=0,0,IF(Materiales!$G$241&lt;=0,J1667,ROUNDUP(J1667/Materiales!$G$241,0)*Materiales!$G$241))</f>
        <v/>
      </c>
      <c r="K1668" s="65">
        <f>IF(K1667&lt;=0,0,IF(Materiales!$G$241&lt;=0,K1667,ROUNDUP(K1667/Materiales!$G$241,0)*Materiales!$G$241))</f>
        <v/>
      </c>
      <c r="L1668" s="65">
        <f>IF(L1667&lt;=0,0,IF(Materiales!$G$241&lt;=0,L1667,ROUNDUP(L1667/Materiales!$G$241,0)*Materiales!$G$241))</f>
        <v/>
      </c>
      <c r="M1668" s="66" t="n"/>
    </row>
    <row r="1669">
      <c r="C1669" s="70" t="inlineStr">
        <is>
          <t>LANZAMIENTO DE ORDEN — pedir esta semana</t>
        </is>
      </c>
      <c r="D1669" s="64" t="n"/>
      <c r="E1669" s="71">
        <f>IF(1+Materiales!$F$241&gt;8,0,INDEX($E$1668:$L$1668,1,1+Materiales!$F$241))</f>
        <v/>
      </c>
      <c r="F1669" s="71">
        <f>IF(2+Materiales!$F$241&gt;8,0,INDEX($E$1668:$L$1668,1,2+Materiales!$F$241))</f>
        <v/>
      </c>
      <c r="G1669" s="71">
        <f>IF(3+Materiales!$F$241&gt;8,0,INDEX($E$1668:$L$1668,1,3+Materiales!$F$241))</f>
        <v/>
      </c>
      <c r="H1669" s="71">
        <f>IF(4+Materiales!$F$241&gt;8,0,INDEX($E$1668:$L$1668,1,4+Materiales!$F$241))</f>
        <v/>
      </c>
      <c r="I1669" s="71">
        <f>IF(5+Materiales!$F$241&gt;8,0,INDEX($E$1668:$L$1668,1,5+Materiales!$F$241))</f>
        <v/>
      </c>
      <c r="J1669" s="71">
        <f>IF(6+Materiales!$F$241&gt;8,0,INDEX($E$1668:$L$1668,1,6+Materiales!$F$241))</f>
        <v/>
      </c>
      <c r="K1669" s="71">
        <f>IF(7+Materiales!$F$241&gt;8,0,INDEX($E$1668:$L$1668,1,7+Materiales!$F$241))</f>
        <v/>
      </c>
      <c r="L1669" s="71">
        <f>IF(8+Materiales!$F$241&gt;8,0,INDEX($E$1668:$L$1668,1,8+Materiales!$F$241))</f>
        <v/>
      </c>
      <c r="M1669" s="72">
        <f>IF($A1664="","",IF(SUMPRODUCT((COLUMN($E$1668:$L$1668)-4&lt;=Materiales!$F$241)*$E$1668:$L$1668)&gt;0,"PEDIR YA (atrasado)","OK"))</f>
        <v/>
      </c>
    </row>
    <row r="1670" ht="6" customHeight="1"/>
    <row r="1671">
      <c r="A1671" s="62">
        <f>IF(Materiales!$A$242="","",Materiales!$A$242)</f>
        <v/>
      </c>
      <c r="B1671" s="62">
        <f>IF(Materiales!$B$242="","",Materiales!$B$242)</f>
        <v/>
      </c>
      <c r="C1671" s="63" t="inlineStr">
        <is>
          <t>Necesidad bruta</t>
        </is>
      </c>
      <c r="D1671" s="64" t="n"/>
      <c r="E1671" s="65">
        <f>ROUND(SUMIF(Consumo!$P$4:$P$189,"#"&amp;$A1671,Consumo!H$4:H$189),4)</f>
        <v/>
      </c>
      <c r="F1671" s="65">
        <f>ROUND(SUMIF(Consumo!$P$4:$P$189,"#"&amp;$A1671,Consumo!I$4:I$189),4)</f>
        <v/>
      </c>
      <c r="G1671" s="65">
        <f>ROUND(SUMIF(Consumo!$P$4:$P$189,"#"&amp;$A1671,Consumo!J$4:J$189),4)</f>
        <v/>
      </c>
      <c r="H1671" s="65">
        <f>ROUND(SUMIF(Consumo!$P$4:$P$189,"#"&amp;$A1671,Consumo!K$4:K$189),4)</f>
        <v/>
      </c>
      <c r="I1671" s="65">
        <f>ROUND(SUMIF(Consumo!$P$4:$P$189,"#"&amp;$A1671,Consumo!L$4:L$189),4)</f>
        <v/>
      </c>
      <c r="J1671" s="65">
        <f>ROUND(SUMIF(Consumo!$P$4:$P$189,"#"&amp;$A1671,Consumo!M$4:M$189),4)</f>
        <v/>
      </c>
      <c r="K1671" s="65">
        <f>ROUND(SUMIF(Consumo!$P$4:$P$189,"#"&amp;$A1671,Consumo!N$4:N$189),4)</f>
        <v/>
      </c>
      <c r="L1671" s="65">
        <f>ROUND(SUMIF(Consumo!$P$4:$P$189,"#"&amp;$A1671,Consumo!O$4:O$189),4)</f>
        <v/>
      </c>
      <c r="M1671" s="66" t="n"/>
    </row>
    <row r="1672">
      <c r="C1672" s="63" t="inlineStr">
        <is>
          <t>Recepciones programadas (ya pedido)</t>
        </is>
      </c>
      <c r="D1672" s="64" t="n"/>
      <c r="E1672" s="65">
        <f>SUMIF(Inventario!$M$5:$M$505,"#"&amp;$A1671,Inventario!E$5:E$505)</f>
        <v/>
      </c>
      <c r="F1672" s="65">
        <f>SUMIF(Inventario!$M$5:$M$505,"#"&amp;$A1671,Inventario!F$5:F$505)</f>
        <v/>
      </c>
      <c r="G1672" s="65">
        <f>SUMIF(Inventario!$M$5:$M$505,"#"&amp;$A1671,Inventario!G$5:G$505)</f>
        <v/>
      </c>
      <c r="H1672" s="65">
        <f>SUMIF(Inventario!$M$5:$M$505,"#"&amp;$A1671,Inventario!H$5:H$505)</f>
        <v/>
      </c>
      <c r="I1672" s="65">
        <f>SUMIF(Inventario!$M$5:$M$505,"#"&amp;$A1671,Inventario!I$5:I$505)</f>
        <v/>
      </c>
      <c r="J1672" s="65">
        <f>SUMIF(Inventario!$M$5:$M$505,"#"&amp;$A1671,Inventario!J$5:J$505)</f>
        <v/>
      </c>
      <c r="K1672" s="65">
        <f>SUMIF(Inventario!$M$5:$M$505,"#"&amp;$A1671,Inventario!K$5:K$505)</f>
        <v/>
      </c>
      <c r="L1672" s="65">
        <f>SUMIF(Inventario!$M$5:$M$505,"#"&amp;$A1671,Inventario!L$5:L$505)</f>
        <v/>
      </c>
      <c r="M1672" s="66" t="n"/>
    </row>
    <row r="1673">
      <c r="C1673" s="63" t="inlineStr">
        <is>
          <t>Stock proyectado disponible</t>
        </is>
      </c>
      <c r="D1673" s="67">
        <f>SUMIF(Inventario!$M$5:$M$505,"#"&amp;$A1671,Inventario!$C$5:$C$505)</f>
        <v/>
      </c>
      <c r="E1673" s="68">
        <f>D1673+E1672+E1675-E1671</f>
        <v/>
      </c>
      <c r="F1673" s="68">
        <f>E1673+F1672+F1675-F1671</f>
        <v/>
      </c>
      <c r="G1673" s="68">
        <f>F1673+G1672+G1675-G1671</f>
        <v/>
      </c>
      <c r="H1673" s="68">
        <f>G1673+H1672+H1675-H1671</f>
        <v/>
      </c>
      <c r="I1673" s="68">
        <f>H1673+I1672+I1675-I1671</f>
        <v/>
      </c>
      <c r="J1673" s="68">
        <f>I1673+J1672+J1675-J1671</f>
        <v/>
      </c>
      <c r="K1673" s="68">
        <f>J1673+K1672+K1675-K1671</f>
        <v/>
      </c>
      <c r="L1673" s="68">
        <f>K1673+L1672+L1675-L1671</f>
        <v/>
      </c>
      <c r="M1673" s="66" t="n"/>
    </row>
    <row r="1674">
      <c r="C1674" s="63" t="inlineStr">
        <is>
          <t>Necesidad neta</t>
        </is>
      </c>
      <c r="D1674" s="64" t="n"/>
      <c r="E1674" s="69">
        <f>MAX(0,ROUND(E1671+Materiales!$H$242-D1673-E1672,4))</f>
        <v/>
      </c>
      <c r="F1674" s="69">
        <f>MAX(0,ROUND(F1671+Materiales!$H$242-E1673-F1672,4))</f>
        <v/>
      </c>
      <c r="G1674" s="69">
        <f>MAX(0,ROUND(G1671+Materiales!$H$242-F1673-G1672,4))</f>
        <v/>
      </c>
      <c r="H1674" s="69">
        <f>MAX(0,ROUND(H1671+Materiales!$H$242-G1673-H1672,4))</f>
        <v/>
      </c>
      <c r="I1674" s="69">
        <f>MAX(0,ROUND(I1671+Materiales!$H$242-H1673-I1672,4))</f>
        <v/>
      </c>
      <c r="J1674" s="69">
        <f>MAX(0,ROUND(J1671+Materiales!$H$242-I1673-J1672,4))</f>
        <v/>
      </c>
      <c r="K1674" s="69">
        <f>MAX(0,ROUND(K1671+Materiales!$H$242-J1673-K1672,4))</f>
        <v/>
      </c>
      <c r="L1674" s="69">
        <f>MAX(0,ROUND(L1671+Materiales!$H$242-K1673-L1672,4))</f>
        <v/>
      </c>
      <c r="M1674" s="66" t="n"/>
    </row>
    <row r="1675">
      <c r="C1675" s="63" t="inlineStr">
        <is>
          <t>Recepcion de orden planificada</t>
        </is>
      </c>
      <c r="D1675" s="64" t="n"/>
      <c r="E1675" s="65">
        <f>IF(E1674&lt;=0,0,IF(Materiales!$G$242&lt;=0,E1674,ROUNDUP(E1674/Materiales!$G$242,0)*Materiales!$G$242))</f>
        <v/>
      </c>
      <c r="F1675" s="65">
        <f>IF(F1674&lt;=0,0,IF(Materiales!$G$242&lt;=0,F1674,ROUNDUP(F1674/Materiales!$G$242,0)*Materiales!$G$242))</f>
        <v/>
      </c>
      <c r="G1675" s="65">
        <f>IF(G1674&lt;=0,0,IF(Materiales!$G$242&lt;=0,G1674,ROUNDUP(G1674/Materiales!$G$242,0)*Materiales!$G$242))</f>
        <v/>
      </c>
      <c r="H1675" s="65">
        <f>IF(H1674&lt;=0,0,IF(Materiales!$G$242&lt;=0,H1674,ROUNDUP(H1674/Materiales!$G$242,0)*Materiales!$G$242))</f>
        <v/>
      </c>
      <c r="I1675" s="65">
        <f>IF(I1674&lt;=0,0,IF(Materiales!$G$242&lt;=0,I1674,ROUNDUP(I1674/Materiales!$G$242,0)*Materiales!$G$242))</f>
        <v/>
      </c>
      <c r="J1675" s="65">
        <f>IF(J1674&lt;=0,0,IF(Materiales!$G$242&lt;=0,J1674,ROUNDUP(J1674/Materiales!$G$242,0)*Materiales!$G$242))</f>
        <v/>
      </c>
      <c r="K1675" s="65">
        <f>IF(K1674&lt;=0,0,IF(Materiales!$G$242&lt;=0,K1674,ROUNDUP(K1674/Materiales!$G$242,0)*Materiales!$G$242))</f>
        <v/>
      </c>
      <c r="L1675" s="65">
        <f>IF(L1674&lt;=0,0,IF(Materiales!$G$242&lt;=0,L1674,ROUNDUP(L1674/Materiales!$G$242,0)*Materiales!$G$242))</f>
        <v/>
      </c>
      <c r="M1675" s="66" t="n"/>
    </row>
    <row r="1676">
      <c r="C1676" s="70" t="inlineStr">
        <is>
          <t>LANZAMIENTO DE ORDEN — pedir esta semana</t>
        </is>
      </c>
      <c r="D1676" s="64" t="n"/>
      <c r="E1676" s="71">
        <f>IF(1+Materiales!$F$242&gt;8,0,INDEX($E$1675:$L$1675,1,1+Materiales!$F$242))</f>
        <v/>
      </c>
      <c r="F1676" s="71">
        <f>IF(2+Materiales!$F$242&gt;8,0,INDEX($E$1675:$L$1675,1,2+Materiales!$F$242))</f>
        <v/>
      </c>
      <c r="G1676" s="71">
        <f>IF(3+Materiales!$F$242&gt;8,0,INDEX($E$1675:$L$1675,1,3+Materiales!$F$242))</f>
        <v/>
      </c>
      <c r="H1676" s="71">
        <f>IF(4+Materiales!$F$242&gt;8,0,INDEX($E$1675:$L$1675,1,4+Materiales!$F$242))</f>
        <v/>
      </c>
      <c r="I1676" s="71">
        <f>IF(5+Materiales!$F$242&gt;8,0,INDEX($E$1675:$L$1675,1,5+Materiales!$F$242))</f>
        <v/>
      </c>
      <c r="J1676" s="71">
        <f>IF(6+Materiales!$F$242&gt;8,0,INDEX($E$1675:$L$1675,1,6+Materiales!$F$242))</f>
        <v/>
      </c>
      <c r="K1676" s="71">
        <f>IF(7+Materiales!$F$242&gt;8,0,INDEX($E$1675:$L$1675,1,7+Materiales!$F$242))</f>
        <v/>
      </c>
      <c r="L1676" s="71">
        <f>IF(8+Materiales!$F$242&gt;8,0,INDEX($E$1675:$L$1675,1,8+Materiales!$F$242))</f>
        <v/>
      </c>
      <c r="M1676" s="72">
        <f>IF($A1671="","",IF(SUMPRODUCT((COLUMN($E$1675:$L$1675)-4&lt;=Materiales!$F$242)*$E$1675:$L$1675)&gt;0,"PEDIR YA (atrasado)","OK"))</f>
        <v/>
      </c>
    </row>
    <row r="1677" ht="6" customHeight="1"/>
    <row r="1678">
      <c r="A1678" s="62">
        <f>IF(Materiales!$A$243="","",Materiales!$A$243)</f>
        <v/>
      </c>
      <c r="B1678" s="62">
        <f>IF(Materiales!$B$243="","",Materiales!$B$243)</f>
        <v/>
      </c>
      <c r="C1678" s="63" t="inlineStr">
        <is>
          <t>Necesidad bruta</t>
        </is>
      </c>
      <c r="D1678" s="64" t="n"/>
      <c r="E1678" s="65">
        <f>ROUND(SUMIF(Consumo!$P$4:$P$189,"#"&amp;$A1678,Consumo!H$4:H$189),4)</f>
        <v/>
      </c>
      <c r="F1678" s="65">
        <f>ROUND(SUMIF(Consumo!$P$4:$P$189,"#"&amp;$A1678,Consumo!I$4:I$189),4)</f>
        <v/>
      </c>
      <c r="G1678" s="65">
        <f>ROUND(SUMIF(Consumo!$P$4:$P$189,"#"&amp;$A1678,Consumo!J$4:J$189),4)</f>
        <v/>
      </c>
      <c r="H1678" s="65">
        <f>ROUND(SUMIF(Consumo!$P$4:$P$189,"#"&amp;$A1678,Consumo!K$4:K$189),4)</f>
        <v/>
      </c>
      <c r="I1678" s="65">
        <f>ROUND(SUMIF(Consumo!$P$4:$P$189,"#"&amp;$A1678,Consumo!L$4:L$189),4)</f>
        <v/>
      </c>
      <c r="J1678" s="65">
        <f>ROUND(SUMIF(Consumo!$P$4:$P$189,"#"&amp;$A1678,Consumo!M$4:M$189),4)</f>
        <v/>
      </c>
      <c r="K1678" s="65">
        <f>ROUND(SUMIF(Consumo!$P$4:$P$189,"#"&amp;$A1678,Consumo!N$4:N$189),4)</f>
        <v/>
      </c>
      <c r="L1678" s="65">
        <f>ROUND(SUMIF(Consumo!$P$4:$P$189,"#"&amp;$A1678,Consumo!O$4:O$189),4)</f>
        <v/>
      </c>
      <c r="M1678" s="66" t="n"/>
    </row>
    <row r="1679">
      <c r="C1679" s="63" t="inlineStr">
        <is>
          <t>Recepciones programadas (ya pedido)</t>
        </is>
      </c>
      <c r="D1679" s="64" t="n"/>
      <c r="E1679" s="65">
        <f>SUMIF(Inventario!$M$5:$M$505,"#"&amp;$A1678,Inventario!E$5:E$505)</f>
        <v/>
      </c>
      <c r="F1679" s="65">
        <f>SUMIF(Inventario!$M$5:$M$505,"#"&amp;$A1678,Inventario!F$5:F$505)</f>
        <v/>
      </c>
      <c r="G1679" s="65">
        <f>SUMIF(Inventario!$M$5:$M$505,"#"&amp;$A1678,Inventario!G$5:G$505)</f>
        <v/>
      </c>
      <c r="H1679" s="65">
        <f>SUMIF(Inventario!$M$5:$M$505,"#"&amp;$A1678,Inventario!H$5:H$505)</f>
        <v/>
      </c>
      <c r="I1679" s="65">
        <f>SUMIF(Inventario!$M$5:$M$505,"#"&amp;$A1678,Inventario!I$5:I$505)</f>
        <v/>
      </c>
      <c r="J1679" s="65">
        <f>SUMIF(Inventario!$M$5:$M$505,"#"&amp;$A1678,Inventario!J$5:J$505)</f>
        <v/>
      </c>
      <c r="K1679" s="65">
        <f>SUMIF(Inventario!$M$5:$M$505,"#"&amp;$A1678,Inventario!K$5:K$505)</f>
        <v/>
      </c>
      <c r="L1679" s="65">
        <f>SUMIF(Inventario!$M$5:$M$505,"#"&amp;$A1678,Inventario!L$5:L$505)</f>
        <v/>
      </c>
      <c r="M1679" s="66" t="n"/>
    </row>
    <row r="1680">
      <c r="C1680" s="63" t="inlineStr">
        <is>
          <t>Stock proyectado disponible</t>
        </is>
      </c>
      <c r="D1680" s="67">
        <f>SUMIF(Inventario!$M$5:$M$505,"#"&amp;$A1678,Inventario!$C$5:$C$505)</f>
        <v/>
      </c>
      <c r="E1680" s="68">
        <f>D1680+E1679+E1682-E1678</f>
        <v/>
      </c>
      <c r="F1680" s="68">
        <f>E1680+F1679+F1682-F1678</f>
        <v/>
      </c>
      <c r="G1680" s="68">
        <f>F1680+G1679+G1682-G1678</f>
        <v/>
      </c>
      <c r="H1680" s="68">
        <f>G1680+H1679+H1682-H1678</f>
        <v/>
      </c>
      <c r="I1680" s="68">
        <f>H1680+I1679+I1682-I1678</f>
        <v/>
      </c>
      <c r="J1680" s="68">
        <f>I1680+J1679+J1682-J1678</f>
        <v/>
      </c>
      <c r="K1680" s="68">
        <f>J1680+K1679+K1682-K1678</f>
        <v/>
      </c>
      <c r="L1680" s="68">
        <f>K1680+L1679+L1682-L1678</f>
        <v/>
      </c>
      <c r="M1680" s="66" t="n"/>
    </row>
    <row r="1681">
      <c r="C1681" s="63" t="inlineStr">
        <is>
          <t>Necesidad neta</t>
        </is>
      </c>
      <c r="D1681" s="64" t="n"/>
      <c r="E1681" s="69">
        <f>MAX(0,ROUND(E1678+Materiales!$H$243-D1680-E1679,4))</f>
        <v/>
      </c>
      <c r="F1681" s="69">
        <f>MAX(0,ROUND(F1678+Materiales!$H$243-E1680-F1679,4))</f>
        <v/>
      </c>
      <c r="G1681" s="69">
        <f>MAX(0,ROUND(G1678+Materiales!$H$243-F1680-G1679,4))</f>
        <v/>
      </c>
      <c r="H1681" s="69">
        <f>MAX(0,ROUND(H1678+Materiales!$H$243-G1680-H1679,4))</f>
        <v/>
      </c>
      <c r="I1681" s="69">
        <f>MAX(0,ROUND(I1678+Materiales!$H$243-H1680-I1679,4))</f>
        <v/>
      </c>
      <c r="J1681" s="69">
        <f>MAX(0,ROUND(J1678+Materiales!$H$243-I1680-J1679,4))</f>
        <v/>
      </c>
      <c r="K1681" s="69">
        <f>MAX(0,ROUND(K1678+Materiales!$H$243-J1680-K1679,4))</f>
        <v/>
      </c>
      <c r="L1681" s="69">
        <f>MAX(0,ROUND(L1678+Materiales!$H$243-K1680-L1679,4))</f>
        <v/>
      </c>
      <c r="M1681" s="66" t="n"/>
    </row>
    <row r="1682">
      <c r="C1682" s="63" t="inlineStr">
        <is>
          <t>Recepcion de orden planificada</t>
        </is>
      </c>
      <c r="D1682" s="64" t="n"/>
      <c r="E1682" s="65">
        <f>IF(E1681&lt;=0,0,IF(Materiales!$G$243&lt;=0,E1681,ROUNDUP(E1681/Materiales!$G$243,0)*Materiales!$G$243))</f>
        <v/>
      </c>
      <c r="F1682" s="65">
        <f>IF(F1681&lt;=0,0,IF(Materiales!$G$243&lt;=0,F1681,ROUNDUP(F1681/Materiales!$G$243,0)*Materiales!$G$243))</f>
        <v/>
      </c>
      <c r="G1682" s="65">
        <f>IF(G1681&lt;=0,0,IF(Materiales!$G$243&lt;=0,G1681,ROUNDUP(G1681/Materiales!$G$243,0)*Materiales!$G$243))</f>
        <v/>
      </c>
      <c r="H1682" s="65">
        <f>IF(H1681&lt;=0,0,IF(Materiales!$G$243&lt;=0,H1681,ROUNDUP(H1681/Materiales!$G$243,0)*Materiales!$G$243))</f>
        <v/>
      </c>
      <c r="I1682" s="65">
        <f>IF(I1681&lt;=0,0,IF(Materiales!$G$243&lt;=0,I1681,ROUNDUP(I1681/Materiales!$G$243,0)*Materiales!$G$243))</f>
        <v/>
      </c>
      <c r="J1682" s="65">
        <f>IF(J1681&lt;=0,0,IF(Materiales!$G$243&lt;=0,J1681,ROUNDUP(J1681/Materiales!$G$243,0)*Materiales!$G$243))</f>
        <v/>
      </c>
      <c r="K1682" s="65">
        <f>IF(K1681&lt;=0,0,IF(Materiales!$G$243&lt;=0,K1681,ROUNDUP(K1681/Materiales!$G$243,0)*Materiales!$G$243))</f>
        <v/>
      </c>
      <c r="L1682" s="65">
        <f>IF(L1681&lt;=0,0,IF(Materiales!$G$243&lt;=0,L1681,ROUNDUP(L1681/Materiales!$G$243,0)*Materiales!$G$243))</f>
        <v/>
      </c>
      <c r="M1682" s="66" t="n"/>
    </row>
    <row r="1683">
      <c r="C1683" s="70" t="inlineStr">
        <is>
          <t>LANZAMIENTO DE ORDEN — pedir esta semana</t>
        </is>
      </c>
      <c r="D1683" s="64" t="n"/>
      <c r="E1683" s="71">
        <f>IF(1+Materiales!$F$243&gt;8,0,INDEX($E$1682:$L$1682,1,1+Materiales!$F$243))</f>
        <v/>
      </c>
      <c r="F1683" s="71">
        <f>IF(2+Materiales!$F$243&gt;8,0,INDEX($E$1682:$L$1682,1,2+Materiales!$F$243))</f>
        <v/>
      </c>
      <c r="G1683" s="71">
        <f>IF(3+Materiales!$F$243&gt;8,0,INDEX($E$1682:$L$1682,1,3+Materiales!$F$243))</f>
        <v/>
      </c>
      <c r="H1683" s="71">
        <f>IF(4+Materiales!$F$243&gt;8,0,INDEX($E$1682:$L$1682,1,4+Materiales!$F$243))</f>
        <v/>
      </c>
      <c r="I1683" s="71">
        <f>IF(5+Materiales!$F$243&gt;8,0,INDEX($E$1682:$L$1682,1,5+Materiales!$F$243))</f>
        <v/>
      </c>
      <c r="J1683" s="71">
        <f>IF(6+Materiales!$F$243&gt;8,0,INDEX($E$1682:$L$1682,1,6+Materiales!$F$243))</f>
        <v/>
      </c>
      <c r="K1683" s="71">
        <f>IF(7+Materiales!$F$243&gt;8,0,INDEX($E$1682:$L$1682,1,7+Materiales!$F$243))</f>
        <v/>
      </c>
      <c r="L1683" s="71">
        <f>IF(8+Materiales!$F$243&gt;8,0,INDEX($E$1682:$L$1682,1,8+Materiales!$F$243))</f>
        <v/>
      </c>
      <c r="M1683" s="72">
        <f>IF($A1678="","",IF(SUMPRODUCT((COLUMN($E$1682:$L$1682)-4&lt;=Materiales!$F$243)*$E$1682:$L$1682)&gt;0,"PEDIR YA (atrasado)","OK"))</f>
        <v/>
      </c>
    </row>
    <row r="1684" ht="6" customHeight="1"/>
    <row r="1685">
      <c r="A1685" s="62">
        <f>IF(Materiales!$A$244="","",Materiales!$A$244)</f>
        <v/>
      </c>
      <c r="B1685" s="62">
        <f>IF(Materiales!$B$244="","",Materiales!$B$244)</f>
        <v/>
      </c>
      <c r="C1685" s="63" t="inlineStr">
        <is>
          <t>Necesidad bruta</t>
        </is>
      </c>
      <c r="D1685" s="64" t="n"/>
      <c r="E1685" s="65">
        <f>ROUND(SUMIF(Consumo!$P$4:$P$189,"#"&amp;$A1685,Consumo!H$4:H$189),4)</f>
        <v/>
      </c>
      <c r="F1685" s="65">
        <f>ROUND(SUMIF(Consumo!$P$4:$P$189,"#"&amp;$A1685,Consumo!I$4:I$189),4)</f>
        <v/>
      </c>
      <c r="G1685" s="65">
        <f>ROUND(SUMIF(Consumo!$P$4:$P$189,"#"&amp;$A1685,Consumo!J$4:J$189),4)</f>
        <v/>
      </c>
      <c r="H1685" s="65">
        <f>ROUND(SUMIF(Consumo!$P$4:$P$189,"#"&amp;$A1685,Consumo!K$4:K$189),4)</f>
        <v/>
      </c>
      <c r="I1685" s="65">
        <f>ROUND(SUMIF(Consumo!$P$4:$P$189,"#"&amp;$A1685,Consumo!L$4:L$189),4)</f>
        <v/>
      </c>
      <c r="J1685" s="65">
        <f>ROUND(SUMIF(Consumo!$P$4:$P$189,"#"&amp;$A1685,Consumo!M$4:M$189),4)</f>
        <v/>
      </c>
      <c r="K1685" s="65">
        <f>ROUND(SUMIF(Consumo!$P$4:$P$189,"#"&amp;$A1685,Consumo!N$4:N$189),4)</f>
        <v/>
      </c>
      <c r="L1685" s="65">
        <f>ROUND(SUMIF(Consumo!$P$4:$P$189,"#"&amp;$A1685,Consumo!O$4:O$189),4)</f>
        <v/>
      </c>
      <c r="M1685" s="66" t="n"/>
    </row>
    <row r="1686">
      <c r="C1686" s="63" t="inlineStr">
        <is>
          <t>Recepciones programadas (ya pedido)</t>
        </is>
      </c>
      <c r="D1686" s="64" t="n"/>
      <c r="E1686" s="65">
        <f>SUMIF(Inventario!$M$5:$M$505,"#"&amp;$A1685,Inventario!E$5:E$505)</f>
        <v/>
      </c>
      <c r="F1686" s="65">
        <f>SUMIF(Inventario!$M$5:$M$505,"#"&amp;$A1685,Inventario!F$5:F$505)</f>
        <v/>
      </c>
      <c r="G1686" s="65">
        <f>SUMIF(Inventario!$M$5:$M$505,"#"&amp;$A1685,Inventario!G$5:G$505)</f>
        <v/>
      </c>
      <c r="H1686" s="65">
        <f>SUMIF(Inventario!$M$5:$M$505,"#"&amp;$A1685,Inventario!H$5:H$505)</f>
        <v/>
      </c>
      <c r="I1686" s="65">
        <f>SUMIF(Inventario!$M$5:$M$505,"#"&amp;$A1685,Inventario!I$5:I$505)</f>
        <v/>
      </c>
      <c r="J1686" s="65">
        <f>SUMIF(Inventario!$M$5:$M$505,"#"&amp;$A1685,Inventario!J$5:J$505)</f>
        <v/>
      </c>
      <c r="K1686" s="65">
        <f>SUMIF(Inventario!$M$5:$M$505,"#"&amp;$A1685,Inventario!K$5:K$505)</f>
        <v/>
      </c>
      <c r="L1686" s="65">
        <f>SUMIF(Inventario!$M$5:$M$505,"#"&amp;$A1685,Inventario!L$5:L$505)</f>
        <v/>
      </c>
      <c r="M1686" s="66" t="n"/>
    </row>
    <row r="1687">
      <c r="C1687" s="63" t="inlineStr">
        <is>
          <t>Stock proyectado disponible</t>
        </is>
      </c>
      <c r="D1687" s="67">
        <f>SUMIF(Inventario!$M$5:$M$505,"#"&amp;$A1685,Inventario!$C$5:$C$505)</f>
        <v/>
      </c>
      <c r="E1687" s="68">
        <f>D1687+E1686+E1689-E1685</f>
        <v/>
      </c>
      <c r="F1687" s="68">
        <f>E1687+F1686+F1689-F1685</f>
        <v/>
      </c>
      <c r="G1687" s="68">
        <f>F1687+G1686+G1689-G1685</f>
        <v/>
      </c>
      <c r="H1687" s="68">
        <f>G1687+H1686+H1689-H1685</f>
        <v/>
      </c>
      <c r="I1687" s="68">
        <f>H1687+I1686+I1689-I1685</f>
        <v/>
      </c>
      <c r="J1687" s="68">
        <f>I1687+J1686+J1689-J1685</f>
        <v/>
      </c>
      <c r="K1687" s="68">
        <f>J1687+K1686+K1689-K1685</f>
        <v/>
      </c>
      <c r="L1687" s="68">
        <f>K1687+L1686+L1689-L1685</f>
        <v/>
      </c>
      <c r="M1687" s="66" t="n"/>
    </row>
    <row r="1688">
      <c r="C1688" s="63" t="inlineStr">
        <is>
          <t>Necesidad neta</t>
        </is>
      </c>
      <c r="D1688" s="64" t="n"/>
      <c r="E1688" s="69">
        <f>MAX(0,ROUND(E1685+Materiales!$H$244-D1687-E1686,4))</f>
        <v/>
      </c>
      <c r="F1688" s="69">
        <f>MAX(0,ROUND(F1685+Materiales!$H$244-E1687-F1686,4))</f>
        <v/>
      </c>
      <c r="G1688" s="69">
        <f>MAX(0,ROUND(G1685+Materiales!$H$244-F1687-G1686,4))</f>
        <v/>
      </c>
      <c r="H1688" s="69">
        <f>MAX(0,ROUND(H1685+Materiales!$H$244-G1687-H1686,4))</f>
        <v/>
      </c>
      <c r="I1688" s="69">
        <f>MAX(0,ROUND(I1685+Materiales!$H$244-H1687-I1686,4))</f>
        <v/>
      </c>
      <c r="J1688" s="69">
        <f>MAX(0,ROUND(J1685+Materiales!$H$244-I1687-J1686,4))</f>
        <v/>
      </c>
      <c r="K1688" s="69">
        <f>MAX(0,ROUND(K1685+Materiales!$H$244-J1687-K1686,4))</f>
        <v/>
      </c>
      <c r="L1688" s="69">
        <f>MAX(0,ROUND(L1685+Materiales!$H$244-K1687-L1686,4))</f>
        <v/>
      </c>
      <c r="M1688" s="66" t="n"/>
    </row>
    <row r="1689">
      <c r="C1689" s="63" t="inlineStr">
        <is>
          <t>Recepcion de orden planificada</t>
        </is>
      </c>
      <c r="D1689" s="64" t="n"/>
      <c r="E1689" s="65">
        <f>IF(E1688&lt;=0,0,IF(Materiales!$G$244&lt;=0,E1688,ROUNDUP(E1688/Materiales!$G$244,0)*Materiales!$G$244))</f>
        <v/>
      </c>
      <c r="F1689" s="65">
        <f>IF(F1688&lt;=0,0,IF(Materiales!$G$244&lt;=0,F1688,ROUNDUP(F1688/Materiales!$G$244,0)*Materiales!$G$244))</f>
        <v/>
      </c>
      <c r="G1689" s="65">
        <f>IF(G1688&lt;=0,0,IF(Materiales!$G$244&lt;=0,G1688,ROUNDUP(G1688/Materiales!$G$244,0)*Materiales!$G$244))</f>
        <v/>
      </c>
      <c r="H1689" s="65">
        <f>IF(H1688&lt;=0,0,IF(Materiales!$G$244&lt;=0,H1688,ROUNDUP(H1688/Materiales!$G$244,0)*Materiales!$G$244))</f>
        <v/>
      </c>
      <c r="I1689" s="65">
        <f>IF(I1688&lt;=0,0,IF(Materiales!$G$244&lt;=0,I1688,ROUNDUP(I1688/Materiales!$G$244,0)*Materiales!$G$244))</f>
        <v/>
      </c>
      <c r="J1689" s="65">
        <f>IF(J1688&lt;=0,0,IF(Materiales!$G$244&lt;=0,J1688,ROUNDUP(J1688/Materiales!$G$244,0)*Materiales!$G$244))</f>
        <v/>
      </c>
      <c r="K1689" s="65">
        <f>IF(K1688&lt;=0,0,IF(Materiales!$G$244&lt;=0,K1688,ROUNDUP(K1688/Materiales!$G$244,0)*Materiales!$G$244))</f>
        <v/>
      </c>
      <c r="L1689" s="65">
        <f>IF(L1688&lt;=0,0,IF(Materiales!$G$244&lt;=0,L1688,ROUNDUP(L1688/Materiales!$G$244,0)*Materiales!$G$244))</f>
        <v/>
      </c>
      <c r="M1689" s="66" t="n"/>
    </row>
    <row r="1690">
      <c r="C1690" s="70" t="inlineStr">
        <is>
          <t>LANZAMIENTO DE ORDEN — pedir esta semana</t>
        </is>
      </c>
      <c r="D1690" s="64" t="n"/>
      <c r="E1690" s="71">
        <f>IF(1+Materiales!$F$244&gt;8,0,INDEX($E$1689:$L$1689,1,1+Materiales!$F$244))</f>
        <v/>
      </c>
      <c r="F1690" s="71">
        <f>IF(2+Materiales!$F$244&gt;8,0,INDEX($E$1689:$L$1689,1,2+Materiales!$F$244))</f>
        <v/>
      </c>
      <c r="G1690" s="71">
        <f>IF(3+Materiales!$F$244&gt;8,0,INDEX($E$1689:$L$1689,1,3+Materiales!$F$244))</f>
        <v/>
      </c>
      <c r="H1690" s="71">
        <f>IF(4+Materiales!$F$244&gt;8,0,INDEX($E$1689:$L$1689,1,4+Materiales!$F$244))</f>
        <v/>
      </c>
      <c r="I1690" s="71">
        <f>IF(5+Materiales!$F$244&gt;8,0,INDEX($E$1689:$L$1689,1,5+Materiales!$F$244))</f>
        <v/>
      </c>
      <c r="J1690" s="71">
        <f>IF(6+Materiales!$F$244&gt;8,0,INDEX($E$1689:$L$1689,1,6+Materiales!$F$244))</f>
        <v/>
      </c>
      <c r="K1690" s="71">
        <f>IF(7+Materiales!$F$244&gt;8,0,INDEX($E$1689:$L$1689,1,7+Materiales!$F$244))</f>
        <v/>
      </c>
      <c r="L1690" s="71">
        <f>IF(8+Materiales!$F$244&gt;8,0,INDEX($E$1689:$L$1689,1,8+Materiales!$F$244))</f>
        <v/>
      </c>
      <c r="M1690" s="72">
        <f>IF($A1685="","",IF(SUMPRODUCT((COLUMN($E$1689:$L$1689)-4&lt;=Materiales!$F$244)*$E$1689:$L$1689)&gt;0,"PEDIR YA (atrasado)","OK"))</f>
        <v/>
      </c>
    </row>
    <row r="1691" ht="6" customHeight="1"/>
    <row r="1692">
      <c r="A1692" s="62">
        <f>IF(Materiales!$A$245="","",Materiales!$A$245)</f>
        <v/>
      </c>
      <c r="B1692" s="62">
        <f>IF(Materiales!$B$245="","",Materiales!$B$245)</f>
        <v/>
      </c>
      <c r="C1692" s="63" t="inlineStr">
        <is>
          <t>Necesidad bruta</t>
        </is>
      </c>
      <c r="D1692" s="64" t="n"/>
      <c r="E1692" s="65">
        <f>ROUND(SUMIF(Consumo!$P$4:$P$189,"#"&amp;$A1692,Consumo!H$4:H$189),4)</f>
        <v/>
      </c>
      <c r="F1692" s="65">
        <f>ROUND(SUMIF(Consumo!$P$4:$P$189,"#"&amp;$A1692,Consumo!I$4:I$189),4)</f>
        <v/>
      </c>
      <c r="G1692" s="65">
        <f>ROUND(SUMIF(Consumo!$P$4:$P$189,"#"&amp;$A1692,Consumo!J$4:J$189),4)</f>
        <v/>
      </c>
      <c r="H1692" s="65">
        <f>ROUND(SUMIF(Consumo!$P$4:$P$189,"#"&amp;$A1692,Consumo!K$4:K$189),4)</f>
        <v/>
      </c>
      <c r="I1692" s="65">
        <f>ROUND(SUMIF(Consumo!$P$4:$P$189,"#"&amp;$A1692,Consumo!L$4:L$189),4)</f>
        <v/>
      </c>
      <c r="J1692" s="65">
        <f>ROUND(SUMIF(Consumo!$P$4:$P$189,"#"&amp;$A1692,Consumo!M$4:M$189),4)</f>
        <v/>
      </c>
      <c r="K1692" s="65">
        <f>ROUND(SUMIF(Consumo!$P$4:$P$189,"#"&amp;$A1692,Consumo!N$4:N$189),4)</f>
        <v/>
      </c>
      <c r="L1692" s="65">
        <f>ROUND(SUMIF(Consumo!$P$4:$P$189,"#"&amp;$A1692,Consumo!O$4:O$189),4)</f>
        <v/>
      </c>
      <c r="M1692" s="66" t="n"/>
    </row>
    <row r="1693">
      <c r="C1693" s="63" t="inlineStr">
        <is>
          <t>Recepciones programadas (ya pedido)</t>
        </is>
      </c>
      <c r="D1693" s="64" t="n"/>
      <c r="E1693" s="65">
        <f>SUMIF(Inventario!$M$5:$M$505,"#"&amp;$A1692,Inventario!E$5:E$505)</f>
        <v/>
      </c>
      <c r="F1693" s="65">
        <f>SUMIF(Inventario!$M$5:$M$505,"#"&amp;$A1692,Inventario!F$5:F$505)</f>
        <v/>
      </c>
      <c r="G1693" s="65">
        <f>SUMIF(Inventario!$M$5:$M$505,"#"&amp;$A1692,Inventario!G$5:G$505)</f>
        <v/>
      </c>
      <c r="H1693" s="65">
        <f>SUMIF(Inventario!$M$5:$M$505,"#"&amp;$A1692,Inventario!H$5:H$505)</f>
        <v/>
      </c>
      <c r="I1693" s="65">
        <f>SUMIF(Inventario!$M$5:$M$505,"#"&amp;$A1692,Inventario!I$5:I$505)</f>
        <v/>
      </c>
      <c r="J1693" s="65">
        <f>SUMIF(Inventario!$M$5:$M$505,"#"&amp;$A1692,Inventario!J$5:J$505)</f>
        <v/>
      </c>
      <c r="K1693" s="65">
        <f>SUMIF(Inventario!$M$5:$M$505,"#"&amp;$A1692,Inventario!K$5:K$505)</f>
        <v/>
      </c>
      <c r="L1693" s="65">
        <f>SUMIF(Inventario!$M$5:$M$505,"#"&amp;$A1692,Inventario!L$5:L$505)</f>
        <v/>
      </c>
      <c r="M1693" s="66" t="n"/>
    </row>
    <row r="1694">
      <c r="C1694" s="63" t="inlineStr">
        <is>
          <t>Stock proyectado disponible</t>
        </is>
      </c>
      <c r="D1694" s="67">
        <f>SUMIF(Inventario!$M$5:$M$505,"#"&amp;$A1692,Inventario!$C$5:$C$505)</f>
        <v/>
      </c>
      <c r="E1694" s="68">
        <f>D1694+E1693+E1696-E1692</f>
        <v/>
      </c>
      <c r="F1694" s="68">
        <f>E1694+F1693+F1696-F1692</f>
        <v/>
      </c>
      <c r="G1694" s="68">
        <f>F1694+G1693+G1696-G1692</f>
        <v/>
      </c>
      <c r="H1694" s="68">
        <f>G1694+H1693+H1696-H1692</f>
        <v/>
      </c>
      <c r="I1694" s="68">
        <f>H1694+I1693+I1696-I1692</f>
        <v/>
      </c>
      <c r="J1694" s="68">
        <f>I1694+J1693+J1696-J1692</f>
        <v/>
      </c>
      <c r="K1694" s="68">
        <f>J1694+K1693+K1696-K1692</f>
        <v/>
      </c>
      <c r="L1694" s="68">
        <f>K1694+L1693+L1696-L1692</f>
        <v/>
      </c>
      <c r="M1694" s="66" t="n"/>
    </row>
    <row r="1695">
      <c r="C1695" s="63" t="inlineStr">
        <is>
          <t>Necesidad neta</t>
        </is>
      </c>
      <c r="D1695" s="64" t="n"/>
      <c r="E1695" s="69">
        <f>MAX(0,ROUND(E1692+Materiales!$H$245-D1694-E1693,4))</f>
        <v/>
      </c>
      <c r="F1695" s="69">
        <f>MAX(0,ROUND(F1692+Materiales!$H$245-E1694-F1693,4))</f>
        <v/>
      </c>
      <c r="G1695" s="69">
        <f>MAX(0,ROUND(G1692+Materiales!$H$245-F1694-G1693,4))</f>
        <v/>
      </c>
      <c r="H1695" s="69">
        <f>MAX(0,ROUND(H1692+Materiales!$H$245-G1694-H1693,4))</f>
        <v/>
      </c>
      <c r="I1695" s="69">
        <f>MAX(0,ROUND(I1692+Materiales!$H$245-H1694-I1693,4))</f>
        <v/>
      </c>
      <c r="J1695" s="69">
        <f>MAX(0,ROUND(J1692+Materiales!$H$245-I1694-J1693,4))</f>
        <v/>
      </c>
      <c r="K1695" s="69">
        <f>MAX(0,ROUND(K1692+Materiales!$H$245-J1694-K1693,4))</f>
        <v/>
      </c>
      <c r="L1695" s="69">
        <f>MAX(0,ROUND(L1692+Materiales!$H$245-K1694-L1693,4))</f>
        <v/>
      </c>
      <c r="M1695" s="66" t="n"/>
    </row>
    <row r="1696">
      <c r="C1696" s="63" t="inlineStr">
        <is>
          <t>Recepcion de orden planificada</t>
        </is>
      </c>
      <c r="D1696" s="64" t="n"/>
      <c r="E1696" s="65">
        <f>IF(E1695&lt;=0,0,IF(Materiales!$G$245&lt;=0,E1695,ROUNDUP(E1695/Materiales!$G$245,0)*Materiales!$G$245))</f>
        <v/>
      </c>
      <c r="F1696" s="65">
        <f>IF(F1695&lt;=0,0,IF(Materiales!$G$245&lt;=0,F1695,ROUNDUP(F1695/Materiales!$G$245,0)*Materiales!$G$245))</f>
        <v/>
      </c>
      <c r="G1696" s="65">
        <f>IF(G1695&lt;=0,0,IF(Materiales!$G$245&lt;=0,G1695,ROUNDUP(G1695/Materiales!$G$245,0)*Materiales!$G$245))</f>
        <v/>
      </c>
      <c r="H1696" s="65">
        <f>IF(H1695&lt;=0,0,IF(Materiales!$G$245&lt;=0,H1695,ROUNDUP(H1695/Materiales!$G$245,0)*Materiales!$G$245))</f>
        <v/>
      </c>
      <c r="I1696" s="65">
        <f>IF(I1695&lt;=0,0,IF(Materiales!$G$245&lt;=0,I1695,ROUNDUP(I1695/Materiales!$G$245,0)*Materiales!$G$245))</f>
        <v/>
      </c>
      <c r="J1696" s="65">
        <f>IF(J1695&lt;=0,0,IF(Materiales!$G$245&lt;=0,J1695,ROUNDUP(J1695/Materiales!$G$245,0)*Materiales!$G$245))</f>
        <v/>
      </c>
      <c r="K1696" s="65">
        <f>IF(K1695&lt;=0,0,IF(Materiales!$G$245&lt;=0,K1695,ROUNDUP(K1695/Materiales!$G$245,0)*Materiales!$G$245))</f>
        <v/>
      </c>
      <c r="L1696" s="65">
        <f>IF(L1695&lt;=0,0,IF(Materiales!$G$245&lt;=0,L1695,ROUNDUP(L1695/Materiales!$G$245,0)*Materiales!$G$245))</f>
        <v/>
      </c>
      <c r="M1696" s="66" t="n"/>
    </row>
    <row r="1697">
      <c r="C1697" s="70" t="inlineStr">
        <is>
          <t>LANZAMIENTO DE ORDEN — pedir esta semana</t>
        </is>
      </c>
      <c r="D1697" s="64" t="n"/>
      <c r="E1697" s="71">
        <f>IF(1+Materiales!$F$245&gt;8,0,INDEX($E$1696:$L$1696,1,1+Materiales!$F$245))</f>
        <v/>
      </c>
      <c r="F1697" s="71">
        <f>IF(2+Materiales!$F$245&gt;8,0,INDEX($E$1696:$L$1696,1,2+Materiales!$F$245))</f>
        <v/>
      </c>
      <c r="G1697" s="71">
        <f>IF(3+Materiales!$F$245&gt;8,0,INDEX($E$1696:$L$1696,1,3+Materiales!$F$245))</f>
        <v/>
      </c>
      <c r="H1697" s="71">
        <f>IF(4+Materiales!$F$245&gt;8,0,INDEX($E$1696:$L$1696,1,4+Materiales!$F$245))</f>
        <v/>
      </c>
      <c r="I1697" s="71">
        <f>IF(5+Materiales!$F$245&gt;8,0,INDEX($E$1696:$L$1696,1,5+Materiales!$F$245))</f>
        <v/>
      </c>
      <c r="J1697" s="71">
        <f>IF(6+Materiales!$F$245&gt;8,0,INDEX($E$1696:$L$1696,1,6+Materiales!$F$245))</f>
        <v/>
      </c>
      <c r="K1697" s="71">
        <f>IF(7+Materiales!$F$245&gt;8,0,INDEX($E$1696:$L$1696,1,7+Materiales!$F$245))</f>
        <v/>
      </c>
      <c r="L1697" s="71">
        <f>IF(8+Materiales!$F$245&gt;8,0,INDEX($E$1696:$L$1696,1,8+Materiales!$F$245))</f>
        <v/>
      </c>
      <c r="M1697" s="72">
        <f>IF($A1692="","",IF(SUMPRODUCT((COLUMN($E$1696:$L$1696)-4&lt;=Materiales!$F$245)*$E$1696:$L$1696)&gt;0,"PEDIR YA (atrasado)","OK"))</f>
        <v/>
      </c>
    </row>
    <row r="1698" ht="6" customHeight="1"/>
    <row r="1699">
      <c r="A1699" s="62">
        <f>IF(Materiales!$A$246="","",Materiales!$A$246)</f>
        <v/>
      </c>
      <c r="B1699" s="62">
        <f>IF(Materiales!$B$246="","",Materiales!$B$246)</f>
        <v/>
      </c>
      <c r="C1699" s="63" t="inlineStr">
        <is>
          <t>Necesidad bruta</t>
        </is>
      </c>
      <c r="D1699" s="64" t="n"/>
      <c r="E1699" s="65">
        <f>ROUND(SUMIF(Consumo!$P$4:$P$189,"#"&amp;$A1699,Consumo!H$4:H$189),4)</f>
        <v/>
      </c>
      <c r="F1699" s="65">
        <f>ROUND(SUMIF(Consumo!$P$4:$P$189,"#"&amp;$A1699,Consumo!I$4:I$189),4)</f>
        <v/>
      </c>
      <c r="G1699" s="65">
        <f>ROUND(SUMIF(Consumo!$P$4:$P$189,"#"&amp;$A1699,Consumo!J$4:J$189),4)</f>
        <v/>
      </c>
      <c r="H1699" s="65">
        <f>ROUND(SUMIF(Consumo!$P$4:$P$189,"#"&amp;$A1699,Consumo!K$4:K$189),4)</f>
        <v/>
      </c>
      <c r="I1699" s="65">
        <f>ROUND(SUMIF(Consumo!$P$4:$P$189,"#"&amp;$A1699,Consumo!L$4:L$189),4)</f>
        <v/>
      </c>
      <c r="J1699" s="65">
        <f>ROUND(SUMIF(Consumo!$P$4:$P$189,"#"&amp;$A1699,Consumo!M$4:M$189),4)</f>
        <v/>
      </c>
      <c r="K1699" s="65">
        <f>ROUND(SUMIF(Consumo!$P$4:$P$189,"#"&amp;$A1699,Consumo!N$4:N$189),4)</f>
        <v/>
      </c>
      <c r="L1699" s="65">
        <f>ROUND(SUMIF(Consumo!$P$4:$P$189,"#"&amp;$A1699,Consumo!O$4:O$189),4)</f>
        <v/>
      </c>
      <c r="M1699" s="66" t="n"/>
    </row>
    <row r="1700">
      <c r="C1700" s="63" t="inlineStr">
        <is>
          <t>Recepciones programadas (ya pedido)</t>
        </is>
      </c>
      <c r="D1700" s="64" t="n"/>
      <c r="E1700" s="65">
        <f>SUMIF(Inventario!$M$5:$M$505,"#"&amp;$A1699,Inventario!E$5:E$505)</f>
        <v/>
      </c>
      <c r="F1700" s="65">
        <f>SUMIF(Inventario!$M$5:$M$505,"#"&amp;$A1699,Inventario!F$5:F$505)</f>
        <v/>
      </c>
      <c r="G1700" s="65">
        <f>SUMIF(Inventario!$M$5:$M$505,"#"&amp;$A1699,Inventario!G$5:G$505)</f>
        <v/>
      </c>
      <c r="H1700" s="65">
        <f>SUMIF(Inventario!$M$5:$M$505,"#"&amp;$A1699,Inventario!H$5:H$505)</f>
        <v/>
      </c>
      <c r="I1700" s="65">
        <f>SUMIF(Inventario!$M$5:$M$505,"#"&amp;$A1699,Inventario!I$5:I$505)</f>
        <v/>
      </c>
      <c r="J1700" s="65">
        <f>SUMIF(Inventario!$M$5:$M$505,"#"&amp;$A1699,Inventario!J$5:J$505)</f>
        <v/>
      </c>
      <c r="K1700" s="65">
        <f>SUMIF(Inventario!$M$5:$M$505,"#"&amp;$A1699,Inventario!K$5:K$505)</f>
        <v/>
      </c>
      <c r="L1700" s="65">
        <f>SUMIF(Inventario!$M$5:$M$505,"#"&amp;$A1699,Inventario!L$5:L$505)</f>
        <v/>
      </c>
      <c r="M1700" s="66" t="n"/>
    </row>
    <row r="1701">
      <c r="C1701" s="63" t="inlineStr">
        <is>
          <t>Stock proyectado disponible</t>
        </is>
      </c>
      <c r="D1701" s="67">
        <f>SUMIF(Inventario!$M$5:$M$505,"#"&amp;$A1699,Inventario!$C$5:$C$505)</f>
        <v/>
      </c>
      <c r="E1701" s="68">
        <f>D1701+E1700+E1703-E1699</f>
        <v/>
      </c>
      <c r="F1701" s="68">
        <f>E1701+F1700+F1703-F1699</f>
        <v/>
      </c>
      <c r="G1701" s="68">
        <f>F1701+G1700+G1703-G1699</f>
        <v/>
      </c>
      <c r="H1701" s="68">
        <f>G1701+H1700+H1703-H1699</f>
        <v/>
      </c>
      <c r="I1701" s="68">
        <f>H1701+I1700+I1703-I1699</f>
        <v/>
      </c>
      <c r="J1701" s="68">
        <f>I1701+J1700+J1703-J1699</f>
        <v/>
      </c>
      <c r="K1701" s="68">
        <f>J1701+K1700+K1703-K1699</f>
        <v/>
      </c>
      <c r="L1701" s="68">
        <f>K1701+L1700+L1703-L1699</f>
        <v/>
      </c>
      <c r="M1701" s="66" t="n"/>
    </row>
    <row r="1702">
      <c r="C1702" s="63" t="inlineStr">
        <is>
          <t>Necesidad neta</t>
        </is>
      </c>
      <c r="D1702" s="64" t="n"/>
      <c r="E1702" s="69">
        <f>MAX(0,ROUND(E1699+Materiales!$H$246-D1701-E1700,4))</f>
        <v/>
      </c>
      <c r="F1702" s="69">
        <f>MAX(0,ROUND(F1699+Materiales!$H$246-E1701-F1700,4))</f>
        <v/>
      </c>
      <c r="G1702" s="69">
        <f>MAX(0,ROUND(G1699+Materiales!$H$246-F1701-G1700,4))</f>
        <v/>
      </c>
      <c r="H1702" s="69">
        <f>MAX(0,ROUND(H1699+Materiales!$H$246-G1701-H1700,4))</f>
        <v/>
      </c>
      <c r="I1702" s="69">
        <f>MAX(0,ROUND(I1699+Materiales!$H$246-H1701-I1700,4))</f>
        <v/>
      </c>
      <c r="J1702" s="69">
        <f>MAX(0,ROUND(J1699+Materiales!$H$246-I1701-J1700,4))</f>
        <v/>
      </c>
      <c r="K1702" s="69">
        <f>MAX(0,ROUND(K1699+Materiales!$H$246-J1701-K1700,4))</f>
        <v/>
      </c>
      <c r="L1702" s="69">
        <f>MAX(0,ROUND(L1699+Materiales!$H$246-K1701-L1700,4))</f>
        <v/>
      </c>
      <c r="M1702" s="66" t="n"/>
    </row>
    <row r="1703">
      <c r="C1703" s="63" t="inlineStr">
        <is>
          <t>Recepcion de orden planificada</t>
        </is>
      </c>
      <c r="D1703" s="64" t="n"/>
      <c r="E1703" s="65">
        <f>IF(E1702&lt;=0,0,IF(Materiales!$G$246&lt;=0,E1702,ROUNDUP(E1702/Materiales!$G$246,0)*Materiales!$G$246))</f>
        <v/>
      </c>
      <c r="F1703" s="65">
        <f>IF(F1702&lt;=0,0,IF(Materiales!$G$246&lt;=0,F1702,ROUNDUP(F1702/Materiales!$G$246,0)*Materiales!$G$246))</f>
        <v/>
      </c>
      <c r="G1703" s="65">
        <f>IF(G1702&lt;=0,0,IF(Materiales!$G$246&lt;=0,G1702,ROUNDUP(G1702/Materiales!$G$246,0)*Materiales!$G$246))</f>
        <v/>
      </c>
      <c r="H1703" s="65">
        <f>IF(H1702&lt;=0,0,IF(Materiales!$G$246&lt;=0,H1702,ROUNDUP(H1702/Materiales!$G$246,0)*Materiales!$G$246))</f>
        <v/>
      </c>
      <c r="I1703" s="65">
        <f>IF(I1702&lt;=0,0,IF(Materiales!$G$246&lt;=0,I1702,ROUNDUP(I1702/Materiales!$G$246,0)*Materiales!$G$246))</f>
        <v/>
      </c>
      <c r="J1703" s="65">
        <f>IF(J1702&lt;=0,0,IF(Materiales!$G$246&lt;=0,J1702,ROUNDUP(J1702/Materiales!$G$246,0)*Materiales!$G$246))</f>
        <v/>
      </c>
      <c r="K1703" s="65">
        <f>IF(K1702&lt;=0,0,IF(Materiales!$G$246&lt;=0,K1702,ROUNDUP(K1702/Materiales!$G$246,0)*Materiales!$G$246))</f>
        <v/>
      </c>
      <c r="L1703" s="65">
        <f>IF(L1702&lt;=0,0,IF(Materiales!$G$246&lt;=0,L1702,ROUNDUP(L1702/Materiales!$G$246,0)*Materiales!$G$246))</f>
        <v/>
      </c>
      <c r="M1703" s="66" t="n"/>
    </row>
    <row r="1704">
      <c r="C1704" s="70" t="inlineStr">
        <is>
          <t>LANZAMIENTO DE ORDEN — pedir esta semana</t>
        </is>
      </c>
      <c r="D1704" s="64" t="n"/>
      <c r="E1704" s="71">
        <f>IF(1+Materiales!$F$246&gt;8,0,INDEX($E$1703:$L$1703,1,1+Materiales!$F$246))</f>
        <v/>
      </c>
      <c r="F1704" s="71">
        <f>IF(2+Materiales!$F$246&gt;8,0,INDEX($E$1703:$L$1703,1,2+Materiales!$F$246))</f>
        <v/>
      </c>
      <c r="G1704" s="71">
        <f>IF(3+Materiales!$F$246&gt;8,0,INDEX($E$1703:$L$1703,1,3+Materiales!$F$246))</f>
        <v/>
      </c>
      <c r="H1704" s="71">
        <f>IF(4+Materiales!$F$246&gt;8,0,INDEX($E$1703:$L$1703,1,4+Materiales!$F$246))</f>
        <v/>
      </c>
      <c r="I1704" s="71">
        <f>IF(5+Materiales!$F$246&gt;8,0,INDEX($E$1703:$L$1703,1,5+Materiales!$F$246))</f>
        <v/>
      </c>
      <c r="J1704" s="71">
        <f>IF(6+Materiales!$F$246&gt;8,0,INDEX($E$1703:$L$1703,1,6+Materiales!$F$246))</f>
        <v/>
      </c>
      <c r="K1704" s="71">
        <f>IF(7+Materiales!$F$246&gt;8,0,INDEX($E$1703:$L$1703,1,7+Materiales!$F$246))</f>
        <v/>
      </c>
      <c r="L1704" s="71">
        <f>IF(8+Materiales!$F$246&gt;8,0,INDEX($E$1703:$L$1703,1,8+Materiales!$F$246))</f>
        <v/>
      </c>
      <c r="M1704" s="72">
        <f>IF($A1699="","",IF(SUMPRODUCT((COLUMN($E$1703:$L$1703)-4&lt;=Materiales!$F$246)*$E$1703:$L$1703)&gt;0,"PEDIR YA (atrasado)","OK"))</f>
        <v/>
      </c>
    </row>
    <row r="1705" ht="6" customHeight="1"/>
    <row r="1706">
      <c r="A1706" s="62">
        <f>IF(Materiales!$A$247="","",Materiales!$A$247)</f>
        <v/>
      </c>
      <c r="B1706" s="62">
        <f>IF(Materiales!$B$247="","",Materiales!$B$247)</f>
        <v/>
      </c>
      <c r="C1706" s="63" t="inlineStr">
        <is>
          <t>Necesidad bruta</t>
        </is>
      </c>
      <c r="D1706" s="64" t="n"/>
      <c r="E1706" s="65">
        <f>ROUND(SUMIF(Consumo!$P$4:$P$189,"#"&amp;$A1706,Consumo!H$4:H$189),4)</f>
        <v/>
      </c>
      <c r="F1706" s="65">
        <f>ROUND(SUMIF(Consumo!$P$4:$P$189,"#"&amp;$A1706,Consumo!I$4:I$189),4)</f>
        <v/>
      </c>
      <c r="G1706" s="65">
        <f>ROUND(SUMIF(Consumo!$P$4:$P$189,"#"&amp;$A1706,Consumo!J$4:J$189),4)</f>
        <v/>
      </c>
      <c r="H1706" s="65">
        <f>ROUND(SUMIF(Consumo!$P$4:$P$189,"#"&amp;$A1706,Consumo!K$4:K$189),4)</f>
        <v/>
      </c>
      <c r="I1706" s="65">
        <f>ROUND(SUMIF(Consumo!$P$4:$P$189,"#"&amp;$A1706,Consumo!L$4:L$189),4)</f>
        <v/>
      </c>
      <c r="J1706" s="65">
        <f>ROUND(SUMIF(Consumo!$P$4:$P$189,"#"&amp;$A1706,Consumo!M$4:M$189),4)</f>
        <v/>
      </c>
      <c r="K1706" s="65">
        <f>ROUND(SUMIF(Consumo!$P$4:$P$189,"#"&amp;$A1706,Consumo!N$4:N$189),4)</f>
        <v/>
      </c>
      <c r="L1706" s="65">
        <f>ROUND(SUMIF(Consumo!$P$4:$P$189,"#"&amp;$A1706,Consumo!O$4:O$189),4)</f>
        <v/>
      </c>
      <c r="M1706" s="66" t="n"/>
    </row>
    <row r="1707">
      <c r="C1707" s="63" t="inlineStr">
        <is>
          <t>Recepciones programadas (ya pedido)</t>
        </is>
      </c>
      <c r="D1707" s="64" t="n"/>
      <c r="E1707" s="65">
        <f>SUMIF(Inventario!$M$5:$M$505,"#"&amp;$A1706,Inventario!E$5:E$505)</f>
        <v/>
      </c>
      <c r="F1707" s="65">
        <f>SUMIF(Inventario!$M$5:$M$505,"#"&amp;$A1706,Inventario!F$5:F$505)</f>
        <v/>
      </c>
      <c r="G1707" s="65">
        <f>SUMIF(Inventario!$M$5:$M$505,"#"&amp;$A1706,Inventario!G$5:G$505)</f>
        <v/>
      </c>
      <c r="H1707" s="65">
        <f>SUMIF(Inventario!$M$5:$M$505,"#"&amp;$A1706,Inventario!H$5:H$505)</f>
        <v/>
      </c>
      <c r="I1707" s="65">
        <f>SUMIF(Inventario!$M$5:$M$505,"#"&amp;$A1706,Inventario!I$5:I$505)</f>
        <v/>
      </c>
      <c r="J1707" s="65">
        <f>SUMIF(Inventario!$M$5:$M$505,"#"&amp;$A1706,Inventario!J$5:J$505)</f>
        <v/>
      </c>
      <c r="K1707" s="65">
        <f>SUMIF(Inventario!$M$5:$M$505,"#"&amp;$A1706,Inventario!K$5:K$505)</f>
        <v/>
      </c>
      <c r="L1707" s="65">
        <f>SUMIF(Inventario!$M$5:$M$505,"#"&amp;$A1706,Inventario!L$5:L$505)</f>
        <v/>
      </c>
      <c r="M1707" s="66" t="n"/>
    </row>
    <row r="1708">
      <c r="C1708" s="63" t="inlineStr">
        <is>
          <t>Stock proyectado disponible</t>
        </is>
      </c>
      <c r="D1708" s="67">
        <f>SUMIF(Inventario!$M$5:$M$505,"#"&amp;$A1706,Inventario!$C$5:$C$505)</f>
        <v/>
      </c>
      <c r="E1708" s="68">
        <f>D1708+E1707+E1710-E1706</f>
        <v/>
      </c>
      <c r="F1708" s="68">
        <f>E1708+F1707+F1710-F1706</f>
        <v/>
      </c>
      <c r="G1708" s="68">
        <f>F1708+G1707+G1710-G1706</f>
        <v/>
      </c>
      <c r="H1708" s="68">
        <f>G1708+H1707+H1710-H1706</f>
        <v/>
      </c>
      <c r="I1708" s="68">
        <f>H1708+I1707+I1710-I1706</f>
        <v/>
      </c>
      <c r="J1708" s="68">
        <f>I1708+J1707+J1710-J1706</f>
        <v/>
      </c>
      <c r="K1708" s="68">
        <f>J1708+K1707+K1710-K1706</f>
        <v/>
      </c>
      <c r="L1708" s="68">
        <f>K1708+L1707+L1710-L1706</f>
        <v/>
      </c>
      <c r="M1708" s="66" t="n"/>
    </row>
    <row r="1709">
      <c r="C1709" s="63" t="inlineStr">
        <is>
          <t>Necesidad neta</t>
        </is>
      </c>
      <c r="D1709" s="64" t="n"/>
      <c r="E1709" s="69">
        <f>MAX(0,ROUND(E1706+Materiales!$H$247-D1708-E1707,4))</f>
        <v/>
      </c>
      <c r="F1709" s="69">
        <f>MAX(0,ROUND(F1706+Materiales!$H$247-E1708-F1707,4))</f>
        <v/>
      </c>
      <c r="G1709" s="69">
        <f>MAX(0,ROUND(G1706+Materiales!$H$247-F1708-G1707,4))</f>
        <v/>
      </c>
      <c r="H1709" s="69">
        <f>MAX(0,ROUND(H1706+Materiales!$H$247-G1708-H1707,4))</f>
        <v/>
      </c>
      <c r="I1709" s="69">
        <f>MAX(0,ROUND(I1706+Materiales!$H$247-H1708-I1707,4))</f>
        <v/>
      </c>
      <c r="J1709" s="69">
        <f>MAX(0,ROUND(J1706+Materiales!$H$247-I1708-J1707,4))</f>
        <v/>
      </c>
      <c r="K1709" s="69">
        <f>MAX(0,ROUND(K1706+Materiales!$H$247-J1708-K1707,4))</f>
        <v/>
      </c>
      <c r="L1709" s="69">
        <f>MAX(0,ROUND(L1706+Materiales!$H$247-K1708-L1707,4))</f>
        <v/>
      </c>
      <c r="M1709" s="66" t="n"/>
    </row>
    <row r="1710">
      <c r="C1710" s="63" t="inlineStr">
        <is>
          <t>Recepcion de orden planificada</t>
        </is>
      </c>
      <c r="D1710" s="64" t="n"/>
      <c r="E1710" s="65">
        <f>IF(E1709&lt;=0,0,IF(Materiales!$G$247&lt;=0,E1709,ROUNDUP(E1709/Materiales!$G$247,0)*Materiales!$G$247))</f>
        <v/>
      </c>
      <c r="F1710" s="65">
        <f>IF(F1709&lt;=0,0,IF(Materiales!$G$247&lt;=0,F1709,ROUNDUP(F1709/Materiales!$G$247,0)*Materiales!$G$247))</f>
        <v/>
      </c>
      <c r="G1710" s="65">
        <f>IF(G1709&lt;=0,0,IF(Materiales!$G$247&lt;=0,G1709,ROUNDUP(G1709/Materiales!$G$247,0)*Materiales!$G$247))</f>
        <v/>
      </c>
      <c r="H1710" s="65">
        <f>IF(H1709&lt;=0,0,IF(Materiales!$G$247&lt;=0,H1709,ROUNDUP(H1709/Materiales!$G$247,0)*Materiales!$G$247))</f>
        <v/>
      </c>
      <c r="I1710" s="65">
        <f>IF(I1709&lt;=0,0,IF(Materiales!$G$247&lt;=0,I1709,ROUNDUP(I1709/Materiales!$G$247,0)*Materiales!$G$247))</f>
        <v/>
      </c>
      <c r="J1710" s="65">
        <f>IF(J1709&lt;=0,0,IF(Materiales!$G$247&lt;=0,J1709,ROUNDUP(J1709/Materiales!$G$247,0)*Materiales!$G$247))</f>
        <v/>
      </c>
      <c r="K1710" s="65">
        <f>IF(K1709&lt;=0,0,IF(Materiales!$G$247&lt;=0,K1709,ROUNDUP(K1709/Materiales!$G$247,0)*Materiales!$G$247))</f>
        <v/>
      </c>
      <c r="L1710" s="65">
        <f>IF(L1709&lt;=0,0,IF(Materiales!$G$247&lt;=0,L1709,ROUNDUP(L1709/Materiales!$G$247,0)*Materiales!$G$247))</f>
        <v/>
      </c>
      <c r="M1710" s="66" t="n"/>
    </row>
    <row r="1711">
      <c r="C1711" s="70" t="inlineStr">
        <is>
          <t>LANZAMIENTO DE ORDEN — pedir esta semana</t>
        </is>
      </c>
      <c r="D1711" s="64" t="n"/>
      <c r="E1711" s="71">
        <f>IF(1+Materiales!$F$247&gt;8,0,INDEX($E$1710:$L$1710,1,1+Materiales!$F$247))</f>
        <v/>
      </c>
      <c r="F1711" s="71">
        <f>IF(2+Materiales!$F$247&gt;8,0,INDEX($E$1710:$L$1710,1,2+Materiales!$F$247))</f>
        <v/>
      </c>
      <c r="G1711" s="71">
        <f>IF(3+Materiales!$F$247&gt;8,0,INDEX($E$1710:$L$1710,1,3+Materiales!$F$247))</f>
        <v/>
      </c>
      <c r="H1711" s="71">
        <f>IF(4+Materiales!$F$247&gt;8,0,INDEX($E$1710:$L$1710,1,4+Materiales!$F$247))</f>
        <v/>
      </c>
      <c r="I1711" s="71">
        <f>IF(5+Materiales!$F$247&gt;8,0,INDEX($E$1710:$L$1710,1,5+Materiales!$F$247))</f>
        <v/>
      </c>
      <c r="J1711" s="71">
        <f>IF(6+Materiales!$F$247&gt;8,0,INDEX($E$1710:$L$1710,1,6+Materiales!$F$247))</f>
        <v/>
      </c>
      <c r="K1711" s="71">
        <f>IF(7+Materiales!$F$247&gt;8,0,INDEX($E$1710:$L$1710,1,7+Materiales!$F$247))</f>
        <v/>
      </c>
      <c r="L1711" s="71">
        <f>IF(8+Materiales!$F$247&gt;8,0,INDEX($E$1710:$L$1710,1,8+Materiales!$F$247))</f>
        <v/>
      </c>
      <c r="M1711" s="72">
        <f>IF($A1706="","",IF(SUMPRODUCT((COLUMN($E$1710:$L$1710)-4&lt;=Materiales!$F$247)*$E$1710:$L$1710)&gt;0,"PEDIR YA (atrasado)","OK"))</f>
        <v/>
      </c>
    </row>
    <row r="1712" ht="6" customHeight="1"/>
    <row r="1713">
      <c r="A1713" s="62">
        <f>IF(Materiales!$A$248="","",Materiales!$A$248)</f>
        <v/>
      </c>
      <c r="B1713" s="62">
        <f>IF(Materiales!$B$248="","",Materiales!$B$248)</f>
        <v/>
      </c>
      <c r="C1713" s="63" t="inlineStr">
        <is>
          <t>Necesidad bruta</t>
        </is>
      </c>
      <c r="D1713" s="64" t="n"/>
      <c r="E1713" s="65">
        <f>ROUND(SUMIF(Consumo!$P$4:$P$189,"#"&amp;$A1713,Consumo!H$4:H$189),4)</f>
        <v/>
      </c>
      <c r="F1713" s="65">
        <f>ROUND(SUMIF(Consumo!$P$4:$P$189,"#"&amp;$A1713,Consumo!I$4:I$189),4)</f>
        <v/>
      </c>
      <c r="G1713" s="65">
        <f>ROUND(SUMIF(Consumo!$P$4:$P$189,"#"&amp;$A1713,Consumo!J$4:J$189),4)</f>
        <v/>
      </c>
      <c r="H1713" s="65">
        <f>ROUND(SUMIF(Consumo!$P$4:$P$189,"#"&amp;$A1713,Consumo!K$4:K$189),4)</f>
        <v/>
      </c>
      <c r="I1713" s="65">
        <f>ROUND(SUMIF(Consumo!$P$4:$P$189,"#"&amp;$A1713,Consumo!L$4:L$189),4)</f>
        <v/>
      </c>
      <c r="J1713" s="65">
        <f>ROUND(SUMIF(Consumo!$P$4:$P$189,"#"&amp;$A1713,Consumo!M$4:M$189),4)</f>
        <v/>
      </c>
      <c r="K1713" s="65">
        <f>ROUND(SUMIF(Consumo!$P$4:$P$189,"#"&amp;$A1713,Consumo!N$4:N$189),4)</f>
        <v/>
      </c>
      <c r="L1713" s="65">
        <f>ROUND(SUMIF(Consumo!$P$4:$P$189,"#"&amp;$A1713,Consumo!O$4:O$189),4)</f>
        <v/>
      </c>
      <c r="M1713" s="66" t="n"/>
    </row>
    <row r="1714">
      <c r="C1714" s="63" t="inlineStr">
        <is>
          <t>Recepciones programadas (ya pedido)</t>
        </is>
      </c>
      <c r="D1714" s="64" t="n"/>
      <c r="E1714" s="65">
        <f>SUMIF(Inventario!$M$5:$M$505,"#"&amp;$A1713,Inventario!E$5:E$505)</f>
        <v/>
      </c>
      <c r="F1714" s="65">
        <f>SUMIF(Inventario!$M$5:$M$505,"#"&amp;$A1713,Inventario!F$5:F$505)</f>
        <v/>
      </c>
      <c r="G1714" s="65">
        <f>SUMIF(Inventario!$M$5:$M$505,"#"&amp;$A1713,Inventario!G$5:G$505)</f>
        <v/>
      </c>
      <c r="H1714" s="65">
        <f>SUMIF(Inventario!$M$5:$M$505,"#"&amp;$A1713,Inventario!H$5:H$505)</f>
        <v/>
      </c>
      <c r="I1714" s="65">
        <f>SUMIF(Inventario!$M$5:$M$505,"#"&amp;$A1713,Inventario!I$5:I$505)</f>
        <v/>
      </c>
      <c r="J1714" s="65">
        <f>SUMIF(Inventario!$M$5:$M$505,"#"&amp;$A1713,Inventario!J$5:J$505)</f>
        <v/>
      </c>
      <c r="K1714" s="65">
        <f>SUMIF(Inventario!$M$5:$M$505,"#"&amp;$A1713,Inventario!K$5:K$505)</f>
        <v/>
      </c>
      <c r="L1714" s="65">
        <f>SUMIF(Inventario!$M$5:$M$505,"#"&amp;$A1713,Inventario!L$5:L$505)</f>
        <v/>
      </c>
      <c r="M1714" s="66" t="n"/>
    </row>
    <row r="1715">
      <c r="C1715" s="63" t="inlineStr">
        <is>
          <t>Stock proyectado disponible</t>
        </is>
      </c>
      <c r="D1715" s="67">
        <f>SUMIF(Inventario!$M$5:$M$505,"#"&amp;$A1713,Inventario!$C$5:$C$505)</f>
        <v/>
      </c>
      <c r="E1715" s="68">
        <f>D1715+E1714+E1717-E1713</f>
        <v/>
      </c>
      <c r="F1715" s="68">
        <f>E1715+F1714+F1717-F1713</f>
        <v/>
      </c>
      <c r="G1715" s="68">
        <f>F1715+G1714+G1717-G1713</f>
        <v/>
      </c>
      <c r="H1715" s="68">
        <f>G1715+H1714+H1717-H1713</f>
        <v/>
      </c>
      <c r="I1715" s="68">
        <f>H1715+I1714+I1717-I1713</f>
        <v/>
      </c>
      <c r="J1715" s="68">
        <f>I1715+J1714+J1717-J1713</f>
        <v/>
      </c>
      <c r="K1715" s="68">
        <f>J1715+K1714+K1717-K1713</f>
        <v/>
      </c>
      <c r="L1715" s="68">
        <f>K1715+L1714+L1717-L1713</f>
        <v/>
      </c>
      <c r="M1715" s="66" t="n"/>
    </row>
    <row r="1716">
      <c r="C1716" s="63" t="inlineStr">
        <is>
          <t>Necesidad neta</t>
        </is>
      </c>
      <c r="D1716" s="64" t="n"/>
      <c r="E1716" s="69">
        <f>MAX(0,ROUND(E1713+Materiales!$H$248-D1715-E1714,4))</f>
        <v/>
      </c>
      <c r="F1716" s="69">
        <f>MAX(0,ROUND(F1713+Materiales!$H$248-E1715-F1714,4))</f>
        <v/>
      </c>
      <c r="G1716" s="69">
        <f>MAX(0,ROUND(G1713+Materiales!$H$248-F1715-G1714,4))</f>
        <v/>
      </c>
      <c r="H1716" s="69">
        <f>MAX(0,ROUND(H1713+Materiales!$H$248-G1715-H1714,4))</f>
        <v/>
      </c>
      <c r="I1716" s="69">
        <f>MAX(0,ROUND(I1713+Materiales!$H$248-H1715-I1714,4))</f>
        <v/>
      </c>
      <c r="J1716" s="69">
        <f>MAX(0,ROUND(J1713+Materiales!$H$248-I1715-J1714,4))</f>
        <v/>
      </c>
      <c r="K1716" s="69">
        <f>MAX(0,ROUND(K1713+Materiales!$H$248-J1715-K1714,4))</f>
        <v/>
      </c>
      <c r="L1716" s="69">
        <f>MAX(0,ROUND(L1713+Materiales!$H$248-K1715-L1714,4))</f>
        <v/>
      </c>
      <c r="M1716" s="66" t="n"/>
    </row>
    <row r="1717">
      <c r="C1717" s="63" t="inlineStr">
        <is>
          <t>Recepcion de orden planificada</t>
        </is>
      </c>
      <c r="D1717" s="64" t="n"/>
      <c r="E1717" s="65">
        <f>IF(E1716&lt;=0,0,IF(Materiales!$G$248&lt;=0,E1716,ROUNDUP(E1716/Materiales!$G$248,0)*Materiales!$G$248))</f>
        <v/>
      </c>
      <c r="F1717" s="65">
        <f>IF(F1716&lt;=0,0,IF(Materiales!$G$248&lt;=0,F1716,ROUNDUP(F1716/Materiales!$G$248,0)*Materiales!$G$248))</f>
        <v/>
      </c>
      <c r="G1717" s="65">
        <f>IF(G1716&lt;=0,0,IF(Materiales!$G$248&lt;=0,G1716,ROUNDUP(G1716/Materiales!$G$248,0)*Materiales!$G$248))</f>
        <v/>
      </c>
      <c r="H1717" s="65">
        <f>IF(H1716&lt;=0,0,IF(Materiales!$G$248&lt;=0,H1716,ROUNDUP(H1716/Materiales!$G$248,0)*Materiales!$G$248))</f>
        <v/>
      </c>
      <c r="I1717" s="65">
        <f>IF(I1716&lt;=0,0,IF(Materiales!$G$248&lt;=0,I1716,ROUNDUP(I1716/Materiales!$G$248,0)*Materiales!$G$248))</f>
        <v/>
      </c>
      <c r="J1717" s="65">
        <f>IF(J1716&lt;=0,0,IF(Materiales!$G$248&lt;=0,J1716,ROUNDUP(J1716/Materiales!$G$248,0)*Materiales!$G$248))</f>
        <v/>
      </c>
      <c r="K1717" s="65">
        <f>IF(K1716&lt;=0,0,IF(Materiales!$G$248&lt;=0,K1716,ROUNDUP(K1716/Materiales!$G$248,0)*Materiales!$G$248))</f>
        <v/>
      </c>
      <c r="L1717" s="65">
        <f>IF(L1716&lt;=0,0,IF(Materiales!$G$248&lt;=0,L1716,ROUNDUP(L1716/Materiales!$G$248,0)*Materiales!$G$248))</f>
        <v/>
      </c>
      <c r="M1717" s="66" t="n"/>
    </row>
    <row r="1718">
      <c r="C1718" s="70" t="inlineStr">
        <is>
          <t>LANZAMIENTO DE ORDEN — pedir esta semana</t>
        </is>
      </c>
      <c r="D1718" s="64" t="n"/>
      <c r="E1718" s="71">
        <f>IF(1+Materiales!$F$248&gt;8,0,INDEX($E$1717:$L$1717,1,1+Materiales!$F$248))</f>
        <v/>
      </c>
      <c r="F1718" s="71">
        <f>IF(2+Materiales!$F$248&gt;8,0,INDEX($E$1717:$L$1717,1,2+Materiales!$F$248))</f>
        <v/>
      </c>
      <c r="G1718" s="71">
        <f>IF(3+Materiales!$F$248&gt;8,0,INDEX($E$1717:$L$1717,1,3+Materiales!$F$248))</f>
        <v/>
      </c>
      <c r="H1718" s="71">
        <f>IF(4+Materiales!$F$248&gt;8,0,INDEX($E$1717:$L$1717,1,4+Materiales!$F$248))</f>
        <v/>
      </c>
      <c r="I1718" s="71">
        <f>IF(5+Materiales!$F$248&gt;8,0,INDEX($E$1717:$L$1717,1,5+Materiales!$F$248))</f>
        <v/>
      </c>
      <c r="J1718" s="71">
        <f>IF(6+Materiales!$F$248&gt;8,0,INDEX($E$1717:$L$1717,1,6+Materiales!$F$248))</f>
        <v/>
      </c>
      <c r="K1718" s="71">
        <f>IF(7+Materiales!$F$248&gt;8,0,INDEX($E$1717:$L$1717,1,7+Materiales!$F$248))</f>
        <v/>
      </c>
      <c r="L1718" s="71">
        <f>IF(8+Materiales!$F$248&gt;8,0,INDEX($E$1717:$L$1717,1,8+Materiales!$F$248))</f>
        <v/>
      </c>
      <c r="M1718" s="72">
        <f>IF($A1713="","",IF(SUMPRODUCT((COLUMN($E$1717:$L$1717)-4&lt;=Materiales!$F$248)*$E$1717:$L$1717)&gt;0,"PEDIR YA (atrasado)","OK"))</f>
        <v/>
      </c>
    </row>
    <row r="1719" ht="6" customHeight="1"/>
    <row r="1720">
      <c r="A1720" s="62">
        <f>IF(Materiales!$A$249="","",Materiales!$A$249)</f>
        <v/>
      </c>
      <c r="B1720" s="62">
        <f>IF(Materiales!$B$249="","",Materiales!$B$249)</f>
        <v/>
      </c>
      <c r="C1720" s="63" t="inlineStr">
        <is>
          <t>Necesidad bruta</t>
        </is>
      </c>
      <c r="D1720" s="64" t="n"/>
      <c r="E1720" s="65">
        <f>ROUND(SUMIF(Consumo!$P$4:$P$189,"#"&amp;$A1720,Consumo!H$4:H$189),4)</f>
        <v/>
      </c>
      <c r="F1720" s="65">
        <f>ROUND(SUMIF(Consumo!$P$4:$P$189,"#"&amp;$A1720,Consumo!I$4:I$189),4)</f>
        <v/>
      </c>
      <c r="G1720" s="65">
        <f>ROUND(SUMIF(Consumo!$P$4:$P$189,"#"&amp;$A1720,Consumo!J$4:J$189),4)</f>
        <v/>
      </c>
      <c r="H1720" s="65">
        <f>ROUND(SUMIF(Consumo!$P$4:$P$189,"#"&amp;$A1720,Consumo!K$4:K$189),4)</f>
        <v/>
      </c>
      <c r="I1720" s="65">
        <f>ROUND(SUMIF(Consumo!$P$4:$P$189,"#"&amp;$A1720,Consumo!L$4:L$189),4)</f>
        <v/>
      </c>
      <c r="J1720" s="65">
        <f>ROUND(SUMIF(Consumo!$P$4:$P$189,"#"&amp;$A1720,Consumo!M$4:M$189),4)</f>
        <v/>
      </c>
      <c r="K1720" s="65">
        <f>ROUND(SUMIF(Consumo!$P$4:$P$189,"#"&amp;$A1720,Consumo!N$4:N$189),4)</f>
        <v/>
      </c>
      <c r="L1720" s="65">
        <f>ROUND(SUMIF(Consumo!$P$4:$P$189,"#"&amp;$A1720,Consumo!O$4:O$189),4)</f>
        <v/>
      </c>
      <c r="M1720" s="66" t="n"/>
    </row>
    <row r="1721">
      <c r="C1721" s="63" t="inlineStr">
        <is>
          <t>Recepciones programadas (ya pedido)</t>
        </is>
      </c>
      <c r="D1721" s="64" t="n"/>
      <c r="E1721" s="65">
        <f>SUMIF(Inventario!$M$5:$M$505,"#"&amp;$A1720,Inventario!E$5:E$505)</f>
        <v/>
      </c>
      <c r="F1721" s="65">
        <f>SUMIF(Inventario!$M$5:$M$505,"#"&amp;$A1720,Inventario!F$5:F$505)</f>
        <v/>
      </c>
      <c r="G1721" s="65">
        <f>SUMIF(Inventario!$M$5:$M$505,"#"&amp;$A1720,Inventario!G$5:G$505)</f>
        <v/>
      </c>
      <c r="H1721" s="65">
        <f>SUMIF(Inventario!$M$5:$M$505,"#"&amp;$A1720,Inventario!H$5:H$505)</f>
        <v/>
      </c>
      <c r="I1721" s="65">
        <f>SUMIF(Inventario!$M$5:$M$505,"#"&amp;$A1720,Inventario!I$5:I$505)</f>
        <v/>
      </c>
      <c r="J1721" s="65">
        <f>SUMIF(Inventario!$M$5:$M$505,"#"&amp;$A1720,Inventario!J$5:J$505)</f>
        <v/>
      </c>
      <c r="K1721" s="65">
        <f>SUMIF(Inventario!$M$5:$M$505,"#"&amp;$A1720,Inventario!K$5:K$505)</f>
        <v/>
      </c>
      <c r="L1721" s="65">
        <f>SUMIF(Inventario!$M$5:$M$505,"#"&amp;$A1720,Inventario!L$5:L$505)</f>
        <v/>
      </c>
      <c r="M1721" s="66" t="n"/>
    </row>
    <row r="1722">
      <c r="C1722" s="63" t="inlineStr">
        <is>
          <t>Stock proyectado disponible</t>
        </is>
      </c>
      <c r="D1722" s="67">
        <f>SUMIF(Inventario!$M$5:$M$505,"#"&amp;$A1720,Inventario!$C$5:$C$505)</f>
        <v/>
      </c>
      <c r="E1722" s="68">
        <f>D1722+E1721+E1724-E1720</f>
        <v/>
      </c>
      <c r="F1722" s="68">
        <f>E1722+F1721+F1724-F1720</f>
        <v/>
      </c>
      <c r="G1722" s="68">
        <f>F1722+G1721+G1724-G1720</f>
        <v/>
      </c>
      <c r="H1722" s="68">
        <f>G1722+H1721+H1724-H1720</f>
        <v/>
      </c>
      <c r="I1722" s="68">
        <f>H1722+I1721+I1724-I1720</f>
        <v/>
      </c>
      <c r="J1722" s="68">
        <f>I1722+J1721+J1724-J1720</f>
        <v/>
      </c>
      <c r="K1722" s="68">
        <f>J1722+K1721+K1724-K1720</f>
        <v/>
      </c>
      <c r="L1722" s="68">
        <f>K1722+L1721+L1724-L1720</f>
        <v/>
      </c>
      <c r="M1722" s="66" t="n"/>
    </row>
    <row r="1723">
      <c r="C1723" s="63" t="inlineStr">
        <is>
          <t>Necesidad neta</t>
        </is>
      </c>
      <c r="D1723" s="64" t="n"/>
      <c r="E1723" s="69">
        <f>MAX(0,ROUND(E1720+Materiales!$H$249-D1722-E1721,4))</f>
        <v/>
      </c>
      <c r="F1723" s="69">
        <f>MAX(0,ROUND(F1720+Materiales!$H$249-E1722-F1721,4))</f>
        <v/>
      </c>
      <c r="G1723" s="69">
        <f>MAX(0,ROUND(G1720+Materiales!$H$249-F1722-G1721,4))</f>
        <v/>
      </c>
      <c r="H1723" s="69">
        <f>MAX(0,ROUND(H1720+Materiales!$H$249-G1722-H1721,4))</f>
        <v/>
      </c>
      <c r="I1723" s="69">
        <f>MAX(0,ROUND(I1720+Materiales!$H$249-H1722-I1721,4))</f>
        <v/>
      </c>
      <c r="J1723" s="69">
        <f>MAX(0,ROUND(J1720+Materiales!$H$249-I1722-J1721,4))</f>
        <v/>
      </c>
      <c r="K1723" s="69">
        <f>MAX(0,ROUND(K1720+Materiales!$H$249-J1722-K1721,4))</f>
        <v/>
      </c>
      <c r="L1723" s="69">
        <f>MAX(0,ROUND(L1720+Materiales!$H$249-K1722-L1721,4))</f>
        <v/>
      </c>
      <c r="M1723" s="66" t="n"/>
    </row>
    <row r="1724">
      <c r="C1724" s="63" t="inlineStr">
        <is>
          <t>Recepcion de orden planificada</t>
        </is>
      </c>
      <c r="D1724" s="64" t="n"/>
      <c r="E1724" s="65">
        <f>IF(E1723&lt;=0,0,IF(Materiales!$G$249&lt;=0,E1723,ROUNDUP(E1723/Materiales!$G$249,0)*Materiales!$G$249))</f>
        <v/>
      </c>
      <c r="F1724" s="65">
        <f>IF(F1723&lt;=0,0,IF(Materiales!$G$249&lt;=0,F1723,ROUNDUP(F1723/Materiales!$G$249,0)*Materiales!$G$249))</f>
        <v/>
      </c>
      <c r="G1724" s="65">
        <f>IF(G1723&lt;=0,0,IF(Materiales!$G$249&lt;=0,G1723,ROUNDUP(G1723/Materiales!$G$249,0)*Materiales!$G$249))</f>
        <v/>
      </c>
      <c r="H1724" s="65">
        <f>IF(H1723&lt;=0,0,IF(Materiales!$G$249&lt;=0,H1723,ROUNDUP(H1723/Materiales!$G$249,0)*Materiales!$G$249))</f>
        <v/>
      </c>
      <c r="I1724" s="65">
        <f>IF(I1723&lt;=0,0,IF(Materiales!$G$249&lt;=0,I1723,ROUNDUP(I1723/Materiales!$G$249,0)*Materiales!$G$249))</f>
        <v/>
      </c>
      <c r="J1724" s="65">
        <f>IF(J1723&lt;=0,0,IF(Materiales!$G$249&lt;=0,J1723,ROUNDUP(J1723/Materiales!$G$249,0)*Materiales!$G$249))</f>
        <v/>
      </c>
      <c r="K1724" s="65">
        <f>IF(K1723&lt;=0,0,IF(Materiales!$G$249&lt;=0,K1723,ROUNDUP(K1723/Materiales!$G$249,0)*Materiales!$G$249))</f>
        <v/>
      </c>
      <c r="L1724" s="65">
        <f>IF(L1723&lt;=0,0,IF(Materiales!$G$249&lt;=0,L1723,ROUNDUP(L1723/Materiales!$G$249,0)*Materiales!$G$249))</f>
        <v/>
      </c>
      <c r="M1724" s="66" t="n"/>
    </row>
    <row r="1725">
      <c r="C1725" s="70" t="inlineStr">
        <is>
          <t>LANZAMIENTO DE ORDEN — pedir esta semana</t>
        </is>
      </c>
      <c r="D1725" s="64" t="n"/>
      <c r="E1725" s="71">
        <f>IF(1+Materiales!$F$249&gt;8,0,INDEX($E$1724:$L$1724,1,1+Materiales!$F$249))</f>
        <v/>
      </c>
      <c r="F1725" s="71">
        <f>IF(2+Materiales!$F$249&gt;8,0,INDEX($E$1724:$L$1724,1,2+Materiales!$F$249))</f>
        <v/>
      </c>
      <c r="G1725" s="71">
        <f>IF(3+Materiales!$F$249&gt;8,0,INDEX($E$1724:$L$1724,1,3+Materiales!$F$249))</f>
        <v/>
      </c>
      <c r="H1725" s="71">
        <f>IF(4+Materiales!$F$249&gt;8,0,INDEX($E$1724:$L$1724,1,4+Materiales!$F$249))</f>
        <v/>
      </c>
      <c r="I1725" s="71">
        <f>IF(5+Materiales!$F$249&gt;8,0,INDEX($E$1724:$L$1724,1,5+Materiales!$F$249))</f>
        <v/>
      </c>
      <c r="J1725" s="71">
        <f>IF(6+Materiales!$F$249&gt;8,0,INDEX($E$1724:$L$1724,1,6+Materiales!$F$249))</f>
        <v/>
      </c>
      <c r="K1725" s="71">
        <f>IF(7+Materiales!$F$249&gt;8,0,INDEX($E$1724:$L$1724,1,7+Materiales!$F$249))</f>
        <v/>
      </c>
      <c r="L1725" s="71">
        <f>IF(8+Materiales!$F$249&gt;8,0,INDEX($E$1724:$L$1724,1,8+Materiales!$F$249))</f>
        <v/>
      </c>
      <c r="M1725" s="72">
        <f>IF($A1720="","",IF(SUMPRODUCT((COLUMN($E$1724:$L$1724)-4&lt;=Materiales!$F$249)*$E$1724:$L$1724)&gt;0,"PEDIR YA (atrasado)","OK"))</f>
        <v/>
      </c>
    </row>
    <row r="1726" ht="6" customHeight="1"/>
    <row r="1727">
      <c r="A1727" s="62">
        <f>IF(Materiales!$A$250="","",Materiales!$A$250)</f>
        <v/>
      </c>
      <c r="B1727" s="62">
        <f>IF(Materiales!$B$250="","",Materiales!$B$250)</f>
        <v/>
      </c>
      <c r="C1727" s="63" t="inlineStr">
        <is>
          <t>Necesidad bruta</t>
        </is>
      </c>
      <c r="D1727" s="64" t="n"/>
      <c r="E1727" s="65">
        <f>ROUND(SUMIF(Consumo!$P$4:$P$189,"#"&amp;$A1727,Consumo!H$4:H$189),4)</f>
        <v/>
      </c>
      <c r="F1727" s="65">
        <f>ROUND(SUMIF(Consumo!$P$4:$P$189,"#"&amp;$A1727,Consumo!I$4:I$189),4)</f>
        <v/>
      </c>
      <c r="G1727" s="65">
        <f>ROUND(SUMIF(Consumo!$P$4:$P$189,"#"&amp;$A1727,Consumo!J$4:J$189),4)</f>
        <v/>
      </c>
      <c r="H1727" s="65">
        <f>ROUND(SUMIF(Consumo!$P$4:$P$189,"#"&amp;$A1727,Consumo!K$4:K$189),4)</f>
        <v/>
      </c>
      <c r="I1727" s="65">
        <f>ROUND(SUMIF(Consumo!$P$4:$P$189,"#"&amp;$A1727,Consumo!L$4:L$189),4)</f>
        <v/>
      </c>
      <c r="J1727" s="65">
        <f>ROUND(SUMIF(Consumo!$P$4:$P$189,"#"&amp;$A1727,Consumo!M$4:M$189),4)</f>
        <v/>
      </c>
      <c r="K1727" s="65">
        <f>ROUND(SUMIF(Consumo!$P$4:$P$189,"#"&amp;$A1727,Consumo!N$4:N$189),4)</f>
        <v/>
      </c>
      <c r="L1727" s="65">
        <f>ROUND(SUMIF(Consumo!$P$4:$P$189,"#"&amp;$A1727,Consumo!O$4:O$189),4)</f>
        <v/>
      </c>
      <c r="M1727" s="66" t="n"/>
    </row>
    <row r="1728">
      <c r="C1728" s="63" t="inlineStr">
        <is>
          <t>Recepciones programadas (ya pedido)</t>
        </is>
      </c>
      <c r="D1728" s="64" t="n"/>
      <c r="E1728" s="65">
        <f>SUMIF(Inventario!$M$5:$M$505,"#"&amp;$A1727,Inventario!E$5:E$505)</f>
        <v/>
      </c>
      <c r="F1728" s="65">
        <f>SUMIF(Inventario!$M$5:$M$505,"#"&amp;$A1727,Inventario!F$5:F$505)</f>
        <v/>
      </c>
      <c r="G1728" s="65">
        <f>SUMIF(Inventario!$M$5:$M$505,"#"&amp;$A1727,Inventario!G$5:G$505)</f>
        <v/>
      </c>
      <c r="H1728" s="65">
        <f>SUMIF(Inventario!$M$5:$M$505,"#"&amp;$A1727,Inventario!H$5:H$505)</f>
        <v/>
      </c>
      <c r="I1728" s="65">
        <f>SUMIF(Inventario!$M$5:$M$505,"#"&amp;$A1727,Inventario!I$5:I$505)</f>
        <v/>
      </c>
      <c r="J1728" s="65">
        <f>SUMIF(Inventario!$M$5:$M$505,"#"&amp;$A1727,Inventario!J$5:J$505)</f>
        <v/>
      </c>
      <c r="K1728" s="65">
        <f>SUMIF(Inventario!$M$5:$M$505,"#"&amp;$A1727,Inventario!K$5:K$505)</f>
        <v/>
      </c>
      <c r="L1728" s="65">
        <f>SUMIF(Inventario!$M$5:$M$505,"#"&amp;$A1727,Inventario!L$5:L$505)</f>
        <v/>
      </c>
      <c r="M1728" s="66" t="n"/>
    </row>
    <row r="1729">
      <c r="C1729" s="63" t="inlineStr">
        <is>
          <t>Stock proyectado disponible</t>
        </is>
      </c>
      <c r="D1729" s="67">
        <f>SUMIF(Inventario!$M$5:$M$505,"#"&amp;$A1727,Inventario!$C$5:$C$505)</f>
        <v/>
      </c>
      <c r="E1729" s="68">
        <f>D1729+E1728+E1731-E1727</f>
        <v/>
      </c>
      <c r="F1729" s="68">
        <f>E1729+F1728+F1731-F1727</f>
        <v/>
      </c>
      <c r="G1729" s="68">
        <f>F1729+G1728+G1731-G1727</f>
        <v/>
      </c>
      <c r="H1729" s="68">
        <f>G1729+H1728+H1731-H1727</f>
        <v/>
      </c>
      <c r="I1729" s="68">
        <f>H1729+I1728+I1731-I1727</f>
        <v/>
      </c>
      <c r="J1729" s="68">
        <f>I1729+J1728+J1731-J1727</f>
        <v/>
      </c>
      <c r="K1729" s="68">
        <f>J1729+K1728+K1731-K1727</f>
        <v/>
      </c>
      <c r="L1729" s="68">
        <f>K1729+L1728+L1731-L1727</f>
        <v/>
      </c>
      <c r="M1729" s="66" t="n"/>
    </row>
    <row r="1730">
      <c r="C1730" s="63" t="inlineStr">
        <is>
          <t>Necesidad neta</t>
        </is>
      </c>
      <c r="D1730" s="64" t="n"/>
      <c r="E1730" s="69">
        <f>MAX(0,ROUND(E1727+Materiales!$H$250-D1729-E1728,4))</f>
        <v/>
      </c>
      <c r="F1730" s="69">
        <f>MAX(0,ROUND(F1727+Materiales!$H$250-E1729-F1728,4))</f>
        <v/>
      </c>
      <c r="G1730" s="69">
        <f>MAX(0,ROUND(G1727+Materiales!$H$250-F1729-G1728,4))</f>
        <v/>
      </c>
      <c r="H1730" s="69">
        <f>MAX(0,ROUND(H1727+Materiales!$H$250-G1729-H1728,4))</f>
        <v/>
      </c>
      <c r="I1730" s="69">
        <f>MAX(0,ROUND(I1727+Materiales!$H$250-H1729-I1728,4))</f>
        <v/>
      </c>
      <c r="J1730" s="69">
        <f>MAX(0,ROUND(J1727+Materiales!$H$250-I1729-J1728,4))</f>
        <v/>
      </c>
      <c r="K1730" s="69">
        <f>MAX(0,ROUND(K1727+Materiales!$H$250-J1729-K1728,4))</f>
        <v/>
      </c>
      <c r="L1730" s="69">
        <f>MAX(0,ROUND(L1727+Materiales!$H$250-K1729-L1728,4))</f>
        <v/>
      </c>
      <c r="M1730" s="66" t="n"/>
    </row>
    <row r="1731">
      <c r="C1731" s="63" t="inlineStr">
        <is>
          <t>Recepcion de orden planificada</t>
        </is>
      </c>
      <c r="D1731" s="64" t="n"/>
      <c r="E1731" s="65">
        <f>IF(E1730&lt;=0,0,IF(Materiales!$G$250&lt;=0,E1730,ROUNDUP(E1730/Materiales!$G$250,0)*Materiales!$G$250))</f>
        <v/>
      </c>
      <c r="F1731" s="65">
        <f>IF(F1730&lt;=0,0,IF(Materiales!$G$250&lt;=0,F1730,ROUNDUP(F1730/Materiales!$G$250,0)*Materiales!$G$250))</f>
        <v/>
      </c>
      <c r="G1731" s="65">
        <f>IF(G1730&lt;=0,0,IF(Materiales!$G$250&lt;=0,G1730,ROUNDUP(G1730/Materiales!$G$250,0)*Materiales!$G$250))</f>
        <v/>
      </c>
      <c r="H1731" s="65">
        <f>IF(H1730&lt;=0,0,IF(Materiales!$G$250&lt;=0,H1730,ROUNDUP(H1730/Materiales!$G$250,0)*Materiales!$G$250))</f>
        <v/>
      </c>
      <c r="I1731" s="65">
        <f>IF(I1730&lt;=0,0,IF(Materiales!$G$250&lt;=0,I1730,ROUNDUP(I1730/Materiales!$G$250,0)*Materiales!$G$250))</f>
        <v/>
      </c>
      <c r="J1731" s="65">
        <f>IF(J1730&lt;=0,0,IF(Materiales!$G$250&lt;=0,J1730,ROUNDUP(J1730/Materiales!$G$250,0)*Materiales!$G$250))</f>
        <v/>
      </c>
      <c r="K1731" s="65">
        <f>IF(K1730&lt;=0,0,IF(Materiales!$G$250&lt;=0,K1730,ROUNDUP(K1730/Materiales!$G$250,0)*Materiales!$G$250))</f>
        <v/>
      </c>
      <c r="L1731" s="65">
        <f>IF(L1730&lt;=0,0,IF(Materiales!$G$250&lt;=0,L1730,ROUNDUP(L1730/Materiales!$G$250,0)*Materiales!$G$250))</f>
        <v/>
      </c>
      <c r="M1731" s="66" t="n"/>
    </row>
    <row r="1732">
      <c r="C1732" s="70" t="inlineStr">
        <is>
          <t>LANZAMIENTO DE ORDEN — pedir esta semana</t>
        </is>
      </c>
      <c r="D1732" s="64" t="n"/>
      <c r="E1732" s="71">
        <f>IF(1+Materiales!$F$250&gt;8,0,INDEX($E$1731:$L$1731,1,1+Materiales!$F$250))</f>
        <v/>
      </c>
      <c r="F1732" s="71">
        <f>IF(2+Materiales!$F$250&gt;8,0,INDEX($E$1731:$L$1731,1,2+Materiales!$F$250))</f>
        <v/>
      </c>
      <c r="G1732" s="71">
        <f>IF(3+Materiales!$F$250&gt;8,0,INDEX($E$1731:$L$1731,1,3+Materiales!$F$250))</f>
        <v/>
      </c>
      <c r="H1732" s="71">
        <f>IF(4+Materiales!$F$250&gt;8,0,INDEX($E$1731:$L$1731,1,4+Materiales!$F$250))</f>
        <v/>
      </c>
      <c r="I1732" s="71">
        <f>IF(5+Materiales!$F$250&gt;8,0,INDEX($E$1731:$L$1731,1,5+Materiales!$F$250))</f>
        <v/>
      </c>
      <c r="J1732" s="71">
        <f>IF(6+Materiales!$F$250&gt;8,0,INDEX($E$1731:$L$1731,1,6+Materiales!$F$250))</f>
        <v/>
      </c>
      <c r="K1732" s="71">
        <f>IF(7+Materiales!$F$250&gt;8,0,INDEX($E$1731:$L$1731,1,7+Materiales!$F$250))</f>
        <v/>
      </c>
      <c r="L1732" s="71">
        <f>IF(8+Materiales!$F$250&gt;8,0,INDEX($E$1731:$L$1731,1,8+Materiales!$F$250))</f>
        <v/>
      </c>
      <c r="M1732" s="72">
        <f>IF($A1727="","",IF(SUMPRODUCT((COLUMN($E$1731:$L$1731)-4&lt;=Materiales!$F$250)*$E$1731:$L$1731)&gt;0,"PEDIR YA (atrasado)","OK"))</f>
        <v/>
      </c>
    </row>
    <row r="1733" ht="6" customHeight="1"/>
    <row r="1734">
      <c r="A1734" s="62">
        <f>IF(Materiales!$A$251="","",Materiales!$A$251)</f>
        <v/>
      </c>
      <c r="B1734" s="62">
        <f>IF(Materiales!$B$251="","",Materiales!$B$251)</f>
        <v/>
      </c>
      <c r="C1734" s="63" t="inlineStr">
        <is>
          <t>Necesidad bruta</t>
        </is>
      </c>
      <c r="D1734" s="64" t="n"/>
      <c r="E1734" s="65">
        <f>ROUND(SUMIF(Consumo!$P$4:$P$189,"#"&amp;$A1734,Consumo!H$4:H$189),4)</f>
        <v/>
      </c>
      <c r="F1734" s="65">
        <f>ROUND(SUMIF(Consumo!$P$4:$P$189,"#"&amp;$A1734,Consumo!I$4:I$189),4)</f>
        <v/>
      </c>
      <c r="G1734" s="65">
        <f>ROUND(SUMIF(Consumo!$P$4:$P$189,"#"&amp;$A1734,Consumo!J$4:J$189),4)</f>
        <v/>
      </c>
      <c r="H1734" s="65">
        <f>ROUND(SUMIF(Consumo!$P$4:$P$189,"#"&amp;$A1734,Consumo!K$4:K$189),4)</f>
        <v/>
      </c>
      <c r="I1734" s="65">
        <f>ROUND(SUMIF(Consumo!$P$4:$P$189,"#"&amp;$A1734,Consumo!L$4:L$189),4)</f>
        <v/>
      </c>
      <c r="J1734" s="65">
        <f>ROUND(SUMIF(Consumo!$P$4:$P$189,"#"&amp;$A1734,Consumo!M$4:M$189),4)</f>
        <v/>
      </c>
      <c r="K1734" s="65">
        <f>ROUND(SUMIF(Consumo!$P$4:$P$189,"#"&amp;$A1734,Consumo!N$4:N$189),4)</f>
        <v/>
      </c>
      <c r="L1734" s="65">
        <f>ROUND(SUMIF(Consumo!$P$4:$P$189,"#"&amp;$A1734,Consumo!O$4:O$189),4)</f>
        <v/>
      </c>
      <c r="M1734" s="66" t="n"/>
    </row>
    <row r="1735">
      <c r="C1735" s="63" t="inlineStr">
        <is>
          <t>Recepciones programadas (ya pedido)</t>
        </is>
      </c>
      <c r="D1735" s="64" t="n"/>
      <c r="E1735" s="65">
        <f>SUMIF(Inventario!$M$5:$M$505,"#"&amp;$A1734,Inventario!E$5:E$505)</f>
        <v/>
      </c>
      <c r="F1735" s="65">
        <f>SUMIF(Inventario!$M$5:$M$505,"#"&amp;$A1734,Inventario!F$5:F$505)</f>
        <v/>
      </c>
      <c r="G1735" s="65">
        <f>SUMIF(Inventario!$M$5:$M$505,"#"&amp;$A1734,Inventario!G$5:G$505)</f>
        <v/>
      </c>
      <c r="H1735" s="65">
        <f>SUMIF(Inventario!$M$5:$M$505,"#"&amp;$A1734,Inventario!H$5:H$505)</f>
        <v/>
      </c>
      <c r="I1735" s="65">
        <f>SUMIF(Inventario!$M$5:$M$505,"#"&amp;$A1734,Inventario!I$5:I$505)</f>
        <v/>
      </c>
      <c r="J1735" s="65">
        <f>SUMIF(Inventario!$M$5:$M$505,"#"&amp;$A1734,Inventario!J$5:J$505)</f>
        <v/>
      </c>
      <c r="K1735" s="65">
        <f>SUMIF(Inventario!$M$5:$M$505,"#"&amp;$A1734,Inventario!K$5:K$505)</f>
        <v/>
      </c>
      <c r="L1735" s="65">
        <f>SUMIF(Inventario!$M$5:$M$505,"#"&amp;$A1734,Inventario!L$5:L$505)</f>
        <v/>
      </c>
      <c r="M1735" s="66" t="n"/>
    </row>
    <row r="1736">
      <c r="C1736" s="63" t="inlineStr">
        <is>
          <t>Stock proyectado disponible</t>
        </is>
      </c>
      <c r="D1736" s="67">
        <f>SUMIF(Inventario!$M$5:$M$505,"#"&amp;$A1734,Inventario!$C$5:$C$505)</f>
        <v/>
      </c>
      <c r="E1736" s="68">
        <f>D1736+E1735+E1738-E1734</f>
        <v/>
      </c>
      <c r="F1736" s="68">
        <f>E1736+F1735+F1738-F1734</f>
        <v/>
      </c>
      <c r="G1736" s="68">
        <f>F1736+G1735+G1738-G1734</f>
        <v/>
      </c>
      <c r="H1736" s="68">
        <f>G1736+H1735+H1738-H1734</f>
        <v/>
      </c>
      <c r="I1736" s="68">
        <f>H1736+I1735+I1738-I1734</f>
        <v/>
      </c>
      <c r="J1736" s="68">
        <f>I1736+J1735+J1738-J1734</f>
        <v/>
      </c>
      <c r="K1736" s="68">
        <f>J1736+K1735+K1738-K1734</f>
        <v/>
      </c>
      <c r="L1736" s="68">
        <f>K1736+L1735+L1738-L1734</f>
        <v/>
      </c>
      <c r="M1736" s="66" t="n"/>
    </row>
    <row r="1737">
      <c r="C1737" s="63" t="inlineStr">
        <is>
          <t>Necesidad neta</t>
        </is>
      </c>
      <c r="D1737" s="64" t="n"/>
      <c r="E1737" s="69">
        <f>MAX(0,ROUND(E1734+Materiales!$H$251-D1736-E1735,4))</f>
        <v/>
      </c>
      <c r="F1737" s="69">
        <f>MAX(0,ROUND(F1734+Materiales!$H$251-E1736-F1735,4))</f>
        <v/>
      </c>
      <c r="G1737" s="69">
        <f>MAX(0,ROUND(G1734+Materiales!$H$251-F1736-G1735,4))</f>
        <v/>
      </c>
      <c r="H1737" s="69">
        <f>MAX(0,ROUND(H1734+Materiales!$H$251-G1736-H1735,4))</f>
        <v/>
      </c>
      <c r="I1737" s="69">
        <f>MAX(0,ROUND(I1734+Materiales!$H$251-H1736-I1735,4))</f>
        <v/>
      </c>
      <c r="J1737" s="69">
        <f>MAX(0,ROUND(J1734+Materiales!$H$251-I1736-J1735,4))</f>
        <v/>
      </c>
      <c r="K1737" s="69">
        <f>MAX(0,ROUND(K1734+Materiales!$H$251-J1736-K1735,4))</f>
        <v/>
      </c>
      <c r="L1737" s="69">
        <f>MAX(0,ROUND(L1734+Materiales!$H$251-K1736-L1735,4))</f>
        <v/>
      </c>
      <c r="M1737" s="66" t="n"/>
    </row>
    <row r="1738">
      <c r="C1738" s="63" t="inlineStr">
        <is>
          <t>Recepcion de orden planificada</t>
        </is>
      </c>
      <c r="D1738" s="64" t="n"/>
      <c r="E1738" s="65">
        <f>IF(E1737&lt;=0,0,IF(Materiales!$G$251&lt;=0,E1737,ROUNDUP(E1737/Materiales!$G$251,0)*Materiales!$G$251))</f>
        <v/>
      </c>
      <c r="F1738" s="65">
        <f>IF(F1737&lt;=0,0,IF(Materiales!$G$251&lt;=0,F1737,ROUNDUP(F1737/Materiales!$G$251,0)*Materiales!$G$251))</f>
        <v/>
      </c>
      <c r="G1738" s="65">
        <f>IF(G1737&lt;=0,0,IF(Materiales!$G$251&lt;=0,G1737,ROUNDUP(G1737/Materiales!$G$251,0)*Materiales!$G$251))</f>
        <v/>
      </c>
      <c r="H1738" s="65">
        <f>IF(H1737&lt;=0,0,IF(Materiales!$G$251&lt;=0,H1737,ROUNDUP(H1737/Materiales!$G$251,0)*Materiales!$G$251))</f>
        <v/>
      </c>
      <c r="I1738" s="65">
        <f>IF(I1737&lt;=0,0,IF(Materiales!$G$251&lt;=0,I1737,ROUNDUP(I1737/Materiales!$G$251,0)*Materiales!$G$251))</f>
        <v/>
      </c>
      <c r="J1738" s="65">
        <f>IF(J1737&lt;=0,0,IF(Materiales!$G$251&lt;=0,J1737,ROUNDUP(J1737/Materiales!$G$251,0)*Materiales!$G$251))</f>
        <v/>
      </c>
      <c r="K1738" s="65">
        <f>IF(K1737&lt;=0,0,IF(Materiales!$G$251&lt;=0,K1737,ROUNDUP(K1737/Materiales!$G$251,0)*Materiales!$G$251))</f>
        <v/>
      </c>
      <c r="L1738" s="65">
        <f>IF(L1737&lt;=0,0,IF(Materiales!$G$251&lt;=0,L1737,ROUNDUP(L1737/Materiales!$G$251,0)*Materiales!$G$251))</f>
        <v/>
      </c>
      <c r="M1738" s="66" t="n"/>
    </row>
    <row r="1739">
      <c r="C1739" s="70" t="inlineStr">
        <is>
          <t>LANZAMIENTO DE ORDEN — pedir esta semana</t>
        </is>
      </c>
      <c r="D1739" s="64" t="n"/>
      <c r="E1739" s="71">
        <f>IF(1+Materiales!$F$251&gt;8,0,INDEX($E$1738:$L$1738,1,1+Materiales!$F$251))</f>
        <v/>
      </c>
      <c r="F1739" s="71">
        <f>IF(2+Materiales!$F$251&gt;8,0,INDEX($E$1738:$L$1738,1,2+Materiales!$F$251))</f>
        <v/>
      </c>
      <c r="G1739" s="71">
        <f>IF(3+Materiales!$F$251&gt;8,0,INDEX($E$1738:$L$1738,1,3+Materiales!$F$251))</f>
        <v/>
      </c>
      <c r="H1739" s="71">
        <f>IF(4+Materiales!$F$251&gt;8,0,INDEX($E$1738:$L$1738,1,4+Materiales!$F$251))</f>
        <v/>
      </c>
      <c r="I1739" s="71">
        <f>IF(5+Materiales!$F$251&gt;8,0,INDEX($E$1738:$L$1738,1,5+Materiales!$F$251))</f>
        <v/>
      </c>
      <c r="J1739" s="71">
        <f>IF(6+Materiales!$F$251&gt;8,0,INDEX($E$1738:$L$1738,1,6+Materiales!$F$251))</f>
        <v/>
      </c>
      <c r="K1739" s="71">
        <f>IF(7+Materiales!$F$251&gt;8,0,INDEX($E$1738:$L$1738,1,7+Materiales!$F$251))</f>
        <v/>
      </c>
      <c r="L1739" s="71">
        <f>IF(8+Materiales!$F$251&gt;8,0,INDEX($E$1738:$L$1738,1,8+Materiales!$F$251))</f>
        <v/>
      </c>
      <c r="M1739" s="72">
        <f>IF($A1734="","",IF(SUMPRODUCT((COLUMN($E$1738:$L$1738)-4&lt;=Materiales!$F$251)*$E$1738:$L$1738)&gt;0,"PEDIR YA (atrasado)","OK"))</f>
        <v/>
      </c>
    </row>
    <row r="1740" ht="6" customHeight="1"/>
    <row r="1741">
      <c r="A1741" s="62">
        <f>IF(Materiales!$A$252="","",Materiales!$A$252)</f>
        <v/>
      </c>
      <c r="B1741" s="62">
        <f>IF(Materiales!$B$252="","",Materiales!$B$252)</f>
        <v/>
      </c>
      <c r="C1741" s="63" t="inlineStr">
        <is>
          <t>Necesidad bruta</t>
        </is>
      </c>
      <c r="D1741" s="64" t="n"/>
      <c r="E1741" s="65">
        <f>ROUND(SUMIF(Consumo!$P$4:$P$189,"#"&amp;$A1741,Consumo!H$4:H$189),4)</f>
        <v/>
      </c>
      <c r="F1741" s="65">
        <f>ROUND(SUMIF(Consumo!$P$4:$P$189,"#"&amp;$A1741,Consumo!I$4:I$189),4)</f>
        <v/>
      </c>
      <c r="G1741" s="65">
        <f>ROUND(SUMIF(Consumo!$P$4:$P$189,"#"&amp;$A1741,Consumo!J$4:J$189),4)</f>
        <v/>
      </c>
      <c r="H1741" s="65">
        <f>ROUND(SUMIF(Consumo!$P$4:$P$189,"#"&amp;$A1741,Consumo!K$4:K$189),4)</f>
        <v/>
      </c>
      <c r="I1741" s="65">
        <f>ROUND(SUMIF(Consumo!$P$4:$P$189,"#"&amp;$A1741,Consumo!L$4:L$189),4)</f>
        <v/>
      </c>
      <c r="J1741" s="65">
        <f>ROUND(SUMIF(Consumo!$P$4:$P$189,"#"&amp;$A1741,Consumo!M$4:M$189),4)</f>
        <v/>
      </c>
      <c r="K1741" s="65">
        <f>ROUND(SUMIF(Consumo!$P$4:$P$189,"#"&amp;$A1741,Consumo!N$4:N$189),4)</f>
        <v/>
      </c>
      <c r="L1741" s="65">
        <f>ROUND(SUMIF(Consumo!$P$4:$P$189,"#"&amp;$A1741,Consumo!O$4:O$189),4)</f>
        <v/>
      </c>
      <c r="M1741" s="66" t="n"/>
    </row>
    <row r="1742">
      <c r="C1742" s="63" t="inlineStr">
        <is>
          <t>Recepciones programadas (ya pedido)</t>
        </is>
      </c>
      <c r="D1742" s="64" t="n"/>
      <c r="E1742" s="65">
        <f>SUMIF(Inventario!$M$5:$M$505,"#"&amp;$A1741,Inventario!E$5:E$505)</f>
        <v/>
      </c>
      <c r="F1742" s="65">
        <f>SUMIF(Inventario!$M$5:$M$505,"#"&amp;$A1741,Inventario!F$5:F$505)</f>
        <v/>
      </c>
      <c r="G1742" s="65">
        <f>SUMIF(Inventario!$M$5:$M$505,"#"&amp;$A1741,Inventario!G$5:G$505)</f>
        <v/>
      </c>
      <c r="H1742" s="65">
        <f>SUMIF(Inventario!$M$5:$M$505,"#"&amp;$A1741,Inventario!H$5:H$505)</f>
        <v/>
      </c>
      <c r="I1742" s="65">
        <f>SUMIF(Inventario!$M$5:$M$505,"#"&amp;$A1741,Inventario!I$5:I$505)</f>
        <v/>
      </c>
      <c r="J1742" s="65">
        <f>SUMIF(Inventario!$M$5:$M$505,"#"&amp;$A1741,Inventario!J$5:J$505)</f>
        <v/>
      </c>
      <c r="K1742" s="65">
        <f>SUMIF(Inventario!$M$5:$M$505,"#"&amp;$A1741,Inventario!K$5:K$505)</f>
        <v/>
      </c>
      <c r="L1742" s="65">
        <f>SUMIF(Inventario!$M$5:$M$505,"#"&amp;$A1741,Inventario!L$5:L$505)</f>
        <v/>
      </c>
      <c r="M1742" s="66" t="n"/>
    </row>
    <row r="1743">
      <c r="C1743" s="63" t="inlineStr">
        <is>
          <t>Stock proyectado disponible</t>
        </is>
      </c>
      <c r="D1743" s="67">
        <f>SUMIF(Inventario!$M$5:$M$505,"#"&amp;$A1741,Inventario!$C$5:$C$505)</f>
        <v/>
      </c>
      <c r="E1743" s="68">
        <f>D1743+E1742+E1745-E1741</f>
        <v/>
      </c>
      <c r="F1743" s="68">
        <f>E1743+F1742+F1745-F1741</f>
        <v/>
      </c>
      <c r="G1743" s="68">
        <f>F1743+G1742+G1745-G1741</f>
        <v/>
      </c>
      <c r="H1743" s="68">
        <f>G1743+H1742+H1745-H1741</f>
        <v/>
      </c>
      <c r="I1743" s="68">
        <f>H1743+I1742+I1745-I1741</f>
        <v/>
      </c>
      <c r="J1743" s="68">
        <f>I1743+J1742+J1745-J1741</f>
        <v/>
      </c>
      <c r="K1743" s="68">
        <f>J1743+K1742+K1745-K1741</f>
        <v/>
      </c>
      <c r="L1743" s="68">
        <f>K1743+L1742+L1745-L1741</f>
        <v/>
      </c>
      <c r="M1743" s="66" t="n"/>
    </row>
    <row r="1744">
      <c r="C1744" s="63" t="inlineStr">
        <is>
          <t>Necesidad neta</t>
        </is>
      </c>
      <c r="D1744" s="64" t="n"/>
      <c r="E1744" s="69">
        <f>MAX(0,ROUND(E1741+Materiales!$H$252-D1743-E1742,4))</f>
        <v/>
      </c>
      <c r="F1744" s="69">
        <f>MAX(0,ROUND(F1741+Materiales!$H$252-E1743-F1742,4))</f>
        <v/>
      </c>
      <c r="G1744" s="69">
        <f>MAX(0,ROUND(G1741+Materiales!$H$252-F1743-G1742,4))</f>
        <v/>
      </c>
      <c r="H1744" s="69">
        <f>MAX(0,ROUND(H1741+Materiales!$H$252-G1743-H1742,4))</f>
        <v/>
      </c>
      <c r="I1744" s="69">
        <f>MAX(0,ROUND(I1741+Materiales!$H$252-H1743-I1742,4))</f>
        <v/>
      </c>
      <c r="J1744" s="69">
        <f>MAX(0,ROUND(J1741+Materiales!$H$252-I1743-J1742,4))</f>
        <v/>
      </c>
      <c r="K1744" s="69">
        <f>MAX(0,ROUND(K1741+Materiales!$H$252-J1743-K1742,4))</f>
        <v/>
      </c>
      <c r="L1744" s="69">
        <f>MAX(0,ROUND(L1741+Materiales!$H$252-K1743-L1742,4))</f>
        <v/>
      </c>
      <c r="M1744" s="66" t="n"/>
    </row>
    <row r="1745">
      <c r="C1745" s="63" t="inlineStr">
        <is>
          <t>Recepcion de orden planificada</t>
        </is>
      </c>
      <c r="D1745" s="64" t="n"/>
      <c r="E1745" s="65">
        <f>IF(E1744&lt;=0,0,IF(Materiales!$G$252&lt;=0,E1744,ROUNDUP(E1744/Materiales!$G$252,0)*Materiales!$G$252))</f>
        <v/>
      </c>
      <c r="F1745" s="65">
        <f>IF(F1744&lt;=0,0,IF(Materiales!$G$252&lt;=0,F1744,ROUNDUP(F1744/Materiales!$G$252,0)*Materiales!$G$252))</f>
        <v/>
      </c>
      <c r="G1745" s="65">
        <f>IF(G1744&lt;=0,0,IF(Materiales!$G$252&lt;=0,G1744,ROUNDUP(G1744/Materiales!$G$252,0)*Materiales!$G$252))</f>
        <v/>
      </c>
      <c r="H1745" s="65">
        <f>IF(H1744&lt;=0,0,IF(Materiales!$G$252&lt;=0,H1744,ROUNDUP(H1744/Materiales!$G$252,0)*Materiales!$G$252))</f>
        <v/>
      </c>
      <c r="I1745" s="65">
        <f>IF(I1744&lt;=0,0,IF(Materiales!$G$252&lt;=0,I1744,ROUNDUP(I1744/Materiales!$G$252,0)*Materiales!$G$252))</f>
        <v/>
      </c>
      <c r="J1745" s="65">
        <f>IF(J1744&lt;=0,0,IF(Materiales!$G$252&lt;=0,J1744,ROUNDUP(J1744/Materiales!$G$252,0)*Materiales!$G$252))</f>
        <v/>
      </c>
      <c r="K1745" s="65">
        <f>IF(K1744&lt;=0,0,IF(Materiales!$G$252&lt;=0,K1744,ROUNDUP(K1744/Materiales!$G$252,0)*Materiales!$G$252))</f>
        <v/>
      </c>
      <c r="L1745" s="65">
        <f>IF(L1744&lt;=0,0,IF(Materiales!$G$252&lt;=0,L1744,ROUNDUP(L1744/Materiales!$G$252,0)*Materiales!$G$252))</f>
        <v/>
      </c>
      <c r="M1745" s="66" t="n"/>
    </row>
    <row r="1746">
      <c r="C1746" s="70" t="inlineStr">
        <is>
          <t>LANZAMIENTO DE ORDEN — pedir esta semana</t>
        </is>
      </c>
      <c r="D1746" s="64" t="n"/>
      <c r="E1746" s="71">
        <f>IF(1+Materiales!$F$252&gt;8,0,INDEX($E$1745:$L$1745,1,1+Materiales!$F$252))</f>
        <v/>
      </c>
      <c r="F1746" s="71">
        <f>IF(2+Materiales!$F$252&gt;8,0,INDEX($E$1745:$L$1745,1,2+Materiales!$F$252))</f>
        <v/>
      </c>
      <c r="G1746" s="71">
        <f>IF(3+Materiales!$F$252&gt;8,0,INDEX($E$1745:$L$1745,1,3+Materiales!$F$252))</f>
        <v/>
      </c>
      <c r="H1746" s="71">
        <f>IF(4+Materiales!$F$252&gt;8,0,INDEX($E$1745:$L$1745,1,4+Materiales!$F$252))</f>
        <v/>
      </c>
      <c r="I1746" s="71">
        <f>IF(5+Materiales!$F$252&gt;8,0,INDEX($E$1745:$L$1745,1,5+Materiales!$F$252))</f>
        <v/>
      </c>
      <c r="J1746" s="71">
        <f>IF(6+Materiales!$F$252&gt;8,0,INDEX($E$1745:$L$1745,1,6+Materiales!$F$252))</f>
        <v/>
      </c>
      <c r="K1746" s="71">
        <f>IF(7+Materiales!$F$252&gt;8,0,INDEX($E$1745:$L$1745,1,7+Materiales!$F$252))</f>
        <v/>
      </c>
      <c r="L1746" s="71">
        <f>IF(8+Materiales!$F$252&gt;8,0,INDEX($E$1745:$L$1745,1,8+Materiales!$F$252))</f>
        <v/>
      </c>
      <c r="M1746" s="72">
        <f>IF($A1741="","",IF(SUMPRODUCT((COLUMN($E$1745:$L$1745)-4&lt;=Materiales!$F$252)*$E$1745:$L$1745)&gt;0,"PEDIR YA (atrasado)","OK"))</f>
        <v/>
      </c>
    </row>
    <row r="1747" ht="6" customHeight="1"/>
    <row r="1748">
      <c r="A1748" s="62">
        <f>IF(Materiales!$A$253="","",Materiales!$A$253)</f>
        <v/>
      </c>
      <c r="B1748" s="62">
        <f>IF(Materiales!$B$253="","",Materiales!$B$253)</f>
        <v/>
      </c>
      <c r="C1748" s="63" t="inlineStr">
        <is>
          <t>Necesidad bruta</t>
        </is>
      </c>
      <c r="D1748" s="64" t="n"/>
      <c r="E1748" s="65">
        <f>ROUND(SUMIF(Consumo!$P$4:$P$189,"#"&amp;$A1748,Consumo!H$4:H$189),4)</f>
        <v/>
      </c>
      <c r="F1748" s="65">
        <f>ROUND(SUMIF(Consumo!$P$4:$P$189,"#"&amp;$A1748,Consumo!I$4:I$189),4)</f>
        <v/>
      </c>
      <c r="G1748" s="65">
        <f>ROUND(SUMIF(Consumo!$P$4:$P$189,"#"&amp;$A1748,Consumo!J$4:J$189),4)</f>
        <v/>
      </c>
      <c r="H1748" s="65">
        <f>ROUND(SUMIF(Consumo!$P$4:$P$189,"#"&amp;$A1748,Consumo!K$4:K$189),4)</f>
        <v/>
      </c>
      <c r="I1748" s="65">
        <f>ROUND(SUMIF(Consumo!$P$4:$P$189,"#"&amp;$A1748,Consumo!L$4:L$189),4)</f>
        <v/>
      </c>
      <c r="J1748" s="65">
        <f>ROUND(SUMIF(Consumo!$P$4:$P$189,"#"&amp;$A1748,Consumo!M$4:M$189),4)</f>
        <v/>
      </c>
      <c r="K1748" s="65">
        <f>ROUND(SUMIF(Consumo!$P$4:$P$189,"#"&amp;$A1748,Consumo!N$4:N$189),4)</f>
        <v/>
      </c>
      <c r="L1748" s="65">
        <f>ROUND(SUMIF(Consumo!$P$4:$P$189,"#"&amp;$A1748,Consumo!O$4:O$189),4)</f>
        <v/>
      </c>
      <c r="M1748" s="66" t="n"/>
    </row>
    <row r="1749">
      <c r="C1749" s="63" t="inlineStr">
        <is>
          <t>Recepciones programadas (ya pedido)</t>
        </is>
      </c>
      <c r="D1749" s="64" t="n"/>
      <c r="E1749" s="65">
        <f>SUMIF(Inventario!$M$5:$M$505,"#"&amp;$A1748,Inventario!E$5:E$505)</f>
        <v/>
      </c>
      <c r="F1749" s="65">
        <f>SUMIF(Inventario!$M$5:$M$505,"#"&amp;$A1748,Inventario!F$5:F$505)</f>
        <v/>
      </c>
      <c r="G1749" s="65">
        <f>SUMIF(Inventario!$M$5:$M$505,"#"&amp;$A1748,Inventario!G$5:G$505)</f>
        <v/>
      </c>
      <c r="H1749" s="65">
        <f>SUMIF(Inventario!$M$5:$M$505,"#"&amp;$A1748,Inventario!H$5:H$505)</f>
        <v/>
      </c>
      <c r="I1749" s="65">
        <f>SUMIF(Inventario!$M$5:$M$505,"#"&amp;$A1748,Inventario!I$5:I$505)</f>
        <v/>
      </c>
      <c r="J1749" s="65">
        <f>SUMIF(Inventario!$M$5:$M$505,"#"&amp;$A1748,Inventario!J$5:J$505)</f>
        <v/>
      </c>
      <c r="K1749" s="65">
        <f>SUMIF(Inventario!$M$5:$M$505,"#"&amp;$A1748,Inventario!K$5:K$505)</f>
        <v/>
      </c>
      <c r="L1749" s="65">
        <f>SUMIF(Inventario!$M$5:$M$505,"#"&amp;$A1748,Inventario!L$5:L$505)</f>
        <v/>
      </c>
      <c r="M1749" s="66" t="n"/>
    </row>
    <row r="1750">
      <c r="C1750" s="63" t="inlineStr">
        <is>
          <t>Stock proyectado disponible</t>
        </is>
      </c>
      <c r="D1750" s="67">
        <f>SUMIF(Inventario!$M$5:$M$505,"#"&amp;$A1748,Inventario!$C$5:$C$505)</f>
        <v/>
      </c>
      <c r="E1750" s="68">
        <f>D1750+E1749+E1752-E1748</f>
        <v/>
      </c>
      <c r="F1750" s="68">
        <f>E1750+F1749+F1752-F1748</f>
        <v/>
      </c>
      <c r="G1750" s="68">
        <f>F1750+G1749+G1752-G1748</f>
        <v/>
      </c>
      <c r="H1750" s="68">
        <f>G1750+H1749+H1752-H1748</f>
        <v/>
      </c>
      <c r="I1750" s="68">
        <f>H1750+I1749+I1752-I1748</f>
        <v/>
      </c>
      <c r="J1750" s="68">
        <f>I1750+J1749+J1752-J1748</f>
        <v/>
      </c>
      <c r="K1750" s="68">
        <f>J1750+K1749+K1752-K1748</f>
        <v/>
      </c>
      <c r="L1750" s="68">
        <f>K1750+L1749+L1752-L1748</f>
        <v/>
      </c>
      <c r="M1750" s="66" t="n"/>
    </row>
    <row r="1751">
      <c r="C1751" s="63" t="inlineStr">
        <is>
          <t>Necesidad neta</t>
        </is>
      </c>
      <c r="D1751" s="64" t="n"/>
      <c r="E1751" s="69">
        <f>MAX(0,ROUND(E1748+Materiales!$H$253-D1750-E1749,4))</f>
        <v/>
      </c>
      <c r="F1751" s="69">
        <f>MAX(0,ROUND(F1748+Materiales!$H$253-E1750-F1749,4))</f>
        <v/>
      </c>
      <c r="G1751" s="69">
        <f>MAX(0,ROUND(G1748+Materiales!$H$253-F1750-G1749,4))</f>
        <v/>
      </c>
      <c r="H1751" s="69">
        <f>MAX(0,ROUND(H1748+Materiales!$H$253-G1750-H1749,4))</f>
        <v/>
      </c>
      <c r="I1751" s="69">
        <f>MAX(0,ROUND(I1748+Materiales!$H$253-H1750-I1749,4))</f>
        <v/>
      </c>
      <c r="J1751" s="69">
        <f>MAX(0,ROUND(J1748+Materiales!$H$253-I1750-J1749,4))</f>
        <v/>
      </c>
      <c r="K1751" s="69">
        <f>MAX(0,ROUND(K1748+Materiales!$H$253-J1750-K1749,4))</f>
        <v/>
      </c>
      <c r="L1751" s="69">
        <f>MAX(0,ROUND(L1748+Materiales!$H$253-K1750-L1749,4))</f>
        <v/>
      </c>
      <c r="M1751" s="66" t="n"/>
    </row>
    <row r="1752">
      <c r="C1752" s="63" t="inlineStr">
        <is>
          <t>Recepcion de orden planificada</t>
        </is>
      </c>
      <c r="D1752" s="64" t="n"/>
      <c r="E1752" s="65">
        <f>IF(E1751&lt;=0,0,IF(Materiales!$G$253&lt;=0,E1751,ROUNDUP(E1751/Materiales!$G$253,0)*Materiales!$G$253))</f>
        <v/>
      </c>
      <c r="F1752" s="65">
        <f>IF(F1751&lt;=0,0,IF(Materiales!$G$253&lt;=0,F1751,ROUNDUP(F1751/Materiales!$G$253,0)*Materiales!$G$253))</f>
        <v/>
      </c>
      <c r="G1752" s="65">
        <f>IF(G1751&lt;=0,0,IF(Materiales!$G$253&lt;=0,G1751,ROUNDUP(G1751/Materiales!$G$253,0)*Materiales!$G$253))</f>
        <v/>
      </c>
      <c r="H1752" s="65">
        <f>IF(H1751&lt;=0,0,IF(Materiales!$G$253&lt;=0,H1751,ROUNDUP(H1751/Materiales!$G$253,0)*Materiales!$G$253))</f>
        <v/>
      </c>
      <c r="I1752" s="65">
        <f>IF(I1751&lt;=0,0,IF(Materiales!$G$253&lt;=0,I1751,ROUNDUP(I1751/Materiales!$G$253,0)*Materiales!$G$253))</f>
        <v/>
      </c>
      <c r="J1752" s="65">
        <f>IF(J1751&lt;=0,0,IF(Materiales!$G$253&lt;=0,J1751,ROUNDUP(J1751/Materiales!$G$253,0)*Materiales!$G$253))</f>
        <v/>
      </c>
      <c r="K1752" s="65">
        <f>IF(K1751&lt;=0,0,IF(Materiales!$G$253&lt;=0,K1751,ROUNDUP(K1751/Materiales!$G$253,0)*Materiales!$G$253))</f>
        <v/>
      </c>
      <c r="L1752" s="65">
        <f>IF(L1751&lt;=0,0,IF(Materiales!$G$253&lt;=0,L1751,ROUNDUP(L1751/Materiales!$G$253,0)*Materiales!$G$253))</f>
        <v/>
      </c>
      <c r="M1752" s="66" t="n"/>
    </row>
    <row r="1753">
      <c r="C1753" s="70" t="inlineStr">
        <is>
          <t>LANZAMIENTO DE ORDEN — pedir esta semana</t>
        </is>
      </c>
      <c r="D1753" s="64" t="n"/>
      <c r="E1753" s="71">
        <f>IF(1+Materiales!$F$253&gt;8,0,INDEX($E$1752:$L$1752,1,1+Materiales!$F$253))</f>
        <v/>
      </c>
      <c r="F1753" s="71">
        <f>IF(2+Materiales!$F$253&gt;8,0,INDEX($E$1752:$L$1752,1,2+Materiales!$F$253))</f>
        <v/>
      </c>
      <c r="G1753" s="71">
        <f>IF(3+Materiales!$F$253&gt;8,0,INDEX($E$1752:$L$1752,1,3+Materiales!$F$253))</f>
        <v/>
      </c>
      <c r="H1753" s="71">
        <f>IF(4+Materiales!$F$253&gt;8,0,INDEX($E$1752:$L$1752,1,4+Materiales!$F$253))</f>
        <v/>
      </c>
      <c r="I1753" s="71">
        <f>IF(5+Materiales!$F$253&gt;8,0,INDEX($E$1752:$L$1752,1,5+Materiales!$F$253))</f>
        <v/>
      </c>
      <c r="J1753" s="71">
        <f>IF(6+Materiales!$F$253&gt;8,0,INDEX($E$1752:$L$1752,1,6+Materiales!$F$253))</f>
        <v/>
      </c>
      <c r="K1753" s="71">
        <f>IF(7+Materiales!$F$253&gt;8,0,INDEX($E$1752:$L$1752,1,7+Materiales!$F$253))</f>
        <v/>
      </c>
      <c r="L1753" s="71">
        <f>IF(8+Materiales!$F$253&gt;8,0,INDEX($E$1752:$L$1752,1,8+Materiales!$F$253))</f>
        <v/>
      </c>
      <c r="M1753" s="72">
        <f>IF($A1748="","",IF(SUMPRODUCT((COLUMN($E$1752:$L$1752)-4&lt;=Materiales!$F$253)*$E$1752:$L$1752)&gt;0,"PEDIR YA (atrasado)","OK"))</f>
        <v/>
      </c>
    </row>
    <row r="1754" ht="6" customHeight="1"/>
    <row r="1755">
      <c r="A1755" s="62">
        <f>IF(Materiales!$A$254="","",Materiales!$A$254)</f>
        <v/>
      </c>
      <c r="B1755" s="62">
        <f>IF(Materiales!$B$254="","",Materiales!$B$254)</f>
        <v/>
      </c>
      <c r="C1755" s="63" t="inlineStr">
        <is>
          <t>Necesidad bruta</t>
        </is>
      </c>
      <c r="D1755" s="64" t="n"/>
      <c r="E1755" s="65">
        <f>ROUND(SUMIF(Consumo!$P$4:$P$189,"#"&amp;$A1755,Consumo!H$4:H$189),4)</f>
        <v/>
      </c>
      <c r="F1755" s="65">
        <f>ROUND(SUMIF(Consumo!$P$4:$P$189,"#"&amp;$A1755,Consumo!I$4:I$189),4)</f>
        <v/>
      </c>
      <c r="G1755" s="65">
        <f>ROUND(SUMIF(Consumo!$P$4:$P$189,"#"&amp;$A1755,Consumo!J$4:J$189),4)</f>
        <v/>
      </c>
      <c r="H1755" s="65">
        <f>ROUND(SUMIF(Consumo!$P$4:$P$189,"#"&amp;$A1755,Consumo!K$4:K$189),4)</f>
        <v/>
      </c>
      <c r="I1755" s="65">
        <f>ROUND(SUMIF(Consumo!$P$4:$P$189,"#"&amp;$A1755,Consumo!L$4:L$189),4)</f>
        <v/>
      </c>
      <c r="J1755" s="65">
        <f>ROUND(SUMIF(Consumo!$P$4:$P$189,"#"&amp;$A1755,Consumo!M$4:M$189),4)</f>
        <v/>
      </c>
      <c r="K1755" s="65">
        <f>ROUND(SUMIF(Consumo!$P$4:$P$189,"#"&amp;$A1755,Consumo!N$4:N$189),4)</f>
        <v/>
      </c>
      <c r="L1755" s="65">
        <f>ROUND(SUMIF(Consumo!$P$4:$P$189,"#"&amp;$A1755,Consumo!O$4:O$189),4)</f>
        <v/>
      </c>
      <c r="M1755" s="66" t="n"/>
    </row>
    <row r="1756">
      <c r="C1756" s="63" t="inlineStr">
        <is>
          <t>Recepciones programadas (ya pedido)</t>
        </is>
      </c>
      <c r="D1756" s="64" t="n"/>
      <c r="E1756" s="65">
        <f>SUMIF(Inventario!$M$5:$M$505,"#"&amp;$A1755,Inventario!E$5:E$505)</f>
        <v/>
      </c>
      <c r="F1756" s="65">
        <f>SUMIF(Inventario!$M$5:$M$505,"#"&amp;$A1755,Inventario!F$5:F$505)</f>
        <v/>
      </c>
      <c r="G1756" s="65">
        <f>SUMIF(Inventario!$M$5:$M$505,"#"&amp;$A1755,Inventario!G$5:G$505)</f>
        <v/>
      </c>
      <c r="H1756" s="65">
        <f>SUMIF(Inventario!$M$5:$M$505,"#"&amp;$A1755,Inventario!H$5:H$505)</f>
        <v/>
      </c>
      <c r="I1756" s="65">
        <f>SUMIF(Inventario!$M$5:$M$505,"#"&amp;$A1755,Inventario!I$5:I$505)</f>
        <v/>
      </c>
      <c r="J1756" s="65">
        <f>SUMIF(Inventario!$M$5:$M$505,"#"&amp;$A1755,Inventario!J$5:J$505)</f>
        <v/>
      </c>
      <c r="K1756" s="65">
        <f>SUMIF(Inventario!$M$5:$M$505,"#"&amp;$A1755,Inventario!K$5:K$505)</f>
        <v/>
      </c>
      <c r="L1756" s="65">
        <f>SUMIF(Inventario!$M$5:$M$505,"#"&amp;$A1755,Inventario!L$5:L$505)</f>
        <v/>
      </c>
      <c r="M1756" s="66" t="n"/>
    </row>
    <row r="1757">
      <c r="C1757" s="63" t="inlineStr">
        <is>
          <t>Stock proyectado disponible</t>
        </is>
      </c>
      <c r="D1757" s="67">
        <f>SUMIF(Inventario!$M$5:$M$505,"#"&amp;$A1755,Inventario!$C$5:$C$505)</f>
        <v/>
      </c>
      <c r="E1757" s="68">
        <f>D1757+E1756+E1759-E1755</f>
        <v/>
      </c>
      <c r="F1757" s="68">
        <f>E1757+F1756+F1759-F1755</f>
        <v/>
      </c>
      <c r="G1757" s="68">
        <f>F1757+G1756+G1759-G1755</f>
        <v/>
      </c>
      <c r="H1757" s="68">
        <f>G1757+H1756+H1759-H1755</f>
        <v/>
      </c>
      <c r="I1757" s="68">
        <f>H1757+I1756+I1759-I1755</f>
        <v/>
      </c>
      <c r="J1757" s="68">
        <f>I1757+J1756+J1759-J1755</f>
        <v/>
      </c>
      <c r="K1757" s="68">
        <f>J1757+K1756+K1759-K1755</f>
        <v/>
      </c>
      <c r="L1757" s="68">
        <f>K1757+L1756+L1759-L1755</f>
        <v/>
      </c>
      <c r="M1757" s="66" t="n"/>
    </row>
    <row r="1758">
      <c r="C1758" s="63" t="inlineStr">
        <is>
          <t>Necesidad neta</t>
        </is>
      </c>
      <c r="D1758" s="64" t="n"/>
      <c r="E1758" s="69">
        <f>MAX(0,ROUND(E1755+Materiales!$H$254-D1757-E1756,4))</f>
        <v/>
      </c>
      <c r="F1758" s="69">
        <f>MAX(0,ROUND(F1755+Materiales!$H$254-E1757-F1756,4))</f>
        <v/>
      </c>
      <c r="G1758" s="69">
        <f>MAX(0,ROUND(G1755+Materiales!$H$254-F1757-G1756,4))</f>
        <v/>
      </c>
      <c r="H1758" s="69">
        <f>MAX(0,ROUND(H1755+Materiales!$H$254-G1757-H1756,4))</f>
        <v/>
      </c>
      <c r="I1758" s="69">
        <f>MAX(0,ROUND(I1755+Materiales!$H$254-H1757-I1756,4))</f>
        <v/>
      </c>
      <c r="J1758" s="69">
        <f>MAX(0,ROUND(J1755+Materiales!$H$254-I1757-J1756,4))</f>
        <v/>
      </c>
      <c r="K1758" s="69">
        <f>MAX(0,ROUND(K1755+Materiales!$H$254-J1757-K1756,4))</f>
        <v/>
      </c>
      <c r="L1758" s="69">
        <f>MAX(0,ROUND(L1755+Materiales!$H$254-K1757-L1756,4))</f>
        <v/>
      </c>
      <c r="M1758" s="66" t="n"/>
    </row>
    <row r="1759">
      <c r="C1759" s="63" t="inlineStr">
        <is>
          <t>Recepcion de orden planificada</t>
        </is>
      </c>
      <c r="D1759" s="64" t="n"/>
      <c r="E1759" s="65">
        <f>IF(E1758&lt;=0,0,IF(Materiales!$G$254&lt;=0,E1758,ROUNDUP(E1758/Materiales!$G$254,0)*Materiales!$G$254))</f>
        <v/>
      </c>
      <c r="F1759" s="65">
        <f>IF(F1758&lt;=0,0,IF(Materiales!$G$254&lt;=0,F1758,ROUNDUP(F1758/Materiales!$G$254,0)*Materiales!$G$254))</f>
        <v/>
      </c>
      <c r="G1759" s="65">
        <f>IF(G1758&lt;=0,0,IF(Materiales!$G$254&lt;=0,G1758,ROUNDUP(G1758/Materiales!$G$254,0)*Materiales!$G$254))</f>
        <v/>
      </c>
      <c r="H1759" s="65">
        <f>IF(H1758&lt;=0,0,IF(Materiales!$G$254&lt;=0,H1758,ROUNDUP(H1758/Materiales!$G$254,0)*Materiales!$G$254))</f>
        <v/>
      </c>
      <c r="I1759" s="65">
        <f>IF(I1758&lt;=0,0,IF(Materiales!$G$254&lt;=0,I1758,ROUNDUP(I1758/Materiales!$G$254,0)*Materiales!$G$254))</f>
        <v/>
      </c>
      <c r="J1759" s="65">
        <f>IF(J1758&lt;=0,0,IF(Materiales!$G$254&lt;=0,J1758,ROUNDUP(J1758/Materiales!$G$254,0)*Materiales!$G$254))</f>
        <v/>
      </c>
      <c r="K1759" s="65">
        <f>IF(K1758&lt;=0,0,IF(Materiales!$G$254&lt;=0,K1758,ROUNDUP(K1758/Materiales!$G$254,0)*Materiales!$G$254))</f>
        <v/>
      </c>
      <c r="L1759" s="65">
        <f>IF(L1758&lt;=0,0,IF(Materiales!$G$254&lt;=0,L1758,ROUNDUP(L1758/Materiales!$G$254,0)*Materiales!$G$254))</f>
        <v/>
      </c>
      <c r="M1759" s="66" t="n"/>
    </row>
    <row r="1760">
      <c r="C1760" s="70" t="inlineStr">
        <is>
          <t>LANZAMIENTO DE ORDEN — pedir esta semana</t>
        </is>
      </c>
      <c r="D1760" s="64" t="n"/>
      <c r="E1760" s="71">
        <f>IF(1+Materiales!$F$254&gt;8,0,INDEX($E$1759:$L$1759,1,1+Materiales!$F$254))</f>
        <v/>
      </c>
      <c r="F1760" s="71">
        <f>IF(2+Materiales!$F$254&gt;8,0,INDEX($E$1759:$L$1759,1,2+Materiales!$F$254))</f>
        <v/>
      </c>
      <c r="G1760" s="71">
        <f>IF(3+Materiales!$F$254&gt;8,0,INDEX($E$1759:$L$1759,1,3+Materiales!$F$254))</f>
        <v/>
      </c>
      <c r="H1760" s="71">
        <f>IF(4+Materiales!$F$254&gt;8,0,INDEX($E$1759:$L$1759,1,4+Materiales!$F$254))</f>
        <v/>
      </c>
      <c r="I1760" s="71">
        <f>IF(5+Materiales!$F$254&gt;8,0,INDEX($E$1759:$L$1759,1,5+Materiales!$F$254))</f>
        <v/>
      </c>
      <c r="J1760" s="71">
        <f>IF(6+Materiales!$F$254&gt;8,0,INDEX($E$1759:$L$1759,1,6+Materiales!$F$254))</f>
        <v/>
      </c>
      <c r="K1760" s="71">
        <f>IF(7+Materiales!$F$254&gt;8,0,INDEX($E$1759:$L$1759,1,7+Materiales!$F$254))</f>
        <v/>
      </c>
      <c r="L1760" s="71">
        <f>IF(8+Materiales!$F$254&gt;8,0,INDEX($E$1759:$L$1759,1,8+Materiales!$F$254))</f>
        <v/>
      </c>
      <c r="M1760" s="72">
        <f>IF($A1755="","",IF(SUMPRODUCT((COLUMN($E$1759:$L$1759)-4&lt;=Materiales!$F$254)*$E$1759:$L$1759)&gt;0,"PEDIR YA (atrasado)","OK"))</f>
        <v/>
      </c>
    </row>
    <row r="1761" ht="6" customHeight="1"/>
    <row r="1762">
      <c r="A1762" s="62">
        <f>IF(Materiales!$A$255="","",Materiales!$A$255)</f>
        <v/>
      </c>
      <c r="B1762" s="62">
        <f>IF(Materiales!$B$255="","",Materiales!$B$255)</f>
        <v/>
      </c>
      <c r="C1762" s="63" t="inlineStr">
        <is>
          <t>Necesidad bruta</t>
        </is>
      </c>
      <c r="D1762" s="64" t="n"/>
      <c r="E1762" s="65">
        <f>ROUND(SUMIF(Consumo!$P$4:$P$189,"#"&amp;$A1762,Consumo!H$4:H$189),4)</f>
        <v/>
      </c>
      <c r="F1762" s="65">
        <f>ROUND(SUMIF(Consumo!$P$4:$P$189,"#"&amp;$A1762,Consumo!I$4:I$189),4)</f>
        <v/>
      </c>
      <c r="G1762" s="65">
        <f>ROUND(SUMIF(Consumo!$P$4:$P$189,"#"&amp;$A1762,Consumo!J$4:J$189),4)</f>
        <v/>
      </c>
      <c r="H1762" s="65">
        <f>ROUND(SUMIF(Consumo!$P$4:$P$189,"#"&amp;$A1762,Consumo!K$4:K$189),4)</f>
        <v/>
      </c>
      <c r="I1762" s="65">
        <f>ROUND(SUMIF(Consumo!$P$4:$P$189,"#"&amp;$A1762,Consumo!L$4:L$189),4)</f>
        <v/>
      </c>
      <c r="J1762" s="65">
        <f>ROUND(SUMIF(Consumo!$P$4:$P$189,"#"&amp;$A1762,Consumo!M$4:M$189),4)</f>
        <v/>
      </c>
      <c r="K1762" s="65">
        <f>ROUND(SUMIF(Consumo!$P$4:$P$189,"#"&amp;$A1762,Consumo!N$4:N$189),4)</f>
        <v/>
      </c>
      <c r="L1762" s="65">
        <f>ROUND(SUMIF(Consumo!$P$4:$P$189,"#"&amp;$A1762,Consumo!O$4:O$189),4)</f>
        <v/>
      </c>
      <c r="M1762" s="66" t="n"/>
    </row>
    <row r="1763">
      <c r="C1763" s="63" t="inlineStr">
        <is>
          <t>Recepciones programadas (ya pedido)</t>
        </is>
      </c>
      <c r="D1763" s="64" t="n"/>
      <c r="E1763" s="65">
        <f>SUMIF(Inventario!$M$5:$M$505,"#"&amp;$A1762,Inventario!E$5:E$505)</f>
        <v/>
      </c>
      <c r="F1763" s="65">
        <f>SUMIF(Inventario!$M$5:$M$505,"#"&amp;$A1762,Inventario!F$5:F$505)</f>
        <v/>
      </c>
      <c r="G1763" s="65">
        <f>SUMIF(Inventario!$M$5:$M$505,"#"&amp;$A1762,Inventario!G$5:G$505)</f>
        <v/>
      </c>
      <c r="H1763" s="65">
        <f>SUMIF(Inventario!$M$5:$M$505,"#"&amp;$A1762,Inventario!H$5:H$505)</f>
        <v/>
      </c>
      <c r="I1763" s="65">
        <f>SUMIF(Inventario!$M$5:$M$505,"#"&amp;$A1762,Inventario!I$5:I$505)</f>
        <v/>
      </c>
      <c r="J1763" s="65">
        <f>SUMIF(Inventario!$M$5:$M$505,"#"&amp;$A1762,Inventario!J$5:J$505)</f>
        <v/>
      </c>
      <c r="K1763" s="65">
        <f>SUMIF(Inventario!$M$5:$M$505,"#"&amp;$A1762,Inventario!K$5:K$505)</f>
        <v/>
      </c>
      <c r="L1763" s="65">
        <f>SUMIF(Inventario!$M$5:$M$505,"#"&amp;$A1762,Inventario!L$5:L$505)</f>
        <v/>
      </c>
      <c r="M1763" s="66" t="n"/>
    </row>
    <row r="1764">
      <c r="C1764" s="63" t="inlineStr">
        <is>
          <t>Stock proyectado disponible</t>
        </is>
      </c>
      <c r="D1764" s="67">
        <f>SUMIF(Inventario!$M$5:$M$505,"#"&amp;$A1762,Inventario!$C$5:$C$505)</f>
        <v/>
      </c>
      <c r="E1764" s="68">
        <f>D1764+E1763+E1766-E1762</f>
        <v/>
      </c>
      <c r="F1764" s="68">
        <f>E1764+F1763+F1766-F1762</f>
        <v/>
      </c>
      <c r="G1764" s="68">
        <f>F1764+G1763+G1766-G1762</f>
        <v/>
      </c>
      <c r="H1764" s="68">
        <f>G1764+H1763+H1766-H1762</f>
        <v/>
      </c>
      <c r="I1764" s="68">
        <f>H1764+I1763+I1766-I1762</f>
        <v/>
      </c>
      <c r="J1764" s="68">
        <f>I1764+J1763+J1766-J1762</f>
        <v/>
      </c>
      <c r="K1764" s="68">
        <f>J1764+K1763+K1766-K1762</f>
        <v/>
      </c>
      <c r="L1764" s="68">
        <f>K1764+L1763+L1766-L1762</f>
        <v/>
      </c>
      <c r="M1764" s="66" t="n"/>
    </row>
    <row r="1765">
      <c r="C1765" s="63" t="inlineStr">
        <is>
          <t>Necesidad neta</t>
        </is>
      </c>
      <c r="D1765" s="64" t="n"/>
      <c r="E1765" s="69">
        <f>MAX(0,ROUND(E1762+Materiales!$H$255-D1764-E1763,4))</f>
        <v/>
      </c>
      <c r="F1765" s="69">
        <f>MAX(0,ROUND(F1762+Materiales!$H$255-E1764-F1763,4))</f>
        <v/>
      </c>
      <c r="G1765" s="69">
        <f>MAX(0,ROUND(G1762+Materiales!$H$255-F1764-G1763,4))</f>
        <v/>
      </c>
      <c r="H1765" s="69">
        <f>MAX(0,ROUND(H1762+Materiales!$H$255-G1764-H1763,4))</f>
        <v/>
      </c>
      <c r="I1765" s="69">
        <f>MAX(0,ROUND(I1762+Materiales!$H$255-H1764-I1763,4))</f>
        <v/>
      </c>
      <c r="J1765" s="69">
        <f>MAX(0,ROUND(J1762+Materiales!$H$255-I1764-J1763,4))</f>
        <v/>
      </c>
      <c r="K1765" s="69">
        <f>MAX(0,ROUND(K1762+Materiales!$H$255-J1764-K1763,4))</f>
        <v/>
      </c>
      <c r="L1765" s="69">
        <f>MAX(0,ROUND(L1762+Materiales!$H$255-K1764-L1763,4))</f>
        <v/>
      </c>
      <c r="M1765" s="66" t="n"/>
    </row>
    <row r="1766">
      <c r="C1766" s="63" t="inlineStr">
        <is>
          <t>Recepcion de orden planificada</t>
        </is>
      </c>
      <c r="D1766" s="64" t="n"/>
      <c r="E1766" s="65">
        <f>IF(E1765&lt;=0,0,IF(Materiales!$G$255&lt;=0,E1765,ROUNDUP(E1765/Materiales!$G$255,0)*Materiales!$G$255))</f>
        <v/>
      </c>
      <c r="F1766" s="65">
        <f>IF(F1765&lt;=0,0,IF(Materiales!$G$255&lt;=0,F1765,ROUNDUP(F1765/Materiales!$G$255,0)*Materiales!$G$255))</f>
        <v/>
      </c>
      <c r="G1766" s="65">
        <f>IF(G1765&lt;=0,0,IF(Materiales!$G$255&lt;=0,G1765,ROUNDUP(G1765/Materiales!$G$255,0)*Materiales!$G$255))</f>
        <v/>
      </c>
      <c r="H1766" s="65">
        <f>IF(H1765&lt;=0,0,IF(Materiales!$G$255&lt;=0,H1765,ROUNDUP(H1765/Materiales!$G$255,0)*Materiales!$G$255))</f>
        <v/>
      </c>
      <c r="I1766" s="65">
        <f>IF(I1765&lt;=0,0,IF(Materiales!$G$255&lt;=0,I1765,ROUNDUP(I1765/Materiales!$G$255,0)*Materiales!$G$255))</f>
        <v/>
      </c>
      <c r="J1766" s="65">
        <f>IF(J1765&lt;=0,0,IF(Materiales!$G$255&lt;=0,J1765,ROUNDUP(J1765/Materiales!$G$255,0)*Materiales!$G$255))</f>
        <v/>
      </c>
      <c r="K1766" s="65">
        <f>IF(K1765&lt;=0,0,IF(Materiales!$G$255&lt;=0,K1765,ROUNDUP(K1765/Materiales!$G$255,0)*Materiales!$G$255))</f>
        <v/>
      </c>
      <c r="L1766" s="65">
        <f>IF(L1765&lt;=0,0,IF(Materiales!$G$255&lt;=0,L1765,ROUNDUP(L1765/Materiales!$G$255,0)*Materiales!$G$255))</f>
        <v/>
      </c>
      <c r="M1766" s="66" t="n"/>
    </row>
    <row r="1767">
      <c r="C1767" s="70" t="inlineStr">
        <is>
          <t>LANZAMIENTO DE ORDEN — pedir esta semana</t>
        </is>
      </c>
      <c r="D1767" s="64" t="n"/>
      <c r="E1767" s="71">
        <f>IF(1+Materiales!$F$255&gt;8,0,INDEX($E$1766:$L$1766,1,1+Materiales!$F$255))</f>
        <v/>
      </c>
      <c r="F1767" s="71">
        <f>IF(2+Materiales!$F$255&gt;8,0,INDEX($E$1766:$L$1766,1,2+Materiales!$F$255))</f>
        <v/>
      </c>
      <c r="G1767" s="71">
        <f>IF(3+Materiales!$F$255&gt;8,0,INDEX($E$1766:$L$1766,1,3+Materiales!$F$255))</f>
        <v/>
      </c>
      <c r="H1767" s="71">
        <f>IF(4+Materiales!$F$255&gt;8,0,INDEX($E$1766:$L$1766,1,4+Materiales!$F$255))</f>
        <v/>
      </c>
      <c r="I1767" s="71">
        <f>IF(5+Materiales!$F$255&gt;8,0,INDEX($E$1766:$L$1766,1,5+Materiales!$F$255))</f>
        <v/>
      </c>
      <c r="J1767" s="71">
        <f>IF(6+Materiales!$F$255&gt;8,0,INDEX($E$1766:$L$1766,1,6+Materiales!$F$255))</f>
        <v/>
      </c>
      <c r="K1767" s="71">
        <f>IF(7+Materiales!$F$255&gt;8,0,INDEX($E$1766:$L$1766,1,7+Materiales!$F$255))</f>
        <v/>
      </c>
      <c r="L1767" s="71">
        <f>IF(8+Materiales!$F$255&gt;8,0,INDEX($E$1766:$L$1766,1,8+Materiales!$F$255))</f>
        <v/>
      </c>
      <c r="M1767" s="72">
        <f>IF($A1762="","",IF(SUMPRODUCT((COLUMN($E$1766:$L$1766)-4&lt;=Materiales!$F$255)*$E$1766:$L$1766)&gt;0,"PEDIR YA (atrasado)","OK"))</f>
        <v/>
      </c>
    </row>
    <row r="1768" ht="6" customHeight="1"/>
    <row r="1769">
      <c r="A1769" s="62">
        <f>IF(Materiales!$A$256="","",Materiales!$A$256)</f>
        <v/>
      </c>
      <c r="B1769" s="62">
        <f>IF(Materiales!$B$256="","",Materiales!$B$256)</f>
        <v/>
      </c>
      <c r="C1769" s="63" t="inlineStr">
        <is>
          <t>Necesidad bruta</t>
        </is>
      </c>
      <c r="D1769" s="64" t="n"/>
      <c r="E1769" s="65">
        <f>ROUND(SUMIF(Consumo!$P$4:$P$189,"#"&amp;$A1769,Consumo!H$4:H$189),4)</f>
        <v/>
      </c>
      <c r="F1769" s="65">
        <f>ROUND(SUMIF(Consumo!$P$4:$P$189,"#"&amp;$A1769,Consumo!I$4:I$189),4)</f>
        <v/>
      </c>
      <c r="G1769" s="65">
        <f>ROUND(SUMIF(Consumo!$P$4:$P$189,"#"&amp;$A1769,Consumo!J$4:J$189),4)</f>
        <v/>
      </c>
      <c r="H1769" s="65">
        <f>ROUND(SUMIF(Consumo!$P$4:$P$189,"#"&amp;$A1769,Consumo!K$4:K$189),4)</f>
        <v/>
      </c>
      <c r="I1769" s="65">
        <f>ROUND(SUMIF(Consumo!$P$4:$P$189,"#"&amp;$A1769,Consumo!L$4:L$189),4)</f>
        <v/>
      </c>
      <c r="J1769" s="65">
        <f>ROUND(SUMIF(Consumo!$P$4:$P$189,"#"&amp;$A1769,Consumo!M$4:M$189),4)</f>
        <v/>
      </c>
      <c r="K1769" s="65">
        <f>ROUND(SUMIF(Consumo!$P$4:$P$189,"#"&amp;$A1769,Consumo!N$4:N$189),4)</f>
        <v/>
      </c>
      <c r="L1769" s="65">
        <f>ROUND(SUMIF(Consumo!$P$4:$P$189,"#"&amp;$A1769,Consumo!O$4:O$189),4)</f>
        <v/>
      </c>
      <c r="M1769" s="66" t="n"/>
    </row>
    <row r="1770">
      <c r="C1770" s="63" t="inlineStr">
        <is>
          <t>Recepciones programadas (ya pedido)</t>
        </is>
      </c>
      <c r="D1770" s="64" t="n"/>
      <c r="E1770" s="65">
        <f>SUMIF(Inventario!$M$5:$M$505,"#"&amp;$A1769,Inventario!E$5:E$505)</f>
        <v/>
      </c>
      <c r="F1770" s="65">
        <f>SUMIF(Inventario!$M$5:$M$505,"#"&amp;$A1769,Inventario!F$5:F$505)</f>
        <v/>
      </c>
      <c r="G1770" s="65">
        <f>SUMIF(Inventario!$M$5:$M$505,"#"&amp;$A1769,Inventario!G$5:G$505)</f>
        <v/>
      </c>
      <c r="H1770" s="65">
        <f>SUMIF(Inventario!$M$5:$M$505,"#"&amp;$A1769,Inventario!H$5:H$505)</f>
        <v/>
      </c>
      <c r="I1770" s="65">
        <f>SUMIF(Inventario!$M$5:$M$505,"#"&amp;$A1769,Inventario!I$5:I$505)</f>
        <v/>
      </c>
      <c r="J1770" s="65">
        <f>SUMIF(Inventario!$M$5:$M$505,"#"&amp;$A1769,Inventario!J$5:J$505)</f>
        <v/>
      </c>
      <c r="K1770" s="65">
        <f>SUMIF(Inventario!$M$5:$M$505,"#"&amp;$A1769,Inventario!K$5:K$505)</f>
        <v/>
      </c>
      <c r="L1770" s="65">
        <f>SUMIF(Inventario!$M$5:$M$505,"#"&amp;$A1769,Inventario!L$5:L$505)</f>
        <v/>
      </c>
      <c r="M1770" s="66" t="n"/>
    </row>
    <row r="1771">
      <c r="C1771" s="63" t="inlineStr">
        <is>
          <t>Stock proyectado disponible</t>
        </is>
      </c>
      <c r="D1771" s="67">
        <f>SUMIF(Inventario!$M$5:$M$505,"#"&amp;$A1769,Inventario!$C$5:$C$505)</f>
        <v/>
      </c>
      <c r="E1771" s="68">
        <f>D1771+E1770+E1773-E1769</f>
        <v/>
      </c>
      <c r="F1771" s="68">
        <f>E1771+F1770+F1773-F1769</f>
        <v/>
      </c>
      <c r="G1771" s="68">
        <f>F1771+G1770+G1773-G1769</f>
        <v/>
      </c>
      <c r="H1771" s="68">
        <f>G1771+H1770+H1773-H1769</f>
        <v/>
      </c>
      <c r="I1771" s="68">
        <f>H1771+I1770+I1773-I1769</f>
        <v/>
      </c>
      <c r="J1771" s="68">
        <f>I1771+J1770+J1773-J1769</f>
        <v/>
      </c>
      <c r="K1771" s="68">
        <f>J1771+K1770+K1773-K1769</f>
        <v/>
      </c>
      <c r="L1771" s="68">
        <f>K1771+L1770+L1773-L1769</f>
        <v/>
      </c>
      <c r="M1771" s="66" t="n"/>
    </row>
    <row r="1772">
      <c r="C1772" s="63" t="inlineStr">
        <is>
          <t>Necesidad neta</t>
        </is>
      </c>
      <c r="D1772" s="64" t="n"/>
      <c r="E1772" s="69">
        <f>MAX(0,ROUND(E1769+Materiales!$H$256-D1771-E1770,4))</f>
        <v/>
      </c>
      <c r="F1772" s="69">
        <f>MAX(0,ROUND(F1769+Materiales!$H$256-E1771-F1770,4))</f>
        <v/>
      </c>
      <c r="G1772" s="69">
        <f>MAX(0,ROUND(G1769+Materiales!$H$256-F1771-G1770,4))</f>
        <v/>
      </c>
      <c r="H1772" s="69">
        <f>MAX(0,ROUND(H1769+Materiales!$H$256-G1771-H1770,4))</f>
        <v/>
      </c>
      <c r="I1772" s="69">
        <f>MAX(0,ROUND(I1769+Materiales!$H$256-H1771-I1770,4))</f>
        <v/>
      </c>
      <c r="J1772" s="69">
        <f>MAX(0,ROUND(J1769+Materiales!$H$256-I1771-J1770,4))</f>
        <v/>
      </c>
      <c r="K1772" s="69">
        <f>MAX(0,ROUND(K1769+Materiales!$H$256-J1771-K1770,4))</f>
        <v/>
      </c>
      <c r="L1772" s="69">
        <f>MAX(0,ROUND(L1769+Materiales!$H$256-K1771-L1770,4))</f>
        <v/>
      </c>
      <c r="M1772" s="66" t="n"/>
    </row>
    <row r="1773">
      <c r="C1773" s="63" t="inlineStr">
        <is>
          <t>Recepcion de orden planificada</t>
        </is>
      </c>
      <c r="D1773" s="64" t="n"/>
      <c r="E1773" s="65">
        <f>IF(E1772&lt;=0,0,IF(Materiales!$G$256&lt;=0,E1772,ROUNDUP(E1772/Materiales!$G$256,0)*Materiales!$G$256))</f>
        <v/>
      </c>
      <c r="F1773" s="65">
        <f>IF(F1772&lt;=0,0,IF(Materiales!$G$256&lt;=0,F1772,ROUNDUP(F1772/Materiales!$G$256,0)*Materiales!$G$256))</f>
        <v/>
      </c>
      <c r="G1773" s="65">
        <f>IF(G1772&lt;=0,0,IF(Materiales!$G$256&lt;=0,G1772,ROUNDUP(G1772/Materiales!$G$256,0)*Materiales!$G$256))</f>
        <v/>
      </c>
      <c r="H1773" s="65">
        <f>IF(H1772&lt;=0,0,IF(Materiales!$G$256&lt;=0,H1772,ROUNDUP(H1772/Materiales!$G$256,0)*Materiales!$G$256))</f>
        <v/>
      </c>
      <c r="I1773" s="65">
        <f>IF(I1772&lt;=0,0,IF(Materiales!$G$256&lt;=0,I1772,ROUNDUP(I1772/Materiales!$G$256,0)*Materiales!$G$256))</f>
        <v/>
      </c>
      <c r="J1773" s="65">
        <f>IF(J1772&lt;=0,0,IF(Materiales!$G$256&lt;=0,J1772,ROUNDUP(J1772/Materiales!$G$256,0)*Materiales!$G$256))</f>
        <v/>
      </c>
      <c r="K1773" s="65">
        <f>IF(K1772&lt;=0,0,IF(Materiales!$G$256&lt;=0,K1772,ROUNDUP(K1772/Materiales!$G$256,0)*Materiales!$G$256))</f>
        <v/>
      </c>
      <c r="L1773" s="65">
        <f>IF(L1772&lt;=0,0,IF(Materiales!$G$256&lt;=0,L1772,ROUNDUP(L1772/Materiales!$G$256,0)*Materiales!$G$256))</f>
        <v/>
      </c>
      <c r="M1773" s="66" t="n"/>
    </row>
    <row r="1774">
      <c r="C1774" s="70" t="inlineStr">
        <is>
          <t>LANZAMIENTO DE ORDEN — pedir esta semana</t>
        </is>
      </c>
      <c r="D1774" s="64" t="n"/>
      <c r="E1774" s="71">
        <f>IF(1+Materiales!$F$256&gt;8,0,INDEX($E$1773:$L$1773,1,1+Materiales!$F$256))</f>
        <v/>
      </c>
      <c r="F1774" s="71">
        <f>IF(2+Materiales!$F$256&gt;8,0,INDEX($E$1773:$L$1773,1,2+Materiales!$F$256))</f>
        <v/>
      </c>
      <c r="G1774" s="71">
        <f>IF(3+Materiales!$F$256&gt;8,0,INDEX($E$1773:$L$1773,1,3+Materiales!$F$256))</f>
        <v/>
      </c>
      <c r="H1774" s="71">
        <f>IF(4+Materiales!$F$256&gt;8,0,INDEX($E$1773:$L$1773,1,4+Materiales!$F$256))</f>
        <v/>
      </c>
      <c r="I1774" s="71">
        <f>IF(5+Materiales!$F$256&gt;8,0,INDEX($E$1773:$L$1773,1,5+Materiales!$F$256))</f>
        <v/>
      </c>
      <c r="J1774" s="71">
        <f>IF(6+Materiales!$F$256&gt;8,0,INDEX($E$1773:$L$1773,1,6+Materiales!$F$256))</f>
        <v/>
      </c>
      <c r="K1774" s="71">
        <f>IF(7+Materiales!$F$256&gt;8,0,INDEX($E$1773:$L$1773,1,7+Materiales!$F$256))</f>
        <v/>
      </c>
      <c r="L1774" s="71">
        <f>IF(8+Materiales!$F$256&gt;8,0,INDEX($E$1773:$L$1773,1,8+Materiales!$F$256))</f>
        <v/>
      </c>
      <c r="M1774" s="72">
        <f>IF($A1769="","",IF(SUMPRODUCT((COLUMN($E$1773:$L$1773)-4&lt;=Materiales!$F$256)*$E$1773:$L$1773)&gt;0,"PEDIR YA (atrasado)","OK"))</f>
        <v/>
      </c>
    </row>
    <row r="1775" ht="6" customHeight="1"/>
    <row r="1776">
      <c r="A1776" s="62">
        <f>IF(Materiales!$A$257="","",Materiales!$A$257)</f>
        <v/>
      </c>
      <c r="B1776" s="62">
        <f>IF(Materiales!$B$257="","",Materiales!$B$257)</f>
        <v/>
      </c>
      <c r="C1776" s="63" t="inlineStr">
        <is>
          <t>Necesidad bruta</t>
        </is>
      </c>
      <c r="D1776" s="64" t="n"/>
      <c r="E1776" s="65">
        <f>ROUND(SUMIF(Consumo!$P$4:$P$189,"#"&amp;$A1776,Consumo!H$4:H$189),4)</f>
        <v/>
      </c>
      <c r="F1776" s="65">
        <f>ROUND(SUMIF(Consumo!$P$4:$P$189,"#"&amp;$A1776,Consumo!I$4:I$189),4)</f>
        <v/>
      </c>
      <c r="G1776" s="65">
        <f>ROUND(SUMIF(Consumo!$P$4:$P$189,"#"&amp;$A1776,Consumo!J$4:J$189),4)</f>
        <v/>
      </c>
      <c r="H1776" s="65">
        <f>ROUND(SUMIF(Consumo!$P$4:$P$189,"#"&amp;$A1776,Consumo!K$4:K$189),4)</f>
        <v/>
      </c>
      <c r="I1776" s="65">
        <f>ROUND(SUMIF(Consumo!$P$4:$P$189,"#"&amp;$A1776,Consumo!L$4:L$189),4)</f>
        <v/>
      </c>
      <c r="J1776" s="65">
        <f>ROUND(SUMIF(Consumo!$P$4:$P$189,"#"&amp;$A1776,Consumo!M$4:M$189),4)</f>
        <v/>
      </c>
      <c r="K1776" s="65">
        <f>ROUND(SUMIF(Consumo!$P$4:$P$189,"#"&amp;$A1776,Consumo!N$4:N$189),4)</f>
        <v/>
      </c>
      <c r="L1776" s="65">
        <f>ROUND(SUMIF(Consumo!$P$4:$P$189,"#"&amp;$A1776,Consumo!O$4:O$189),4)</f>
        <v/>
      </c>
      <c r="M1776" s="66" t="n"/>
    </row>
    <row r="1777">
      <c r="C1777" s="63" t="inlineStr">
        <is>
          <t>Recepciones programadas (ya pedido)</t>
        </is>
      </c>
      <c r="D1777" s="64" t="n"/>
      <c r="E1777" s="65">
        <f>SUMIF(Inventario!$M$5:$M$505,"#"&amp;$A1776,Inventario!E$5:E$505)</f>
        <v/>
      </c>
      <c r="F1777" s="65">
        <f>SUMIF(Inventario!$M$5:$M$505,"#"&amp;$A1776,Inventario!F$5:F$505)</f>
        <v/>
      </c>
      <c r="G1777" s="65">
        <f>SUMIF(Inventario!$M$5:$M$505,"#"&amp;$A1776,Inventario!G$5:G$505)</f>
        <v/>
      </c>
      <c r="H1777" s="65">
        <f>SUMIF(Inventario!$M$5:$M$505,"#"&amp;$A1776,Inventario!H$5:H$505)</f>
        <v/>
      </c>
      <c r="I1777" s="65">
        <f>SUMIF(Inventario!$M$5:$M$505,"#"&amp;$A1776,Inventario!I$5:I$505)</f>
        <v/>
      </c>
      <c r="J1777" s="65">
        <f>SUMIF(Inventario!$M$5:$M$505,"#"&amp;$A1776,Inventario!J$5:J$505)</f>
        <v/>
      </c>
      <c r="K1777" s="65">
        <f>SUMIF(Inventario!$M$5:$M$505,"#"&amp;$A1776,Inventario!K$5:K$505)</f>
        <v/>
      </c>
      <c r="L1777" s="65">
        <f>SUMIF(Inventario!$M$5:$M$505,"#"&amp;$A1776,Inventario!L$5:L$505)</f>
        <v/>
      </c>
      <c r="M1777" s="66" t="n"/>
    </row>
    <row r="1778">
      <c r="C1778" s="63" t="inlineStr">
        <is>
          <t>Stock proyectado disponible</t>
        </is>
      </c>
      <c r="D1778" s="67">
        <f>SUMIF(Inventario!$M$5:$M$505,"#"&amp;$A1776,Inventario!$C$5:$C$505)</f>
        <v/>
      </c>
      <c r="E1778" s="68">
        <f>D1778+E1777+E1780-E1776</f>
        <v/>
      </c>
      <c r="F1778" s="68">
        <f>E1778+F1777+F1780-F1776</f>
        <v/>
      </c>
      <c r="G1778" s="68">
        <f>F1778+G1777+G1780-G1776</f>
        <v/>
      </c>
      <c r="H1778" s="68">
        <f>G1778+H1777+H1780-H1776</f>
        <v/>
      </c>
      <c r="I1778" s="68">
        <f>H1778+I1777+I1780-I1776</f>
        <v/>
      </c>
      <c r="J1778" s="68">
        <f>I1778+J1777+J1780-J1776</f>
        <v/>
      </c>
      <c r="K1778" s="68">
        <f>J1778+K1777+K1780-K1776</f>
        <v/>
      </c>
      <c r="L1778" s="68">
        <f>K1778+L1777+L1780-L1776</f>
        <v/>
      </c>
      <c r="M1778" s="66" t="n"/>
    </row>
    <row r="1779">
      <c r="C1779" s="63" t="inlineStr">
        <is>
          <t>Necesidad neta</t>
        </is>
      </c>
      <c r="D1779" s="64" t="n"/>
      <c r="E1779" s="69">
        <f>MAX(0,ROUND(E1776+Materiales!$H$257-D1778-E1777,4))</f>
        <v/>
      </c>
      <c r="F1779" s="69">
        <f>MAX(0,ROUND(F1776+Materiales!$H$257-E1778-F1777,4))</f>
        <v/>
      </c>
      <c r="G1779" s="69">
        <f>MAX(0,ROUND(G1776+Materiales!$H$257-F1778-G1777,4))</f>
        <v/>
      </c>
      <c r="H1779" s="69">
        <f>MAX(0,ROUND(H1776+Materiales!$H$257-G1778-H1777,4))</f>
        <v/>
      </c>
      <c r="I1779" s="69">
        <f>MAX(0,ROUND(I1776+Materiales!$H$257-H1778-I1777,4))</f>
        <v/>
      </c>
      <c r="J1779" s="69">
        <f>MAX(0,ROUND(J1776+Materiales!$H$257-I1778-J1777,4))</f>
        <v/>
      </c>
      <c r="K1779" s="69">
        <f>MAX(0,ROUND(K1776+Materiales!$H$257-J1778-K1777,4))</f>
        <v/>
      </c>
      <c r="L1779" s="69">
        <f>MAX(0,ROUND(L1776+Materiales!$H$257-K1778-L1777,4))</f>
        <v/>
      </c>
      <c r="M1779" s="66" t="n"/>
    </row>
    <row r="1780">
      <c r="C1780" s="63" t="inlineStr">
        <is>
          <t>Recepcion de orden planificada</t>
        </is>
      </c>
      <c r="D1780" s="64" t="n"/>
      <c r="E1780" s="65">
        <f>IF(E1779&lt;=0,0,IF(Materiales!$G$257&lt;=0,E1779,ROUNDUP(E1779/Materiales!$G$257,0)*Materiales!$G$257))</f>
        <v/>
      </c>
      <c r="F1780" s="65">
        <f>IF(F1779&lt;=0,0,IF(Materiales!$G$257&lt;=0,F1779,ROUNDUP(F1779/Materiales!$G$257,0)*Materiales!$G$257))</f>
        <v/>
      </c>
      <c r="G1780" s="65">
        <f>IF(G1779&lt;=0,0,IF(Materiales!$G$257&lt;=0,G1779,ROUNDUP(G1779/Materiales!$G$257,0)*Materiales!$G$257))</f>
        <v/>
      </c>
      <c r="H1780" s="65">
        <f>IF(H1779&lt;=0,0,IF(Materiales!$G$257&lt;=0,H1779,ROUNDUP(H1779/Materiales!$G$257,0)*Materiales!$G$257))</f>
        <v/>
      </c>
      <c r="I1780" s="65">
        <f>IF(I1779&lt;=0,0,IF(Materiales!$G$257&lt;=0,I1779,ROUNDUP(I1779/Materiales!$G$257,0)*Materiales!$G$257))</f>
        <v/>
      </c>
      <c r="J1780" s="65">
        <f>IF(J1779&lt;=0,0,IF(Materiales!$G$257&lt;=0,J1779,ROUNDUP(J1779/Materiales!$G$257,0)*Materiales!$G$257))</f>
        <v/>
      </c>
      <c r="K1780" s="65">
        <f>IF(K1779&lt;=0,0,IF(Materiales!$G$257&lt;=0,K1779,ROUNDUP(K1779/Materiales!$G$257,0)*Materiales!$G$257))</f>
        <v/>
      </c>
      <c r="L1780" s="65">
        <f>IF(L1779&lt;=0,0,IF(Materiales!$G$257&lt;=0,L1779,ROUNDUP(L1779/Materiales!$G$257,0)*Materiales!$G$257))</f>
        <v/>
      </c>
      <c r="M1780" s="66" t="n"/>
    </row>
    <row r="1781">
      <c r="C1781" s="70" t="inlineStr">
        <is>
          <t>LANZAMIENTO DE ORDEN — pedir esta semana</t>
        </is>
      </c>
      <c r="D1781" s="64" t="n"/>
      <c r="E1781" s="71">
        <f>IF(1+Materiales!$F$257&gt;8,0,INDEX($E$1780:$L$1780,1,1+Materiales!$F$257))</f>
        <v/>
      </c>
      <c r="F1781" s="71">
        <f>IF(2+Materiales!$F$257&gt;8,0,INDEX($E$1780:$L$1780,1,2+Materiales!$F$257))</f>
        <v/>
      </c>
      <c r="G1781" s="71">
        <f>IF(3+Materiales!$F$257&gt;8,0,INDEX($E$1780:$L$1780,1,3+Materiales!$F$257))</f>
        <v/>
      </c>
      <c r="H1781" s="71">
        <f>IF(4+Materiales!$F$257&gt;8,0,INDEX($E$1780:$L$1780,1,4+Materiales!$F$257))</f>
        <v/>
      </c>
      <c r="I1781" s="71">
        <f>IF(5+Materiales!$F$257&gt;8,0,INDEX($E$1780:$L$1780,1,5+Materiales!$F$257))</f>
        <v/>
      </c>
      <c r="J1781" s="71">
        <f>IF(6+Materiales!$F$257&gt;8,0,INDEX($E$1780:$L$1780,1,6+Materiales!$F$257))</f>
        <v/>
      </c>
      <c r="K1781" s="71">
        <f>IF(7+Materiales!$F$257&gt;8,0,INDEX($E$1780:$L$1780,1,7+Materiales!$F$257))</f>
        <v/>
      </c>
      <c r="L1781" s="71">
        <f>IF(8+Materiales!$F$257&gt;8,0,INDEX($E$1780:$L$1780,1,8+Materiales!$F$257))</f>
        <v/>
      </c>
      <c r="M1781" s="72">
        <f>IF($A1776="","",IF(SUMPRODUCT((COLUMN($E$1780:$L$1780)-4&lt;=Materiales!$F$257)*$E$1780:$L$1780)&gt;0,"PEDIR YA (atrasado)","OK"))</f>
        <v/>
      </c>
    </row>
    <row r="1782" ht="6" customHeight="1"/>
    <row r="1783">
      <c r="A1783" s="62">
        <f>IF(Materiales!$A$258="","",Materiales!$A$258)</f>
        <v/>
      </c>
      <c r="B1783" s="62">
        <f>IF(Materiales!$B$258="","",Materiales!$B$258)</f>
        <v/>
      </c>
      <c r="C1783" s="63" t="inlineStr">
        <is>
          <t>Necesidad bruta</t>
        </is>
      </c>
      <c r="D1783" s="64" t="n"/>
      <c r="E1783" s="65">
        <f>ROUND(SUMIF(Consumo!$P$4:$P$189,"#"&amp;$A1783,Consumo!H$4:H$189),4)</f>
        <v/>
      </c>
      <c r="F1783" s="65">
        <f>ROUND(SUMIF(Consumo!$P$4:$P$189,"#"&amp;$A1783,Consumo!I$4:I$189),4)</f>
        <v/>
      </c>
      <c r="G1783" s="65">
        <f>ROUND(SUMIF(Consumo!$P$4:$P$189,"#"&amp;$A1783,Consumo!J$4:J$189),4)</f>
        <v/>
      </c>
      <c r="H1783" s="65">
        <f>ROUND(SUMIF(Consumo!$P$4:$P$189,"#"&amp;$A1783,Consumo!K$4:K$189),4)</f>
        <v/>
      </c>
      <c r="I1783" s="65">
        <f>ROUND(SUMIF(Consumo!$P$4:$P$189,"#"&amp;$A1783,Consumo!L$4:L$189),4)</f>
        <v/>
      </c>
      <c r="J1783" s="65">
        <f>ROUND(SUMIF(Consumo!$P$4:$P$189,"#"&amp;$A1783,Consumo!M$4:M$189),4)</f>
        <v/>
      </c>
      <c r="K1783" s="65">
        <f>ROUND(SUMIF(Consumo!$P$4:$P$189,"#"&amp;$A1783,Consumo!N$4:N$189),4)</f>
        <v/>
      </c>
      <c r="L1783" s="65">
        <f>ROUND(SUMIF(Consumo!$P$4:$P$189,"#"&amp;$A1783,Consumo!O$4:O$189),4)</f>
        <v/>
      </c>
      <c r="M1783" s="66" t="n"/>
    </row>
    <row r="1784">
      <c r="C1784" s="63" t="inlineStr">
        <is>
          <t>Recepciones programadas (ya pedido)</t>
        </is>
      </c>
      <c r="D1784" s="64" t="n"/>
      <c r="E1784" s="65">
        <f>SUMIF(Inventario!$M$5:$M$505,"#"&amp;$A1783,Inventario!E$5:E$505)</f>
        <v/>
      </c>
      <c r="F1784" s="65">
        <f>SUMIF(Inventario!$M$5:$M$505,"#"&amp;$A1783,Inventario!F$5:F$505)</f>
        <v/>
      </c>
      <c r="G1784" s="65">
        <f>SUMIF(Inventario!$M$5:$M$505,"#"&amp;$A1783,Inventario!G$5:G$505)</f>
        <v/>
      </c>
      <c r="H1784" s="65">
        <f>SUMIF(Inventario!$M$5:$M$505,"#"&amp;$A1783,Inventario!H$5:H$505)</f>
        <v/>
      </c>
      <c r="I1784" s="65">
        <f>SUMIF(Inventario!$M$5:$M$505,"#"&amp;$A1783,Inventario!I$5:I$505)</f>
        <v/>
      </c>
      <c r="J1784" s="65">
        <f>SUMIF(Inventario!$M$5:$M$505,"#"&amp;$A1783,Inventario!J$5:J$505)</f>
        <v/>
      </c>
      <c r="K1784" s="65">
        <f>SUMIF(Inventario!$M$5:$M$505,"#"&amp;$A1783,Inventario!K$5:K$505)</f>
        <v/>
      </c>
      <c r="L1784" s="65">
        <f>SUMIF(Inventario!$M$5:$M$505,"#"&amp;$A1783,Inventario!L$5:L$505)</f>
        <v/>
      </c>
      <c r="M1784" s="66" t="n"/>
    </row>
    <row r="1785">
      <c r="C1785" s="63" t="inlineStr">
        <is>
          <t>Stock proyectado disponible</t>
        </is>
      </c>
      <c r="D1785" s="67">
        <f>SUMIF(Inventario!$M$5:$M$505,"#"&amp;$A1783,Inventario!$C$5:$C$505)</f>
        <v/>
      </c>
      <c r="E1785" s="68">
        <f>D1785+E1784+E1787-E1783</f>
        <v/>
      </c>
      <c r="F1785" s="68">
        <f>E1785+F1784+F1787-F1783</f>
        <v/>
      </c>
      <c r="G1785" s="68">
        <f>F1785+G1784+G1787-G1783</f>
        <v/>
      </c>
      <c r="H1785" s="68">
        <f>G1785+H1784+H1787-H1783</f>
        <v/>
      </c>
      <c r="I1785" s="68">
        <f>H1785+I1784+I1787-I1783</f>
        <v/>
      </c>
      <c r="J1785" s="68">
        <f>I1785+J1784+J1787-J1783</f>
        <v/>
      </c>
      <c r="K1785" s="68">
        <f>J1785+K1784+K1787-K1783</f>
        <v/>
      </c>
      <c r="L1785" s="68">
        <f>K1785+L1784+L1787-L1783</f>
        <v/>
      </c>
      <c r="M1785" s="66" t="n"/>
    </row>
    <row r="1786">
      <c r="C1786" s="63" t="inlineStr">
        <is>
          <t>Necesidad neta</t>
        </is>
      </c>
      <c r="D1786" s="64" t="n"/>
      <c r="E1786" s="69">
        <f>MAX(0,ROUND(E1783+Materiales!$H$258-D1785-E1784,4))</f>
        <v/>
      </c>
      <c r="F1786" s="69">
        <f>MAX(0,ROUND(F1783+Materiales!$H$258-E1785-F1784,4))</f>
        <v/>
      </c>
      <c r="G1786" s="69">
        <f>MAX(0,ROUND(G1783+Materiales!$H$258-F1785-G1784,4))</f>
        <v/>
      </c>
      <c r="H1786" s="69">
        <f>MAX(0,ROUND(H1783+Materiales!$H$258-G1785-H1784,4))</f>
        <v/>
      </c>
      <c r="I1786" s="69">
        <f>MAX(0,ROUND(I1783+Materiales!$H$258-H1785-I1784,4))</f>
        <v/>
      </c>
      <c r="J1786" s="69">
        <f>MAX(0,ROUND(J1783+Materiales!$H$258-I1785-J1784,4))</f>
        <v/>
      </c>
      <c r="K1786" s="69">
        <f>MAX(0,ROUND(K1783+Materiales!$H$258-J1785-K1784,4))</f>
        <v/>
      </c>
      <c r="L1786" s="69">
        <f>MAX(0,ROUND(L1783+Materiales!$H$258-K1785-L1784,4))</f>
        <v/>
      </c>
      <c r="M1786" s="66" t="n"/>
    </row>
    <row r="1787">
      <c r="C1787" s="63" t="inlineStr">
        <is>
          <t>Recepcion de orden planificada</t>
        </is>
      </c>
      <c r="D1787" s="64" t="n"/>
      <c r="E1787" s="65">
        <f>IF(E1786&lt;=0,0,IF(Materiales!$G$258&lt;=0,E1786,ROUNDUP(E1786/Materiales!$G$258,0)*Materiales!$G$258))</f>
        <v/>
      </c>
      <c r="F1787" s="65">
        <f>IF(F1786&lt;=0,0,IF(Materiales!$G$258&lt;=0,F1786,ROUNDUP(F1786/Materiales!$G$258,0)*Materiales!$G$258))</f>
        <v/>
      </c>
      <c r="G1787" s="65">
        <f>IF(G1786&lt;=0,0,IF(Materiales!$G$258&lt;=0,G1786,ROUNDUP(G1786/Materiales!$G$258,0)*Materiales!$G$258))</f>
        <v/>
      </c>
      <c r="H1787" s="65">
        <f>IF(H1786&lt;=0,0,IF(Materiales!$G$258&lt;=0,H1786,ROUNDUP(H1786/Materiales!$G$258,0)*Materiales!$G$258))</f>
        <v/>
      </c>
      <c r="I1787" s="65">
        <f>IF(I1786&lt;=0,0,IF(Materiales!$G$258&lt;=0,I1786,ROUNDUP(I1786/Materiales!$G$258,0)*Materiales!$G$258))</f>
        <v/>
      </c>
      <c r="J1787" s="65">
        <f>IF(J1786&lt;=0,0,IF(Materiales!$G$258&lt;=0,J1786,ROUNDUP(J1786/Materiales!$G$258,0)*Materiales!$G$258))</f>
        <v/>
      </c>
      <c r="K1787" s="65">
        <f>IF(K1786&lt;=0,0,IF(Materiales!$G$258&lt;=0,K1786,ROUNDUP(K1786/Materiales!$G$258,0)*Materiales!$G$258))</f>
        <v/>
      </c>
      <c r="L1787" s="65">
        <f>IF(L1786&lt;=0,0,IF(Materiales!$G$258&lt;=0,L1786,ROUNDUP(L1786/Materiales!$G$258,0)*Materiales!$G$258))</f>
        <v/>
      </c>
      <c r="M1787" s="66" t="n"/>
    </row>
    <row r="1788">
      <c r="C1788" s="70" t="inlineStr">
        <is>
          <t>LANZAMIENTO DE ORDEN — pedir esta semana</t>
        </is>
      </c>
      <c r="D1788" s="64" t="n"/>
      <c r="E1788" s="71">
        <f>IF(1+Materiales!$F$258&gt;8,0,INDEX($E$1787:$L$1787,1,1+Materiales!$F$258))</f>
        <v/>
      </c>
      <c r="F1788" s="71">
        <f>IF(2+Materiales!$F$258&gt;8,0,INDEX($E$1787:$L$1787,1,2+Materiales!$F$258))</f>
        <v/>
      </c>
      <c r="G1788" s="71">
        <f>IF(3+Materiales!$F$258&gt;8,0,INDEX($E$1787:$L$1787,1,3+Materiales!$F$258))</f>
        <v/>
      </c>
      <c r="H1788" s="71">
        <f>IF(4+Materiales!$F$258&gt;8,0,INDEX($E$1787:$L$1787,1,4+Materiales!$F$258))</f>
        <v/>
      </c>
      <c r="I1788" s="71">
        <f>IF(5+Materiales!$F$258&gt;8,0,INDEX($E$1787:$L$1787,1,5+Materiales!$F$258))</f>
        <v/>
      </c>
      <c r="J1788" s="71">
        <f>IF(6+Materiales!$F$258&gt;8,0,INDEX($E$1787:$L$1787,1,6+Materiales!$F$258))</f>
        <v/>
      </c>
      <c r="K1788" s="71">
        <f>IF(7+Materiales!$F$258&gt;8,0,INDEX($E$1787:$L$1787,1,7+Materiales!$F$258))</f>
        <v/>
      </c>
      <c r="L1788" s="71">
        <f>IF(8+Materiales!$F$258&gt;8,0,INDEX($E$1787:$L$1787,1,8+Materiales!$F$258))</f>
        <v/>
      </c>
      <c r="M1788" s="72">
        <f>IF($A1783="","",IF(SUMPRODUCT((COLUMN($E$1787:$L$1787)-4&lt;=Materiales!$F$258)*$E$1787:$L$1787)&gt;0,"PEDIR YA (atrasado)","OK"))</f>
        <v/>
      </c>
    </row>
    <row r="1789" ht="6" customHeight="1"/>
    <row r="1790">
      <c r="A1790" s="62">
        <f>IF(Materiales!$A$259="","",Materiales!$A$259)</f>
        <v/>
      </c>
      <c r="B1790" s="62">
        <f>IF(Materiales!$B$259="","",Materiales!$B$259)</f>
        <v/>
      </c>
      <c r="C1790" s="63" t="inlineStr">
        <is>
          <t>Necesidad bruta</t>
        </is>
      </c>
      <c r="D1790" s="64" t="n"/>
      <c r="E1790" s="65">
        <f>ROUND(SUMIF(Consumo!$P$4:$P$189,"#"&amp;$A1790,Consumo!H$4:H$189),4)</f>
        <v/>
      </c>
      <c r="F1790" s="65">
        <f>ROUND(SUMIF(Consumo!$P$4:$P$189,"#"&amp;$A1790,Consumo!I$4:I$189),4)</f>
        <v/>
      </c>
      <c r="G1790" s="65">
        <f>ROUND(SUMIF(Consumo!$P$4:$P$189,"#"&amp;$A1790,Consumo!J$4:J$189),4)</f>
        <v/>
      </c>
      <c r="H1790" s="65">
        <f>ROUND(SUMIF(Consumo!$P$4:$P$189,"#"&amp;$A1790,Consumo!K$4:K$189),4)</f>
        <v/>
      </c>
      <c r="I1790" s="65">
        <f>ROUND(SUMIF(Consumo!$P$4:$P$189,"#"&amp;$A1790,Consumo!L$4:L$189),4)</f>
        <v/>
      </c>
      <c r="J1790" s="65">
        <f>ROUND(SUMIF(Consumo!$P$4:$P$189,"#"&amp;$A1790,Consumo!M$4:M$189),4)</f>
        <v/>
      </c>
      <c r="K1790" s="65">
        <f>ROUND(SUMIF(Consumo!$P$4:$P$189,"#"&amp;$A1790,Consumo!N$4:N$189),4)</f>
        <v/>
      </c>
      <c r="L1790" s="65">
        <f>ROUND(SUMIF(Consumo!$P$4:$P$189,"#"&amp;$A1790,Consumo!O$4:O$189),4)</f>
        <v/>
      </c>
      <c r="M1790" s="66" t="n"/>
    </row>
    <row r="1791">
      <c r="C1791" s="63" t="inlineStr">
        <is>
          <t>Recepciones programadas (ya pedido)</t>
        </is>
      </c>
      <c r="D1791" s="64" t="n"/>
      <c r="E1791" s="65">
        <f>SUMIF(Inventario!$M$5:$M$505,"#"&amp;$A1790,Inventario!E$5:E$505)</f>
        <v/>
      </c>
      <c r="F1791" s="65">
        <f>SUMIF(Inventario!$M$5:$M$505,"#"&amp;$A1790,Inventario!F$5:F$505)</f>
        <v/>
      </c>
      <c r="G1791" s="65">
        <f>SUMIF(Inventario!$M$5:$M$505,"#"&amp;$A1790,Inventario!G$5:G$505)</f>
        <v/>
      </c>
      <c r="H1791" s="65">
        <f>SUMIF(Inventario!$M$5:$M$505,"#"&amp;$A1790,Inventario!H$5:H$505)</f>
        <v/>
      </c>
      <c r="I1791" s="65">
        <f>SUMIF(Inventario!$M$5:$M$505,"#"&amp;$A1790,Inventario!I$5:I$505)</f>
        <v/>
      </c>
      <c r="J1791" s="65">
        <f>SUMIF(Inventario!$M$5:$M$505,"#"&amp;$A1790,Inventario!J$5:J$505)</f>
        <v/>
      </c>
      <c r="K1791" s="65">
        <f>SUMIF(Inventario!$M$5:$M$505,"#"&amp;$A1790,Inventario!K$5:K$505)</f>
        <v/>
      </c>
      <c r="L1791" s="65">
        <f>SUMIF(Inventario!$M$5:$M$505,"#"&amp;$A1790,Inventario!L$5:L$505)</f>
        <v/>
      </c>
      <c r="M1791" s="66" t="n"/>
    </row>
    <row r="1792">
      <c r="C1792" s="63" t="inlineStr">
        <is>
          <t>Stock proyectado disponible</t>
        </is>
      </c>
      <c r="D1792" s="67">
        <f>SUMIF(Inventario!$M$5:$M$505,"#"&amp;$A1790,Inventario!$C$5:$C$505)</f>
        <v/>
      </c>
      <c r="E1792" s="68">
        <f>D1792+E1791+E1794-E1790</f>
        <v/>
      </c>
      <c r="F1792" s="68">
        <f>E1792+F1791+F1794-F1790</f>
        <v/>
      </c>
      <c r="G1792" s="68">
        <f>F1792+G1791+G1794-G1790</f>
        <v/>
      </c>
      <c r="H1792" s="68">
        <f>G1792+H1791+H1794-H1790</f>
        <v/>
      </c>
      <c r="I1792" s="68">
        <f>H1792+I1791+I1794-I1790</f>
        <v/>
      </c>
      <c r="J1792" s="68">
        <f>I1792+J1791+J1794-J1790</f>
        <v/>
      </c>
      <c r="K1792" s="68">
        <f>J1792+K1791+K1794-K1790</f>
        <v/>
      </c>
      <c r="L1792" s="68">
        <f>K1792+L1791+L1794-L1790</f>
        <v/>
      </c>
      <c r="M1792" s="66" t="n"/>
    </row>
    <row r="1793">
      <c r="C1793" s="63" t="inlineStr">
        <is>
          <t>Necesidad neta</t>
        </is>
      </c>
      <c r="D1793" s="64" t="n"/>
      <c r="E1793" s="69">
        <f>MAX(0,ROUND(E1790+Materiales!$H$259-D1792-E1791,4))</f>
        <v/>
      </c>
      <c r="F1793" s="69">
        <f>MAX(0,ROUND(F1790+Materiales!$H$259-E1792-F1791,4))</f>
        <v/>
      </c>
      <c r="G1793" s="69">
        <f>MAX(0,ROUND(G1790+Materiales!$H$259-F1792-G1791,4))</f>
        <v/>
      </c>
      <c r="H1793" s="69">
        <f>MAX(0,ROUND(H1790+Materiales!$H$259-G1792-H1791,4))</f>
        <v/>
      </c>
      <c r="I1793" s="69">
        <f>MAX(0,ROUND(I1790+Materiales!$H$259-H1792-I1791,4))</f>
        <v/>
      </c>
      <c r="J1793" s="69">
        <f>MAX(0,ROUND(J1790+Materiales!$H$259-I1792-J1791,4))</f>
        <v/>
      </c>
      <c r="K1793" s="69">
        <f>MAX(0,ROUND(K1790+Materiales!$H$259-J1792-K1791,4))</f>
        <v/>
      </c>
      <c r="L1793" s="69">
        <f>MAX(0,ROUND(L1790+Materiales!$H$259-K1792-L1791,4))</f>
        <v/>
      </c>
      <c r="M1793" s="66" t="n"/>
    </row>
    <row r="1794">
      <c r="C1794" s="63" t="inlineStr">
        <is>
          <t>Recepcion de orden planificada</t>
        </is>
      </c>
      <c r="D1794" s="64" t="n"/>
      <c r="E1794" s="65">
        <f>IF(E1793&lt;=0,0,IF(Materiales!$G$259&lt;=0,E1793,ROUNDUP(E1793/Materiales!$G$259,0)*Materiales!$G$259))</f>
        <v/>
      </c>
      <c r="F1794" s="65">
        <f>IF(F1793&lt;=0,0,IF(Materiales!$G$259&lt;=0,F1793,ROUNDUP(F1793/Materiales!$G$259,0)*Materiales!$G$259))</f>
        <v/>
      </c>
      <c r="G1794" s="65">
        <f>IF(G1793&lt;=0,0,IF(Materiales!$G$259&lt;=0,G1793,ROUNDUP(G1793/Materiales!$G$259,0)*Materiales!$G$259))</f>
        <v/>
      </c>
      <c r="H1794" s="65">
        <f>IF(H1793&lt;=0,0,IF(Materiales!$G$259&lt;=0,H1793,ROUNDUP(H1793/Materiales!$G$259,0)*Materiales!$G$259))</f>
        <v/>
      </c>
      <c r="I1794" s="65">
        <f>IF(I1793&lt;=0,0,IF(Materiales!$G$259&lt;=0,I1793,ROUNDUP(I1793/Materiales!$G$259,0)*Materiales!$G$259))</f>
        <v/>
      </c>
      <c r="J1794" s="65">
        <f>IF(J1793&lt;=0,0,IF(Materiales!$G$259&lt;=0,J1793,ROUNDUP(J1793/Materiales!$G$259,0)*Materiales!$G$259))</f>
        <v/>
      </c>
      <c r="K1794" s="65">
        <f>IF(K1793&lt;=0,0,IF(Materiales!$G$259&lt;=0,K1793,ROUNDUP(K1793/Materiales!$G$259,0)*Materiales!$G$259))</f>
        <v/>
      </c>
      <c r="L1794" s="65">
        <f>IF(L1793&lt;=0,0,IF(Materiales!$G$259&lt;=0,L1793,ROUNDUP(L1793/Materiales!$G$259,0)*Materiales!$G$259))</f>
        <v/>
      </c>
      <c r="M1794" s="66" t="n"/>
    </row>
    <row r="1795">
      <c r="C1795" s="70" t="inlineStr">
        <is>
          <t>LANZAMIENTO DE ORDEN — pedir esta semana</t>
        </is>
      </c>
      <c r="D1795" s="64" t="n"/>
      <c r="E1795" s="71">
        <f>IF(1+Materiales!$F$259&gt;8,0,INDEX($E$1794:$L$1794,1,1+Materiales!$F$259))</f>
        <v/>
      </c>
      <c r="F1795" s="71">
        <f>IF(2+Materiales!$F$259&gt;8,0,INDEX($E$1794:$L$1794,1,2+Materiales!$F$259))</f>
        <v/>
      </c>
      <c r="G1795" s="71">
        <f>IF(3+Materiales!$F$259&gt;8,0,INDEX($E$1794:$L$1794,1,3+Materiales!$F$259))</f>
        <v/>
      </c>
      <c r="H1795" s="71">
        <f>IF(4+Materiales!$F$259&gt;8,0,INDEX($E$1794:$L$1794,1,4+Materiales!$F$259))</f>
        <v/>
      </c>
      <c r="I1795" s="71">
        <f>IF(5+Materiales!$F$259&gt;8,0,INDEX($E$1794:$L$1794,1,5+Materiales!$F$259))</f>
        <v/>
      </c>
      <c r="J1795" s="71">
        <f>IF(6+Materiales!$F$259&gt;8,0,INDEX($E$1794:$L$1794,1,6+Materiales!$F$259))</f>
        <v/>
      </c>
      <c r="K1795" s="71">
        <f>IF(7+Materiales!$F$259&gt;8,0,INDEX($E$1794:$L$1794,1,7+Materiales!$F$259))</f>
        <v/>
      </c>
      <c r="L1795" s="71">
        <f>IF(8+Materiales!$F$259&gt;8,0,INDEX($E$1794:$L$1794,1,8+Materiales!$F$259))</f>
        <v/>
      </c>
      <c r="M1795" s="72">
        <f>IF($A1790="","",IF(SUMPRODUCT((COLUMN($E$1794:$L$1794)-4&lt;=Materiales!$F$259)*$E$1794:$L$1794)&gt;0,"PEDIR YA (atrasado)","OK"))</f>
        <v/>
      </c>
    </row>
    <row r="1796" ht="6" customHeight="1"/>
    <row r="1797">
      <c r="A1797" s="62">
        <f>IF(Materiales!$A$260="","",Materiales!$A$260)</f>
        <v/>
      </c>
      <c r="B1797" s="62">
        <f>IF(Materiales!$B$260="","",Materiales!$B$260)</f>
        <v/>
      </c>
      <c r="C1797" s="63" t="inlineStr">
        <is>
          <t>Necesidad bruta</t>
        </is>
      </c>
      <c r="D1797" s="64" t="n"/>
      <c r="E1797" s="65">
        <f>ROUND(SUMIF(Consumo!$P$4:$P$189,"#"&amp;$A1797,Consumo!H$4:H$189),4)</f>
        <v/>
      </c>
      <c r="F1797" s="65">
        <f>ROUND(SUMIF(Consumo!$P$4:$P$189,"#"&amp;$A1797,Consumo!I$4:I$189),4)</f>
        <v/>
      </c>
      <c r="G1797" s="65">
        <f>ROUND(SUMIF(Consumo!$P$4:$P$189,"#"&amp;$A1797,Consumo!J$4:J$189),4)</f>
        <v/>
      </c>
      <c r="H1797" s="65">
        <f>ROUND(SUMIF(Consumo!$P$4:$P$189,"#"&amp;$A1797,Consumo!K$4:K$189),4)</f>
        <v/>
      </c>
      <c r="I1797" s="65">
        <f>ROUND(SUMIF(Consumo!$P$4:$P$189,"#"&amp;$A1797,Consumo!L$4:L$189),4)</f>
        <v/>
      </c>
      <c r="J1797" s="65">
        <f>ROUND(SUMIF(Consumo!$P$4:$P$189,"#"&amp;$A1797,Consumo!M$4:M$189),4)</f>
        <v/>
      </c>
      <c r="K1797" s="65">
        <f>ROUND(SUMIF(Consumo!$P$4:$P$189,"#"&amp;$A1797,Consumo!N$4:N$189),4)</f>
        <v/>
      </c>
      <c r="L1797" s="65">
        <f>ROUND(SUMIF(Consumo!$P$4:$P$189,"#"&amp;$A1797,Consumo!O$4:O$189),4)</f>
        <v/>
      </c>
      <c r="M1797" s="66" t="n"/>
    </row>
    <row r="1798">
      <c r="C1798" s="63" t="inlineStr">
        <is>
          <t>Recepciones programadas (ya pedido)</t>
        </is>
      </c>
      <c r="D1798" s="64" t="n"/>
      <c r="E1798" s="65">
        <f>SUMIF(Inventario!$M$5:$M$505,"#"&amp;$A1797,Inventario!E$5:E$505)</f>
        <v/>
      </c>
      <c r="F1798" s="65">
        <f>SUMIF(Inventario!$M$5:$M$505,"#"&amp;$A1797,Inventario!F$5:F$505)</f>
        <v/>
      </c>
      <c r="G1798" s="65">
        <f>SUMIF(Inventario!$M$5:$M$505,"#"&amp;$A1797,Inventario!G$5:G$505)</f>
        <v/>
      </c>
      <c r="H1798" s="65">
        <f>SUMIF(Inventario!$M$5:$M$505,"#"&amp;$A1797,Inventario!H$5:H$505)</f>
        <v/>
      </c>
      <c r="I1798" s="65">
        <f>SUMIF(Inventario!$M$5:$M$505,"#"&amp;$A1797,Inventario!I$5:I$505)</f>
        <v/>
      </c>
      <c r="J1798" s="65">
        <f>SUMIF(Inventario!$M$5:$M$505,"#"&amp;$A1797,Inventario!J$5:J$505)</f>
        <v/>
      </c>
      <c r="K1798" s="65">
        <f>SUMIF(Inventario!$M$5:$M$505,"#"&amp;$A1797,Inventario!K$5:K$505)</f>
        <v/>
      </c>
      <c r="L1798" s="65">
        <f>SUMIF(Inventario!$M$5:$M$505,"#"&amp;$A1797,Inventario!L$5:L$505)</f>
        <v/>
      </c>
      <c r="M1798" s="66" t="n"/>
    </row>
    <row r="1799">
      <c r="C1799" s="63" t="inlineStr">
        <is>
          <t>Stock proyectado disponible</t>
        </is>
      </c>
      <c r="D1799" s="67">
        <f>SUMIF(Inventario!$M$5:$M$505,"#"&amp;$A1797,Inventario!$C$5:$C$505)</f>
        <v/>
      </c>
      <c r="E1799" s="68">
        <f>D1799+E1798+E1801-E1797</f>
        <v/>
      </c>
      <c r="F1799" s="68">
        <f>E1799+F1798+F1801-F1797</f>
        <v/>
      </c>
      <c r="G1799" s="68">
        <f>F1799+G1798+G1801-G1797</f>
        <v/>
      </c>
      <c r="H1799" s="68">
        <f>G1799+H1798+H1801-H1797</f>
        <v/>
      </c>
      <c r="I1799" s="68">
        <f>H1799+I1798+I1801-I1797</f>
        <v/>
      </c>
      <c r="J1799" s="68">
        <f>I1799+J1798+J1801-J1797</f>
        <v/>
      </c>
      <c r="K1799" s="68">
        <f>J1799+K1798+K1801-K1797</f>
        <v/>
      </c>
      <c r="L1799" s="68">
        <f>K1799+L1798+L1801-L1797</f>
        <v/>
      </c>
      <c r="M1799" s="66" t="n"/>
    </row>
    <row r="1800">
      <c r="C1800" s="63" t="inlineStr">
        <is>
          <t>Necesidad neta</t>
        </is>
      </c>
      <c r="D1800" s="64" t="n"/>
      <c r="E1800" s="69">
        <f>MAX(0,ROUND(E1797+Materiales!$H$260-D1799-E1798,4))</f>
        <v/>
      </c>
      <c r="F1800" s="69">
        <f>MAX(0,ROUND(F1797+Materiales!$H$260-E1799-F1798,4))</f>
        <v/>
      </c>
      <c r="G1800" s="69">
        <f>MAX(0,ROUND(G1797+Materiales!$H$260-F1799-G1798,4))</f>
        <v/>
      </c>
      <c r="H1800" s="69">
        <f>MAX(0,ROUND(H1797+Materiales!$H$260-G1799-H1798,4))</f>
        <v/>
      </c>
      <c r="I1800" s="69">
        <f>MAX(0,ROUND(I1797+Materiales!$H$260-H1799-I1798,4))</f>
        <v/>
      </c>
      <c r="J1800" s="69">
        <f>MAX(0,ROUND(J1797+Materiales!$H$260-I1799-J1798,4))</f>
        <v/>
      </c>
      <c r="K1800" s="69">
        <f>MAX(0,ROUND(K1797+Materiales!$H$260-J1799-K1798,4))</f>
        <v/>
      </c>
      <c r="L1800" s="69">
        <f>MAX(0,ROUND(L1797+Materiales!$H$260-K1799-L1798,4))</f>
        <v/>
      </c>
      <c r="M1800" s="66" t="n"/>
    </row>
    <row r="1801">
      <c r="C1801" s="63" t="inlineStr">
        <is>
          <t>Recepcion de orden planificada</t>
        </is>
      </c>
      <c r="D1801" s="64" t="n"/>
      <c r="E1801" s="65">
        <f>IF(E1800&lt;=0,0,IF(Materiales!$G$260&lt;=0,E1800,ROUNDUP(E1800/Materiales!$G$260,0)*Materiales!$G$260))</f>
        <v/>
      </c>
      <c r="F1801" s="65">
        <f>IF(F1800&lt;=0,0,IF(Materiales!$G$260&lt;=0,F1800,ROUNDUP(F1800/Materiales!$G$260,0)*Materiales!$G$260))</f>
        <v/>
      </c>
      <c r="G1801" s="65">
        <f>IF(G1800&lt;=0,0,IF(Materiales!$G$260&lt;=0,G1800,ROUNDUP(G1800/Materiales!$G$260,0)*Materiales!$G$260))</f>
        <v/>
      </c>
      <c r="H1801" s="65">
        <f>IF(H1800&lt;=0,0,IF(Materiales!$G$260&lt;=0,H1800,ROUNDUP(H1800/Materiales!$G$260,0)*Materiales!$G$260))</f>
        <v/>
      </c>
      <c r="I1801" s="65">
        <f>IF(I1800&lt;=0,0,IF(Materiales!$G$260&lt;=0,I1800,ROUNDUP(I1800/Materiales!$G$260,0)*Materiales!$G$260))</f>
        <v/>
      </c>
      <c r="J1801" s="65">
        <f>IF(J1800&lt;=0,0,IF(Materiales!$G$260&lt;=0,J1800,ROUNDUP(J1800/Materiales!$G$260,0)*Materiales!$G$260))</f>
        <v/>
      </c>
      <c r="K1801" s="65">
        <f>IF(K1800&lt;=0,0,IF(Materiales!$G$260&lt;=0,K1800,ROUNDUP(K1800/Materiales!$G$260,0)*Materiales!$G$260))</f>
        <v/>
      </c>
      <c r="L1801" s="65">
        <f>IF(L1800&lt;=0,0,IF(Materiales!$G$260&lt;=0,L1800,ROUNDUP(L1800/Materiales!$G$260,0)*Materiales!$G$260))</f>
        <v/>
      </c>
      <c r="M1801" s="66" t="n"/>
    </row>
    <row r="1802">
      <c r="C1802" s="70" t="inlineStr">
        <is>
          <t>LANZAMIENTO DE ORDEN — pedir esta semana</t>
        </is>
      </c>
      <c r="D1802" s="64" t="n"/>
      <c r="E1802" s="71">
        <f>IF(1+Materiales!$F$260&gt;8,0,INDEX($E$1801:$L$1801,1,1+Materiales!$F$260))</f>
        <v/>
      </c>
      <c r="F1802" s="71">
        <f>IF(2+Materiales!$F$260&gt;8,0,INDEX($E$1801:$L$1801,1,2+Materiales!$F$260))</f>
        <v/>
      </c>
      <c r="G1802" s="71">
        <f>IF(3+Materiales!$F$260&gt;8,0,INDEX($E$1801:$L$1801,1,3+Materiales!$F$260))</f>
        <v/>
      </c>
      <c r="H1802" s="71">
        <f>IF(4+Materiales!$F$260&gt;8,0,INDEX($E$1801:$L$1801,1,4+Materiales!$F$260))</f>
        <v/>
      </c>
      <c r="I1802" s="71">
        <f>IF(5+Materiales!$F$260&gt;8,0,INDEX($E$1801:$L$1801,1,5+Materiales!$F$260))</f>
        <v/>
      </c>
      <c r="J1802" s="71">
        <f>IF(6+Materiales!$F$260&gt;8,0,INDEX($E$1801:$L$1801,1,6+Materiales!$F$260))</f>
        <v/>
      </c>
      <c r="K1802" s="71">
        <f>IF(7+Materiales!$F$260&gt;8,0,INDEX($E$1801:$L$1801,1,7+Materiales!$F$260))</f>
        <v/>
      </c>
      <c r="L1802" s="71">
        <f>IF(8+Materiales!$F$260&gt;8,0,INDEX($E$1801:$L$1801,1,8+Materiales!$F$260))</f>
        <v/>
      </c>
      <c r="M1802" s="72">
        <f>IF($A1797="","",IF(SUMPRODUCT((COLUMN($E$1801:$L$1801)-4&lt;=Materiales!$F$260)*$E$1801:$L$1801)&gt;0,"PEDIR YA (atrasado)","OK"))</f>
        <v/>
      </c>
    </row>
    <row r="1803" ht="6" customHeight="1"/>
    <row r="1804">
      <c r="A1804" s="62">
        <f>IF(Materiales!$A$261="","",Materiales!$A$261)</f>
        <v/>
      </c>
      <c r="B1804" s="62">
        <f>IF(Materiales!$B$261="","",Materiales!$B$261)</f>
        <v/>
      </c>
      <c r="C1804" s="63" t="inlineStr">
        <is>
          <t>Necesidad bruta</t>
        </is>
      </c>
      <c r="D1804" s="64" t="n"/>
      <c r="E1804" s="65">
        <f>ROUND(SUMIF(Consumo!$P$4:$P$189,"#"&amp;$A1804,Consumo!H$4:H$189),4)</f>
        <v/>
      </c>
      <c r="F1804" s="65">
        <f>ROUND(SUMIF(Consumo!$P$4:$P$189,"#"&amp;$A1804,Consumo!I$4:I$189),4)</f>
        <v/>
      </c>
      <c r="G1804" s="65">
        <f>ROUND(SUMIF(Consumo!$P$4:$P$189,"#"&amp;$A1804,Consumo!J$4:J$189),4)</f>
        <v/>
      </c>
      <c r="H1804" s="65">
        <f>ROUND(SUMIF(Consumo!$P$4:$P$189,"#"&amp;$A1804,Consumo!K$4:K$189),4)</f>
        <v/>
      </c>
      <c r="I1804" s="65">
        <f>ROUND(SUMIF(Consumo!$P$4:$P$189,"#"&amp;$A1804,Consumo!L$4:L$189),4)</f>
        <v/>
      </c>
      <c r="J1804" s="65">
        <f>ROUND(SUMIF(Consumo!$P$4:$P$189,"#"&amp;$A1804,Consumo!M$4:M$189),4)</f>
        <v/>
      </c>
      <c r="K1804" s="65">
        <f>ROUND(SUMIF(Consumo!$P$4:$P$189,"#"&amp;$A1804,Consumo!N$4:N$189),4)</f>
        <v/>
      </c>
      <c r="L1804" s="65">
        <f>ROUND(SUMIF(Consumo!$P$4:$P$189,"#"&amp;$A1804,Consumo!O$4:O$189),4)</f>
        <v/>
      </c>
      <c r="M1804" s="66" t="n"/>
    </row>
    <row r="1805">
      <c r="C1805" s="63" t="inlineStr">
        <is>
          <t>Recepciones programadas (ya pedido)</t>
        </is>
      </c>
      <c r="D1805" s="64" t="n"/>
      <c r="E1805" s="65">
        <f>SUMIF(Inventario!$M$5:$M$505,"#"&amp;$A1804,Inventario!E$5:E$505)</f>
        <v/>
      </c>
      <c r="F1805" s="65">
        <f>SUMIF(Inventario!$M$5:$M$505,"#"&amp;$A1804,Inventario!F$5:F$505)</f>
        <v/>
      </c>
      <c r="G1805" s="65">
        <f>SUMIF(Inventario!$M$5:$M$505,"#"&amp;$A1804,Inventario!G$5:G$505)</f>
        <v/>
      </c>
      <c r="H1805" s="65">
        <f>SUMIF(Inventario!$M$5:$M$505,"#"&amp;$A1804,Inventario!H$5:H$505)</f>
        <v/>
      </c>
      <c r="I1805" s="65">
        <f>SUMIF(Inventario!$M$5:$M$505,"#"&amp;$A1804,Inventario!I$5:I$505)</f>
        <v/>
      </c>
      <c r="J1805" s="65">
        <f>SUMIF(Inventario!$M$5:$M$505,"#"&amp;$A1804,Inventario!J$5:J$505)</f>
        <v/>
      </c>
      <c r="K1805" s="65">
        <f>SUMIF(Inventario!$M$5:$M$505,"#"&amp;$A1804,Inventario!K$5:K$505)</f>
        <v/>
      </c>
      <c r="L1805" s="65">
        <f>SUMIF(Inventario!$M$5:$M$505,"#"&amp;$A1804,Inventario!L$5:L$505)</f>
        <v/>
      </c>
      <c r="M1805" s="66" t="n"/>
    </row>
    <row r="1806">
      <c r="C1806" s="63" t="inlineStr">
        <is>
          <t>Stock proyectado disponible</t>
        </is>
      </c>
      <c r="D1806" s="67">
        <f>SUMIF(Inventario!$M$5:$M$505,"#"&amp;$A1804,Inventario!$C$5:$C$505)</f>
        <v/>
      </c>
      <c r="E1806" s="68">
        <f>D1806+E1805+E1808-E1804</f>
        <v/>
      </c>
      <c r="F1806" s="68">
        <f>E1806+F1805+F1808-F1804</f>
        <v/>
      </c>
      <c r="G1806" s="68">
        <f>F1806+G1805+G1808-G1804</f>
        <v/>
      </c>
      <c r="H1806" s="68">
        <f>G1806+H1805+H1808-H1804</f>
        <v/>
      </c>
      <c r="I1806" s="68">
        <f>H1806+I1805+I1808-I1804</f>
        <v/>
      </c>
      <c r="J1806" s="68">
        <f>I1806+J1805+J1808-J1804</f>
        <v/>
      </c>
      <c r="K1806" s="68">
        <f>J1806+K1805+K1808-K1804</f>
        <v/>
      </c>
      <c r="L1806" s="68">
        <f>K1806+L1805+L1808-L1804</f>
        <v/>
      </c>
      <c r="M1806" s="66" t="n"/>
    </row>
    <row r="1807">
      <c r="C1807" s="63" t="inlineStr">
        <is>
          <t>Necesidad neta</t>
        </is>
      </c>
      <c r="D1807" s="64" t="n"/>
      <c r="E1807" s="69">
        <f>MAX(0,ROUND(E1804+Materiales!$H$261-D1806-E1805,4))</f>
        <v/>
      </c>
      <c r="F1807" s="69">
        <f>MAX(0,ROUND(F1804+Materiales!$H$261-E1806-F1805,4))</f>
        <v/>
      </c>
      <c r="G1807" s="69">
        <f>MAX(0,ROUND(G1804+Materiales!$H$261-F1806-G1805,4))</f>
        <v/>
      </c>
      <c r="H1807" s="69">
        <f>MAX(0,ROUND(H1804+Materiales!$H$261-G1806-H1805,4))</f>
        <v/>
      </c>
      <c r="I1807" s="69">
        <f>MAX(0,ROUND(I1804+Materiales!$H$261-H1806-I1805,4))</f>
        <v/>
      </c>
      <c r="J1807" s="69">
        <f>MAX(0,ROUND(J1804+Materiales!$H$261-I1806-J1805,4))</f>
        <v/>
      </c>
      <c r="K1807" s="69">
        <f>MAX(0,ROUND(K1804+Materiales!$H$261-J1806-K1805,4))</f>
        <v/>
      </c>
      <c r="L1807" s="69">
        <f>MAX(0,ROUND(L1804+Materiales!$H$261-K1806-L1805,4))</f>
        <v/>
      </c>
      <c r="M1807" s="66" t="n"/>
    </row>
    <row r="1808">
      <c r="C1808" s="63" t="inlineStr">
        <is>
          <t>Recepcion de orden planificada</t>
        </is>
      </c>
      <c r="D1808" s="64" t="n"/>
      <c r="E1808" s="65">
        <f>IF(E1807&lt;=0,0,IF(Materiales!$G$261&lt;=0,E1807,ROUNDUP(E1807/Materiales!$G$261,0)*Materiales!$G$261))</f>
        <v/>
      </c>
      <c r="F1808" s="65">
        <f>IF(F1807&lt;=0,0,IF(Materiales!$G$261&lt;=0,F1807,ROUNDUP(F1807/Materiales!$G$261,0)*Materiales!$G$261))</f>
        <v/>
      </c>
      <c r="G1808" s="65">
        <f>IF(G1807&lt;=0,0,IF(Materiales!$G$261&lt;=0,G1807,ROUNDUP(G1807/Materiales!$G$261,0)*Materiales!$G$261))</f>
        <v/>
      </c>
      <c r="H1808" s="65">
        <f>IF(H1807&lt;=0,0,IF(Materiales!$G$261&lt;=0,H1807,ROUNDUP(H1807/Materiales!$G$261,0)*Materiales!$G$261))</f>
        <v/>
      </c>
      <c r="I1808" s="65">
        <f>IF(I1807&lt;=0,0,IF(Materiales!$G$261&lt;=0,I1807,ROUNDUP(I1807/Materiales!$G$261,0)*Materiales!$G$261))</f>
        <v/>
      </c>
      <c r="J1808" s="65">
        <f>IF(J1807&lt;=0,0,IF(Materiales!$G$261&lt;=0,J1807,ROUNDUP(J1807/Materiales!$G$261,0)*Materiales!$G$261))</f>
        <v/>
      </c>
      <c r="K1808" s="65">
        <f>IF(K1807&lt;=0,0,IF(Materiales!$G$261&lt;=0,K1807,ROUNDUP(K1807/Materiales!$G$261,0)*Materiales!$G$261))</f>
        <v/>
      </c>
      <c r="L1808" s="65">
        <f>IF(L1807&lt;=0,0,IF(Materiales!$G$261&lt;=0,L1807,ROUNDUP(L1807/Materiales!$G$261,0)*Materiales!$G$261))</f>
        <v/>
      </c>
      <c r="M1808" s="66" t="n"/>
    </row>
    <row r="1809">
      <c r="C1809" s="70" t="inlineStr">
        <is>
          <t>LANZAMIENTO DE ORDEN — pedir esta semana</t>
        </is>
      </c>
      <c r="D1809" s="64" t="n"/>
      <c r="E1809" s="71">
        <f>IF(1+Materiales!$F$261&gt;8,0,INDEX($E$1808:$L$1808,1,1+Materiales!$F$261))</f>
        <v/>
      </c>
      <c r="F1809" s="71">
        <f>IF(2+Materiales!$F$261&gt;8,0,INDEX($E$1808:$L$1808,1,2+Materiales!$F$261))</f>
        <v/>
      </c>
      <c r="G1809" s="71">
        <f>IF(3+Materiales!$F$261&gt;8,0,INDEX($E$1808:$L$1808,1,3+Materiales!$F$261))</f>
        <v/>
      </c>
      <c r="H1809" s="71">
        <f>IF(4+Materiales!$F$261&gt;8,0,INDEX($E$1808:$L$1808,1,4+Materiales!$F$261))</f>
        <v/>
      </c>
      <c r="I1809" s="71">
        <f>IF(5+Materiales!$F$261&gt;8,0,INDEX($E$1808:$L$1808,1,5+Materiales!$F$261))</f>
        <v/>
      </c>
      <c r="J1809" s="71">
        <f>IF(6+Materiales!$F$261&gt;8,0,INDEX($E$1808:$L$1808,1,6+Materiales!$F$261))</f>
        <v/>
      </c>
      <c r="K1809" s="71">
        <f>IF(7+Materiales!$F$261&gt;8,0,INDEX($E$1808:$L$1808,1,7+Materiales!$F$261))</f>
        <v/>
      </c>
      <c r="L1809" s="71">
        <f>IF(8+Materiales!$F$261&gt;8,0,INDEX($E$1808:$L$1808,1,8+Materiales!$F$261))</f>
        <v/>
      </c>
      <c r="M1809" s="72">
        <f>IF($A1804="","",IF(SUMPRODUCT((COLUMN($E$1808:$L$1808)-4&lt;=Materiales!$F$261)*$E$1808:$L$1808)&gt;0,"PEDIR YA (atrasado)","OK"))</f>
        <v/>
      </c>
    </row>
    <row r="1810" ht="6" customHeight="1"/>
    <row r="1811">
      <c r="A1811" s="62">
        <f>IF(Materiales!$A$262="","",Materiales!$A$262)</f>
        <v/>
      </c>
      <c r="B1811" s="62">
        <f>IF(Materiales!$B$262="","",Materiales!$B$262)</f>
        <v/>
      </c>
      <c r="C1811" s="63" t="inlineStr">
        <is>
          <t>Necesidad bruta</t>
        </is>
      </c>
      <c r="D1811" s="64" t="n"/>
      <c r="E1811" s="65">
        <f>ROUND(SUMIF(Consumo!$P$4:$P$189,"#"&amp;$A1811,Consumo!H$4:H$189),4)</f>
        <v/>
      </c>
      <c r="F1811" s="65">
        <f>ROUND(SUMIF(Consumo!$P$4:$P$189,"#"&amp;$A1811,Consumo!I$4:I$189),4)</f>
        <v/>
      </c>
      <c r="G1811" s="65">
        <f>ROUND(SUMIF(Consumo!$P$4:$P$189,"#"&amp;$A1811,Consumo!J$4:J$189),4)</f>
        <v/>
      </c>
      <c r="H1811" s="65">
        <f>ROUND(SUMIF(Consumo!$P$4:$P$189,"#"&amp;$A1811,Consumo!K$4:K$189),4)</f>
        <v/>
      </c>
      <c r="I1811" s="65">
        <f>ROUND(SUMIF(Consumo!$P$4:$P$189,"#"&amp;$A1811,Consumo!L$4:L$189),4)</f>
        <v/>
      </c>
      <c r="J1811" s="65">
        <f>ROUND(SUMIF(Consumo!$P$4:$P$189,"#"&amp;$A1811,Consumo!M$4:M$189),4)</f>
        <v/>
      </c>
      <c r="K1811" s="65">
        <f>ROUND(SUMIF(Consumo!$P$4:$P$189,"#"&amp;$A1811,Consumo!N$4:N$189),4)</f>
        <v/>
      </c>
      <c r="L1811" s="65">
        <f>ROUND(SUMIF(Consumo!$P$4:$P$189,"#"&amp;$A1811,Consumo!O$4:O$189),4)</f>
        <v/>
      </c>
      <c r="M1811" s="66" t="n"/>
    </row>
    <row r="1812">
      <c r="C1812" s="63" t="inlineStr">
        <is>
          <t>Recepciones programadas (ya pedido)</t>
        </is>
      </c>
      <c r="D1812" s="64" t="n"/>
      <c r="E1812" s="65">
        <f>SUMIF(Inventario!$M$5:$M$505,"#"&amp;$A1811,Inventario!E$5:E$505)</f>
        <v/>
      </c>
      <c r="F1812" s="65">
        <f>SUMIF(Inventario!$M$5:$M$505,"#"&amp;$A1811,Inventario!F$5:F$505)</f>
        <v/>
      </c>
      <c r="G1812" s="65">
        <f>SUMIF(Inventario!$M$5:$M$505,"#"&amp;$A1811,Inventario!G$5:G$505)</f>
        <v/>
      </c>
      <c r="H1812" s="65">
        <f>SUMIF(Inventario!$M$5:$M$505,"#"&amp;$A1811,Inventario!H$5:H$505)</f>
        <v/>
      </c>
      <c r="I1812" s="65">
        <f>SUMIF(Inventario!$M$5:$M$505,"#"&amp;$A1811,Inventario!I$5:I$505)</f>
        <v/>
      </c>
      <c r="J1812" s="65">
        <f>SUMIF(Inventario!$M$5:$M$505,"#"&amp;$A1811,Inventario!J$5:J$505)</f>
        <v/>
      </c>
      <c r="K1812" s="65">
        <f>SUMIF(Inventario!$M$5:$M$505,"#"&amp;$A1811,Inventario!K$5:K$505)</f>
        <v/>
      </c>
      <c r="L1812" s="65">
        <f>SUMIF(Inventario!$M$5:$M$505,"#"&amp;$A1811,Inventario!L$5:L$505)</f>
        <v/>
      </c>
      <c r="M1812" s="66" t="n"/>
    </row>
    <row r="1813">
      <c r="C1813" s="63" t="inlineStr">
        <is>
          <t>Stock proyectado disponible</t>
        </is>
      </c>
      <c r="D1813" s="67">
        <f>SUMIF(Inventario!$M$5:$M$505,"#"&amp;$A1811,Inventario!$C$5:$C$505)</f>
        <v/>
      </c>
      <c r="E1813" s="68">
        <f>D1813+E1812+E1815-E1811</f>
        <v/>
      </c>
      <c r="F1813" s="68">
        <f>E1813+F1812+F1815-F1811</f>
        <v/>
      </c>
      <c r="G1813" s="68">
        <f>F1813+G1812+G1815-G1811</f>
        <v/>
      </c>
      <c r="H1813" s="68">
        <f>G1813+H1812+H1815-H1811</f>
        <v/>
      </c>
      <c r="I1813" s="68">
        <f>H1813+I1812+I1815-I1811</f>
        <v/>
      </c>
      <c r="J1813" s="68">
        <f>I1813+J1812+J1815-J1811</f>
        <v/>
      </c>
      <c r="K1813" s="68">
        <f>J1813+K1812+K1815-K1811</f>
        <v/>
      </c>
      <c r="L1813" s="68">
        <f>K1813+L1812+L1815-L1811</f>
        <v/>
      </c>
      <c r="M1813" s="66" t="n"/>
    </row>
    <row r="1814">
      <c r="C1814" s="63" t="inlineStr">
        <is>
          <t>Necesidad neta</t>
        </is>
      </c>
      <c r="D1814" s="64" t="n"/>
      <c r="E1814" s="69">
        <f>MAX(0,ROUND(E1811+Materiales!$H$262-D1813-E1812,4))</f>
        <v/>
      </c>
      <c r="F1814" s="69">
        <f>MAX(0,ROUND(F1811+Materiales!$H$262-E1813-F1812,4))</f>
        <v/>
      </c>
      <c r="G1814" s="69">
        <f>MAX(0,ROUND(G1811+Materiales!$H$262-F1813-G1812,4))</f>
        <v/>
      </c>
      <c r="H1814" s="69">
        <f>MAX(0,ROUND(H1811+Materiales!$H$262-G1813-H1812,4))</f>
        <v/>
      </c>
      <c r="I1814" s="69">
        <f>MAX(0,ROUND(I1811+Materiales!$H$262-H1813-I1812,4))</f>
        <v/>
      </c>
      <c r="J1814" s="69">
        <f>MAX(0,ROUND(J1811+Materiales!$H$262-I1813-J1812,4))</f>
        <v/>
      </c>
      <c r="K1814" s="69">
        <f>MAX(0,ROUND(K1811+Materiales!$H$262-J1813-K1812,4))</f>
        <v/>
      </c>
      <c r="L1814" s="69">
        <f>MAX(0,ROUND(L1811+Materiales!$H$262-K1813-L1812,4))</f>
        <v/>
      </c>
      <c r="M1814" s="66" t="n"/>
    </row>
    <row r="1815">
      <c r="C1815" s="63" t="inlineStr">
        <is>
          <t>Recepcion de orden planificada</t>
        </is>
      </c>
      <c r="D1815" s="64" t="n"/>
      <c r="E1815" s="65">
        <f>IF(E1814&lt;=0,0,IF(Materiales!$G$262&lt;=0,E1814,ROUNDUP(E1814/Materiales!$G$262,0)*Materiales!$G$262))</f>
        <v/>
      </c>
      <c r="F1815" s="65">
        <f>IF(F1814&lt;=0,0,IF(Materiales!$G$262&lt;=0,F1814,ROUNDUP(F1814/Materiales!$G$262,0)*Materiales!$G$262))</f>
        <v/>
      </c>
      <c r="G1815" s="65">
        <f>IF(G1814&lt;=0,0,IF(Materiales!$G$262&lt;=0,G1814,ROUNDUP(G1814/Materiales!$G$262,0)*Materiales!$G$262))</f>
        <v/>
      </c>
      <c r="H1815" s="65">
        <f>IF(H1814&lt;=0,0,IF(Materiales!$G$262&lt;=0,H1814,ROUNDUP(H1814/Materiales!$G$262,0)*Materiales!$G$262))</f>
        <v/>
      </c>
      <c r="I1815" s="65">
        <f>IF(I1814&lt;=0,0,IF(Materiales!$G$262&lt;=0,I1814,ROUNDUP(I1814/Materiales!$G$262,0)*Materiales!$G$262))</f>
        <v/>
      </c>
      <c r="J1815" s="65">
        <f>IF(J1814&lt;=0,0,IF(Materiales!$G$262&lt;=0,J1814,ROUNDUP(J1814/Materiales!$G$262,0)*Materiales!$G$262))</f>
        <v/>
      </c>
      <c r="K1815" s="65">
        <f>IF(K1814&lt;=0,0,IF(Materiales!$G$262&lt;=0,K1814,ROUNDUP(K1814/Materiales!$G$262,0)*Materiales!$G$262))</f>
        <v/>
      </c>
      <c r="L1815" s="65">
        <f>IF(L1814&lt;=0,0,IF(Materiales!$G$262&lt;=0,L1814,ROUNDUP(L1814/Materiales!$G$262,0)*Materiales!$G$262))</f>
        <v/>
      </c>
      <c r="M1815" s="66" t="n"/>
    </row>
    <row r="1816">
      <c r="C1816" s="70" t="inlineStr">
        <is>
          <t>LANZAMIENTO DE ORDEN — pedir esta semana</t>
        </is>
      </c>
      <c r="D1816" s="64" t="n"/>
      <c r="E1816" s="71">
        <f>IF(1+Materiales!$F$262&gt;8,0,INDEX($E$1815:$L$1815,1,1+Materiales!$F$262))</f>
        <v/>
      </c>
      <c r="F1816" s="71">
        <f>IF(2+Materiales!$F$262&gt;8,0,INDEX($E$1815:$L$1815,1,2+Materiales!$F$262))</f>
        <v/>
      </c>
      <c r="G1816" s="71">
        <f>IF(3+Materiales!$F$262&gt;8,0,INDEX($E$1815:$L$1815,1,3+Materiales!$F$262))</f>
        <v/>
      </c>
      <c r="H1816" s="71">
        <f>IF(4+Materiales!$F$262&gt;8,0,INDEX($E$1815:$L$1815,1,4+Materiales!$F$262))</f>
        <v/>
      </c>
      <c r="I1816" s="71">
        <f>IF(5+Materiales!$F$262&gt;8,0,INDEX($E$1815:$L$1815,1,5+Materiales!$F$262))</f>
        <v/>
      </c>
      <c r="J1816" s="71">
        <f>IF(6+Materiales!$F$262&gt;8,0,INDEX($E$1815:$L$1815,1,6+Materiales!$F$262))</f>
        <v/>
      </c>
      <c r="K1816" s="71">
        <f>IF(7+Materiales!$F$262&gt;8,0,INDEX($E$1815:$L$1815,1,7+Materiales!$F$262))</f>
        <v/>
      </c>
      <c r="L1816" s="71">
        <f>IF(8+Materiales!$F$262&gt;8,0,INDEX($E$1815:$L$1815,1,8+Materiales!$F$262))</f>
        <v/>
      </c>
      <c r="M1816" s="72">
        <f>IF($A1811="","",IF(SUMPRODUCT((COLUMN($E$1815:$L$1815)-4&lt;=Materiales!$F$262)*$E$1815:$L$1815)&gt;0,"PEDIR YA (atrasado)","OK"))</f>
        <v/>
      </c>
    </row>
    <row r="1817" ht="6" customHeight="1"/>
    <row r="1818">
      <c r="A1818" s="62">
        <f>IF(Materiales!$A$263="","",Materiales!$A$263)</f>
        <v/>
      </c>
      <c r="B1818" s="62">
        <f>IF(Materiales!$B$263="","",Materiales!$B$263)</f>
        <v/>
      </c>
      <c r="C1818" s="63" t="inlineStr">
        <is>
          <t>Necesidad bruta</t>
        </is>
      </c>
      <c r="D1818" s="64" t="n"/>
      <c r="E1818" s="65">
        <f>ROUND(SUMIF(Consumo!$P$4:$P$189,"#"&amp;$A1818,Consumo!H$4:H$189),4)</f>
        <v/>
      </c>
      <c r="F1818" s="65">
        <f>ROUND(SUMIF(Consumo!$P$4:$P$189,"#"&amp;$A1818,Consumo!I$4:I$189),4)</f>
        <v/>
      </c>
      <c r="G1818" s="65">
        <f>ROUND(SUMIF(Consumo!$P$4:$P$189,"#"&amp;$A1818,Consumo!J$4:J$189),4)</f>
        <v/>
      </c>
      <c r="H1818" s="65">
        <f>ROUND(SUMIF(Consumo!$P$4:$P$189,"#"&amp;$A1818,Consumo!K$4:K$189),4)</f>
        <v/>
      </c>
      <c r="I1818" s="65">
        <f>ROUND(SUMIF(Consumo!$P$4:$P$189,"#"&amp;$A1818,Consumo!L$4:L$189),4)</f>
        <v/>
      </c>
      <c r="J1818" s="65">
        <f>ROUND(SUMIF(Consumo!$P$4:$P$189,"#"&amp;$A1818,Consumo!M$4:M$189),4)</f>
        <v/>
      </c>
      <c r="K1818" s="65">
        <f>ROUND(SUMIF(Consumo!$P$4:$P$189,"#"&amp;$A1818,Consumo!N$4:N$189),4)</f>
        <v/>
      </c>
      <c r="L1818" s="65">
        <f>ROUND(SUMIF(Consumo!$P$4:$P$189,"#"&amp;$A1818,Consumo!O$4:O$189),4)</f>
        <v/>
      </c>
      <c r="M1818" s="66" t="n"/>
    </row>
    <row r="1819">
      <c r="C1819" s="63" t="inlineStr">
        <is>
          <t>Recepciones programadas (ya pedido)</t>
        </is>
      </c>
      <c r="D1819" s="64" t="n"/>
      <c r="E1819" s="65">
        <f>SUMIF(Inventario!$M$5:$M$505,"#"&amp;$A1818,Inventario!E$5:E$505)</f>
        <v/>
      </c>
      <c r="F1819" s="65">
        <f>SUMIF(Inventario!$M$5:$M$505,"#"&amp;$A1818,Inventario!F$5:F$505)</f>
        <v/>
      </c>
      <c r="G1819" s="65">
        <f>SUMIF(Inventario!$M$5:$M$505,"#"&amp;$A1818,Inventario!G$5:G$505)</f>
        <v/>
      </c>
      <c r="H1819" s="65">
        <f>SUMIF(Inventario!$M$5:$M$505,"#"&amp;$A1818,Inventario!H$5:H$505)</f>
        <v/>
      </c>
      <c r="I1819" s="65">
        <f>SUMIF(Inventario!$M$5:$M$505,"#"&amp;$A1818,Inventario!I$5:I$505)</f>
        <v/>
      </c>
      <c r="J1819" s="65">
        <f>SUMIF(Inventario!$M$5:$M$505,"#"&amp;$A1818,Inventario!J$5:J$505)</f>
        <v/>
      </c>
      <c r="K1819" s="65">
        <f>SUMIF(Inventario!$M$5:$M$505,"#"&amp;$A1818,Inventario!K$5:K$505)</f>
        <v/>
      </c>
      <c r="L1819" s="65">
        <f>SUMIF(Inventario!$M$5:$M$505,"#"&amp;$A1818,Inventario!L$5:L$505)</f>
        <v/>
      </c>
      <c r="M1819" s="66" t="n"/>
    </row>
    <row r="1820">
      <c r="C1820" s="63" t="inlineStr">
        <is>
          <t>Stock proyectado disponible</t>
        </is>
      </c>
      <c r="D1820" s="67">
        <f>SUMIF(Inventario!$M$5:$M$505,"#"&amp;$A1818,Inventario!$C$5:$C$505)</f>
        <v/>
      </c>
      <c r="E1820" s="68">
        <f>D1820+E1819+E1822-E1818</f>
        <v/>
      </c>
      <c r="F1820" s="68">
        <f>E1820+F1819+F1822-F1818</f>
        <v/>
      </c>
      <c r="G1820" s="68">
        <f>F1820+G1819+G1822-G1818</f>
        <v/>
      </c>
      <c r="H1820" s="68">
        <f>G1820+H1819+H1822-H1818</f>
        <v/>
      </c>
      <c r="I1820" s="68">
        <f>H1820+I1819+I1822-I1818</f>
        <v/>
      </c>
      <c r="J1820" s="68">
        <f>I1820+J1819+J1822-J1818</f>
        <v/>
      </c>
      <c r="K1820" s="68">
        <f>J1820+K1819+K1822-K1818</f>
        <v/>
      </c>
      <c r="L1820" s="68">
        <f>K1820+L1819+L1822-L1818</f>
        <v/>
      </c>
      <c r="M1820" s="66" t="n"/>
    </row>
    <row r="1821">
      <c r="C1821" s="63" t="inlineStr">
        <is>
          <t>Necesidad neta</t>
        </is>
      </c>
      <c r="D1821" s="64" t="n"/>
      <c r="E1821" s="69">
        <f>MAX(0,ROUND(E1818+Materiales!$H$263-D1820-E1819,4))</f>
        <v/>
      </c>
      <c r="F1821" s="69">
        <f>MAX(0,ROUND(F1818+Materiales!$H$263-E1820-F1819,4))</f>
        <v/>
      </c>
      <c r="G1821" s="69">
        <f>MAX(0,ROUND(G1818+Materiales!$H$263-F1820-G1819,4))</f>
        <v/>
      </c>
      <c r="H1821" s="69">
        <f>MAX(0,ROUND(H1818+Materiales!$H$263-G1820-H1819,4))</f>
        <v/>
      </c>
      <c r="I1821" s="69">
        <f>MAX(0,ROUND(I1818+Materiales!$H$263-H1820-I1819,4))</f>
        <v/>
      </c>
      <c r="J1821" s="69">
        <f>MAX(0,ROUND(J1818+Materiales!$H$263-I1820-J1819,4))</f>
        <v/>
      </c>
      <c r="K1821" s="69">
        <f>MAX(0,ROUND(K1818+Materiales!$H$263-J1820-K1819,4))</f>
        <v/>
      </c>
      <c r="L1821" s="69">
        <f>MAX(0,ROUND(L1818+Materiales!$H$263-K1820-L1819,4))</f>
        <v/>
      </c>
      <c r="M1821" s="66" t="n"/>
    </row>
    <row r="1822">
      <c r="C1822" s="63" t="inlineStr">
        <is>
          <t>Recepcion de orden planificada</t>
        </is>
      </c>
      <c r="D1822" s="64" t="n"/>
      <c r="E1822" s="65">
        <f>IF(E1821&lt;=0,0,IF(Materiales!$G$263&lt;=0,E1821,ROUNDUP(E1821/Materiales!$G$263,0)*Materiales!$G$263))</f>
        <v/>
      </c>
      <c r="F1822" s="65">
        <f>IF(F1821&lt;=0,0,IF(Materiales!$G$263&lt;=0,F1821,ROUNDUP(F1821/Materiales!$G$263,0)*Materiales!$G$263))</f>
        <v/>
      </c>
      <c r="G1822" s="65">
        <f>IF(G1821&lt;=0,0,IF(Materiales!$G$263&lt;=0,G1821,ROUNDUP(G1821/Materiales!$G$263,0)*Materiales!$G$263))</f>
        <v/>
      </c>
      <c r="H1822" s="65">
        <f>IF(H1821&lt;=0,0,IF(Materiales!$G$263&lt;=0,H1821,ROUNDUP(H1821/Materiales!$G$263,0)*Materiales!$G$263))</f>
        <v/>
      </c>
      <c r="I1822" s="65">
        <f>IF(I1821&lt;=0,0,IF(Materiales!$G$263&lt;=0,I1821,ROUNDUP(I1821/Materiales!$G$263,0)*Materiales!$G$263))</f>
        <v/>
      </c>
      <c r="J1822" s="65">
        <f>IF(J1821&lt;=0,0,IF(Materiales!$G$263&lt;=0,J1821,ROUNDUP(J1821/Materiales!$G$263,0)*Materiales!$G$263))</f>
        <v/>
      </c>
      <c r="K1822" s="65">
        <f>IF(K1821&lt;=0,0,IF(Materiales!$G$263&lt;=0,K1821,ROUNDUP(K1821/Materiales!$G$263,0)*Materiales!$G$263))</f>
        <v/>
      </c>
      <c r="L1822" s="65">
        <f>IF(L1821&lt;=0,0,IF(Materiales!$G$263&lt;=0,L1821,ROUNDUP(L1821/Materiales!$G$263,0)*Materiales!$G$263))</f>
        <v/>
      </c>
      <c r="M1822" s="66" t="n"/>
    </row>
    <row r="1823">
      <c r="C1823" s="70" t="inlineStr">
        <is>
          <t>LANZAMIENTO DE ORDEN — pedir esta semana</t>
        </is>
      </c>
      <c r="D1823" s="64" t="n"/>
      <c r="E1823" s="71">
        <f>IF(1+Materiales!$F$263&gt;8,0,INDEX($E$1822:$L$1822,1,1+Materiales!$F$263))</f>
        <v/>
      </c>
      <c r="F1823" s="71">
        <f>IF(2+Materiales!$F$263&gt;8,0,INDEX($E$1822:$L$1822,1,2+Materiales!$F$263))</f>
        <v/>
      </c>
      <c r="G1823" s="71">
        <f>IF(3+Materiales!$F$263&gt;8,0,INDEX($E$1822:$L$1822,1,3+Materiales!$F$263))</f>
        <v/>
      </c>
      <c r="H1823" s="71">
        <f>IF(4+Materiales!$F$263&gt;8,0,INDEX($E$1822:$L$1822,1,4+Materiales!$F$263))</f>
        <v/>
      </c>
      <c r="I1823" s="71">
        <f>IF(5+Materiales!$F$263&gt;8,0,INDEX($E$1822:$L$1822,1,5+Materiales!$F$263))</f>
        <v/>
      </c>
      <c r="J1823" s="71">
        <f>IF(6+Materiales!$F$263&gt;8,0,INDEX($E$1822:$L$1822,1,6+Materiales!$F$263))</f>
        <v/>
      </c>
      <c r="K1823" s="71">
        <f>IF(7+Materiales!$F$263&gt;8,0,INDEX($E$1822:$L$1822,1,7+Materiales!$F$263))</f>
        <v/>
      </c>
      <c r="L1823" s="71">
        <f>IF(8+Materiales!$F$263&gt;8,0,INDEX($E$1822:$L$1822,1,8+Materiales!$F$263))</f>
        <v/>
      </c>
      <c r="M1823" s="72">
        <f>IF($A1818="","",IF(SUMPRODUCT((COLUMN($E$1822:$L$1822)-4&lt;=Materiales!$F$263)*$E$1822:$L$1822)&gt;0,"PEDIR YA (atrasado)","OK"))</f>
        <v/>
      </c>
    </row>
    <row r="1824" ht="6" customHeight="1"/>
    <row r="1825">
      <c r="A1825" s="62">
        <f>IF(Materiales!$A$264="","",Materiales!$A$264)</f>
        <v/>
      </c>
      <c r="B1825" s="62">
        <f>IF(Materiales!$B$264="","",Materiales!$B$264)</f>
        <v/>
      </c>
      <c r="C1825" s="63" t="inlineStr">
        <is>
          <t>Necesidad bruta</t>
        </is>
      </c>
      <c r="D1825" s="64" t="n"/>
      <c r="E1825" s="65">
        <f>ROUND(SUMIF(Consumo!$P$4:$P$189,"#"&amp;$A1825,Consumo!H$4:H$189),4)</f>
        <v/>
      </c>
      <c r="F1825" s="65">
        <f>ROUND(SUMIF(Consumo!$P$4:$P$189,"#"&amp;$A1825,Consumo!I$4:I$189),4)</f>
        <v/>
      </c>
      <c r="G1825" s="65">
        <f>ROUND(SUMIF(Consumo!$P$4:$P$189,"#"&amp;$A1825,Consumo!J$4:J$189),4)</f>
        <v/>
      </c>
      <c r="H1825" s="65">
        <f>ROUND(SUMIF(Consumo!$P$4:$P$189,"#"&amp;$A1825,Consumo!K$4:K$189),4)</f>
        <v/>
      </c>
      <c r="I1825" s="65">
        <f>ROUND(SUMIF(Consumo!$P$4:$P$189,"#"&amp;$A1825,Consumo!L$4:L$189),4)</f>
        <v/>
      </c>
      <c r="J1825" s="65">
        <f>ROUND(SUMIF(Consumo!$P$4:$P$189,"#"&amp;$A1825,Consumo!M$4:M$189),4)</f>
        <v/>
      </c>
      <c r="K1825" s="65">
        <f>ROUND(SUMIF(Consumo!$P$4:$P$189,"#"&amp;$A1825,Consumo!N$4:N$189),4)</f>
        <v/>
      </c>
      <c r="L1825" s="65">
        <f>ROUND(SUMIF(Consumo!$P$4:$P$189,"#"&amp;$A1825,Consumo!O$4:O$189),4)</f>
        <v/>
      </c>
      <c r="M1825" s="66" t="n"/>
    </row>
    <row r="1826">
      <c r="C1826" s="63" t="inlineStr">
        <is>
          <t>Recepciones programadas (ya pedido)</t>
        </is>
      </c>
      <c r="D1826" s="64" t="n"/>
      <c r="E1826" s="65">
        <f>SUMIF(Inventario!$M$5:$M$505,"#"&amp;$A1825,Inventario!E$5:E$505)</f>
        <v/>
      </c>
      <c r="F1826" s="65">
        <f>SUMIF(Inventario!$M$5:$M$505,"#"&amp;$A1825,Inventario!F$5:F$505)</f>
        <v/>
      </c>
      <c r="G1826" s="65">
        <f>SUMIF(Inventario!$M$5:$M$505,"#"&amp;$A1825,Inventario!G$5:G$505)</f>
        <v/>
      </c>
      <c r="H1826" s="65">
        <f>SUMIF(Inventario!$M$5:$M$505,"#"&amp;$A1825,Inventario!H$5:H$505)</f>
        <v/>
      </c>
      <c r="I1826" s="65">
        <f>SUMIF(Inventario!$M$5:$M$505,"#"&amp;$A1825,Inventario!I$5:I$505)</f>
        <v/>
      </c>
      <c r="J1826" s="65">
        <f>SUMIF(Inventario!$M$5:$M$505,"#"&amp;$A1825,Inventario!J$5:J$505)</f>
        <v/>
      </c>
      <c r="K1826" s="65">
        <f>SUMIF(Inventario!$M$5:$M$505,"#"&amp;$A1825,Inventario!K$5:K$505)</f>
        <v/>
      </c>
      <c r="L1826" s="65">
        <f>SUMIF(Inventario!$M$5:$M$505,"#"&amp;$A1825,Inventario!L$5:L$505)</f>
        <v/>
      </c>
      <c r="M1826" s="66" t="n"/>
    </row>
    <row r="1827">
      <c r="C1827" s="63" t="inlineStr">
        <is>
          <t>Stock proyectado disponible</t>
        </is>
      </c>
      <c r="D1827" s="67">
        <f>SUMIF(Inventario!$M$5:$M$505,"#"&amp;$A1825,Inventario!$C$5:$C$505)</f>
        <v/>
      </c>
      <c r="E1827" s="68">
        <f>D1827+E1826+E1829-E1825</f>
        <v/>
      </c>
      <c r="F1827" s="68">
        <f>E1827+F1826+F1829-F1825</f>
        <v/>
      </c>
      <c r="G1827" s="68">
        <f>F1827+G1826+G1829-G1825</f>
        <v/>
      </c>
      <c r="H1827" s="68">
        <f>G1827+H1826+H1829-H1825</f>
        <v/>
      </c>
      <c r="I1827" s="68">
        <f>H1827+I1826+I1829-I1825</f>
        <v/>
      </c>
      <c r="J1827" s="68">
        <f>I1827+J1826+J1829-J1825</f>
        <v/>
      </c>
      <c r="K1827" s="68">
        <f>J1827+K1826+K1829-K1825</f>
        <v/>
      </c>
      <c r="L1827" s="68">
        <f>K1827+L1826+L1829-L1825</f>
        <v/>
      </c>
      <c r="M1827" s="66" t="n"/>
    </row>
    <row r="1828">
      <c r="C1828" s="63" t="inlineStr">
        <is>
          <t>Necesidad neta</t>
        </is>
      </c>
      <c r="D1828" s="64" t="n"/>
      <c r="E1828" s="69">
        <f>MAX(0,ROUND(E1825+Materiales!$H$264-D1827-E1826,4))</f>
        <v/>
      </c>
      <c r="F1828" s="69">
        <f>MAX(0,ROUND(F1825+Materiales!$H$264-E1827-F1826,4))</f>
        <v/>
      </c>
      <c r="G1828" s="69">
        <f>MAX(0,ROUND(G1825+Materiales!$H$264-F1827-G1826,4))</f>
        <v/>
      </c>
      <c r="H1828" s="69">
        <f>MAX(0,ROUND(H1825+Materiales!$H$264-G1827-H1826,4))</f>
        <v/>
      </c>
      <c r="I1828" s="69">
        <f>MAX(0,ROUND(I1825+Materiales!$H$264-H1827-I1826,4))</f>
        <v/>
      </c>
      <c r="J1828" s="69">
        <f>MAX(0,ROUND(J1825+Materiales!$H$264-I1827-J1826,4))</f>
        <v/>
      </c>
      <c r="K1828" s="69">
        <f>MAX(0,ROUND(K1825+Materiales!$H$264-J1827-K1826,4))</f>
        <v/>
      </c>
      <c r="L1828" s="69">
        <f>MAX(0,ROUND(L1825+Materiales!$H$264-K1827-L1826,4))</f>
        <v/>
      </c>
      <c r="M1828" s="66" t="n"/>
    </row>
    <row r="1829">
      <c r="C1829" s="63" t="inlineStr">
        <is>
          <t>Recepcion de orden planificada</t>
        </is>
      </c>
      <c r="D1829" s="64" t="n"/>
      <c r="E1829" s="65">
        <f>IF(E1828&lt;=0,0,IF(Materiales!$G$264&lt;=0,E1828,ROUNDUP(E1828/Materiales!$G$264,0)*Materiales!$G$264))</f>
        <v/>
      </c>
      <c r="F1829" s="65">
        <f>IF(F1828&lt;=0,0,IF(Materiales!$G$264&lt;=0,F1828,ROUNDUP(F1828/Materiales!$G$264,0)*Materiales!$G$264))</f>
        <v/>
      </c>
      <c r="G1829" s="65">
        <f>IF(G1828&lt;=0,0,IF(Materiales!$G$264&lt;=0,G1828,ROUNDUP(G1828/Materiales!$G$264,0)*Materiales!$G$264))</f>
        <v/>
      </c>
      <c r="H1829" s="65">
        <f>IF(H1828&lt;=0,0,IF(Materiales!$G$264&lt;=0,H1828,ROUNDUP(H1828/Materiales!$G$264,0)*Materiales!$G$264))</f>
        <v/>
      </c>
      <c r="I1829" s="65">
        <f>IF(I1828&lt;=0,0,IF(Materiales!$G$264&lt;=0,I1828,ROUNDUP(I1828/Materiales!$G$264,0)*Materiales!$G$264))</f>
        <v/>
      </c>
      <c r="J1829" s="65">
        <f>IF(J1828&lt;=0,0,IF(Materiales!$G$264&lt;=0,J1828,ROUNDUP(J1828/Materiales!$G$264,0)*Materiales!$G$264))</f>
        <v/>
      </c>
      <c r="K1829" s="65">
        <f>IF(K1828&lt;=0,0,IF(Materiales!$G$264&lt;=0,K1828,ROUNDUP(K1828/Materiales!$G$264,0)*Materiales!$G$264))</f>
        <v/>
      </c>
      <c r="L1829" s="65">
        <f>IF(L1828&lt;=0,0,IF(Materiales!$G$264&lt;=0,L1828,ROUNDUP(L1828/Materiales!$G$264,0)*Materiales!$G$264))</f>
        <v/>
      </c>
      <c r="M1829" s="66" t="n"/>
    </row>
    <row r="1830">
      <c r="C1830" s="70" t="inlineStr">
        <is>
          <t>LANZAMIENTO DE ORDEN — pedir esta semana</t>
        </is>
      </c>
      <c r="D1830" s="64" t="n"/>
      <c r="E1830" s="71">
        <f>IF(1+Materiales!$F$264&gt;8,0,INDEX($E$1829:$L$1829,1,1+Materiales!$F$264))</f>
        <v/>
      </c>
      <c r="F1830" s="71">
        <f>IF(2+Materiales!$F$264&gt;8,0,INDEX($E$1829:$L$1829,1,2+Materiales!$F$264))</f>
        <v/>
      </c>
      <c r="G1830" s="71">
        <f>IF(3+Materiales!$F$264&gt;8,0,INDEX($E$1829:$L$1829,1,3+Materiales!$F$264))</f>
        <v/>
      </c>
      <c r="H1830" s="71">
        <f>IF(4+Materiales!$F$264&gt;8,0,INDEX($E$1829:$L$1829,1,4+Materiales!$F$264))</f>
        <v/>
      </c>
      <c r="I1830" s="71">
        <f>IF(5+Materiales!$F$264&gt;8,0,INDEX($E$1829:$L$1829,1,5+Materiales!$F$264))</f>
        <v/>
      </c>
      <c r="J1830" s="71">
        <f>IF(6+Materiales!$F$264&gt;8,0,INDEX($E$1829:$L$1829,1,6+Materiales!$F$264))</f>
        <v/>
      </c>
      <c r="K1830" s="71">
        <f>IF(7+Materiales!$F$264&gt;8,0,INDEX($E$1829:$L$1829,1,7+Materiales!$F$264))</f>
        <v/>
      </c>
      <c r="L1830" s="71">
        <f>IF(8+Materiales!$F$264&gt;8,0,INDEX($E$1829:$L$1829,1,8+Materiales!$F$264))</f>
        <v/>
      </c>
      <c r="M1830" s="72">
        <f>IF($A1825="","",IF(SUMPRODUCT((COLUMN($E$1829:$L$1829)-4&lt;=Materiales!$F$264)*$E$1829:$L$1829)&gt;0,"PEDIR YA (atrasado)","OK"))</f>
        <v/>
      </c>
    </row>
    <row r="1831" ht="6" customHeight="1"/>
    <row r="1832">
      <c r="A1832" s="62">
        <f>IF(Materiales!$A$265="","",Materiales!$A$265)</f>
        <v/>
      </c>
      <c r="B1832" s="62">
        <f>IF(Materiales!$B$265="","",Materiales!$B$265)</f>
        <v/>
      </c>
      <c r="C1832" s="63" t="inlineStr">
        <is>
          <t>Necesidad bruta</t>
        </is>
      </c>
      <c r="D1832" s="64" t="n"/>
      <c r="E1832" s="65">
        <f>ROUND(SUMIF(Consumo!$P$4:$P$189,"#"&amp;$A1832,Consumo!H$4:H$189),4)</f>
        <v/>
      </c>
      <c r="F1832" s="65">
        <f>ROUND(SUMIF(Consumo!$P$4:$P$189,"#"&amp;$A1832,Consumo!I$4:I$189),4)</f>
        <v/>
      </c>
      <c r="G1832" s="65">
        <f>ROUND(SUMIF(Consumo!$P$4:$P$189,"#"&amp;$A1832,Consumo!J$4:J$189),4)</f>
        <v/>
      </c>
      <c r="H1832" s="65">
        <f>ROUND(SUMIF(Consumo!$P$4:$P$189,"#"&amp;$A1832,Consumo!K$4:K$189),4)</f>
        <v/>
      </c>
      <c r="I1832" s="65">
        <f>ROUND(SUMIF(Consumo!$P$4:$P$189,"#"&amp;$A1832,Consumo!L$4:L$189),4)</f>
        <v/>
      </c>
      <c r="J1832" s="65">
        <f>ROUND(SUMIF(Consumo!$P$4:$P$189,"#"&amp;$A1832,Consumo!M$4:M$189),4)</f>
        <v/>
      </c>
      <c r="K1832" s="65">
        <f>ROUND(SUMIF(Consumo!$P$4:$P$189,"#"&amp;$A1832,Consumo!N$4:N$189),4)</f>
        <v/>
      </c>
      <c r="L1832" s="65">
        <f>ROUND(SUMIF(Consumo!$P$4:$P$189,"#"&amp;$A1832,Consumo!O$4:O$189),4)</f>
        <v/>
      </c>
      <c r="M1832" s="66" t="n"/>
    </row>
    <row r="1833">
      <c r="C1833" s="63" t="inlineStr">
        <is>
          <t>Recepciones programadas (ya pedido)</t>
        </is>
      </c>
      <c r="D1833" s="64" t="n"/>
      <c r="E1833" s="65">
        <f>SUMIF(Inventario!$M$5:$M$505,"#"&amp;$A1832,Inventario!E$5:E$505)</f>
        <v/>
      </c>
      <c r="F1833" s="65">
        <f>SUMIF(Inventario!$M$5:$M$505,"#"&amp;$A1832,Inventario!F$5:F$505)</f>
        <v/>
      </c>
      <c r="G1833" s="65">
        <f>SUMIF(Inventario!$M$5:$M$505,"#"&amp;$A1832,Inventario!G$5:G$505)</f>
        <v/>
      </c>
      <c r="H1833" s="65">
        <f>SUMIF(Inventario!$M$5:$M$505,"#"&amp;$A1832,Inventario!H$5:H$505)</f>
        <v/>
      </c>
      <c r="I1833" s="65">
        <f>SUMIF(Inventario!$M$5:$M$505,"#"&amp;$A1832,Inventario!I$5:I$505)</f>
        <v/>
      </c>
      <c r="J1833" s="65">
        <f>SUMIF(Inventario!$M$5:$M$505,"#"&amp;$A1832,Inventario!J$5:J$505)</f>
        <v/>
      </c>
      <c r="K1833" s="65">
        <f>SUMIF(Inventario!$M$5:$M$505,"#"&amp;$A1832,Inventario!K$5:K$505)</f>
        <v/>
      </c>
      <c r="L1833" s="65">
        <f>SUMIF(Inventario!$M$5:$M$505,"#"&amp;$A1832,Inventario!L$5:L$505)</f>
        <v/>
      </c>
      <c r="M1833" s="66" t="n"/>
    </row>
    <row r="1834">
      <c r="C1834" s="63" t="inlineStr">
        <is>
          <t>Stock proyectado disponible</t>
        </is>
      </c>
      <c r="D1834" s="67">
        <f>SUMIF(Inventario!$M$5:$M$505,"#"&amp;$A1832,Inventario!$C$5:$C$505)</f>
        <v/>
      </c>
      <c r="E1834" s="68">
        <f>D1834+E1833+E1836-E1832</f>
        <v/>
      </c>
      <c r="F1834" s="68">
        <f>E1834+F1833+F1836-F1832</f>
        <v/>
      </c>
      <c r="G1834" s="68">
        <f>F1834+G1833+G1836-G1832</f>
        <v/>
      </c>
      <c r="H1834" s="68">
        <f>G1834+H1833+H1836-H1832</f>
        <v/>
      </c>
      <c r="I1834" s="68">
        <f>H1834+I1833+I1836-I1832</f>
        <v/>
      </c>
      <c r="J1834" s="68">
        <f>I1834+J1833+J1836-J1832</f>
        <v/>
      </c>
      <c r="K1834" s="68">
        <f>J1834+K1833+K1836-K1832</f>
        <v/>
      </c>
      <c r="L1834" s="68">
        <f>K1834+L1833+L1836-L1832</f>
        <v/>
      </c>
      <c r="M1834" s="66" t="n"/>
    </row>
    <row r="1835">
      <c r="C1835" s="63" t="inlineStr">
        <is>
          <t>Necesidad neta</t>
        </is>
      </c>
      <c r="D1835" s="64" t="n"/>
      <c r="E1835" s="69">
        <f>MAX(0,ROUND(E1832+Materiales!$H$265-D1834-E1833,4))</f>
        <v/>
      </c>
      <c r="F1835" s="69">
        <f>MAX(0,ROUND(F1832+Materiales!$H$265-E1834-F1833,4))</f>
        <v/>
      </c>
      <c r="G1835" s="69">
        <f>MAX(0,ROUND(G1832+Materiales!$H$265-F1834-G1833,4))</f>
        <v/>
      </c>
      <c r="H1835" s="69">
        <f>MAX(0,ROUND(H1832+Materiales!$H$265-G1834-H1833,4))</f>
        <v/>
      </c>
      <c r="I1835" s="69">
        <f>MAX(0,ROUND(I1832+Materiales!$H$265-H1834-I1833,4))</f>
        <v/>
      </c>
      <c r="J1835" s="69">
        <f>MAX(0,ROUND(J1832+Materiales!$H$265-I1834-J1833,4))</f>
        <v/>
      </c>
      <c r="K1835" s="69">
        <f>MAX(0,ROUND(K1832+Materiales!$H$265-J1834-K1833,4))</f>
        <v/>
      </c>
      <c r="L1835" s="69">
        <f>MAX(0,ROUND(L1832+Materiales!$H$265-K1834-L1833,4))</f>
        <v/>
      </c>
      <c r="M1835" s="66" t="n"/>
    </row>
    <row r="1836">
      <c r="C1836" s="63" t="inlineStr">
        <is>
          <t>Recepcion de orden planificada</t>
        </is>
      </c>
      <c r="D1836" s="64" t="n"/>
      <c r="E1836" s="65">
        <f>IF(E1835&lt;=0,0,IF(Materiales!$G$265&lt;=0,E1835,ROUNDUP(E1835/Materiales!$G$265,0)*Materiales!$G$265))</f>
        <v/>
      </c>
      <c r="F1836" s="65">
        <f>IF(F1835&lt;=0,0,IF(Materiales!$G$265&lt;=0,F1835,ROUNDUP(F1835/Materiales!$G$265,0)*Materiales!$G$265))</f>
        <v/>
      </c>
      <c r="G1836" s="65">
        <f>IF(G1835&lt;=0,0,IF(Materiales!$G$265&lt;=0,G1835,ROUNDUP(G1835/Materiales!$G$265,0)*Materiales!$G$265))</f>
        <v/>
      </c>
      <c r="H1836" s="65">
        <f>IF(H1835&lt;=0,0,IF(Materiales!$G$265&lt;=0,H1835,ROUNDUP(H1835/Materiales!$G$265,0)*Materiales!$G$265))</f>
        <v/>
      </c>
      <c r="I1836" s="65">
        <f>IF(I1835&lt;=0,0,IF(Materiales!$G$265&lt;=0,I1835,ROUNDUP(I1835/Materiales!$G$265,0)*Materiales!$G$265))</f>
        <v/>
      </c>
      <c r="J1836" s="65">
        <f>IF(J1835&lt;=0,0,IF(Materiales!$G$265&lt;=0,J1835,ROUNDUP(J1835/Materiales!$G$265,0)*Materiales!$G$265))</f>
        <v/>
      </c>
      <c r="K1836" s="65">
        <f>IF(K1835&lt;=0,0,IF(Materiales!$G$265&lt;=0,K1835,ROUNDUP(K1835/Materiales!$G$265,0)*Materiales!$G$265))</f>
        <v/>
      </c>
      <c r="L1836" s="65">
        <f>IF(L1835&lt;=0,0,IF(Materiales!$G$265&lt;=0,L1835,ROUNDUP(L1835/Materiales!$G$265,0)*Materiales!$G$265))</f>
        <v/>
      </c>
      <c r="M1836" s="66" t="n"/>
    </row>
    <row r="1837">
      <c r="C1837" s="70" t="inlineStr">
        <is>
          <t>LANZAMIENTO DE ORDEN — pedir esta semana</t>
        </is>
      </c>
      <c r="D1837" s="64" t="n"/>
      <c r="E1837" s="71">
        <f>IF(1+Materiales!$F$265&gt;8,0,INDEX($E$1836:$L$1836,1,1+Materiales!$F$265))</f>
        <v/>
      </c>
      <c r="F1837" s="71">
        <f>IF(2+Materiales!$F$265&gt;8,0,INDEX($E$1836:$L$1836,1,2+Materiales!$F$265))</f>
        <v/>
      </c>
      <c r="G1837" s="71">
        <f>IF(3+Materiales!$F$265&gt;8,0,INDEX($E$1836:$L$1836,1,3+Materiales!$F$265))</f>
        <v/>
      </c>
      <c r="H1837" s="71">
        <f>IF(4+Materiales!$F$265&gt;8,0,INDEX($E$1836:$L$1836,1,4+Materiales!$F$265))</f>
        <v/>
      </c>
      <c r="I1837" s="71">
        <f>IF(5+Materiales!$F$265&gt;8,0,INDEX($E$1836:$L$1836,1,5+Materiales!$F$265))</f>
        <v/>
      </c>
      <c r="J1837" s="71">
        <f>IF(6+Materiales!$F$265&gt;8,0,INDEX($E$1836:$L$1836,1,6+Materiales!$F$265))</f>
        <v/>
      </c>
      <c r="K1837" s="71">
        <f>IF(7+Materiales!$F$265&gt;8,0,INDEX($E$1836:$L$1836,1,7+Materiales!$F$265))</f>
        <v/>
      </c>
      <c r="L1837" s="71">
        <f>IF(8+Materiales!$F$265&gt;8,0,INDEX($E$1836:$L$1836,1,8+Materiales!$F$265))</f>
        <v/>
      </c>
      <c r="M1837" s="72">
        <f>IF($A1832="","",IF(SUMPRODUCT((COLUMN($E$1836:$L$1836)-4&lt;=Materiales!$F$265)*$E$1836:$L$1836)&gt;0,"PEDIR YA (atrasado)","OK"))</f>
        <v/>
      </c>
    </row>
    <row r="1838" ht="6" customHeight="1"/>
    <row r="1839">
      <c r="A1839" s="62">
        <f>IF(Materiales!$A$266="","",Materiales!$A$266)</f>
        <v/>
      </c>
      <c r="B1839" s="62">
        <f>IF(Materiales!$B$266="","",Materiales!$B$266)</f>
        <v/>
      </c>
      <c r="C1839" s="63" t="inlineStr">
        <is>
          <t>Necesidad bruta</t>
        </is>
      </c>
      <c r="D1839" s="64" t="n"/>
      <c r="E1839" s="65">
        <f>ROUND(SUMIF(Consumo!$P$4:$P$189,"#"&amp;$A1839,Consumo!H$4:H$189),4)</f>
        <v/>
      </c>
      <c r="F1839" s="65">
        <f>ROUND(SUMIF(Consumo!$P$4:$P$189,"#"&amp;$A1839,Consumo!I$4:I$189),4)</f>
        <v/>
      </c>
      <c r="G1839" s="65">
        <f>ROUND(SUMIF(Consumo!$P$4:$P$189,"#"&amp;$A1839,Consumo!J$4:J$189),4)</f>
        <v/>
      </c>
      <c r="H1839" s="65">
        <f>ROUND(SUMIF(Consumo!$P$4:$P$189,"#"&amp;$A1839,Consumo!K$4:K$189),4)</f>
        <v/>
      </c>
      <c r="I1839" s="65">
        <f>ROUND(SUMIF(Consumo!$P$4:$P$189,"#"&amp;$A1839,Consumo!L$4:L$189),4)</f>
        <v/>
      </c>
      <c r="J1839" s="65">
        <f>ROUND(SUMIF(Consumo!$P$4:$P$189,"#"&amp;$A1839,Consumo!M$4:M$189),4)</f>
        <v/>
      </c>
      <c r="K1839" s="65">
        <f>ROUND(SUMIF(Consumo!$P$4:$P$189,"#"&amp;$A1839,Consumo!N$4:N$189),4)</f>
        <v/>
      </c>
      <c r="L1839" s="65">
        <f>ROUND(SUMIF(Consumo!$P$4:$P$189,"#"&amp;$A1839,Consumo!O$4:O$189),4)</f>
        <v/>
      </c>
      <c r="M1839" s="66" t="n"/>
    </row>
    <row r="1840">
      <c r="C1840" s="63" t="inlineStr">
        <is>
          <t>Recepciones programadas (ya pedido)</t>
        </is>
      </c>
      <c r="D1840" s="64" t="n"/>
      <c r="E1840" s="65">
        <f>SUMIF(Inventario!$M$5:$M$505,"#"&amp;$A1839,Inventario!E$5:E$505)</f>
        <v/>
      </c>
      <c r="F1840" s="65">
        <f>SUMIF(Inventario!$M$5:$M$505,"#"&amp;$A1839,Inventario!F$5:F$505)</f>
        <v/>
      </c>
      <c r="G1840" s="65">
        <f>SUMIF(Inventario!$M$5:$M$505,"#"&amp;$A1839,Inventario!G$5:G$505)</f>
        <v/>
      </c>
      <c r="H1840" s="65">
        <f>SUMIF(Inventario!$M$5:$M$505,"#"&amp;$A1839,Inventario!H$5:H$505)</f>
        <v/>
      </c>
      <c r="I1840" s="65">
        <f>SUMIF(Inventario!$M$5:$M$505,"#"&amp;$A1839,Inventario!I$5:I$505)</f>
        <v/>
      </c>
      <c r="J1840" s="65">
        <f>SUMIF(Inventario!$M$5:$M$505,"#"&amp;$A1839,Inventario!J$5:J$505)</f>
        <v/>
      </c>
      <c r="K1840" s="65">
        <f>SUMIF(Inventario!$M$5:$M$505,"#"&amp;$A1839,Inventario!K$5:K$505)</f>
        <v/>
      </c>
      <c r="L1840" s="65">
        <f>SUMIF(Inventario!$M$5:$M$505,"#"&amp;$A1839,Inventario!L$5:L$505)</f>
        <v/>
      </c>
      <c r="M1840" s="66" t="n"/>
    </row>
    <row r="1841">
      <c r="C1841" s="63" t="inlineStr">
        <is>
          <t>Stock proyectado disponible</t>
        </is>
      </c>
      <c r="D1841" s="67">
        <f>SUMIF(Inventario!$M$5:$M$505,"#"&amp;$A1839,Inventario!$C$5:$C$505)</f>
        <v/>
      </c>
      <c r="E1841" s="68">
        <f>D1841+E1840+E1843-E1839</f>
        <v/>
      </c>
      <c r="F1841" s="68">
        <f>E1841+F1840+F1843-F1839</f>
        <v/>
      </c>
      <c r="G1841" s="68">
        <f>F1841+G1840+G1843-G1839</f>
        <v/>
      </c>
      <c r="H1841" s="68">
        <f>G1841+H1840+H1843-H1839</f>
        <v/>
      </c>
      <c r="I1841" s="68">
        <f>H1841+I1840+I1843-I1839</f>
        <v/>
      </c>
      <c r="J1841" s="68">
        <f>I1841+J1840+J1843-J1839</f>
        <v/>
      </c>
      <c r="K1841" s="68">
        <f>J1841+K1840+K1843-K1839</f>
        <v/>
      </c>
      <c r="L1841" s="68">
        <f>K1841+L1840+L1843-L1839</f>
        <v/>
      </c>
      <c r="M1841" s="66" t="n"/>
    </row>
    <row r="1842">
      <c r="C1842" s="63" t="inlineStr">
        <is>
          <t>Necesidad neta</t>
        </is>
      </c>
      <c r="D1842" s="64" t="n"/>
      <c r="E1842" s="69">
        <f>MAX(0,ROUND(E1839+Materiales!$H$266-D1841-E1840,4))</f>
        <v/>
      </c>
      <c r="F1842" s="69">
        <f>MAX(0,ROUND(F1839+Materiales!$H$266-E1841-F1840,4))</f>
        <v/>
      </c>
      <c r="G1842" s="69">
        <f>MAX(0,ROUND(G1839+Materiales!$H$266-F1841-G1840,4))</f>
        <v/>
      </c>
      <c r="H1842" s="69">
        <f>MAX(0,ROUND(H1839+Materiales!$H$266-G1841-H1840,4))</f>
        <v/>
      </c>
      <c r="I1842" s="69">
        <f>MAX(0,ROUND(I1839+Materiales!$H$266-H1841-I1840,4))</f>
        <v/>
      </c>
      <c r="J1842" s="69">
        <f>MAX(0,ROUND(J1839+Materiales!$H$266-I1841-J1840,4))</f>
        <v/>
      </c>
      <c r="K1842" s="69">
        <f>MAX(0,ROUND(K1839+Materiales!$H$266-J1841-K1840,4))</f>
        <v/>
      </c>
      <c r="L1842" s="69">
        <f>MAX(0,ROUND(L1839+Materiales!$H$266-K1841-L1840,4))</f>
        <v/>
      </c>
      <c r="M1842" s="66" t="n"/>
    </row>
    <row r="1843">
      <c r="C1843" s="63" t="inlineStr">
        <is>
          <t>Recepcion de orden planificada</t>
        </is>
      </c>
      <c r="D1843" s="64" t="n"/>
      <c r="E1843" s="65">
        <f>IF(E1842&lt;=0,0,IF(Materiales!$G$266&lt;=0,E1842,ROUNDUP(E1842/Materiales!$G$266,0)*Materiales!$G$266))</f>
        <v/>
      </c>
      <c r="F1843" s="65">
        <f>IF(F1842&lt;=0,0,IF(Materiales!$G$266&lt;=0,F1842,ROUNDUP(F1842/Materiales!$G$266,0)*Materiales!$G$266))</f>
        <v/>
      </c>
      <c r="G1843" s="65">
        <f>IF(G1842&lt;=0,0,IF(Materiales!$G$266&lt;=0,G1842,ROUNDUP(G1842/Materiales!$G$266,0)*Materiales!$G$266))</f>
        <v/>
      </c>
      <c r="H1843" s="65">
        <f>IF(H1842&lt;=0,0,IF(Materiales!$G$266&lt;=0,H1842,ROUNDUP(H1842/Materiales!$G$266,0)*Materiales!$G$266))</f>
        <v/>
      </c>
      <c r="I1843" s="65">
        <f>IF(I1842&lt;=0,0,IF(Materiales!$G$266&lt;=0,I1842,ROUNDUP(I1842/Materiales!$G$266,0)*Materiales!$G$266))</f>
        <v/>
      </c>
      <c r="J1843" s="65">
        <f>IF(J1842&lt;=0,0,IF(Materiales!$G$266&lt;=0,J1842,ROUNDUP(J1842/Materiales!$G$266,0)*Materiales!$G$266))</f>
        <v/>
      </c>
      <c r="K1843" s="65">
        <f>IF(K1842&lt;=0,0,IF(Materiales!$G$266&lt;=0,K1842,ROUNDUP(K1842/Materiales!$G$266,0)*Materiales!$G$266))</f>
        <v/>
      </c>
      <c r="L1843" s="65">
        <f>IF(L1842&lt;=0,0,IF(Materiales!$G$266&lt;=0,L1842,ROUNDUP(L1842/Materiales!$G$266,0)*Materiales!$G$266))</f>
        <v/>
      </c>
      <c r="M1843" s="66" t="n"/>
    </row>
    <row r="1844">
      <c r="C1844" s="70" t="inlineStr">
        <is>
          <t>LANZAMIENTO DE ORDEN — pedir esta semana</t>
        </is>
      </c>
      <c r="D1844" s="64" t="n"/>
      <c r="E1844" s="71">
        <f>IF(1+Materiales!$F$266&gt;8,0,INDEX($E$1843:$L$1843,1,1+Materiales!$F$266))</f>
        <v/>
      </c>
      <c r="F1844" s="71">
        <f>IF(2+Materiales!$F$266&gt;8,0,INDEX($E$1843:$L$1843,1,2+Materiales!$F$266))</f>
        <v/>
      </c>
      <c r="G1844" s="71">
        <f>IF(3+Materiales!$F$266&gt;8,0,INDEX($E$1843:$L$1843,1,3+Materiales!$F$266))</f>
        <v/>
      </c>
      <c r="H1844" s="71">
        <f>IF(4+Materiales!$F$266&gt;8,0,INDEX($E$1843:$L$1843,1,4+Materiales!$F$266))</f>
        <v/>
      </c>
      <c r="I1844" s="71">
        <f>IF(5+Materiales!$F$266&gt;8,0,INDEX($E$1843:$L$1843,1,5+Materiales!$F$266))</f>
        <v/>
      </c>
      <c r="J1844" s="71">
        <f>IF(6+Materiales!$F$266&gt;8,0,INDEX($E$1843:$L$1843,1,6+Materiales!$F$266))</f>
        <v/>
      </c>
      <c r="K1844" s="71">
        <f>IF(7+Materiales!$F$266&gt;8,0,INDEX($E$1843:$L$1843,1,7+Materiales!$F$266))</f>
        <v/>
      </c>
      <c r="L1844" s="71">
        <f>IF(8+Materiales!$F$266&gt;8,0,INDEX($E$1843:$L$1843,1,8+Materiales!$F$266))</f>
        <v/>
      </c>
      <c r="M1844" s="72">
        <f>IF($A1839="","",IF(SUMPRODUCT((COLUMN($E$1843:$L$1843)-4&lt;=Materiales!$F$266)*$E$1843:$L$1843)&gt;0,"PEDIR YA (atrasado)","OK"))</f>
        <v/>
      </c>
    </row>
    <row r="1845" ht="6" customHeight="1"/>
    <row r="1846">
      <c r="A1846" s="62">
        <f>IF(Materiales!$A$267="","",Materiales!$A$267)</f>
        <v/>
      </c>
      <c r="B1846" s="62">
        <f>IF(Materiales!$B$267="","",Materiales!$B$267)</f>
        <v/>
      </c>
      <c r="C1846" s="63" t="inlineStr">
        <is>
          <t>Necesidad bruta</t>
        </is>
      </c>
      <c r="D1846" s="64" t="n"/>
      <c r="E1846" s="65">
        <f>ROUND(SUMIF(Consumo!$P$4:$P$189,"#"&amp;$A1846,Consumo!H$4:H$189),4)</f>
        <v/>
      </c>
      <c r="F1846" s="65">
        <f>ROUND(SUMIF(Consumo!$P$4:$P$189,"#"&amp;$A1846,Consumo!I$4:I$189),4)</f>
        <v/>
      </c>
      <c r="G1846" s="65">
        <f>ROUND(SUMIF(Consumo!$P$4:$P$189,"#"&amp;$A1846,Consumo!J$4:J$189),4)</f>
        <v/>
      </c>
      <c r="H1846" s="65">
        <f>ROUND(SUMIF(Consumo!$P$4:$P$189,"#"&amp;$A1846,Consumo!K$4:K$189),4)</f>
        <v/>
      </c>
      <c r="I1846" s="65">
        <f>ROUND(SUMIF(Consumo!$P$4:$P$189,"#"&amp;$A1846,Consumo!L$4:L$189),4)</f>
        <v/>
      </c>
      <c r="J1846" s="65">
        <f>ROUND(SUMIF(Consumo!$P$4:$P$189,"#"&amp;$A1846,Consumo!M$4:M$189),4)</f>
        <v/>
      </c>
      <c r="K1846" s="65">
        <f>ROUND(SUMIF(Consumo!$P$4:$P$189,"#"&amp;$A1846,Consumo!N$4:N$189),4)</f>
        <v/>
      </c>
      <c r="L1846" s="65">
        <f>ROUND(SUMIF(Consumo!$P$4:$P$189,"#"&amp;$A1846,Consumo!O$4:O$189),4)</f>
        <v/>
      </c>
      <c r="M1846" s="66" t="n"/>
    </row>
    <row r="1847">
      <c r="C1847" s="63" t="inlineStr">
        <is>
          <t>Recepciones programadas (ya pedido)</t>
        </is>
      </c>
      <c r="D1847" s="64" t="n"/>
      <c r="E1847" s="65">
        <f>SUMIF(Inventario!$M$5:$M$505,"#"&amp;$A1846,Inventario!E$5:E$505)</f>
        <v/>
      </c>
      <c r="F1847" s="65">
        <f>SUMIF(Inventario!$M$5:$M$505,"#"&amp;$A1846,Inventario!F$5:F$505)</f>
        <v/>
      </c>
      <c r="G1847" s="65">
        <f>SUMIF(Inventario!$M$5:$M$505,"#"&amp;$A1846,Inventario!G$5:G$505)</f>
        <v/>
      </c>
      <c r="H1847" s="65">
        <f>SUMIF(Inventario!$M$5:$M$505,"#"&amp;$A1846,Inventario!H$5:H$505)</f>
        <v/>
      </c>
      <c r="I1847" s="65">
        <f>SUMIF(Inventario!$M$5:$M$505,"#"&amp;$A1846,Inventario!I$5:I$505)</f>
        <v/>
      </c>
      <c r="J1847" s="65">
        <f>SUMIF(Inventario!$M$5:$M$505,"#"&amp;$A1846,Inventario!J$5:J$505)</f>
        <v/>
      </c>
      <c r="K1847" s="65">
        <f>SUMIF(Inventario!$M$5:$M$505,"#"&amp;$A1846,Inventario!K$5:K$505)</f>
        <v/>
      </c>
      <c r="L1847" s="65">
        <f>SUMIF(Inventario!$M$5:$M$505,"#"&amp;$A1846,Inventario!L$5:L$505)</f>
        <v/>
      </c>
      <c r="M1847" s="66" t="n"/>
    </row>
    <row r="1848">
      <c r="C1848" s="63" t="inlineStr">
        <is>
          <t>Stock proyectado disponible</t>
        </is>
      </c>
      <c r="D1848" s="67">
        <f>SUMIF(Inventario!$M$5:$M$505,"#"&amp;$A1846,Inventario!$C$5:$C$505)</f>
        <v/>
      </c>
      <c r="E1848" s="68">
        <f>D1848+E1847+E1850-E1846</f>
        <v/>
      </c>
      <c r="F1848" s="68">
        <f>E1848+F1847+F1850-F1846</f>
        <v/>
      </c>
      <c r="G1848" s="68">
        <f>F1848+G1847+G1850-G1846</f>
        <v/>
      </c>
      <c r="H1848" s="68">
        <f>G1848+H1847+H1850-H1846</f>
        <v/>
      </c>
      <c r="I1848" s="68">
        <f>H1848+I1847+I1850-I1846</f>
        <v/>
      </c>
      <c r="J1848" s="68">
        <f>I1848+J1847+J1850-J1846</f>
        <v/>
      </c>
      <c r="K1848" s="68">
        <f>J1848+K1847+K1850-K1846</f>
        <v/>
      </c>
      <c r="L1848" s="68">
        <f>K1848+L1847+L1850-L1846</f>
        <v/>
      </c>
      <c r="M1848" s="66" t="n"/>
    </row>
    <row r="1849">
      <c r="C1849" s="63" t="inlineStr">
        <is>
          <t>Necesidad neta</t>
        </is>
      </c>
      <c r="D1849" s="64" t="n"/>
      <c r="E1849" s="69">
        <f>MAX(0,ROUND(E1846+Materiales!$H$267-D1848-E1847,4))</f>
        <v/>
      </c>
      <c r="F1849" s="69">
        <f>MAX(0,ROUND(F1846+Materiales!$H$267-E1848-F1847,4))</f>
        <v/>
      </c>
      <c r="G1849" s="69">
        <f>MAX(0,ROUND(G1846+Materiales!$H$267-F1848-G1847,4))</f>
        <v/>
      </c>
      <c r="H1849" s="69">
        <f>MAX(0,ROUND(H1846+Materiales!$H$267-G1848-H1847,4))</f>
        <v/>
      </c>
      <c r="I1849" s="69">
        <f>MAX(0,ROUND(I1846+Materiales!$H$267-H1848-I1847,4))</f>
        <v/>
      </c>
      <c r="J1849" s="69">
        <f>MAX(0,ROUND(J1846+Materiales!$H$267-I1848-J1847,4))</f>
        <v/>
      </c>
      <c r="K1849" s="69">
        <f>MAX(0,ROUND(K1846+Materiales!$H$267-J1848-K1847,4))</f>
        <v/>
      </c>
      <c r="L1849" s="69">
        <f>MAX(0,ROUND(L1846+Materiales!$H$267-K1848-L1847,4))</f>
        <v/>
      </c>
      <c r="M1849" s="66" t="n"/>
    </row>
    <row r="1850">
      <c r="C1850" s="63" t="inlineStr">
        <is>
          <t>Recepcion de orden planificada</t>
        </is>
      </c>
      <c r="D1850" s="64" t="n"/>
      <c r="E1850" s="65">
        <f>IF(E1849&lt;=0,0,IF(Materiales!$G$267&lt;=0,E1849,ROUNDUP(E1849/Materiales!$G$267,0)*Materiales!$G$267))</f>
        <v/>
      </c>
      <c r="F1850" s="65">
        <f>IF(F1849&lt;=0,0,IF(Materiales!$G$267&lt;=0,F1849,ROUNDUP(F1849/Materiales!$G$267,0)*Materiales!$G$267))</f>
        <v/>
      </c>
      <c r="G1850" s="65">
        <f>IF(G1849&lt;=0,0,IF(Materiales!$G$267&lt;=0,G1849,ROUNDUP(G1849/Materiales!$G$267,0)*Materiales!$G$267))</f>
        <v/>
      </c>
      <c r="H1850" s="65">
        <f>IF(H1849&lt;=0,0,IF(Materiales!$G$267&lt;=0,H1849,ROUNDUP(H1849/Materiales!$G$267,0)*Materiales!$G$267))</f>
        <v/>
      </c>
      <c r="I1850" s="65">
        <f>IF(I1849&lt;=0,0,IF(Materiales!$G$267&lt;=0,I1849,ROUNDUP(I1849/Materiales!$G$267,0)*Materiales!$G$267))</f>
        <v/>
      </c>
      <c r="J1850" s="65">
        <f>IF(J1849&lt;=0,0,IF(Materiales!$G$267&lt;=0,J1849,ROUNDUP(J1849/Materiales!$G$267,0)*Materiales!$G$267))</f>
        <v/>
      </c>
      <c r="K1850" s="65">
        <f>IF(K1849&lt;=0,0,IF(Materiales!$G$267&lt;=0,K1849,ROUNDUP(K1849/Materiales!$G$267,0)*Materiales!$G$267))</f>
        <v/>
      </c>
      <c r="L1850" s="65">
        <f>IF(L1849&lt;=0,0,IF(Materiales!$G$267&lt;=0,L1849,ROUNDUP(L1849/Materiales!$G$267,0)*Materiales!$G$267))</f>
        <v/>
      </c>
      <c r="M1850" s="66" t="n"/>
    </row>
    <row r="1851">
      <c r="C1851" s="70" t="inlineStr">
        <is>
          <t>LANZAMIENTO DE ORDEN — pedir esta semana</t>
        </is>
      </c>
      <c r="D1851" s="64" t="n"/>
      <c r="E1851" s="71">
        <f>IF(1+Materiales!$F$267&gt;8,0,INDEX($E$1850:$L$1850,1,1+Materiales!$F$267))</f>
        <v/>
      </c>
      <c r="F1851" s="71">
        <f>IF(2+Materiales!$F$267&gt;8,0,INDEX($E$1850:$L$1850,1,2+Materiales!$F$267))</f>
        <v/>
      </c>
      <c r="G1851" s="71">
        <f>IF(3+Materiales!$F$267&gt;8,0,INDEX($E$1850:$L$1850,1,3+Materiales!$F$267))</f>
        <v/>
      </c>
      <c r="H1851" s="71">
        <f>IF(4+Materiales!$F$267&gt;8,0,INDEX($E$1850:$L$1850,1,4+Materiales!$F$267))</f>
        <v/>
      </c>
      <c r="I1851" s="71">
        <f>IF(5+Materiales!$F$267&gt;8,0,INDEX($E$1850:$L$1850,1,5+Materiales!$F$267))</f>
        <v/>
      </c>
      <c r="J1851" s="71">
        <f>IF(6+Materiales!$F$267&gt;8,0,INDEX($E$1850:$L$1850,1,6+Materiales!$F$267))</f>
        <v/>
      </c>
      <c r="K1851" s="71">
        <f>IF(7+Materiales!$F$267&gt;8,0,INDEX($E$1850:$L$1850,1,7+Materiales!$F$267))</f>
        <v/>
      </c>
      <c r="L1851" s="71">
        <f>IF(8+Materiales!$F$267&gt;8,0,INDEX($E$1850:$L$1850,1,8+Materiales!$F$267))</f>
        <v/>
      </c>
      <c r="M1851" s="72">
        <f>IF($A1846="","",IF(SUMPRODUCT((COLUMN($E$1850:$L$1850)-4&lt;=Materiales!$F$267)*$E$1850:$L$1850)&gt;0,"PEDIR YA (atrasado)","OK"))</f>
        <v/>
      </c>
    </row>
    <row r="1852" ht="6" customHeight="1"/>
    <row r="1853">
      <c r="A1853" s="62">
        <f>IF(Materiales!$A$268="","",Materiales!$A$268)</f>
        <v/>
      </c>
      <c r="B1853" s="62">
        <f>IF(Materiales!$B$268="","",Materiales!$B$268)</f>
        <v/>
      </c>
      <c r="C1853" s="63" t="inlineStr">
        <is>
          <t>Necesidad bruta</t>
        </is>
      </c>
      <c r="D1853" s="64" t="n"/>
      <c r="E1853" s="65">
        <f>ROUND(SUMIF(Consumo!$P$4:$P$189,"#"&amp;$A1853,Consumo!H$4:H$189),4)</f>
        <v/>
      </c>
      <c r="F1853" s="65">
        <f>ROUND(SUMIF(Consumo!$P$4:$P$189,"#"&amp;$A1853,Consumo!I$4:I$189),4)</f>
        <v/>
      </c>
      <c r="G1853" s="65">
        <f>ROUND(SUMIF(Consumo!$P$4:$P$189,"#"&amp;$A1853,Consumo!J$4:J$189),4)</f>
        <v/>
      </c>
      <c r="H1853" s="65">
        <f>ROUND(SUMIF(Consumo!$P$4:$P$189,"#"&amp;$A1853,Consumo!K$4:K$189),4)</f>
        <v/>
      </c>
      <c r="I1853" s="65">
        <f>ROUND(SUMIF(Consumo!$P$4:$P$189,"#"&amp;$A1853,Consumo!L$4:L$189),4)</f>
        <v/>
      </c>
      <c r="J1853" s="65">
        <f>ROUND(SUMIF(Consumo!$P$4:$P$189,"#"&amp;$A1853,Consumo!M$4:M$189),4)</f>
        <v/>
      </c>
      <c r="K1853" s="65">
        <f>ROUND(SUMIF(Consumo!$P$4:$P$189,"#"&amp;$A1853,Consumo!N$4:N$189),4)</f>
        <v/>
      </c>
      <c r="L1853" s="65">
        <f>ROUND(SUMIF(Consumo!$P$4:$P$189,"#"&amp;$A1853,Consumo!O$4:O$189),4)</f>
        <v/>
      </c>
      <c r="M1853" s="66" t="n"/>
    </row>
    <row r="1854">
      <c r="C1854" s="63" t="inlineStr">
        <is>
          <t>Recepciones programadas (ya pedido)</t>
        </is>
      </c>
      <c r="D1854" s="64" t="n"/>
      <c r="E1854" s="65">
        <f>SUMIF(Inventario!$M$5:$M$505,"#"&amp;$A1853,Inventario!E$5:E$505)</f>
        <v/>
      </c>
      <c r="F1854" s="65">
        <f>SUMIF(Inventario!$M$5:$M$505,"#"&amp;$A1853,Inventario!F$5:F$505)</f>
        <v/>
      </c>
      <c r="G1854" s="65">
        <f>SUMIF(Inventario!$M$5:$M$505,"#"&amp;$A1853,Inventario!G$5:G$505)</f>
        <v/>
      </c>
      <c r="H1854" s="65">
        <f>SUMIF(Inventario!$M$5:$M$505,"#"&amp;$A1853,Inventario!H$5:H$505)</f>
        <v/>
      </c>
      <c r="I1854" s="65">
        <f>SUMIF(Inventario!$M$5:$M$505,"#"&amp;$A1853,Inventario!I$5:I$505)</f>
        <v/>
      </c>
      <c r="J1854" s="65">
        <f>SUMIF(Inventario!$M$5:$M$505,"#"&amp;$A1853,Inventario!J$5:J$505)</f>
        <v/>
      </c>
      <c r="K1854" s="65">
        <f>SUMIF(Inventario!$M$5:$M$505,"#"&amp;$A1853,Inventario!K$5:K$505)</f>
        <v/>
      </c>
      <c r="L1854" s="65">
        <f>SUMIF(Inventario!$M$5:$M$505,"#"&amp;$A1853,Inventario!L$5:L$505)</f>
        <v/>
      </c>
      <c r="M1854" s="66" t="n"/>
    </row>
    <row r="1855">
      <c r="C1855" s="63" t="inlineStr">
        <is>
          <t>Stock proyectado disponible</t>
        </is>
      </c>
      <c r="D1855" s="67">
        <f>SUMIF(Inventario!$M$5:$M$505,"#"&amp;$A1853,Inventario!$C$5:$C$505)</f>
        <v/>
      </c>
      <c r="E1855" s="68">
        <f>D1855+E1854+E1857-E1853</f>
        <v/>
      </c>
      <c r="F1855" s="68">
        <f>E1855+F1854+F1857-F1853</f>
        <v/>
      </c>
      <c r="G1855" s="68">
        <f>F1855+G1854+G1857-G1853</f>
        <v/>
      </c>
      <c r="H1855" s="68">
        <f>G1855+H1854+H1857-H1853</f>
        <v/>
      </c>
      <c r="I1855" s="68">
        <f>H1855+I1854+I1857-I1853</f>
        <v/>
      </c>
      <c r="J1855" s="68">
        <f>I1855+J1854+J1857-J1853</f>
        <v/>
      </c>
      <c r="K1855" s="68">
        <f>J1855+K1854+K1857-K1853</f>
        <v/>
      </c>
      <c r="L1855" s="68">
        <f>K1855+L1854+L1857-L1853</f>
        <v/>
      </c>
      <c r="M1855" s="66" t="n"/>
    </row>
    <row r="1856">
      <c r="C1856" s="63" t="inlineStr">
        <is>
          <t>Necesidad neta</t>
        </is>
      </c>
      <c r="D1856" s="64" t="n"/>
      <c r="E1856" s="69">
        <f>MAX(0,ROUND(E1853+Materiales!$H$268-D1855-E1854,4))</f>
        <v/>
      </c>
      <c r="F1856" s="69">
        <f>MAX(0,ROUND(F1853+Materiales!$H$268-E1855-F1854,4))</f>
        <v/>
      </c>
      <c r="G1856" s="69">
        <f>MAX(0,ROUND(G1853+Materiales!$H$268-F1855-G1854,4))</f>
        <v/>
      </c>
      <c r="H1856" s="69">
        <f>MAX(0,ROUND(H1853+Materiales!$H$268-G1855-H1854,4))</f>
        <v/>
      </c>
      <c r="I1856" s="69">
        <f>MAX(0,ROUND(I1853+Materiales!$H$268-H1855-I1854,4))</f>
        <v/>
      </c>
      <c r="J1856" s="69">
        <f>MAX(0,ROUND(J1853+Materiales!$H$268-I1855-J1854,4))</f>
        <v/>
      </c>
      <c r="K1856" s="69">
        <f>MAX(0,ROUND(K1853+Materiales!$H$268-J1855-K1854,4))</f>
        <v/>
      </c>
      <c r="L1856" s="69">
        <f>MAX(0,ROUND(L1853+Materiales!$H$268-K1855-L1854,4))</f>
        <v/>
      </c>
      <c r="M1856" s="66" t="n"/>
    </row>
    <row r="1857">
      <c r="C1857" s="63" t="inlineStr">
        <is>
          <t>Recepcion de orden planificada</t>
        </is>
      </c>
      <c r="D1857" s="64" t="n"/>
      <c r="E1857" s="65">
        <f>IF(E1856&lt;=0,0,IF(Materiales!$G$268&lt;=0,E1856,ROUNDUP(E1856/Materiales!$G$268,0)*Materiales!$G$268))</f>
        <v/>
      </c>
      <c r="F1857" s="65">
        <f>IF(F1856&lt;=0,0,IF(Materiales!$G$268&lt;=0,F1856,ROUNDUP(F1856/Materiales!$G$268,0)*Materiales!$G$268))</f>
        <v/>
      </c>
      <c r="G1857" s="65">
        <f>IF(G1856&lt;=0,0,IF(Materiales!$G$268&lt;=0,G1856,ROUNDUP(G1856/Materiales!$G$268,0)*Materiales!$G$268))</f>
        <v/>
      </c>
      <c r="H1857" s="65">
        <f>IF(H1856&lt;=0,0,IF(Materiales!$G$268&lt;=0,H1856,ROUNDUP(H1856/Materiales!$G$268,0)*Materiales!$G$268))</f>
        <v/>
      </c>
      <c r="I1857" s="65">
        <f>IF(I1856&lt;=0,0,IF(Materiales!$G$268&lt;=0,I1856,ROUNDUP(I1856/Materiales!$G$268,0)*Materiales!$G$268))</f>
        <v/>
      </c>
      <c r="J1857" s="65">
        <f>IF(J1856&lt;=0,0,IF(Materiales!$G$268&lt;=0,J1856,ROUNDUP(J1856/Materiales!$G$268,0)*Materiales!$G$268))</f>
        <v/>
      </c>
      <c r="K1857" s="65">
        <f>IF(K1856&lt;=0,0,IF(Materiales!$G$268&lt;=0,K1856,ROUNDUP(K1856/Materiales!$G$268,0)*Materiales!$G$268))</f>
        <v/>
      </c>
      <c r="L1857" s="65">
        <f>IF(L1856&lt;=0,0,IF(Materiales!$G$268&lt;=0,L1856,ROUNDUP(L1856/Materiales!$G$268,0)*Materiales!$G$268))</f>
        <v/>
      </c>
      <c r="M1857" s="66" t="n"/>
    </row>
    <row r="1858">
      <c r="C1858" s="70" t="inlineStr">
        <is>
          <t>LANZAMIENTO DE ORDEN — pedir esta semana</t>
        </is>
      </c>
      <c r="D1858" s="64" t="n"/>
      <c r="E1858" s="71">
        <f>IF(1+Materiales!$F$268&gt;8,0,INDEX($E$1857:$L$1857,1,1+Materiales!$F$268))</f>
        <v/>
      </c>
      <c r="F1858" s="71">
        <f>IF(2+Materiales!$F$268&gt;8,0,INDEX($E$1857:$L$1857,1,2+Materiales!$F$268))</f>
        <v/>
      </c>
      <c r="G1858" s="71">
        <f>IF(3+Materiales!$F$268&gt;8,0,INDEX($E$1857:$L$1857,1,3+Materiales!$F$268))</f>
        <v/>
      </c>
      <c r="H1858" s="71">
        <f>IF(4+Materiales!$F$268&gt;8,0,INDEX($E$1857:$L$1857,1,4+Materiales!$F$268))</f>
        <v/>
      </c>
      <c r="I1858" s="71">
        <f>IF(5+Materiales!$F$268&gt;8,0,INDEX($E$1857:$L$1857,1,5+Materiales!$F$268))</f>
        <v/>
      </c>
      <c r="J1858" s="71">
        <f>IF(6+Materiales!$F$268&gt;8,0,INDEX($E$1857:$L$1857,1,6+Materiales!$F$268))</f>
        <v/>
      </c>
      <c r="K1858" s="71">
        <f>IF(7+Materiales!$F$268&gt;8,0,INDEX($E$1857:$L$1857,1,7+Materiales!$F$268))</f>
        <v/>
      </c>
      <c r="L1858" s="71">
        <f>IF(8+Materiales!$F$268&gt;8,0,INDEX($E$1857:$L$1857,1,8+Materiales!$F$268))</f>
        <v/>
      </c>
      <c r="M1858" s="72">
        <f>IF($A1853="","",IF(SUMPRODUCT((COLUMN($E$1857:$L$1857)-4&lt;=Materiales!$F$268)*$E$1857:$L$1857)&gt;0,"PEDIR YA (atrasado)","OK"))</f>
        <v/>
      </c>
    </row>
    <row r="1859" ht="6" customHeight="1"/>
    <row r="1860">
      <c r="A1860" s="62">
        <f>IF(Materiales!$A$269="","",Materiales!$A$269)</f>
        <v/>
      </c>
      <c r="B1860" s="62">
        <f>IF(Materiales!$B$269="","",Materiales!$B$269)</f>
        <v/>
      </c>
      <c r="C1860" s="63" t="inlineStr">
        <is>
          <t>Necesidad bruta</t>
        </is>
      </c>
      <c r="D1860" s="64" t="n"/>
      <c r="E1860" s="65">
        <f>ROUND(SUMIF(Consumo!$P$4:$P$189,"#"&amp;$A1860,Consumo!H$4:H$189),4)</f>
        <v/>
      </c>
      <c r="F1860" s="65">
        <f>ROUND(SUMIF(Consumo!$P$4:$P$189,"#"&amp;$A1860,Consumo!I$4:I$189),4)</f>
        <v/>
      </c>
      <c r="G1860" s="65">
        <f>ROUND(SUMIF(Consumo!$P$4:$P$189,"#"&amp;$A1860,Consumo!J$4:J$189),4)</f>
        <v/>
      </c>
      <c r="H1860" s="65">
        <f>ROUND(SUMIF(Consumo!$P$4:$P$189,"#"&amp;$A1860,Consumo!K$4:K$189),4)</f>
        <v/>
      </c>
      <c r="I1860" s="65">
        <f>ROUND(SUMIF(Consumo!$P$4:$P$189,"#"&amp;$A1860,Consumo!L$4:L$189),4)</f>
        <v/>
      </c>
      <c r="J1860" s="65">
        <f>ROUND(SUMIF(Consumo!$P$4:$P$189,"#"&amp;$A1860,Consumo!M$4:M$189),4)</f>
        <v/>
      </c>
      <c r="K1860" s="65">
        <f>ROUND(SUMIF(Consumo!$P$4:$P$189,"#"&amp;$A1860,Consumo!N$4:N$189),4)</f>
        <v/>
      </c>
      <c r="L1860" s="65">
        <f>ROUND(SUMIF(Consumo!$P$4:$P$189,"#"&amp;$A1860,Consumo!O$4:O$189),4)</f>
        <v/>
      </c>
      <c r="M1860" s="66" t="n"/>
    </row>
    <row r="1861">
      <c r="C1861" s="63" t="inlineStr">
        <is>
          <t>Recepciones programadas (ya pedido)</t>
        </is>
      </c>
      <c r="D1861" s="64" t="n"/>
      <c r="E1861" s="65">
        <f>SUMIF(Inventario!$M$5:$M$505,"#"&amp;$A1860,Inventario!E$5:E$505)</f>
        <v/>
      </c>
      <c r="F1861" s="65">
        <f>SUMIF(Inventario!$M$5:$M$505,"#"&amp;$A1860,Inventario!F$5:F$505)</f>
        <v/>
      </c>
      <c r="G1861" s="65">
        <f>SUMIF(Inventario!$M$5:$M$505,"#"&amp;$A1860,Inventario!G$5:G$505)</f>
        <v/>
      </c>
      <c r="H1861" s="65">
        <f>SUMIF(Inventario!$M$5:$M$505,"#"&amp;$A1860,Inventario!H$5:H$505)</f>
        <v/>
      </c>
      <c r="I1861" s="65">
        <f>SUMIF(Inventario!$M$5:$M$505,"#"&amp;$A1860,Inventario!I$5:I$505)</f>
        <v/>
      </c>
      <c r="J1861" s="65">
        <f>SUMIF(Inventario!$M$5:$M$505,"#"&amp;$A1860,Inventario!J$5:J$505)</f>
        <v/>
      </c>
      <c r="K1861" s="65">
        <f>SUMIF(Inventario!$M$5:$M$505,"#"&amp;$A1860,Inventario!K$5:K$505)</f>
        <v/>
      </c>
      <c r="L1861" s="65">
        <f>SUMIF(Inventario!$M$5:$M$505,"#"&amp;$A1860,Inventario!L$5:L$505)</f>
        <v/>
      </c>
      <c r="M1861" s="66" t="n"/>
    </row>
    <row r="1862">
      <c r="C1862" s="63" t="inlineStr">
        <is>
          <t>Stock proyectado disponible</t>
        </is>
      </c>
      <c r="D1862" s="67">
        <f>SUMIF(Inventario!$M$5:$M$505,"#"&amp;$A1860,Inventario!$C$5:$C$505)</f>
        <v/>
      </c>
      <c r="E1862" s="68">
        <f>D1862+E1861+E1864-E1860</f>
        <v/>
      </c>
      <c r="F1862" s="68">
        <f>E1862+F1861+F1864-F1860</f>
        <v/>
      </c>
      <c r="G1862" s="68">
        <f>F1862+G1861+G1864-G1860</f>
        <v/>
      </c>
      <c r="H1862" s="68">
        <f>G1862+H1861+H1864-H1860</f>
        <v/>
      </c>
      <c r="I1862" s="68">
        <f>H1862+I1861+I1864-I1860</f>
        <v/>
      </c>
      <c r="J1862" s="68">
        <f>I1862+J1861+J1864-J1860</f>
        <v/>
      </c>
      <c r="K1862" s="68">
        <f>J1862+K1861+K1864-K1860</f>
        <v/>
      </c>
      <c r="L1862" s="68">
        <f>K1862+L1861+L1864-L1860</f>
        <v/>
      </c>
      <c r="M1862" s="66" t="n"/>
    </row>
    <row r="1863">
      <c r="C1863" s="63" t="inlineStr">
        <is>
          <t>Necesidad neta</t>
        </is>
      </c>
      <c r="D1863" s="64" t="n"/>
      <c r="E1863" s="69">
        <f>MAX(0,ROUND(E1860+Materiales!$H$269-D1862-E1861,4))</f>
        <v/>
      </c>
      <c r="F1863" s="69">
        <f>MAX(0,ROUND(F1860+Materiales!$H$269-E1862-F1861,4))</f>
        <v/>
      </c>
      <c r="G1863" s="69">
        <f>MAX(0,ROUND(G1860+Materiales!$H$269-F1862-G1861,4))</f>
        <v/>
      </c>
      <c r="H1863" s="69">
        <f>MAX(0,ROUND(H1860+Materiales!$H$269-G1862-H1861,4))</f>
        <v/>
      </c>
      <c r="I1863" s="69">
        <f>MAX(0,ROUND(I1860+Materiales!$H$269-H1862-I1861,4))</f>
        <v/>
      </c>
      <c r="J1863" s="69">
        <f>MAX(0,ROUND(J1860+Materiales!$H$269-I1862-J1861,4))</f>
        <v/>
      </c>
      <c r="K1863" s="69">
        <f>MAX(0,ROUND(K1860+Materiales!$H$269-J1862-K1861,4))</f>
        <v/>
      </c>
      <c r="L1863" s="69">
        <f>MAX(0,ROUND(L1860+Materiales!$H$269-K1862-L1861,4))</f>
        <v/>
      </c>
      <c r="M1863" s="66" t="n"/>
    </row>
    <row r="1864">
      <c r="C1864" s="63" t="inlineStr">
        <is>
          <t>Recepcion de orden planificada</t>
        </is>
      </c>
      <c r="D1864" s="64" t="n"/>
      <c r="E1864" s="65">
        <f>IF(E1863&lt;=0,0,IF(Materiales!$G$269&lt;=0,E1863,ROUNDUP(E1863/Materiales!$G$269,0)*Materiales!$G$269))</f>
        <v/>
      </c>
      <c r="F1864" s="65">
        <f>IF(F1863&lt;=0,0,IF(Materiales!$G$269&lt;=0,F1863,ROUNDUP(F1863/Materiales!$G$269,0)*Materiales!$G$269))</f>
        <v/>
      </c>
      <c r="G1864" s="65">
        <f>IF(G1863&lt;=0,0,IF(Materiales!$G$269&lt;=0,G1863,ROUNDUP(G1863/Materiales!$G$269,0)*Materiales!$G$269))</f>
        <v/>
      </c>
      <c r="H1864" s="65">
        <f>IF(H1863&lt;=0,0,IF(Materiales!$G$269&lt;=0,H1863,ROUNDUP(H1863/Materiales!$G$269,0)*Materiales!$G$269))</f>
        <v/>
      </c>
      <c r="I1864" s="65">
        <f>IF(I1863&lt;=0,0,IF(Materiales!$G$269&lt;=0,I1863,ROUNDUP(I1863/Materiales!$G$269,0)*Materiales!$G$269))</f>
        <v/>
      </c>
      <c r="J1864" s="65">
        <f>IF(J1863&lt;=0,0,IF(Materiales!$G$269&lt;=0,J1863,ROUNDUP(J1863/Materiales!$G$269,0)*Materiales!$G$269))</f>
        <v/>
      </c>
      <c r="K1864" s="65">
        <f>IF(K1863&lt;=0,0,IF(Materiales!$G$269&lt;=0,K1863,ROUNDUP(K1863/Materiales!$G$269,0)*Materiales!$G$269))</f>
        <v/>
      </c>
      <c r="L1864" s="65">
        <f>IF(L1863&lt;=0,0,IF(Materiales!$G$269&lt;=0,L1863,ROUNDUP(L1863/Materiales!$G$269,0)*Materiales!$G$269))</f>
        <v/>
      </c>
      <c r="M1864" s="66" t="n"/>
    </row>
    <row r="1865">
      <c r="C1865" s="70" t="inlineStr">
        <is>
          <t>LANZAMIENTO DE ORDEN — pedir esta semana</t>
        </is>
      </c>
      <c r="D1865" s="64" t="n"/>
      <c r="E1865" s="71">
        <f>IF(1+Materiales!$F$269&gt;8,0,INDEX($E$1864:$L$1864,1,1+Materiales!$F$269))</f>
        <v/>
      </c>
      <c r="F1865" s="71">
        <f>IF(2+Materiales!$F$269&gt;8,0,INDEX($E$1864:$L$1864,1,2+Materiales!$F$269))</f>
        <v/>
      </c>
      <c r="G1865" s="71">
        <f>IF(3+Materiales!$F$269&gt;8,0,INDEX($E$1864:$L$1864,1,3+Materiales!$F$269))</f>
        <v/>
      </c>
      <c r="H1865" s="71">
        <f>IF(4+Materiales!$F$269&gt;8,0,INDEX($E$1864:$L$1864,1,4+Materiales!$F$269))</f>
        <v/>
      </c>
      <c r="I1865" s="71">
        <f>IF(5+Materiales!$F$269&gt;8,0,INDEX($E$1864:$L$1864,1,5+Materiales!$F$269))</f>
        <v/>
      </c>
      <c r="J1865" s="71">
        <f>IF(6+Materiales!$F$269&gt;8,0,INDEX($E$1864:$L$1864,1,6+Materiales!$F$269))</f>
        <v/>
      </c>
      <c r="K1865" s="71">
        <f>IF(7+Materiales!$F$269&gt;8,0,INDEX($E$1864:$L$1864,1,7+Materiales!$F$269))</f>
        <v/>
      </c>
      <c r="L1865" s="71">
        <f>IF(8+Materiales!$F$269&gt;8,0,INDEX($E$1864:$L$1864,1,8+Materiales!$F$269))</f>
        <v/>
      </c>
      <c r="M1865" s="72">
        <f>IF($A1860="","",IF(SUMPRODUCT((COLUMN($E$1864:$L$1864)-4&lt;=Materiales!$F$269)*$E$1864:$L$1864)&gt;0,"PEDIR YA (atrasado)","OK"))</f>
        <v/>
      </c>
    </row>
    <row r="1866" ht="6" customHeight="1"/>
    <row r="1867">
      <c r="A1867" s="62">
        <f>IF(Materiales!$A$270="","",Materiales!$A$270)</f>
        <v/>
      </c>
      <c r="B1867" s="62">
        <f>IF(Materiales!$B$270="","",Materiales!$B$270)</f>
        <v/>
      </c>
      <c r="C1867" s="63" t="inlineStr">
        <is>
          <t>Necesidad bruta</t>
        </is>
      </c>
      <c r="D1867" s="64" t="n"/>
      <c r="E1867" s="65">
        <f>ROUND(SUMIF(Consumo!$P$4:$P$189,"#"&amp;$A1867,Consumo!H$4:H$189),4)</f>
        <v/>
      </c>
      <c r="F1867" s="65">
        <f>ROUND(SUMIF(Consumo!$P$4:$P$189,"#"&amp;$A1867,Consumo!I$4:I$189),4)</f>
        <v/>
      </c>
      <c r="G1867" s="65">
        <f>ROUND(SUMIF(Consumo!$P$4:$P$189,"#"&amp;$A1867,Consumo!J$4:J$189),4)</f>
        <v/>
      </c>
      <c r="H1867" s="65">
        <f>ROUND(SUMIF(Consumo!$P$4:$P$189,"#"&amp;$A1867,Consumo!K$4:K$189),4)</f>
        <v/>
      </c>
      <c r="I1867" s="65">
        <f>ROUND(SUMIF(Consumo!$P$4:$P$189,"#"&amp;$A1867,Consumo!L$4:L$189),4)</f>
        <v/>
      </c>
      <c r="J1867" s="65">
        <f>ROUND(SUMIF(Consumo!$P$4:$P$189,"#"&amp;$A1867,Consumo!M$4:M$189),4)</f>
        <v/>
      </c>
      <c r="K1867" s="65">
        <f>ROUND(SUMIF(Consumo!$P$4:$P$189,"#"&amp;$A1867,Consumo!N$4:N$189),4)</f>
        <v/>
      </c>
      <c r="L1867" s="65">
        <f>ROUND(SUMIF(Consumo!$P$4:$P$189,"#"&amp;$A1867,Consumo!O$4:O$189),4)</f>
        <v/>
      </c>
      <c r="M1867" s="66" t="n"/>
    </row>
    <row r="1868">
      <c r="C1868" s="63" t="inlineStr">
        <is>
          <t>Recepciones programadas (ya pedido)</t>
        </is>
      </c>
      <c r="D1868" s="64" t="n"/>
      <c r="E1868" s="65">
        <f>SUMIF(Inventario!$M$5:$M$505,"#"&amp;$A1867,Inventario!E$5:E$505)</f>
        <v/>
      </c>
      <c r="F1868" s="65">
        <f>SUMIF(Inventario!$M$5:$M$505,"#"&amp;$A1867,Inventario!F$5:F$505)</f>
        <v/>
      </c>
      <c r="G1868" s="65">
        <f>SUMIF(Inventario!$M$5:$M$505,"#"&amp;$A1867,Inventario!G$5:G$505)</f>
        <v/>
      </c>
      <c r="H1868" s="65">
        <f>SUMIF(Inventario!$M$5:$M$505,"#"&amp;$A1867,Inventario!H$5:H$505)</f>
        <v/>
      </c>
      <c r="I1868" s="65">
        <f>SUMIF(Inventario!$M$5:$M$505,"#"&amp;$A1867,Inventario!I$5:I$505)</f>
        <v/>
      </c>
      <c r="J1868" s="65">
        <f>SUMIF(Inventario!$M$5:$M$505,"#"&amp;$A1867,Inventario!J$5:J$505)</f>
        <v/>
      </c>
      <c r="K1868" s="65">
        <f>SUMIF(Inventario!$M$5:$M$505,"#"&amp;$A1867,Inventario!K$5:K$505)</f>
        <v/>
      </c>
      <c r="L1868" s="65">
        <f>SUMIF(Inventario!$M$5:$M$505,"#"&amp;$A1867,Inventario!L$5:L$505)</f>
        <v/>
      </c>
      <c r="M1868" s="66" t="n"/>
    </row>
    <row r="1869">
      <c r="C1869" s="63" t="inlineStr">
        <is>
          <t>Stock proyectado disponible</t>
        </is>
      </c>
      <c r="D1869" s="67">
        <f>SUMIF(Inventario!$M$5:$M$505,"#"&amp;$A1867,Inventario!$C$5:$C$505)</f>
        <v/>
      </c>
      <c r="E1869" s="68">
        <f>D1869+E1868+E1871-E1867</f>
        <v/>
      </c>
      <c r="F1869" s="68">
        <f>E1869+F1868+F1871-F1867</f>
        <v/>
      </c>
      <c r="G1869" s="68">
        <f>F1869+G1868+G1871-G1867</f>
        <v/>
      </c>
      <c r="H1869" s="68">
        <f>G1869+H1868+H1871-H1867</f>
        <v/>
      </c>
      <c r="I1869" s="68">
        <f>H1869+I1868+I1871-I1867</f>
        <v/>
      </c>
      <c r="J1869" s="68">
        <f>I1869+J1868+J1871-J1867</f>
        <v/>
      </c>
      <c r="K1869" s="68">
        <f>J1869+K1868+K1871-K1867</f>
        <v/>
      </c>
      <c r="L1869" s="68">
        <f>K1869+L1868+L1871-L1867</f>
        <v/>
      </c>
      <c r="M1869" s="66" t="n"/>
    </row>
    <row r="1870">
      <c r="C1870" s="63" t="inlineStr">
        <is>
          <t>Necesidad neta</t>
        </is>
      </c>
      <c r="D1870" s="64" t="n"/>
      <c r="E1870" s="69">
        <f>MAX(0,ROUND(E1867+Materiales!$H$270-D1869-E1868,4))</f>
        <v/>
      </c>
      <c r="F1870" s="69">
        <f>MAX(0,ROUND(F1867+Materiales!$H$270-E1869-F1868,4))</f>
        <v/>
      </c>
      <c r="G1870" s="69">
        <f>MAX(0,ROUND(G1867+Materiales!$H$270-F1869-G1868,4))</f>
        <v/>
      </c>
      <c r="H1870" s="69">
        <f>MAX(0,ROUND(H1867+Materiales!$H$270-G1869-H1868,4))</f>
        <v/>
      </c>
      <c r="I1870" s="69">
        <f>MAX(0,ROUND(I1867+Materiales!$H$270-H1869-I1868,4))</f>
        <v/>
      </c>
      <c r="J1870" s="69">
        <f>MAX(0,ROUND(J1867+Materiales!$H$270-I1869-J1868,4))</f>
        <v/>
      </c>
      <c r="K1870" s="69">
        <f>MAX(0,ROUND(K1867+Materiales!$H$270-J1869-K1868,4))</f>
        <v/>
      </c>
      <c r="L1870" s="69">
        <f>MAX(0,ROUND(L1867+Materiales!$H$270-K1869-L1868,4))</f>
        <v/>
      </c>
      <c r="M1870" s="66" t="n"/>
    </row>
    <row r="1871">
      <c r="C1871" s="63" t="inlineStr">
        <is>
          <t>Recepcion de orden planificada</t>
        </is>
      </c>
      <c r="D1871" s="64" t="n"/>
      <c r="E1871" s="65">
        <f>IF(E1870&lt;=0,0,IF(Materiales!$G$270&lt;=0,E1870,ROUNDUP(E1870/Materiales!$G$270,0)*Materiales!$G$270))</f>
        <v/>
      </c>
      <c r="F1871" s="65">
        <f>IF(F1870&lt;=0,0,IF(Materiales!$G$270&lt;=0,F1870,ROUNDUP(F1870/Materiales!$G$270,0)*Materiales!$G$270))</f>
        <v/>
      </c>
      <c r="G1871" s="65">
        <f>IF(G1870&lt;=0,0,IF(Materiales!$G$270&lt;=0,G1870,ROUNDUP(G1870/Materiales!$G$270,0)*Materiales!$G$270))</f>
        <v/>
      </c>
      <c r="H1871" s="65">
        <f>IF(H1870&lt;=0,0,IF(Materiales!$G$270&lt;=0,H1870,ROUNDUP(H1870/Materiales!$G$270,0)*Materiales!$G$270))</f>
        <v/>
      </c>
      <c r="I1871" s="65">
        <f>IF(I1870&lt;=0,0,IF(Materiales!$G$270&lt;=0,I1870,ROUNDUP(I1870/Materiales!$G$270,0)*Materiales!$G$270))</f>
        <v/>
      </c>
      <c r="J1871" s="65">
        <f>IF(J1870&lt;=0,0,IF(Materiales!$G$270&lt;=0,J1870,ROUNDUP(J1870/Materiales!$G$270,0)*Materiales!$G$270))</f>
        <v/>
      </c>
      <c r="K1871" s="65">
        <f>IF(K1870&lt;=0,0,IF(Materiales!$G$270&lt;=0,K1870,ROUNDUP(K1870/Materiales!$G$270,0)*Materiales!$G$270))</f>
        <v/>
      </c>
      <c r="L1871" s="65">
        <f>IF(L1870&lt;=0,0,IF(Materiales!$G$270&lt;=0,L1870,ROUNDUP(L1870/Materiales!$G$270,0)*Materiales!$G$270))</f>
        <v/>
      </c>
      <c r="M1871" s="66" t="n"/>
    </row>
    <row r="1872">
      <c r="C1872" s="70" t="inlineStr">
        <is>
          <t>LANZAMIENTO DE ORDEN — pedir esta semana</t>
        </is>
      </c>
      <c r="D1872" s="64" t="n"/>
      <c r="E1872" s="71">
        <f>IF(1+Materiales!$F$270&gt;8,0,INDEX($E$1871:$L$1871,1,1+Materiales!$F$270))</f>
        <v/>
      </c>
      <c r="F1872" s="71">
        <f>IF(2+Materiales!$F$270&gt;8,0,INDEX($E$1871:$L$1871,1,2+Materiales!$F$270))</f>
        <v/>
      </c>
      <c r="G1872" s="71">
        <f>IF(3+Materiales!$F$270&gt;8,0,INDEX($E$1871:$L$1871,1,3+Materiales!$F$270))</f>
        <v/>
      </c>
      <c r="H1872" s="71">
        <f>IF(4+Materiales!$F$270&gt;8,0,INDEX($E$1871:$L$1871,1,4+Materiales!$F$270))</f>
        <v/>
      </c>
      <c r="I1872" s="71">
        <f>IF(5+Materiales!$F$270&gt;8,0,INDEX($E$1871:$L$1871,1,5+Materiales!$F$270))</f>
        <v/>
      </c>
      <c r="J1872" s="71">
        <f>IF(6+Materiales!$F$270&gt;8,0,INDEX($E$1871:$L$1871,1,6+Materiales!$F$270))</f>
        <v/>
      </c>
      <c r="K1872" s="71">
        <f>IF(7+Materiales!$F$270&gt;8,0,INDEX($E$1871:$L$1871,1,7+Materiales!$F$270))</f>
        <v/>
      </c>
      <c r="L1872" s="71">
        <f>IF(8+Materiales!$F$270&gt;8,0,INDEX($E$1871:$L$1871,1,8+Materiales!$F$270))</f>
        <v/>
      </c>
      <c r="M1872" s="72">
        <f>IF($A1867="","",IF(SUMPRODUCT((COLUMN($E$1871:$L$1871)-4&lt;=Materiales!$F$270)*$E$1871:$L$1871)&gt;0,"PEDIR YA (atrasado)","OK"))</f>
        <v/>
      </c>
    </row>
    <row r="1873" ht="6" customHeight="1"/>
    <row r="1874">
      <c r="A1874" s="62">
        <f>IF(Materiales!$A$271="","",Materiales!$A$271)</f>
        <v/>
      </c>
      <c r="B1874" s="62">
        <f>IF(Materiales!$B$271="","",Materiales!$B$271)</f>
        <v/>
      </c>
      <c r="C1874" s="63" t="inlineStr">
        <is>
          <t>Necesidad bruta</t>
        </is>
      </c>
      <c r="D1874" s="64" t="n"/>
      <c r="E1874" s="65">
        <f>ROUND(SUMIF(Consumo!$P$4:$P$189,"#"&amp;$A1874,Consumo!H$4:H$189),4)</f>
        <v/>
      </c>
      <c r="F1874" s="65">
        <f>ROUND(SUMIF(Consumo!$P$4:$P$189,"#"&amp;$A1874,Consumo!I$4:I$189),4)</f>
        <v/>
      </c>
      <c r="G1874" s="65">
        <f>ROUND(SUMIF(Consumo!$P$4:$P$189,"#"&amp;$A1874,Consumo!J$4:J$189),4)</f>
        <v/>
      </c>
      <c r="H1874" s="65">
        <f>ROUND(SUMIF(Consumo!$P$4:$P$189,"#"&amp;$A1874,Consumo!K$4:K$189),4)</f>
        <v/>
      </c>
      <c r="I1874" s="65">
        <f>ROUND(SUMIF(Consumo!$P$4:$P$189,"#"&amp;$A1874,Consumo!L$4:L$189),4)</f>
        <v/>
      </c>
      <c r="J1874" s="65">
        <f>ROUND(SUMIF(Consumo!$P$4:$P$189,"#"&amp;$A1874,Consumo!M$4:M$189),4)</f>
        <v/>
      </c>
      <c r="K1874" s="65">
        <f>ROUND(SUMIF(Consumo!$P$4:$P$189,"#"&amp;$A1874,Consumo!N$4:N$189),4)</f>
        <v/>
      </c>
      <c r="L1874" s="65">
        <f>ROUND(SUMIF(Consumo!$P$4:$P$189,"#"&amp;$A1874,Consumo!O$4:O$189),4)</f>
        <v/>
      </c>
      <c r="M1874" s="66" t="n"/>
    </row>
    <row r="1875">
      <c r="C1875" s="63" t="inlineStr">
        <is>
          <t>Recepciones programadas (ya pedido)</t>
        </is>
      </c>
      <c r="D1875" s="64" t="n"/>
      <c r="E1875" s="65">
        <f>SUMIF(Inventario!$M$5:$M$505,"#"&amp;$A1874,Inventario!E$5:E$505)</f>
        <v/>
      </c>
      <c r="F1875" s="65">
        <f>SUMIF(Inventario!$M$5:$M$505,"#"&amp;$A1874,Inventario!F$5:F$505)</f>
        <v/>
      </c>
      <c r="G1875" s="65">
        <f>SUMIF(Inventario!$M$5:$M$505,"#"&amp;$A1874,Inventario!G$5:G$505)</f>
        <v/>
      </c>
      <c r="H1875" s="65">
        <f>SUMIF(Inventario!$M$5:$M$505,"#"&amp;$A1874,Inventario!H$5:H$505)</f>
        <v/>
      </c>
      <c r="I1875" s="65">
        <f>SUMIF(Inventario!$M$5:$M$505,"#"&amp;$A1874,Inventario!I$5:I$505)</f>
        <v/>
      </c>
      <c r="J1875" s="65">
        <f>SUMIF(Inventario!$M$5:$M$505,"#"&amp;$A1874,Inventario!J$5:J$505)</f>
        <v/>
      </c>
      <c r="K1875" s="65">
        <f>SUMIF(Inventario!$M$5:$M$505,"#"&amp;$A1874,Inventario!K$5:K$505)</f>
        <v/>
      </c>
      <c r="L1875" s="65">
        <f>SUMIF(Inventario!$M$5:$M$505,"#"&amp;$A1874,Inventario!L$5:L$505)</f>
        <v/>
      </c>
      <c r="M1875" s="66" t="n"/>
    </row>
    <row r="1876">
      <c r="C1876" s="63" t="inlineStr">
        <is>
          <t>Stock proyectado disponible</t>
        </is>
      </c>
      <c r="D1876" s="67">
        <f>SUMIF(Inventario!$M$5:$M$505,"#"&amp;$A1874,Inventario!$C$5:$C$505)</f>
        <v/>
      </c>
      <c r="E1876" s="68">
        <f>D1876+E1875+E1878-E1874</f>
        <v/>
      </c>
      <c r="F1876" s="68">
        <f>E1876+F1875+F1878-F1874</f>
        <v/>
      </c>
      <c r="G1876" s="68">
        <f>F1876+G1875+G1878-G1874</f>
        <v/>
      </c>
      <c r="H1876" s="68">
        <f>G1876+H1875+H1878-H1874</f>
        <v/>
      </c>
      <c r="I1876" s="68">
        <f>H1876+I1875+I1878-I1874</f>
        <v/>
      </c>
      <c r="J1876" s="68">
        <f>I1876+J1875+J1878-J1874</f>
        <v/>
      </c>
      <c r="K1876" s="68">
        <f>J1876+K1875+K1878-K1874</f>
        <v/>
      </c>
      <c r="L1876" s="68">
        <f>K1876+L1875+L1878-L1874</f>
        <v/>
      </c>
      <c r="M1876" s="66" t="n"/>
    </row>
    <row r="1877">
      <c r="C1877" s="63" t="inlineStr">
        <is>
          <t>Necesidad neta</t>
        </is>
      </c>
      <c r="D1877" s="64" t="n"/>
      <c r="E1877" s="69">
        <f>MAX(0,ROUND(E1874+Materiales!$H$271-D1876-E1875,4))</f>
        <v/>
      </c>
      <c r="F1877" s="69">
        <f>MAX(0,ROUND(F1874+Materiales!$H$271-E1876-F1875,4))</f>
        <v/>
      </c>
      <c r="G1877" s="69">
        <f>MAX(0,ROUND(G1874+Materiales!$H$271-F1876-G1875,4))</f>
        <v/>
      </c>
      <c r="H1877" s="69">
        <f>MAX(0,ROUND(H1874+Materiales!$H$271-G1876-H1875,4))</f>
        <v/>
      </c>
      <c r="I1877" s="69">
        <f>MAX(0,ROUND(I1874+Materiales!$H$271-H1876-I1875,4))</f>
        <v/>
      </c>
      <c r="J1877" s="69">
        <f>MAX(0,ROUND(J1874+Materiales!$H$271-I1876-J1875,4))</f>
        <v/>
      </c>
      <c r="K1877" s="69">
        <f>MAX(0,ROUND(K1874+Materiales!$H$271-J1876-K1875,4))</f>
        <v/>
      </c>
      <c r="L1877" s="69">
        <f>MAX(0,ROUND(L1874+Materiales!$H$271-K1876-L1875,4))</f>
        <v/>
      </c>
      <c r="M1877" s="66" t="n"/>
    </row>
    <row r="1878">
      <c r="C1878" s="63" t="inlineStr">
        <is>
          <t>Recepcion de orden planificada</t>
        </is>
      </c>
      <c r="D1878" s="64" t="n"/>
      <c r="E1878" s="65">
        <f>IF(E1877&lt;=0,0,IF(Materiales!$G$271&lt;=0,E1877,ROUNDUP(E1877/Materiales!$G$271,0)*Materiales!$G$271))</f>
        <v/>
      </c>
      <c r="F1878" s="65">
        <f>IF(F1877&lt;=0,0,IF(Materiales!$G$271&lt;=0,F1877,ROUNDUP(F1877/Materiales!$G$271,0)*Materiales!$G$271))</f>
        <v/>
      </c>
      <c r="G1878" s="65">
        <f>IF(G1877&lt;=0,0,IF(Materiales!$G$271&lt;=0,G1877,ROUNDUP(G1877/Materiales!$G$271,0)*Materiales!$G$271))</f>
        <v/>
      </c>
      <c r="H1878" s="65">
        <f>IF(H1877&lt;=0,0,IF(Materiales!$G$271&lt;=0,H1877,ROUNDUP(H1877/Materiales!$G$271,0)*Materiales!$G$271))</f>
        <v/>
      </c>
      <c r="I1878" s="65">
        <f>IF(I1877&lt;=0,0,IF(Materiales!$G$271&lt;=0,I1877,ROUNDUP(I1877/Materiales!$G$271,0)*Materiales!$G$271))</f>
        <v/>
      </c>
      <c r="J1878" s="65">
        <f>IF(J1877&lt;=0,0,IF(Materiales!$G$271&lt;=0,J1877,ROUNDUP(J1877/Materiales!$G$271,0)*Materiales!$G$271))</f>
        <v/>
      </c>
      <c r="K1878" s="65">
        <f>IF(K1877&lt;=0,0,IF(Materiales!$G$271&lt;=0,K1877,ROUNDUP(K1877/Materiales!$G$271,0)*Materiales!$G$271))</f>
        <v/>
      </c>
      <c r="L1878" s="65">
        <f>IF(L1877&lt;=0,0,IF(Materiales!$G$271&lt;=0,L1877,ROUNDUP(L1877/Materiales!$G$271,0)*Materiales!$G$271))</f>
        <v/>
      </c>
      <c r="M1878" s="66" t="n"/>
    </row>
    <row r="1879">
      <c r="C1879" s="70" t="inlineStr">
        <is>
          <t>LANZAMIENTO DE ORDEN — pedir esta semana</t>
        </is>
      </c>
      <c r="D1879" s="64" t="n"/>
      <c r="E1879" s="71">
        <f>IF(1+Materiales!$F$271&gt;8,0,INDEX($E$1878:$L$1878,1,1+Materiales!$F$271))</f>
        <v/>
      </c>
      <c r="F1879" s="71">
        <f>IF(2+Materiales!$F$271&gt;8,0,INDEX($E$1878:$L$1878,1,2+Materiales!$F$271))</f>
        <v/>
      </c>
      <c r="G1879" s="71">
        <f>IF(3+Materiales!$F$271&gt;8,0,INDEX($E$1878:$L$1878,1,3+Materiales!$F$271))</f>
        <v/>
      </c>
      <c r="H1879" s="71">
        <f>IF(4+Materiales!$F$271&gt;8,0,INDEX($E$1878:$L$1878,1,4+Materiales!$F$271))</f>
        <v/>
      </c>
      <c r="I1879" s="71">
        <f>IF(5+Materiales!$F$271&gt;8,0,INDEX($E$1878:$L$1878,1,5+Materiales!$F$271))</f>
        <v/>
      </c>
      <c r="J1879" s="71">
        <f>IF(6+Materiales!$F$271&gt;8,0,INDEX($E$1878:$L$1878,1,6+Materiales!$F$271))</f>
        <v/>
      </c>
      <c r="K1879" s="71">
        <f>IF(7+Materiales!$F$271&gt;8,0,INDEX($E$1878:$L$1878,1,7+Materiales!$F$271))</f>
        <v/>
      </c>
      <c r="L1879" s="71">
        <f>IF(8+Materiales!$F$271&gt;8,0,INDEX($E$1878:$L$1878,1,8+Materiales!$F$271))</f>
        <v/>
      </c>
      <c r="M1879" s="72">
        <f>IF($A1874="","",IF(SUMPRODUCT((COLUMN($E$1878:$L$1878)-4&lt;=Materiales!$F$271)*$E$1878:$L$1878)&gt;0,"PEDIR YA (atrasado)","OK"))</f>
        <v/>
      </c>
    </row>
    <row r="1880" ht="6" customHeight="1"/>
    <row r="1881">
      <c r="A1881" s="62">
        <f>IF(Materiales!$A$272="","",Materiales!$A$272)</f>
        <v/>
      </c>
      <c r="B1881" s="62">
        <f>IF(Materiales!$B$272="","",Materiales!$B$272)</f>
        <v/>
      </c>
      <c r="C1881" s="63" t="inlineStr">
        <is>
          <t>Necesidad bruta</t>
        </is>
      </c>
      <c r="D1881" s="64" t="n"/>
      <c r="E1881" s="65">
        <f>ROUND(SUMIF(Consumo!$P$4:$P$189,"#"&amp;$A1881,Consumo!H$4:H$189),4)</f>
        <v/>
      </c>
      <c r="F1881" s="65">
        <f>ROUND(SUMIF(Consumo!$P$4:$P$189,"#"&amp;$A1881,Consumo!I$4:I$189),4)</f>
        <v/>
      </c>
      <c r="G1881" s="65">
        <f>ROUND(SUMIF(Consumo!$P$4:$P$189,"#"&amp;$A1881,Consumo!J$4:J$189),4)</f>
        <v/>
      </c>
      <c r="H1881" s="65">
        <f>ROUND(SUMIF(Consumo!$P$4:$P$189,"#"&amp;$A1881,Consumo!K$4:K$189),4)</f>
        <v/>
      </c>
      <c r="I1881" s="65">
        <f>ROUND(SUMIF(Consumo!$P$4:$P$189,"#"&amp;$A1881,Consumo!L$4:L$189),4)</f>
        <v/>
      </c>
      <c r="J1881" s="65">
        <f>ROUND(SUMIF(Consumo!$P$4:$P$189,"#"&amp;$A1881,Consumo!M$4:M$189),4)</f>
        <v/>
      </c>
      <c r="K1881" s="65">
        <f>ROUND(SUMIF(Consumo!$P$4:$P$189,"#"&amp;$A1881,Consumo!N$4:N$189),4)</f>
        <v/>
      </c>
      <c r="L1881" s="65">
        <f>ROUND(SUMIF(Consumo!$P$4:$P$189,"#"&amp;$A1881,Consumo!O$4:O$189),4)</f>
        <v/>
      </c>
      <c r="M1881" s="66" t="n"/>
    </row>
    <row r="1882">
      <c r="C1882" s="63" t="inlineStr">
        <is>
          <t>Recepciones programadas (ya pedido)</t>
        </is>
      </c>
      <c r="D1882" s="64" t="n"/>
      <c r="E1882" s="65">
        <f>SUMIF(Inventario!$M$5:$M$505,"#"&amp;$A1881,Inventario!E$5:E$505)</f>
        <v/>
      </c>
      <c r="F1882" s="65">
        <f>SUMIF(Inventario!$M$5:$M$505,"#"&amp;$A1881,Inventario!F$5:F$505)</f>
        <v/>
      </c>
      <c r="G1882" s="65">
        <f>SUMIF(Inventario!$M$5:$M$505,"#"&amp;$A1881,Inventario!G$5:G$505)</f>
        <v/>
      </c>
      <c r="H1882" s="65">
        <f>SUMIF(Inventario!$M$5:$M$505,"#"&amp;$A1881,Inventario!H$5:H$505)</f>
        <v/>
      </c>
      <c r="I1882" s="65">
        <f>SUMIF(Inventario!$M$5:$M$505,"#"&amp;$A1881,Inventario!I$5:I$505)</f>
        <v/>
      </c>
      <c r="J1882" s="65">
        <f>SUMIF(Inventario!$M$5:$M$505,"#"&amp;$A1881,Inventario!J$5:J$505)</f>
        <v/>
      </c>
      <c r="K1882" s="65">
        <f>SUMIF(Inventario!$M$5:$M$505,"#"&amp;$A1881,Inventario!K$5:K$505)</f>
        <v/>
      </c>
      <c r="L1882" s="65">
        <f>SUMIF(Inventario!$M$5:$M$505,"#"&amp;$A1881,Inventario!L$5:L$505)</f>
        <v/>
      </c>
      <c r="M1882" s="66" t="n"/>
    </row>
    <row r="1883">
      <c r="C1883" s="63" t="inlineStr">
        <is>
          <t>Stock proyectado disponible</t>
        </is>
      </c>
      <c r="D1883" s="67">
        <f>SUMIF(Inventario!$M$5:$M$505,"#"&amp;$A1881,Inventario!$C$5:$C$505)</f>
        <v/>
      </c>
      <c r="E1883" s="68">
        <f>D1883+E1882+E1885-E1881</f>
        <v/>
      </c>
      <c r="F1883" s="68">
        <f>E1883+F1882+F1885-F1881</f>
        <v/>
      </c>
      <c r="G1883" s="68">
        <f>F1883+G1882+G1885-G1881</f>
        <v/>
      </c>
      <c r="H1883" s="68">
        <f>G1883+H1882+H1885-H1881</f>
        <v/>
      </c>
      <c r="I1883" s="68">
        <f>H1883+I1882+I1885-I1881</f>
        <v/>
      </c>
      <c r="J1883" s="68">
        <f>I1883+J1882+J1885-J1881</f>
        <v/>
      </c>
      <c r="K1883" s="68">
        <f>J1883+K1882+K1885-K1881</f>
        <v/>
      </c>
      <c r="L1883" s="68">
        <f>K1883+L1882+L1885-L1881</f>
        <v/>
      </c>
      <c r="M1883" s="66" t="n"/>
    </row>
    <row r="1884">
      <c r="C1884" s="63" t="inlineStr">
        <is>
          <t>Necesidad neta</t>
        </is>
      </c>
      <c r="D1884" s="64" t="n"/>
      <c r="E1884" s="69">
        <f>MAX(0,ROUND(E1881+Materiales!$H$272-D1883-E1882,4))</f>
        <v/>
      </c>
      <c r="F1884" s="69">
        <f>MAX(0,ROUND(F1881+Materiales!$H$272-E1883-F1882,4))</f>
        <v/>
      </c>
      <c r="G1884" s="69">
        <f>MAX(0,ROUND(G1881+Materiales!$H$272-F1883-G1882,4))</f>
        <v/>
      </c>
      <c r="H1884" s="69">
        <f>MAX(0,ROUND(H1881+Materiales!$H$272-G1883-H1882,4))</f>
        <v/>
      </c>
      <c r="I1884" s="69">
        <f>MAX(0,ROUND(I1881+Materiales!$H$272-H1883-I1882,4))</f>
        <v/>
      </c>
      <c r="J1884" s="69">
        <f>MAX(0,ROUND(J1881+Materiales!$H$272-I1883-J1882,4))</f>
        <v/>
      </c>
      <c r="K1884" s="69">
        <f>MAX(0,ROUND(K1881+Materiales!$H$272-J1883-K1882,4))</f>
        <v/>
      </c>
      <c r="L1884" s="69">
        <f>MAX(0,ROUND(L1881+Materiales!$H$272-K1883-L1882,4))</f>
        <v/>
      </c>
      <c r="M1884" s="66" t="n"/>
    </row>
    <row r="1885">
      <c r="C1885" s="63" t="inlineStr">
        <is>
          <t>Recepcion de orden planificada</t>
        </is>
      </c>
      <c r="D1885" s="64" t="n"/>
      <c r="E1885" s="65">
        <f>IF(E1884&lt;=0,0,IF(Materiales!$G$272&lt;=0,E1884,ROUNDUP(E1884/Materiales!$G$272,0)*Materiales!$G$272))</f>
        <v/>
      </c>
      <c r="F1885" s="65">
        <f>IF(F1884&lt;=0,0,IF(Materiales!$G$272&lt;=0,F1884,ROUNDUP(F1884/Materiales!$G$272,0)*Materiales!$G$272))</f>
        <v/>
      </c>
      <c r="G1885" s="65">
        <f>IF(G1884&lt;=0,0,IF(Materiales!$G$272&lt;=0,G1884,ROUNDUP(G1884/Materiales!$G$272,0)*Materiales!$G$272))</f>
        <v/>
      </c>
      <c r="H1885" s="65">
        <f>IF(H1884&lt;=0,0,IF(Materiales!$G$272&lt;=0,H1884,ROUNDUP(H1884/Materiales!$G$272,0)*Materiales!$G$272))</f>
        <v/>
      </c>
      <c r="I1885" s="65">
        <f>IF(I1884&lt;=0,0,IF(Materiales!$G$272&lt;=0,I1884,ROUNDUP(I1884/Materiales!$G$272,0)*Materiales!$G$272))</f>
        <v/>
      </c>
      <c r="J1885" s="65">
        <f>IF(J1884&lt;=0,0,IF(Materiales!$G$272&lt;=0,J1884,ROUNDUP(J1884/Materiales!$G$272,0)*Materiales!$G$272))</f>
        <v/>
      </c>
      <c r="K1885" s="65">
        <f>IF(K1884&lt;=0,0,IF(Materiales!$G$272&lt;=0,K1884,ROUNDUP(K1884/Materiales!$G$272,0)*Materiales!$G$272))</f>
        <v/>
      </c>
      <c r="L1885" s="65">
        <f>IF(L1884&lt;=0,0,IF(Materiales!$G$272&lt;=0,L1884,ROUNDUP(L1884/Materiales!$G$272,0)*Materiales!$G$272))</f>
        <v/>
      </c>
      <c r="M1885" s="66" t="n"/>
    </row>
    <row r="1886">
      <c r="C1886" s="70" t="inlineStr">
        <is>
          <t>LANZAMIENTO DE ORDEN — pedir esta semana</t>
        </is>
      </c>
      <c r="D1886" s="64" t="n"/>
      <c r="E1886" s="71">
        <f>IF(1+Materiales!$F$272&gt;8,0,INDEX($E$1885:$L$1885,1,1+Materiales!$F$272))</f>
        <v/>
      </c>
      <c r="F1886" s="71">
        <f>IF(2+Materiales!$F$272&gt;8,0,INDEX($E$1885:$L$1885,1,2+Materiales!$F$272))</f>
        <v/>
      </c>
      <c r="G1886" s="71">
        <f>IF(3+Materiales!$F$272&gt;8,0,INDEX($E$1885:$L$1885,1,3+Materiales!$F$272))</f>
        <v/>
      </c>
      <c r="H1886" s="71">
        <f>IF(4+Materiales!$F$272&gt;8,0,INDEX($E$1885:$L$1885,1,4+Materiales!$F$272))</f>
        <v/>
      </c>
      <c r="I1886" s="71">
        <f>IF(5+Materiales!$F$272&gt;8,0,INDEX($E$1885:$L$1885,1,5+Materiales!$F$272))</f>
        <v/>
      </c>
      <c r="J1886" s="71">
        <f>IF(6+Materiales!$F$272&gt;8,0,INDEX($E$1885:$L$1885,1,6+Materiales!$F$272))</f>
        <v/>
      </c>
      <c r="K1886" s="71">
        <f>IF(7+Materiales!$F$272&gt;8,0,INDEX($E$1885:$L$1885,1,7+Materiales!$F$272))</f>
        <v/>
      </c>
      <c r="L1886" s="71">
        <f>IF(8+Materiales!$F$272&gt;8,0,INDEX($E$1885:$L$1885,1,8+Materiales!$F$272))</f>
        <v/>
      </c>
      <c r="M1886" s="72">
        <f>IF($A1881="","",IF(SUMPRODUCT((COLUMN($E$1885:$L$1885)-4&lt;=Materiales!$F$272)*$E$1885:$L$1885)&gt;0,"PEDIR YA (atrasado)","OK"))</f>
        <v/>
      </c>
    </row>
    <row r="1887" ht="6" customHeight="1"/>
    <row r="1888">
      <c r="A1888" s="62">
        <f>IF(Materiales!$A$273="","",Materiales!$A$273)</f>
        <v/>
      </c>
      <c r="B1888" s="62">
        <f>IF(Materiales!$B$273="","",Materiales!$B$273)</f>
        <v/>
      </c>
      <c r="C1888" s="63" t="inlineStr">
        <is>
          <t>Necesidad bruta</t>
        </is>
      </c>
      <c r="D1888" s="64" t="n"/>
      <c r="E1888" s="65">
        <f>ROUND(SUMIF(Consumo!$P$4:$P$189,"#"&amp;$A1888,Consumo!H$4:H$189),4)</f>
        <v/>
      </c>
      <c r="F1888" s="65">
        <f>ROUND(SUMIF(Consumo!$P$4:$P$189,"#"&amp;$A1888,Consumo!I$4:I$189),4)</f>
        <v/>
      </c>
      <c r="G1888" s="65">
        <f>ROUND(SUMIF(Consumo!$P$4:$P$189,"#"&amp;$A1888,Consumo!J$4:J$189),4)</f>
        <v/>
      </c>
      <c r="H1888" s="65">
        <f>ROUND(SUMIF(Consumo!$P$4:$P$189,"#"&amp;$A1888,Consumo!K$4:K$189),4)</f>
        <v/>
      </c>
      <c r="I1888" s="65">
        <f>ROUND(SUMIF(Consumo!$P$4:$P$189,"#"&amp;$A1888,Consumo!L$4:L$189),4)</f>
        <v/>
      </c>
      <c r="J1888" s="65">
        <f>ROUND(SUMIF(Consumo!$P$4:$P$189,"#"&amp;$A1888,Consumo!M$4:M$189),4)</f>
        <v/>
      </c>
      <c r="K1888" s="65">
        <f>ROUND(SUMIF(Consumo!$P$4:$P$189,"#"&amp;$A1888,Consumo!N$4:N$189),4)</f>
        <v/>
      </c>
      <c r="L1888" s="65">
        <f>ROUND(SUMIF(Consumo!$P$4:$P$189,"#"&amp;$A1888,Consumo!O$4:O$189),4)</f>
        <v/>
      </c>
      <c r="M1888" s="66" t="n"/>
    </row>
    <row r="1889">
      <c r="C1889" s="63" t="inlineStr">
        <is>
          <t>Recepciones programadas (ya pedido)</t>
        </is>
      </c>
      <c r="D1889" s="64" t="n"/>
      <c r="E1889" s="65">
        <f>SUMIF(Inventario!$M$5:$M$505,"#"&amp;$A1888,Inventario!E$5:E$505)</f>
        <v/>
      </c>
      <c r="F1889" s="65">
        <f>SUMIF(Inventario!$M$5:$M$505,"#"&amp;$A1888,Inventario!F$5:F$505)</f>
        <v/>
      </c>
      <c r="G1889" s="65">
        <f>SUMIF(Inventario!$M$5:$M$505,"#"&amp;$A1888,Inventario!G$5:G$505)</f>
        <v/>
      </c>
      <c r="H1889" s="65">
        <f>SUMIF(Inventario!$M$5:$M$505,"#"&amp;$A1888,Inventario!H$5:H$505)</f>
        <v/>
      </c>
      <c r="I1889" s="65">
        <f>SUMIF(Inventario!$M$5:$M$505,"#"&amp;$A1888,Inventario!I$5:I$505)</f>
        <v/>
      </c>
      <c r="J1889" s="65">
        <f>SUMIF(Inventario!$M$5:$M$505,"#"&amp;$A1888,Inventario!J$5:J$505)</f>
        <v/>
      </c>
      <c r="K1889" s="65">
        <f>SUMIF(Inventario!$M$5:$M$505,"#"&amp;$A1888,Inventario!K$5:K$505)</f>
        <v/>
      </c>
      <c r="L1889" s="65">
        <f>SUMIF(Inventario!$M$5:$M$505,"#"&amp;$A1888,Inventario!L$5:L$505)</f>
        <v/>
      </c>
      <c r="M1889" s="66" t="n"/>
    </row>
    <row r="1890">
      <c r="C1890" s="63" t="inlineStr">
        <is>
          <t>Stock proyectado disponible</t>
        </is>
      </c>
      <c r="D1890" s="67">
        <f>SUMIF(Inventario!$M$5:$M$505,"#"&amp;$A1888,Inventario!$C$5:$C$505)</f>
        <v/>
      </c>
      <c r="E1890" s="68">
        <f>D1890+E1889+E1892-E1888</f>
        <v/>
      </c>
      <c r="F1890" s="68">
        <f>E1890+F1889+F1892-F1888</f>
        <v/>
      </c>
      <c r="G1890" s="68">
        <f>F1890+G1889+G1892-G1888</f>
        <v/>
      </c>
      <c r="H1890" s="68">
        <f>G1890+H1889+H1892-H1888</f>
        <v/>
      </c>
      <c r="I1890" s="68">
        <f>H1890+I1889+I1892-I1888</f>
        <v/>
      </c>
      <c r="J1890" s="68">
        <f>I1890+J1889+J1892-J1888</f>
        <v/>
      </c>
      <c r="K1890" s="68">
        <f>J1890+K1889+K1892-K1888</f>
        <v/>
      </c>
      <c r="L1890" s="68">
        <f>K1890+L1889+L1892-L1888</f>
        <v/>
      </c>
      <c r="M1890" s="66" t="n"/>
    </row>
    <row r="1891">
      <c r="C1891" s="63" t="inlineStr">
        <is>
          <t>Necesidad neta</t>
        </is>
      </c>
      <c r="D1891" s="64" t="n"/>
      <c r="E1891" s="69">
        <f>MAX(0,ROUND(E1888+Materiales!$H$273-D1890-E1889,4))</f>
        <v/>
      </c>
      <c r="F1891" s="69">
        <f>MAX(0,ROUND(F1888+Materiales!$H$273-E1890-F1889,4))</f>
        <v/>
      </c>
      <c r="G1891" s="69">
        <f>MAX(0,ROUND(G1888+Materiales!$H$273-F1890-G1889,4))</f>
        <v/>
      </c>
      <c r="H1891" s="69">
        <f>MAX(0,ROUND(H1888+Materiales!$H$273-G1890-H1889,4))</f>
        <v/>
      </c>
      <c r="I1891" s="69">
        <f>MAX(0,ROUND(I1888+Materiales!$H$273-H1890-I1889,4))</f>
        <v/>
      </c>
      <c r="J1891" s="69">
        <f>MAX(0,ROUND(J1888+Materiales!$H$273-I1890-J1889,4))</f>
        <v/>
      </c>
      <c r="K1891" s="69">
        <f>MAX(0,ROUND(K1888+Materiales!$H$273-J1890-K1889,4))</f>
        <v/>
      </c>
      <c r="L1891" s="69">
        <f>MAX(0,ROUND(L1888+Materiales!$H$273-K1890-L1889,4))</f>
        <v/>
      </c>
      <c r="M1891" s="66" t="n"/>
    </row>
    <row r="1892">
      <c r="C1892" s="63" t="inlineStr">
        <is>
          <t>Recepcion de orden planificada</t>
        </is>
      </c>
      <c r="D1892" s="64" t="n"/>
      <c r="E1892" s="65">
        <f>IF(E1891&lt;=0,0,IF(Materiales!$G$273&lt;=0,E1891,ROUNDUP(E1891/Materiales!$G$273,0)*Materiales!$G$273))</f>
        <v/>
      </c>
      <c r="F1892" s="65">
        <f>IF(F1891&lt;=0,0,IF(Materiales!$G$273&lt;=0,F1891,ROUNDUP(F1891/Materiales!$G$273,0)*Materiales!$G$273))</f>
        <v/>
      </c>
      <c r="G1892" s="65">
        <f>IF(G1891&lt;=0,0,IF(Materiales!$G$273&lt;=0,G1891,ROUNDUP(G1891/Materiales!$G$273,0)*Materiales!$G$273))</f>
        <v/>
      </c>
      <c r="H1892" s="65">
        <f>IF(H1891&lt;=0,0,IF(Materiales!$G$273&lt;=0,H1891,ROUNDUP(H1891/Materiales!$G$273,0)*Materiales!$G$273))</f>
        <v/>
      </c>
      <c r="I1892" s="65">
        <f>IF(I1891&lt;=0,0,IF(Materiales!$G$273&lt;=0,I1891,ROUNDUP(I1891/Materiales!$G$273,0)*Materiales!$G$273))</f>
        <v/>
      </c>
      <c r="J1892" s="65">
        <f>IF(J1891&lt;=0,0,IF(Materiales!$G$273&lt;=0,J1891,ROUNDUP(J1891/Materiales!$G$273,0)*Materiales!$G$273))</f>
        <v/>
      </c>
      <c r="K1892" s="65">
        <f>IF(K1891&lt;=0,0,IF(Materiales!$G$273&lt;=0,K1891,ROUNDUP(K1891/Materiales!$G$273,0)*Materiales!$G$273))</f>
        <v/>
      </c>
      <c r="L1892" s="65">
        <f>IF(L1891&lt;=0,0,IF(Materiales!$G$273&lt;=0,L1891,ROUNDUP(L1891/Materiales!$G$273,0)*Materiales!$G$273))</f>
        <v/>
      </c>
      <c r="M1892" s="66" t="n"/>
    </row>
    <row r="1893">
      <c r="C1893" s="70" t="inlineStr">
        <is>
          <t>LANZAMIENTO DE ORDEN — pedir esta semana</t>
        </is>
      </c>
      <c r="D1893" s="64" t="n"/>
      <c r="E1893" s="71">
        <f>IF(1+Materiales!$F$273&gt;8,0,INDEX($E$1892:$L$1892,1,1+Materiales!$F$273))</f>
        <v/>
      </c>
      <c r="F1893" s="71">
        <f>IF(2+Materiales!$F$273&gt;8,0,INDEX($E$1892:$L$1892,1,2+Materiales!$F$273))</f>
        <v/>
      </c>
      <c r="G1893" s="71">
        <f>IF(3+Materiales!$F$273&gt;8,0,INDEX($E$1892:$L$1892,1,3+Materiales!$F$273))</f>
        <v/>
      </c>
      <c r="H1893" s="71">
        <f>IF(4+Materiales!$F$273&gt;8,0,INDEX($E$1892:$L$1892,1,4+Materiales!$F$273))</f>
        <v/>
      </c>
      <c r="I1893" s="71">
        <f>IF(5+Materiales!$F$273&gt;8,0,INDEX($E$1892:$L$1892,1,5+Materiales!$F$273))</f>
        <v/>
      </c>
      <c r="J1893" s="71">
        <f>IF(6+Materiales!$F$273&gt;8,0,INDEX($E$1892:$L$1892,1,6+Materiales!$F$273))</f>
        <v/>
      </c>
      <c r="K1893" s="71">
        <f>IF(7+Materiales!$F$273&gt;8,0,INDEX($E$1892:$L$1892,1,7+Materiales!$F$273))</f>
        <v/>
      </c>
      <c r="L1893" s="71">
        <f>IF(8+Materiales!$F$273&gt;8,0,INDEX($E$1892:$L$1892,1,8+Materiales!$F$273))</f>
        <v/>
      </c>
      <c r="M1893" s="72">
        <f>IF($A1888="","",IF(SUMPRODUCT((COLUMN($E$1892:$L$1892)-4&lt;=Materiales!$F$273)*$E$1892:$L$1892)&gt;0,"PEDIR YA (atrasado)","OK"))</f>
        <v/>
      </c>
    </row>
    <row r="1894" ht="6" customHeight="1"/>
    <row r="1895">
      <c r="A1895" s="62">
        <f>IF(Materiales!$A$274="","",Materiales!$A$274)</f>
        <v/>
      </c>
      <c r="B1895" s="62">
        <f>IF(Materiales!$B$274="","",Materiales!$B$274)</f>
        <v/>
      </c>
      <c r="C1895" s="63" t="inlineStr">
        <is>
          <t>Necesidad bruta</t>
        </is>
      </c>
      <c r="D1895" s="64" t="n"/>
      <c r="E1895" s="65">
        <f>ROUND(SUMIF(Consumo!$P$4:$P$189,"#"&amp;$A1895,Consumo!H$4:H$189),4)</f>
        <v/>
      </c>
      <c r="F1895" s="65">
        <f>ROUND(SUMIF(Consumo!$P$4:$P$189,"#"&amp;$A1895,Consumo!I$4:I$189),4)</f>
        <v/>
      </c>
      <c r="G1895" s="65">
        <f>ROUND(SUMIF(Consumo!$P$4:$P$189,"#"&amp;$A1895,Consumo!J$4:J$189),4)</f>
        <v/>
      </c>
      <c r="H1895" s="65">
        <f>ROUND(SUMIF(Consumo!$P$4:$P$189,"#"&amp;$A1895,Consumo!K$4:K$189),4)</f>
        <v/>
      </c>
      <c r="I1895" s="65">
        <f>ROUND(SUMIF(Consumo!$P$4:$P$189,"#"&amp;$A1895,Consumo!L$4:L$189),4)</f>
        <v/>
      </c>
      <c r="J1895" s="65">
        <f>ROUND(SUMIF(Consumo!$P$4:$P$189,"#"&amp;$A1895,Consumo!M$4:M$189),4)</f>
        <v/>
      </c>
      <c r="K1895" s="65">
        <f>ROUND(SUMIF(Consumo!$P$4:$P$189,"#"&amp;$A1895,Consumo!N$4:N$189),4)</f>
        <v/>
      </c>
      <c r="L1895" s="65">
        <f>ROUND(SUMIF(Consumo!$P$4:$P$189,"#"&amp;$A1895,Consumo!O$4:O$189),4)</f>
        <v/>
      </c>
      <c r="M1895" s="66" t="n"/>
    </row>
    <row r="1896">
      <c r="C1896" s="63" t="inlineStr">
        <is>
          <t>Recepciones programadas (ya pedido)</t>
        </is>
      </c>
      <c r="D1896" s="64" t="n"/>
      <c r="E1896" s="65">
        <f>SUMIF(Inventario!$M$5:$M$505,"#"&amp;$A1895,Inventario!E$5:E$505)</f>
        <v/>
      </c>
      <c r="F1896" s="65">
        <f>SUMIF(Inventario!$M$5:$M$505,"#"&amp;$A1895,Inventario!F$5:F$505)</f>
        <v/>
      </c>
      <c r="G1896" s="65">
        <f>SUMIF(Inventario!$M$5:$M$505,"#"&amp;$A1895,Inventario!G$5:G$505)</f>
        <v/>
      </c>
      <c r="H1896" s="65">
        <f>SUMIF(Inventario!$M$5:$M$505,"#"&amp;$A1895,Inventario!H$5:H$505)</f>
        <v/>
      </c>
      <c r="I1896" s="65">
        <f>SUMIF(Inventario!$M$5:$M$505,"#"&amp;$A1895,Inventario!I$5:I$505)</f>
        <v/>
      </c>
      <c r="J1896" s="65">
        <f>SUMIF(Inventario!$M$5:$M$505,"#"&amp;$A1895,Inventario!J$5:J$505)</f>
        <v/>
      </c>
      <c r="K1896" s="65">
        <f>SUMIF(Inventario!$M$5:$M$505,"#"&amp;$A1895,Inventario!K$5:K$505)</f>
        <v/>
      </c>
      <c r="L1896" s="65">
        <f>SUMIF(Inventario!$M$5:$M$505,"#"&amp;$A1895,Inventario!L$5:L$505)</f>
        <v/>
      </c>
      <c r="M1896" s="66" t="n"/>
    </row>
    <row r="1897">
      <c r="C1897" s="63" t="inlineStr">
        <is>
          <t>Stock proyectado disponible</t>
        </is>
      </c>
      <c r="D1897" s="67">
        <f>SUMIF(Inventario!$M$5:$M$505,"#"&amp;$A1895,Inventario!$C$5:$C$505)</f>
        <v/>
      </c>
      <c r="E1897" s="68">
        <f>D1897+E1896+E1899-E1895</f>
        <v/>
      </c>
      <c r="F1897" s="68">
        <f>E1897+F1896+F1899-F1895</f>
        <v/>
      </c>
      <c r="G1897" s="68">
        <f>F1897+G1896+G1899-G1895</f>
        <v/>
      </c>
      <c r="H1897" s="68">
        <f>G1897+H1896+H1899-H1895</f>
        <v/>
      </c>
      <c r="I1897" s="68">
        <f>H1897+I1896+I1899-I1895</f>
        <v/>
      </c>
      <c r="J1897" s="68">
        <f>I1897+J1896+J1899-J1895</f>
        <v/>
      </c>
      <c r="K1897" s="68">
        <f>J1897+K1896+K1899-K1895</f>
        <v/>
      </c>
      <c r="L1897" s="68">
        <f>K1897+L1896+L1899-L1895</f>
        <v/>
      </c>
      <c r="M1897" s="66" t="n"/>
    </row>
    <row r="1898">
      <c r="C1898" s="63" t="inlineStr">
        <is>
          <t>Necesidad neta</t>
        </is>
      </c>
      <c r="D1898" s="64" t="n"/>
      <c r="E1898" s="69">
        <f>MAX(0,ROUND(E1895+Materiales!$H$274-D1897-E1896,4))</f>
        <v/>
      </c>
      <c r="F1898" s="69">
        <f>MAX(0,ROUND(F1895+Materiales!$H$274-E1897-F1896,4))</f>
        <v/>
      </c>
      <c r="G1898" s="69">
        <f>MAX(0,ROUND(G1895+Materiales!$H$274-F1897-G1896,4))</f>
        <v/>
      </c>
      <c r="H1898" s="69">
        <f>MAX(0,ROUND(H1895+Materiales!$H$274-G1897-H1896,4))</f>
        <v/>
      </c>
      <c r="I1898" s="69">
        <f>MAX(0,ROUND(I1895+Materiales!$H$274-H1897-I1896,4))</f>
        <v/>
      </c>
      <c r="J1898" s="69">
        <f>MAX(0,ROUND(J1895+Materiales!$H$274-I1897-J1896,4))</f>
        <v/>
      </c>
      <c r="K1898" s="69">
        <f>MAX(0,ROUND(K1895+Materiales!$H$274-J1897-K1896,4))</f>
        <v/>
      </c>
      <c r="L1898" s="69">
        <f>MAX(0,ROUND(L1895+Materiales!$H$274-K1897-L1896,4))</f>
        <v/>
      </c>
      <c r="M1898" s="66" t="n"/>
    </row>
    <row r="1899">
      <c r="C1899" s="63" t="inlineStr">
        <is>
          <t>Recepcion de orden planificada</t>
        </is>
      </c>
      <c r="D1899" s="64" t="n"/>
      <c r="E1899" s="65">
        <f>IF(E1898&lt;=0,0,IF(Materiales!$G$274&lt;=0,E1898,ROUNDUP(E1898/Materiales!$G$274,0)*Materiales!$G$274))</f>
        <v/>
      </c>
      <c r="F1899" s="65">
        <f>IF(F1898&lt;=0,0,IF(Materiales!$G$274&lt;=0,F1898,ROUNDUP(F1898/Materiales!$G$274,0)*Materiales!$G$274))</f>
        <v/>
      </c>
      <c r="G1899" s="65">
        <f>IF(G1898&lt;=0,0,IF(Materiales!$G$274&lt;=0,G1898,ROUNDUP(G1898/Materiales!$G$274,0)*Materiales!$G$274))</f>
        <v/>
      </c>
      <c r="H1899" s="65">
        <f>IF(H1898&lt;=0,0,IF(Materiales!$G$274&lt;=0,H1898,ROUNDUP(H1898/Materiales!$G$274,0)*Materiales!$G$274))</f>
        <v/>
      </c>
      <c r="I1899" s="65">
        <f>IF(I1898&lt;=0,0,IF(Materiales!$G$274&lt;=0,I1898,ROUNDUP(I1898/Materiales!$G$274,0)*Materiales!$G$274))</f>
        <v/>
      </c>
      <c r="J1899" s="65">
        <f>IF(J1898&lt;=0,0,IF(Materiales!$G$274&lt;=0,J1898,ROUNDUP(J1898/Materiales!$G$274,0)*Materiales!$G$274))</f>
        <v/>
      </c>
      <c r="K1899" s="65">
        <f>IF(K1898&lt;=0,0,IF(Materiales!$G$274&lt;=0,K1898,ROUNDUP(K1898/Materiales!$G$274,0)*Materiales!$G$274))</f>
        <v/>
      </c>
      <c r="L1899" s="65">
        <f>IF(L1898&lt;=0,0,IF(Materiales!$G$274&lt;=0,L1898,ROUNDUP(L1898/Materiales!$G$274,0)*Materiales!$G$274))</f>
        <v/>
      </c>
      <c r="M1899" s="66" t="n"/>
    </row>
    <row r="1900">
      <c r="C1900" s="70" t="inlineStr">
        <is>
          <t>LANZAMIENTO DE ORDEN — pedir esta semana</t>
        </is>
      </c>
      <c r="D1900" s="64" t="n"/>
      <c r="E1900" s="71">
        <f>IF(1+Materiales!$F$274&gt;8,0,INDEX($E$1899:$L$1899,1,1+Materiales!$F$274))</f>
        <v/>
      </c>
      <c r="F1900" s="71">
        <f>IF(2+Materiales!$F$274&gt;8,0,INDEX($E$1899:$L$1899,1,2+Materiales!$F$274))</f>
        <v/>
      </c>
      <c r="G1900" s="71">
        <f>IF(3+Materiales!$F$274&gt;8,0,INDEX($E$1899:$L$1899,1,3+Materiales!$F$274))</f>
        <v/>
      </c>
      <c r="H1900" s="71">
        <f>IF(4+Materiales!$F$274&gt;8,0,INDEX($E$1899:$L$1899,1,4+Materiales!$F$274))</f>
        <v/>
      </c>
      <c r="I1900" s="71">
        <f>IF(5+Materiales!$F$274&gt;8,0,INDEX($E$1899:$L$1899,1,5+Materiales!$F$274))</f>
        <v/>
      </c>
      <c r="J1900" s="71">
        <f>IF(6+Materiales!$F$274&gt;8,0,INDEX($E$1899:$L$1899,1,6+Materiales!$F$274))</f>
        <v/>
      </c>
      <c r="K1900" s="71">
        <f>IF(7+Materiales!$F$274&gt;8,0,INDEX($E$1899:$L$1899,1,7+Materiales!$F$274))</f>
        <v/>
      </c>
      <c r="L1900" s="71">
        <f>IF(8+Materiales!$F$274&gt;8,0,INDEX($E$1899:$L$1899,1,8+Materiales!$F$274))</f>
        <v/>
      </c>
      <c r="M1900" s="72">
        <f>IF($A1895="","",IF(SUMPRODUCT((COLUMN($E$1899:$L$1899)-4&lt;=Materiales!$F$274)*$E$1899:$L$1899)&gt;0,"PEDIR YA (atrasado)","OK"))</f>
        <v/>
      </c>
    </row>
    <row r="1901" ht="6" customHeight="1"/>
    <row r="1902">
      <c r="A1902" s="62">
        <f>IF(Materiales!$A$275="","",Materiales!$A$275)</f>
        <v/>
      </c>
      <c r="B1902" s="62">
        <f>IF(Materiales!$B$275="","",Materiales!$B$275)</f>
        <v/>
      </c>
      <c r="C1902" s="63" t="inlineStr">
        <is>
          <t>Necesidad bruta</t>
        </is>
      </c>
      <c r="D1902" s="64" t="n"/>
      <c r="E1902" s="65">
        <f>ROUND(SUMIF(Consumo!$P$4:$P$189,"#"&amp;$A1902,Consumo!H$4:H$189),4)</f>
        <v/>
      </c>
      <c r="F1902" s="65">
        <f>ROUND(SUMIF(Consumo!$P$4:$P$189,"#"&amp;$A1902,Consumo!I$4:I$189),4)</f>
        <v/>
      </c>
      <c r="G1902" s="65">
        <f>ROUND(SUMIF(Consumo!$P$4:$P$189,"#"&amp;$A1902,Consumo!J$4:J$189),4)</f>
        <v/>
      </c>
      <c r="H1902" s="65">
        <f>ROUND(SUMIF(Consumo!$P$4:$P$189,"#"&amp;$A1902,Consumo!K$4:K$189),4)</f>
        <v/>
      </c>
      <c r="I1902" s="65">
        <f>ROUND(SUMIF(Consumo!$P$4:$P$189,"#"&amp;$A1902,Consumo!L$4:L$189),4)</f>
        <v/>
      </c>
      <c r="J1902" s="65">
        <f>ROUND(SUMIF(Consumo!$P$4:$P$189,"#"&amp;$A1902,Consumo!M$4:M$189),4)</f>
        <v/>
      </c>
      <c r="K1902" s="65">
        <f>ROUND(SUMIF(Consumo!$P$4:$P$189,"#"&amp;$A1902,Consumo!N$4:N$189),4)</f>
        <v/>
      </c>
      <c r="L1902" s="65">
        <f>ROUND(SUMIF(Consumo!$P$4:$P$189,"#"&amp;$A1902,Consumo!O$4:O$189),4)</f>
        <v/>
      </c>
      <c r="M1902" s="66" t="n"/>
    </row>
    <row r="1903">
      <c r="C1903" s="63" t="inlineStr">
        <is>
          <t>Recepciones programadas (ya pedido)</t>
        </is>
      </c>
      <c r="D1903" s="64" t="n"/>
      <c r="E1903" s="65">
        <f>SUMIF(Inventario!$M$5:$M$505,"#"&amp;$A1902,Inventario!E$5:E$505)</f>
        <v/>
      </c>
      <c r="F1903" s="65">
        <f>SUMIF(Inventario!$M$5:$M$505,"#"&amp;$A1902,Inventario!F$5:F$505)</f>
        <v/>
      </c>
      <c r="G1903" s="65">
        <f>SUMIF(Inventario!$M$5:$M$505,"#"&amp;$A1902,Inventario!G$5:G$505)</f>
        <v/>
      </c>
      <c r="H1903" s="65">
        <f>SUMIF(Inventario!$M$5:$M$505,"#"&amp;$A1902,Inventario!H$5:H$505)</f>
        <v/>
      </c>
      <c r="I1903" s="65">
        <f>SUMIF(Inventario!$M$5:$M$505,"#"&amp;$A1902,Inventario!I$5:I$505)</f>
        <v/>
      </c>
      <c r="J1903" s="65">
        <f>SUMIF(Inventario!$M$5:$M$505,"#"&amp;$A1902,Inventario!J$5:J$505)</f>
        <v/>
      </c>
      <c r="K1903" s="65">
        <f>SUMIF(Inventario!$M$5:$M$505,"#"&amp;$A1902,Inventario!K$5:K$505)</f>
        <v/>
      </c>
      <c r="L1903" s="65">
        <f>SUMIF(Inventario!$M$5:$M$505,"#"&amp;$A1902,Inventario!L$5:L$505)</f>
        <v/>
      </c>
      <c r="M1903" s="66" t="n"/>
    </row>
    <row r="1904">
      <c r="C1904" s="63" t="inlineStr">
        <is>
          <t>Stock proyectado disponible</t>
        </is>
      </c>
      <c r="D1904" s="67">
        <f>SUMIF(Inventario!$M$5:$M$505,"#"&amp;$A1902,Inventario!$C$5:$C$505)</f>
        <v/>
      </c>
      <c r="E1904" s="68">
        <f>D1904+E1903+E1906-E1902</f>
        <v/>
      </c>
      <c r="F1904" s="68">
        <f>E1904+F1903+F1906-F1902</f>
        <v/>
      </c>
      <c r="G1904" s="68">
        <f>F1904+G1903+G1906-G1902</f>
        <v/>
      </c>
      <c r="H1904" s="68">
        <f>G1904+H1903+H1906-H1902</f>
        <v/>
      </c>
      <c r="I1904" s="68">
        <f>H1904+I1903+I1906-I1902</f>
        <v/>
      </c>
      <c r="J1904" s="68">
        <f>I1904+J1903+J1906-J1902</f>
        <v/>
      </c>
      <c r="K1904" s="68">
        <f>J1904+K1903+K1906-K1902</f>
        <v/>
      </c>
      <c r="L1904" s="68">
        <f>K1904+L1903+L1906-L1902</f>
        <v/>
      </c>
      <c r="M1904" s="66" t="n"/>
    </row>
    <row r="1905">
      <c r="C1905" s="63" t="inlineStr">
        <is>
          <t>Necesidad neta</t>
        </is>
      </c>
      <c r="D1905" s="64" t="n"/>
      <c r="E1905" s="69">
        <f>MAX(0,ROUND(E1902+Materiales!$H$275-D1904-E1903,4))</f>
        <v/>
      </c>
      <c r="F1905" s="69">
        <f>MAX(0,ROUND(F1902+Materiales!$H$275-E1904-F1903,4))</f>
        <v/>
      </c>
      <c r="G1905" s="69">
        <f>MAX(0,ROUND(G1902+Materiales!$H$275-F1904-G1903,4))</f>
        <v/>
      </c>
      <c r="H1905" s="69">
        <f>MAX(0,ROUND(H1902+Materiales!$H$275-G1904-H1903,4))</f>
        <v/>
      </c>
      <c r="I1905" s="69">
        <f>MAX(0,ROUND(I1902+Materiales!$H$275-H1904-I1903,4))</f>
        <v/>
      </c>
      <c r="J1905" s="69">
        <f>MAX(0,ROUND(J1902+Materiales!$H$275-I1904-J1903,4))</f>
        <v/>
      </c>
      <c r="K1905" s="69">
        <f>MAX(0,ROUND(K1902+Materiales!$H$275-J1904-K1903,4))</f>
        <v/>
      </c>
      <c r="L1905" s="69">
        <f>MAX(0,ROUND(L1902+Materiales!$H$275-K1904-L1903,4))</f>
        <v/>
      </c>
      <c r="M1905" s="66" t="n"/>
    </row>
    <row r="1906">
      <c r="C1906" s="63" t="inlineStr">
        <is>
          <t>Recepcion de orden planificada</t>
        </is>
      </c>
      <c r="D1906" s="64" t="n"/>
      <c r="E1906" s="65">
        <f>IF(E1905&lt;=0,0,IF(Materiales!$G$275&lt;=0,E1905,ROUNDUP(E1905/Materiales!$G$275,0)*Materiales!$G$275))</f>
        <v/>
      </c>
      <c r="F1906" s="65">
        <f>IF(F1905&lt;=0,0,IF(Materiales!$G$275&lt;=0,F1905,ROUNDUP(F1905/Materiales!$G$275,0)*Materiales!$G$275))</f>
        <v/>
      </c>
      <c r="G1906" s="65">
        <f>IF(G1905&lt;=0,0,IF(Materiales!$G$275&lt;=0,G1905,ROUNDUP(G1905/Materiales!$G$275,0)*Materiales!$G$275))</f>
        <v/>
      </c>
      <c r="H1906" s="65">
        <f>IF(H1905&lt;=0,0,IF(Materiales!$G$275&lt;=0,H1905,ROUNDUP(H1905/Materiales!$G$275,0)*Materiales!$G$275))</f>
        <v/>
      </c>
      <c r="I1906" s="65">
        <f>IF(I1905&lt;=0,0,IF(Materiales!$G$275&lt;=0,I1905,ROUNDUP(I1905/Materiales!$G$275,0)*Materiales!$G$275))</f>
        <v/>
      </c>
      <c r="J1906" s="65">
        <f>IF(J1905&lt;=0,0,IF(Materiales!$G$275&lt;=0,J1905,ROUNDUP(J1905/Materiales!$G$275,0)*Materiales!$G$275))</f>
        <v/>
      </c>
      <c r="K1906" s="65">
        <f>IF(K1905&lt;=0,0,IF(Materiales!$G$275&lt;=0,K1905,ROUNDUP(K1905/Materiales!$G$275,0)*Materiales!$G$275))</f>
        <v/>
      </c>
      <c r="L1906" s="65">
        <f>IF(L1905&lt;=0,0,IF(Materiales!$G$275&lt;=0,L1905,ROUNDUP(L1905/Materiales!$G$275,0)*Materiales!$G$275))</f>
        <v/>
      </c>
      <c r="M1906" s="66" t="n"/>
    </row>
    <row r="1907">
      <c r="C1907" s="70" t="inlineStr">
        <is>
          <t>LANZAMIENTO DE ORDEN — pedir esta semana</t>
        </is>
      </c>
      <c r="D1907" s="64" t="n"/>
      <c r="E1907" s="71">
        <f>IF(1+Materiales!$F$275&gt;8,0,INDEX($E$1906:$L$1906,1,1+Materiales!$F$275))</f>
        <v/>
      </c>
      <c r="F1907" s="71">
        <f>IF(2+Materiales!$F$275&gt;8,0,INDEX($E$1906:$L$1906,1,2+Materiales!$F$275))</f>
        <v/>
      </c>
      <c r="G1907" s="71">
        <f>IF(3+Materiales!$F$275&gt;8,0,INDEX($E$1906:$L$1906,1,3+Materiales!$F$275))</f>
        <v/>
      </c>
      <c r="H1907" s="71">
        <f>IF(4+Materiales!$F$275&gt;8,0,INDEX($E$1906:$L$1906,1,4+Materiales!$F$275))</f>
        <v/>
      </c>
      <c r="I1907" s="71">
        <f>IF(5+Materiales!$F$275&gt;8,0,INDEX($E$1906:$L$1906,1,5+Materiales!$F$275))</f>
        <v/>
      </c>
      <c r="J1907" s="71">
        <f>IF(6+Materiales!$F$275&gt;8,0,INDEX($E$1906:$L$1906,1,6+Materiales!$F$275))</f>
        <v/>
      </c>
      <c r="K1907" s="71">
        <f>IF(7+Materiales!$F$275&gt;8,0,INDEX($E$1906:$L$1906,1,7+Materiales!$F$275))</f>
        <v/>
      </c>
      <c r="L1907" s="71">
        <f>IF(8+Materiales!$F$275&gt;8,0,INDEX($E$1906:$L$1906,1,8+Materiales!$F$275))</f>
        <v/>
      </c>
      <c r="M1907" s="72">
        <f>IF($A1902="","",IF(SUMPRODUCT((COLUMN($E$1906:$L$1906)-4&lt;=Materiales!$F$275)*$E$1906:$L$1906)&gt;0,"PEDIR YA (atrasado)","OK"))</f>
        <v/>
      </c>
    </row>
    <row r="1908" ht="6" customHeight="1"/>
    <row r="1909">
      <c r="A1909" s="62">
        <f>IF(Materiales!$A$276="","",Materiales!$A$276)</f>
        <v/>
      </c>
      <c r="B1909" s="62">
        <f>IF(Materiales!$B$276="","",Materiales!$B$276)</f>
        <v/>
      </c>
      <c r="C1909" s="63" t="inlineStr">
        <is>
          <t>Necesidad bruta</t>
        </is>
      </c>
      <c r="D1909" s="64" t="n"/>
      <c r="E1909" s="65">
        <f>ROUND(SUMIF(Consumo!$P$4:$P$189,"#"&amp;$A1909,Consumo!H$4:H$189),4)</f>
        <v/>
      </c>
      <c r="F1909" s="65">
        <f>ROUND(SUMIF(Consumo!$P$4:$P$189,"#"&amp;$A1909,Consumo!I$4:I$189),4)</f>
        <v/>
      </c>
      <c r="G1909" s="65">
        <f>ROUND(SUMIF(Consumo!$P$4:$P$189,"#"&amp;$A1909,Consumo!J$4:J$189),4)</f>
        <v/>
      </c>
      <c r="H1909" s="65">
        <f>ROUND(SUMIF(Consumo!$P$4:$P$189,"#"&amp;$A1909,Consumo!K$4:K$189),4)</f>
        <v/>
      </c>
      <c r="I1909" s="65">
        <f>ROUND(SUMIF(Consumo!$P$4:$P$189,"#"&amp;$A1909,Consumo!L$4:L$189),4)</f>
        <v/>
      </c>
      <c r="J1909" s="65">
        <f>ROUND(SUMIF(Consumo!$P$4:$P$189,"#"&amp;$A1909,Consumo!M$4:M$189),4)</f>
        <v/>
      </c>
      <c r="K1909" s="65">
        <f>ROUND(SUMIF(Consumo!$P$4:$P$189,"#"&amp;$A1909,Consumo!N$4:N$189),4)</f>
        <v/>
      </c>
      <c r="L1909" s="65">
        <f>ROUND(SUMIF(Consumo!$P$4:$P$189,"#"&amp;$A1909,Consumo!O$4:O$189),4)</f>
        <v/>
      </c>
      <c r="M1909" s="66" t="n"/>
    </row>
    <row r="1910">
      <c r="C1910" s="63" t="inlineStr">
        <is>
          <t>Recepciones programadas (ya pedido)</t>
        </is>
      </c>
      <c r="D1910" s="64" t="n"/>
      <c r="E1910" s="65">
        <f>SUMIF(Inventario!$M$5:$M$505,"#"&amp;$A1909,Inventario!E$5:E$505)</f>
        <v/>
      </c>
      <c r="F1910" s="65">
        <f>SUMIF(Inventario!$M$5:$M$505,"#"&amp;$A1909,Inventario!F$5:F$505)</f>
        <v/>
      </c>
      <c r="G1910" s="65">
        <f>SUMIF(Inventario!$M$5:$M$505,"#"&amp;$A1909,Inventario!G$5:G$505)</f>
        <v/>
      </c>
      <c r="H1910" s="65">
        <f>SUMIF(Inventario!$M$5:$M$505,"#"&amp;$A1909,Inventario!H$5:H$505)</f>
        <v/>
      </c>
      <c r="I1910" s="65">
        <f>SUMIF(Inventario!$M$5:$M$505,"#"&amp;$A1909,Inventario!I$5:I$505)</f>
        <v/>
      </c>
      <c r="J1910" s="65">
        <f>SUMIF(Inventario!$M$5:$M$505,"#"&amp;$A1909,Inventario!J$5:J$505)</f>
        <v/>
      </c>
      <c r="K1910" s="65">
        <f>SUMIF(Inventario!$M$5:$M$505,"#"&amp;$A1909,Inventario!K$5:K$505)</f>
        <v/>
      </c>
      <c r="L1910" s="65">
        <f>SUMIF(Inventario!$M$5:$M$505,"#"&amp;$A1909,Inventario!L$5:L$505)</f>
        <v/>
      </c>
      <c r="M1910" s="66" t="n"/>
    </row>
    <row r="1911">
      <c r="C1911" s="63" t="inlineStr">
        <is>
          <t>Stock proyectado disponible</t>
        </is>
      </c>
      <c r="D1911" s="67">
        <f>SUMIF(Inventario!$M$5:$M$505,"#"&amp;$A1909,Inventario!$C$5:$C$505)</f>
        <v/>
      </c>
      <c r="E1911" s="68">
        <f>D1911+E1910+E1913-E1909</f>
        <v/>
      </c>
      <c r="F1911" s="68">
        <f>E1911+F1910+F1913-F1909</f>
        <v/>
      </c>
      <c r="G1911" s="68">
        <f>F1911+G1910+G1913-G1909</f>
        <v/>
      </c>
      <c r="H1911" s="68">
        <f>G1911+H1910+H1913-H1909</f>
        <v/>
      </c>
      <c r="I1911" s="68">
        <f>H1911+I1910+I1913-I1909</f>
        <v/>
      </c>
      <c r="J1911" s="68">
        <f>I1911+J1910+J1913-J1909</f>
        <v/>
      </c>
      <c r="K1911" s="68">
        <f>J1911+K1910+K1913-K1909</f>
        <v/>
      </c>
      <c r="L1911" s="68">
        <f>K1911+L1910+L1913-L1909</f>
        <v/>
      </c>
      <c r="M1911" s="66" t="n"/>
    </row>
    <row r="1912">
      <c r="C1912" s="63" t="inlineStr">
        <is>
          <t>Necesidad neta</t>
        </is>
      </c>
      <c r="D1912" s="64" t="n"/>
      <c r="E1912" s="69">
        <f>MAX(0,ROUND(E1909+Materiales!$H$276-D1911-E1910,4))</f>
        <v/>
      </c>
      <c r="F1912" s="69">
        <f>MAX(0,ROUND(F1909+Materiales!$H$276-E1911-F1910,4))</f>
        <v/>
      </c>
      <c r="G1912" s="69">
        <f>MAX(0,ROUND(G1909+Materiales!$H$276-F1911-G1910,4))</f>
        <v/>
      </c>
      <c r="H1912" s="69">
        <f>MAX(0,ROUND(H1909+Materiales!$H$276-G1911-H1910,4))</f>
        <v/>
      </c>
      <c r="I1912" s="69">
        <f>MAX(0,ROUND(I1909+Materiales!$H$276-H1911-I1910,4))</f>
        <v/>
      </c>
      <c r="J1912" s="69">
        <f>MAX(0,ROUND(J1909+Materiales!$H$276-I1911-J1910,4))</f>
        <v/>
      </c>
      <c r="K1912" s="69">
        <f>MAX(0,ROUND(K1909+Materiales!$H$276-J1911-K1910,4))</f>
        <v/>
      </c>
      <c r="L1912" s="69">
        <f>MAX(0,ROUND(L1909+Materiales!$H$276-K1911-L1910,4))</f>
        <v/>
      </c>
      <c r="M1912" s="66" t="n"/>
    </row>
    <row r="1913">
      <c r="C1913" s="63" t="inlineStr">
        <is>
          <t>Recepcion de orden planificada</t>
        </is>
      </c>
      <c r="D1913" s="64" t="n"/>
      <c r="E1913" s="65">
        <f>IF(E1912&lt;=0,0,IF(Materiales!$G$276&lt;=0,E1912,ROUNDUP(E1912/Materiales!$G$276,0)*Materiales!$G$276))</f>
        <v/>
      </c>
      <c r="F1913" s="65">
        <f>IF(F1912&lt;=0,0,IF(Materiales!$G$276&lt;=0,F1912,ROUNDUP(F1912/Materiales!$G$276,0)*Materiales!$G$276))</f>
        <v/>
      </c>
      <c r="G1913" s="65">
        <f>IF(G1912&lt;=0,0,IF(Materiales!$G$276&lt;=0,G1912,ROUNDUP(G1912/Materiales!$G$276,0)*Materiales!$G$276))</f>
        <v/>
      </c>
      <c r="H1913" s="65">
        <f>IF(H1912&lt;=0,0,IF(Materiales!$G$276&lt;=0,H1912,ROUNDUP(H1912/Materiales!$G$276,0)*Materiales!$G$276))</f>
        <v/>
      </c>
      <c r="I1913" s="65">
        <f>IF(I1912&lt;=0,0,IF(Materiales!$G$276&lt;=0,I1912,ROUNDUP(I1912/Materiales!$G$276,0)*Materiales!$G$276))</f>
        <v/>
      </c>
      <c r="J1913" s="65">
        <f>IF(J1912&lt;=0,0,IF(Materiales!$G$276&lt;=0,J1912,ROUNDUP(J1912/Materiales!$G$276,0)*Materiales!$G$276))</f>
        <v/>
      </c>
      <c r="K1913" s="65">
        <f>IF(K1912&lt;=0,0,IF(Materiales!$G$276&lt;=0,K1912,ROUNDUP(K1912/Materiales!$G$276,0)*Materiales!$G$276))</f>
        <v/>
      </c>
      <c r="L1913" s="65">
        <f>IF(L1912&lt;=0,0,IF(Materiales!$G$276&lt;=0,L1912,ROUNDUP(L1912/Materiales!$G$276,0)*Materiales!$G$276))</f>
        <v/>
      </c>
      <c r="M1913" s="66" t="n"/>
    </row>
    <row r="1914">
      <c r="C1914" s="70" t="inlineStr">
        <is>
          <t>LANZAMIENTO DE ORDEN — pedir esta semana</t>
        </is>
      </c>
      <c r="D1914" s="64" t="n"/>
      <c r="E1914" s="71">
        <f>IF(1+Materiales!$F$276&gt;8,0,INDEX($E$1913:$L$1913,1,1+Materiales!$F$276))</f>
        <v/>
      </c>
      <c r="F1914" s="71">
        <f>IF(2+Materiales!$F$276&gt;8,0,INDEX($E$1913:$L$1913,1,2+Materiales!$F$276))</f>
        <v/>
      </c>
      <c r="G1914" s="71">
        <f>IF(3+Materiales!$F$276&gt;8,0,INDEX($E$1913:$L$1913,1,3+Materiales!$F$276))</f>
        <v/>
      </c>
      <c r="H1914" s="71">
        <f>IF(4+Materiales!$F$276&gt;8,0,INDEX($E$1913:$L$1913,1,4+Materiales!$F$276))</f>
        <v/>
      </c>
      <c r="I1914" s="71">
        <f>IF(5+Materiales!$F$276&gt;8,0,INDEX($E$1913:$L$1913,1,5+Materiales!$F$276))</f>
        <v/>
      </c>
      <c r="J1914" s="71">
        <f>IF(6+Materiales!$F$276&gt;8,0,INDEX($E$1913:$L$1913,1,6+Materiales!$F$276))</f>
        <v/>
      </c>
      <c r="K1914" s="71">
        <f>IF(7+Materiales!$F$276&gt;8,0,INDEX($E$1913:$L$1913,1,7+Materiales!$F$276))</f>
        <v/>
      </c>
      <c r="L1914" s="71">
        <f>IF(8+Materiales!$F$276&gt;8,0,INDEX($E$1913:$L$1913,1,8+Materiales!$F$276))</f>
        <v/>
      </c>
      <c r="M1914" s="72">
        <f>IF($A1909="","",IF(SUMPRODUCT((COLUMN($E$1913:$L$1913)-4&lt;=Materiales!$F$276)*$E$1913:$L$1913)&gt;0,"PEDIR YA (atrasado)","OK"))</f>
        <v/>
      </c>
    </row>
    <row r="1915" ht="6" customHeight="1"/>
    <row r="1916">
      <c r="A1916" s="62">
        <f>IF(Materiales!$A$277="","",Materiales!$A$277)</f>
        <v/>
      </c>
      <c r="B1916" s="62">
        <f>IF(Materiales!$B$277="","",Materiales!$B$277)</f>
        <v/>
      </c>
      <c r="C1916" s="63" t="inlineStr">
        <is>
          <t>Necesidad bruta</t>
        </is>
      </c>
      <c r="D1916" s="64" t="n"/>
      <c r="E1916" s="65">
        <f>ROUND(SUMIF(Consumo!$P$4:$P$189,"#"&amp;$A1916,Consumo!H$4:H$189),4)</f>
        <v/>
      </c>
      <c r="F1916" s="65">
        <f>ROUND(SUMIF(Consumo!$P$4:$P$189,"#"&amp;$A1916,Consumo!I$4:I$189),4)</f>
        <v/>
      </c>
      <c r="G1916" s="65">
        <f>ROUND(SUMIF(Consumo!$P$4:$P$189,"#"&amp;$A1916,Consumo!J$4:J$189),4)</f>
        <v/>
      </c>
      <c r="H1916" s="65">
        <f>ROUND(SUMIF(Consumo!$P$4:$P$189,"#"&amp;$A1916,Consumo!K$4:K$189),4)</f>
        <v/>
      </c>
      <c r="I1916" s="65">
        <f>ROUND(SUMIF(Consumo!$P$4:$P$189,"#"&amp;$A1916,Consumo!L$4:L$189),4)</f>
        <v/>
      </c>
      <c r="J1916" s="65">
        <f>ROUND(SUMIF(Consumo!$P$4:$P$189,"#"&amp;$A1916,Consumo!M$4:M$189),4)</f>
        <v/>
      </c>
      <c r="K1916" s="65">
        <f>ROUND(SUMIF(Consumo!$P$4:$P$189,"#"&amp;$A1916,Consumo!N$4:N$189),4)</f>
        <v/>
      </c>
      <c r="L1916" s="65">
        <f>ROUND(SUMIF(Consumo!$P$4:$P$189,"#"&amp;$A1916,Consumo!O$4:O$189),4)</f>
        <v/>
      </c>
      <c r="M1916" s="66" t="n"/>
    </row>
    <row r="1917">
      <c r="C1917" s="63" t="inlineStr">
        <is>
          <t>Recepciones programadas (ya pedido)</t>
        </is>
      </c>
      <c r="D1917" s="64" t="n"/>
      <c r="E1917" s="65">
        <f>SUMIF(Inventario!$M$5:$M$505,"#"&amp;$A1916,Inventario!E$5:E$505)</f>
        <v/>
      </c>
      <c r="F1917" s="65">
        <f>SUMIF(Inventario!$M$5:$M$505,"#"&amp;$A1916,Inventario!F$5:F$505)</f>
        <v/>
      </c>
      <c r="G1917" s="65">
        <f>SUMIF(Inventario!$M$5:$M$505,"#"&amp;$A1916,Inventario!G$5:G$505)</f>
        <v/>
      </c>
      <c r="H1917" s="65">
        <f>SUMIF(Inventario!$M$5:$M$505,"#"&amp;$A1916,Inventario!H$5:H$505)</f>
        <v/>
      </c>
      <c r="I1917" s="65">
        <f>SUMIF(Inventario!$M$5:$M$505,"#"&amp;$A1916,Inventario!I$5:I$505)</f>
        <v/>
      </c>
      <c r="J1917" s="65">
        <f>SUMIF(Inventario!$M$5:$M$505,"#"&amp;$A1916,Inventario!J$5:J$505)</f>
        <v/>
      </c>
      <c r="K1917" s="65">
        <f>SUMIF(Inventario!$M$5:$M$505,"#"&amp;$A1916,Inventario!K$5:K$505)</f>
        <v/>
      </c>
      <c r="L1917" s="65">
        <f>SUMIF(Inventario!$M$5:$M$505,"#"&amp;$A1916,Inventario!L$5:L$505)</f>
        <v/>
      </c>
      <c r="M1917" s="66" t="n"/>
    </row>
    <row r="1918">
      <c r="C1918" s="63" t="inlineStr">
        <is>
          <t>Stock proyectado disponible</t>
        </is>
      </c>
      <c r="D1918" s="67">
        <f>SUMIF(Inventario!$M$5:$M$505,"#"&amp;$A1916,Inventario!$C$5:$C$505)</f>
        <v/>
      </c>
      <c r="E1918" s="68">
        <f>D1918+E1917+E1920-E1916</f>
        <v/>
      </c>
      <c r="F1918" s="68">
        <f>E1918+F1917+F1920-F1916</f>
        <v/>
      </c>
      <c r="G1918" s="68">
        <f>F1918+G1917+G1920-G1916</f>
        <v/>
      </c>
      <c r="H1918" s="68">
        <f>G1918+H1917+H1920-H1916</f>
        <v/>
      </c>
      <c r="I1918" s="68">
        <f>H1918+I1917+I1920-I1916</f>
        <v/>
      </c>
      <c r="J1918" s="68">
        <f>I1918+J1917+J1920-J1916</f>
        <v/>
      </c>
      <c r="K1918" s="68">
        <f>J1918+K1917+K1920-K1916</f>
        <v/>
      </c>
      <c r="L1918" s="68">
        <f>K1918+L1917+L1920-L1916</f>
        <v/>
      </c>
      <c r="M1918" s="66" t="n"/>
    </row>
    <row r="1919">
      <c r="C1919" s="63" t="inlineStr">
        <is>
          <t>Necesidad neta</t>
        </is>
      </c>
      <c r="D1919" s="64" t="n"/>
      <c r="E1919" s="69">
        <f>MAX(0,ROUND(E1916+Materiales!$H$277-D1918-E1917,4))</f>
        <v/>
      </c>
      <c r="F1919" s="69">
        <f>MAX(0,ROUND(F1916+Materiales!$H$277-E1918-F1917,4))</f>
        <v/>
      </c>
      <c r="G1919" s="69">
        <f>MAX(0,ROUND(G1916+Materiales!$H$277-F1918-G1917,4))</f>
        <v/>
      </c>
      <c r="H1919" s="69">
        <f>MAX(0,ROUND(H1916+Materiales!$H$277-G1918-H1917,4))</f>
        <v/>
      </c>
      <c r="I1919" s="69">
        <f>MAX(0,ROUND(I1916+Materiales!$H$277-H1918-I1917,4))</f>
        <v/>
      </c>
      <c r="J1919" s="69">
        <f>MAX(0,ROUND(J1916+Materiales!$H$277-I1918-J1917,4))</f>
        <v/>
      </c>
      <c r="K1919" s="69">
        <f>MAX(0,ROUND(K1916+Materiales!$H$277-J1918-K1917,4))</f>
        <v/>
      </c>
      <c r="L1919" s="69">
        <f>MAX(0,ROUND(L1916+Materiales!$H$277-K1918-L1917,4))</f>
        <v/>
      </c>
      <c r="M1919" s="66" t="n"/>
    </row>
    <row r="1920">
      <c r="C1920" s="63" t="inlineStr">
        <is>
          <t>Recepcion de orden planificada</t>
        </is>
      </c>
      <c r="D1920" s="64" t="n"/>
      <c r="E1920" s="65">
        <f>IF(E1919&lt;=0,0,IF(Materiales!$G$277&lt;=0,E1919,ROUNDUP(E1919/Materiales!$G$277,0)*Materiales!$G$277))</f>
        <v/>
      </c>
      <c r="F1920" s="65">
        <f>IF(F1919&lt;=0,0,IF(Materiales!$G$277&lt;=0,F1919,ROUNDUP(F1919/Materiales!$G$277,0)*Materiales!$G$277))</f>
        <v/>
      </c>
      <c r="G1920" s="65">
        <f>IF(G1919&lt;=0,0,IF(Materiales!$G$277&lt;=0,G1919,ROUNDUP(G1919/Materiales!$G$277,0)*Materiales!$G$277))</f>
        <v/>
      </c>
      <c r="H1920" s="65">
        <f>IF(H1919&lt;=0,0,IF(Materiales!$G$277&lt;=0,H1919,ROUNDUP(H1919/Materiales!$G$277,0)*Materiales!$G$277))</f>
        <v/>
      </c>
      <c r="I1920" s="65">
        <f>IF(I1919&lt;=0,0,IF(Materiales!$G$277&lt;=0,I1919,ROUNDUP(I1919/Materiales!$G$277,0)*Materiales!$G$277))</f>
        <v/>
      </c>
      <c r="J1920" s="65">
        <f>IF(J1919&lt;=0,0,IF(Materiales!$G$277&lt;=0,J1919,ROUNDUP(J1919/Materiales!$G$277,0)*Materiales!$G$277))</f>
        <v/>
      </c>
      <c r="K1920" s="65">
        <f>IF(K1919&lt;=0,0,IF(Materiales!$G$277&lt;=0,K1919,ROUNDUP(K1919/Materiales!$G$277,0)*Materiales!$G$277))</f>
        <v/>
      </c>
      <c r="L1920" s="65">
        <f>IF(L1919&lt;=0,0,IF(Materiales!$G$277&lt;=0,L1919,ROUNDUP(L1919/Materiales!$G$277,0)*Materiales!$G$277))</f>
        <v/>
      </c>
      <c r="M1920" s="66" t="n"/>
    </row>
    <row r="1921">
      <c r="C1921" s="70" t="inlineStr">
        <is>
          <t>LANZAMIENTO DE ORDEN — pedir esta semana</t>
        </is>
      </c>
      <c r="D1921" s="64" t="n"/>
      <c r="E1921" s="71">
        <f>IF(1+Materiales!$F$277&gt;8,0,INDEX($E$1920:$L$1920,1,1+Materiales!$F$277))</f>
        <v/>
      </c>
      <c r="F1921" s="71">
        <f>IF(2+Materiales!$F$277&gt;8,0,INDEX($E$1920:$L$1920,1,2+Materiales!$F$277))</f>
        <v/>
      </c>
      <c r="G1921" s="71">
        <f>IF(3+Materiales!$F$277&gt;8,0,INDEX($E$1920:$L$1920,1,3+Materiales!$F$277))</f>
        <v/>
      </c>
      <c r="H1921" s="71">
        <f>IF(4+Materiales!$F$277&gt;8,0,INDEX($E$1920:$L$1920,1,4+Materiales!$F$277))</f>
        <v/>
      </c>
      <c r="I1921" s="71">
        <f>IF(5+Materiales!$F$277&gt;8,0,INDEX($E$1920:$L$1920,1,5+Materiales!$F$277))</f>
        <v/>
      </c>
      <c r="J1921" s="71">
        <f>IF(6+Materiales!$F$277&gt;8,0,INDEX($E$1920:$L$1920,1,6+Materiales!$F$277))</f>
        <v/>
      </c>
      <c r="K1921" s="71">
        <f>IF(7+Materiales!$F$277&gt;8,0,INDEX($E$1920:$L$1920,1,7+Materiales!$F$277))</f>
        <v/>
      </c>
      <c r="L1921" s="71">
        <f>IF(8+Materiales!$F$277&gt;8,0,INDEX($E$1920:$L$1920,1,8+Materiales!$F$277))</f>
        <v/>
      </c>
      <c r="M1921" s="72">
        <f>IF($A1916="","",IF(SUMPRODUCT((COLUMN($E$1920:$L$1920)-4&lt;=Materiales!$F$277)*$E$1920:$L$1920)&gt;0,"PEDIR YA (atrasado)","OK"))</f>
        <v/>
      </c>
    </row>
    <row r="1922" ht="6" customHeight="1"/>
    <row r="1923">
      <c r="A1923" s="62">
        <f>IF(Materiales!$A$278="","",Materiales!$A$278)</f>
        <v/>
      </c>
      <c r="B1923" s="62">
        <f>IF(Materiales!$B$278="","",Materiales!$B$278)</f>
        <v/>
      </c>
      <c r="C1923" s="63" t="inlineStr">
        <is>
          <t>Necesidad bruta</t>
        </is>
      </c>
      <c r="D1923" s="64" t="n"/>
      <c r="E1923" s="65">
        <f>ROUND(SUMIF(Consumo!$P$4:$P$189,"#"&amp;$A1923,Consumo!H$4:H$189),4)</f>
        <v/>
      </c>
      <c r="F1923" s="65">
        <f>ROUND(SUMIF(Consumo!$P$4:$P$189,"#"&amp;$A1923,Consumo!I$4:I$189),4)</f>
        <v/>
      </c>
      <c r="G1923" s="65">
        <f>ROUND(SUMIF(Consumo!$P$4:$P$189,"#"&amp;$A1923,Consumo!J$4:J$189),4)</f>
        <v/>
      </c>
      <c r="H1923" s="65">
        <f>ROUND(SUMIF(Consumo!$P$4:$P$189,"#"&amp;$A1923,Consumo!K$4:K$189),4)</f>
        <v/>
      </c>
      <c r="I1923" s="65">
        <f>ROUND(SUMIF(Consumo!$P$4:$P$189,"#"&amp;$A1923,Consumo!L$4:L$189),4)</f>
        <v/>
      </c>
      <c r="J1923" s="65">
        <f>ROUND(SUMIF(Consumo!$P$4:$P$189,"#"&amp;$A1923,Consumo!M$4:M$189),4)</f>
        <v/>
      </c>
      <c r="K1923" s="65">
        <f>ROUND(SUMIF(Consumo!$P$4:$P$189,"#"&amp;$A1923,Consumo!N$4:N$189),4)</f>
        <v/>
      </c>
      <c r="L1923" s="65">
        <f>ROUND(SUMIF(Consumo!$P$4:$P$189,"#"&amp;$A1923,Consumo!O$4:O$189),4)</f>
        <v/>
      </c>
      <c r="M1923" s="66" t="n"/>
    </row>
    <row r="1924">
      <c r="C1924" s="63" t="inlineStr">
        <is>
          <t>Recepciones programadas (ya pedido)</t>
        </is>
      </c>
      <c r="D1924" s="64" t="n"/>
      <c r="E1924" s="65">
        <f>SUMIF(Inventario!$M$5:$M$505,"#"&amp;$A1923,Inventario!E$5:E$505)</f>
        <v/>
      </c>
      <c r="F1924" s="65">
        <f>SUMIF(Inventario!$M$5:$M$505,"#"&amp;$A1923,Inventario!F$5:F$505)</f>
        <v/>
      </c>
      <c r="G1924" s="65">
        <f>SUMIF(Inventario!$M$5:$M$505,"#"&amp;$A1923,Inventario!G$5:G$505)</f>
        <v/>
      </c>
      <c r="H1924" s="65">
        <f>SUMIF(Inventario!$M$5:$M$505,"#"&amp;$A1923,Inventario!H$5:H$505)</f>
        <v/>
      </c>
      <c r="I1924" s="65">
        <f>SUMIF(Inventario!$M$5:$M$505,"#"&amp;$A1923,Inventario!I$5:I$505)</f>
        <v/>
      </c>
      <c r="J1924" s="65">
        <f>SUMIF(Inventario!$M$5:$M$505,"#"&amp;$A1923,Inventario!J$5:J$505)</f>
        <v/>
      </c>
      <c r="K1924" s="65">
        <f>SUMIF(Inventario!$M$5:$M$505,"#"&amp;$A1923,Inventario!K$5:K$505)</f>
        <v/>
      </c>
      <c r="L1924" s="65">
        <f>SUMIF(Inventario!$M$5:$M$505,"#"&amp;$A1923,Inventario!L$5:L$505)</f>
        <v/>
      </c>
      <c r="M1924" s="66" t="n"/>
    </row>
    <row r="1925">
      <c r="C1925" s="63" t="inlineStr">
        <is>
          <t>Stock proyectado disponible</t>
        </is>
      </c>
      <c r="D1925" s="67">
        <f>SUMIF(Inventario!$M$5:$M$505,"#"&amp;$A1923,Inventario!$C$5:$C$505)</f>
        <v/>
      </c>
      <c r="E1925" s="68">
        <f>D1925+E1924+E1927-E1923</f>
        <v/>
      </c>
      <c r="F1925" s="68">
        <f>E1925+F1924+F1927-F1923</f>
        <v/>
      </c>
      <c r="G1925" s="68">
        <f>F1925+G1924+G1927-G1923</f>
        <v/>
      </c>
      <c r="H1925" s="68">
        <f>G1925+H1924+H1927-H1923</f>
        <v/>
      </c>
      <c r="I1925" s="68">
        <f>H1925+I1924+I1927-I1923</f>
        <v/>
      </c>
      <c r="J1925" s="68">
        <f>I1925+J1924+J1927-J1923</f>
        <v/>
      </c>
      <c r="K1925" s="68">
        <f>J1925+K1924+K1927-K1923</f>
        <v/>
      </c>
      <c r="L1925" s="68">
        <f>K1925+L1924+L1927-L1923</f>
        <v/>
      </c>
      <c r="M1925" s="66" t="n"/>
    </row>
    <row r="1926">
      <c r="C1926" s="63" t="inlineStr">
        <is>
          <t>Necesidad neta</t>
        </is>
      </c>
      <c r="D1926" s="64" t="n"/>
      <c r="E1926" s="69">
        <f>MAX(0,ROUND(E1923+Materiales!$H$278-D1925-E1924,4))</f>
        <v/>
      </c>
      <c r="F1926" s="69">
        <f>MAX(0,ROUND(F1923+Materiales!$H$278-E1925-F1924,4))</f>
        <v/>
      </c>
      <c r="G1926" s="69">
        <f>MAX(0,ROUND(G1923+Materiales!$H$278-F1925-G1924,4))</f>
        <v/>
      </c>
      <c r="H1926" s="69">
        <f>MAX(0,ROUND(H1923+Materiales!$H$278-G1925-H1924,4))</f>
        <v/>
      </c>
      <c r="I1926" s="69">
        <f>MAX(0,ROUND(I1923+Materiales!$H$278-H1925-I1924,4))</f>
        <v/>
      </c>
      <c r="J1926" s="69">
        <f>MAX(0,ROUND(J1923+Materiales!$H$278-I1925-J1924,4))</f>
        <v/>
      </c>
      <c r="K1926" s="69">
        <f>MAX(0,ROUND(K1923+Materiales!$H$278-J1925-K1924,4))</f>
        <v/>
      </c>
      <c r="L1926" s="69">
        <f>MAX(0,ROUND(L1923+Materiales!$H$278-K1925-L1924,4))</f>
        <v/>
      </c>
      <c r="M1926" s="66" t="n"/>
    </row>
    <row r="1927">
      <c r="C1927" s="63" t="inlineStr">
        <is>
          <t>Recepcion de orden planificada</t>
        </is>
      </c>
      <c r="D1927" s="64" t="n"/>
      <c r="E1927" s="65">
        <f>IF(E1926&lt;=0,0,IF(Materiales!$G$278&lt;=0,E1926,ROUNDUP(E1926/Materiales!$G$278,0)*Materiales!$G$278))</f>
        <v/>
      </c>
      <c r="F1927" s="65">
        <f>IF(F1926&lt;=0,0,IF(Materiales!$G$278&lt;=0,F1926,ROUNDUP(F1926/Materiales!$G$278,0)*Materiales!$G$278))</f>
        <v/>
      </c>
      <c r="G1927" s="65">
        <f>IF(G1926&lt;=0,0,IF(Materiales!$G$278&lt;=0,G1926,ROUNDUP(G1926/Materiales!$G$278,0)*Materiales!$G$278))</f>
        <v/>
      </c>
      <c r="H1927" s="65">
        <f>IF(H1926&lt;=0,0,IF(Materiales!$G$278&lt;=0,H1926,ROUNDUP(H1926/Materiales!$G$278,0)*Materiales!$G$278))</f>
        <v/>
      </c>
      <c r="I1927" s="65">
        <f>IF(I1926&lt;=0,0,IF(Materiales!$G$278&lt;=0,I1926,ROUNDUP(I1926/Materiales!$G$278,0)*Materiales!$G$278))</f>
        <v/>
      </c>
      <c r="J1927" s="65">
        <f>IF(J1926&lt;=0,0,IF(Materiales!$G$278&lt;=0,J1926,ROUNDUP(J1926/Materiales!$G$278,0)*Materiales!$G$278))</f>
        <v/>
      </c>
      <c r="K1927" s="65">
        <f>IF(K1926&lt;=0,0,IF(Materiales!$G$278&lt;=0,K1926,ROUNDUP(K1926/Materiales!$G$278,0)*Materiales!$G$278))</f>
        <v/>
      </c>
      <c r="L1927" s="65">
        <f>IF(L1926&lt;=0,0,IF(Materiales!$G$278&lt;=0,L1926,ROUNDUP(L1926/Materiales!$G$278,0)*Materiales!$G$278))</f>
        <v/>
      </c>
      <c r="M1927" s="66" t="n"/>
    </row>
    <row r="1928">
      <c r="C1928" s="70" t="inlineStr">
        <is>
          <t>LANZAMIENTO DE ORDEN — pedir esta semana</t>
        </is>
      </c>
      <c r="D1928" s="64" t="n"/>
      <c r="E1928" s="71">
        <f>IF(1+Materiales!$F$278&gt;8,0,INDEX($E$1927:$L$1927,1,1+Materiales!$F$278))</f>
        <v/>
      </c>
      <c r="F1928" s="71">
        <f>IF(2+Materiales!$F$278&gt;8,0,INDEX($E$1927:$L$1927,1,2+Materiales!$F$278))</f>
        <v/>
      </c>
      <c r="G1928" s="71">
        <f>IF(3+Materiales!$F$278&gt;8,0,INDEX($E$1927:$L$1927,1,3+Materiales!$F$278))</f>
        <v/>
      </c>
      <c r="H1928" s="71">
        <f>IF(4+Materiales!$F$278&gt;8,0,INDEX($E$1927:$L$1927,1,4+Materiales!$F$278))</f>
        <v/>
      </c>
      <c r="I1928" s="71">
        <f>IF(5+Materiales!$F$278&gt;8,0,INDEX($E$1927:$L$1927,1,5+Materiales!$F$278))</f>
        <v/>
      </c>
      <c r="J1928" s="71">
        <f>IF(6+Materiales!$F$278&gt;8,0,INDEX($E$1927:$L$1927,1,6+Materiales!$F$278))</f>
        <v/>
      </c>
      <c r="K1928" s="71">
        <f>IF(7+Materiales!$F$278&gt;8,0,INDEX($E$1927:$L$1927,1,7+Materiales!$F$278))</f>
        <v/>
      </c>
      <c r="L1928" s="71">
        <f>IF(8+Materiales!$F$278&gt;8,0,INDEX($E$1927:$L$1927,1,8+Materiales!$F$278))</f>
        <v/>
      </c>
      <c r="M1928" s="72">
        <f>IF($A1923="","",IF(SUMPRODUCT((COLUMN($E$1927:$L$1927)-4&lt;=Materiales!$F$278)*$E$1927:$L$1927)&gt;0,"PEDIR YA (atrasado)","OK"))</f>
        <v/>
      </c>
    </row>
    <row r="1929" ht="6" customHeight="1"/>
    <row r="1930">
      <c r="A1930" s="62">
        <f>IF(Materiales!$A$279="","",Materiales!$A$279)</f>
        <v/>
      </c>
      <c r="B1930" s="62">
        <f>IF(Materiales!$B$279="","",Materiales!$B$279)</f>
        <v/>
      </c>
      <c r="C1930" s="63" t="inlineStr">
        <is>
          <t>Necesidad bruta</t>
        </is>
      </c>
      <c r="D1930" s="64" t="n"/>
      <c r="E1930" s="65">
        <f>ROUND(SUMIF(Consumo!$P$4:$P$189,"#"&amp;$A1930,Consumo!H$4:H$189),4)</f>
        <v/>
      </c>
      <c r="F1930" s="65">
        <f>ROUND(SUMIF(Consumo!$P$4:$P$189,"#"&amp;$A1930,Consumo!I$4:I$189),4)</f>
        <v/>
      </c>
      <c r="G1930" s="65">
        <f>ROUND(SUMIF(Consumo!$P$4:$P$189,"#"&amp;$A1930,Consumo!J$4:J$189),4)</f>
        <v/>
      </c>
      <c r="H1930" s="65">
        <f>ROUND(SUMIF(Consumo!$P$4:$P$189,"#"&amp;$A1930,Consumo!K$4:K$189),4)</f>
        <v/>
      </c>
      <c r="I1930" s="65">
        <f>ROUND(SUMIF(Consumo!$P$4:$P$189,"#"&amp;$A1930,Consumo!L$4:L$189),4)</f>
        <v/>
      </c>
      <c r="J1930" s="65">
        <f>ROUND(SUMIF(Consumo!$P$4:$P$189,"#"&amp;$A1930,Consumo!M$4:M$189),4)</f>
        <v/>
      </c>
      <c r="K1930" s="65">
        <f>ROUND(SUMIF(Consumo!$P$4:$P$189,"#"&amp;$A1930,Consumo!N$4:N$189),4)</f>
        <v/>
      </c>
      <c r="L1930" s="65">
        <f>ROUND(SUMIF(Consumo!$P$4:$P$189,"#"&amp;$A1930,Consumo!O$4:O$189),4)</f>
        <v/>
      </c>
      <c r="M1930" s="66" t="n"/>
    </row>
    <row r="1931">
      <c r="C1931" s="63" t="inlineStr">
        <is>
          <t>Recepciones programadas (ya pedido)</t>
        </is>
      </c>
      <c r="D1931" s="64" t="n"/>
      <c r="E1931" s="65">
        <f>SUMIF(Inventario!$M$5:$M$505,"#"&amp;$A1930,Inventario!E$5:E$505)</f>
        <v/>
      </c>
      <c r="F1931" s="65">
        <f>SUMIF(Inventario!$M$5:$M$505,"#"&amp;$A1930,Inventario!F$5:F$505)</f>
        <v/>
      </c>
      <c r="G1931" s="65">
        <f>SUMIF(Inventario!$M$5:$M$505,"#"&amp;$A1930,Inventario!G$5:G$505)</f>
        <v/>
      </c>
      <c r="H1931" s="65">
        <f>SUMIF(Inventario!$M$5:$M$505,"#"&amp;$A1930,Inventario!H$5:H$505)</f>
        <v/>
      </c>
      <c r="I1931" s="65">
        <f>SUMIF(Inventario!$M$5:$M$505,"#"&amp;$A1930,Inventario!I$5:I$505)</f>
        <v/>
      </c>
      <c r="J1931" s="65">
        <f>SUMIF(Inventario!$M$5:$M$505,"#"&amp;$A1930,Inventario!J$5:J$505)</f>
        <v/>
      </c>
      <c r="K1931" s="65">
        <f>SUMIF(Inventario!$M$5:$M$505,"#"&amp;$A1930,Inventario!K$5:K$505)</f>
        <v/>
      </c>
      <c r="L1931" s="65">
        <f>SUMIF(Inventario!$M$5:$M$505,"#"&amp;$A1930,Inventario!L$5:L$505)</f>
        <v/>
      </c>
      <c r="M1931" s="66" t="n"/>
    </row>
    <row r="1932">
      <c r="C1932" s="63" t="inlineStr">
        <is>
          <t>Stock proyectado disponible</t>
        </is>
      </c>
      <c r="D1932" s="67">
        <f>SUMIF(Inventario!$M$5:$M$505,"#"&amp;$A1930,Inventario!$C$5:$C$505)</f>
        <v/>
      </c>
      <c r="E1932" s="68">
        <f>D1932+E1931+E1934-E1930</f>
        <v/>
      </c>
      <c r="F1932" s="68">
        <f>E1932+F1931+F1934-F1930</f>
        <v/>
      </c>
      <c r="G1932" s="68">
        <f>F1932+G1931+G1934-G1930</f>
        <v/>
      </c>
      <c r="H1932" s="68">
        <f>G1932+H1931+H1934-H1930</f>
        <v/>
      </c>
      <c r="I1932" s="68">
        <f>H1932+I1931+I1934-I1930</f>
        <v/>
      </c>
      <c r="J1932" s="68">
        <f>I1932+J1931+J1934-J1930</f>
        <v/>
      </c>
      <c r="K1932" s="68">
        <f>J1932+K1931+K1934-K1930</f>
        <v/>
      </c>
      <c r="L1932" s="68">
        <f>K1932+L1931+L1934-L1930</f>
        <v/>
      </c>
      <c r="M1932" s="66" t="n"/>
    </row>
    <row r="1933">
      <c r="C1933" s="63" t="inlineStr">
        <is>
          <t>Necesidad neta</t>
        </is>
      </c>
      <c r="D1933" s="64" t="n"/>
      <c r="E1933" s="69">
        <f>MAX(0,ROUND(E1930+Materiales!$H$279-D1932-E1931,4))</f>
        <v/>
      </c>
      <c r="F1933" s="69">
        <f>MAX(0,ROUND(F1930+Materiales!$H$279-E1932-F1931,4))</f>
        <v/>
      </c>
      <c r="G1933" s="69">
        <f>MAX(0,ROUND(G1930+Materiales!$H$279-F1932-G1931,4))</f>
        <v/>
      </c>
      <c r="H1933" s="69">
        <f>MAX(0,ROUND(H1930+Materiales!$H$279-G1932-H1931,4))</f>
        <v/>
      </c>
      <c r="I1933" s="69">
        <f>MAX(0,ROUND(I1930+Materiales!$H$279-H1932-I1931,4))</f>
        <v/>
      </c>
      <c r="J1933" s="69">
        <f>MAX(0,ROUND(J1930+Materiales!$H$279-I1932-J1931,4))</f>
        <v/>
      </c>
      <c r="K1933" s="69">
        <f>MAX(0,ROUND(K1930+Materiales!$H$279-J1932-K1931,4))</f>
        <v/>
      </c>
      <c r="L1933" s="69">
        <f>MAX(0,ROUND(L1930+Materiales!$H$279-K1932-L1931,4))</f>
        <v/>
      </c>
      <c r="M1933" s="66" t="n"/>
    </row>
    <row r="1934">
      <c r="C1934" s="63" t="inlineStr">
        <is>
          <t>Recepcion de orden planificada</t>
        </is>
      </c>
      <c r="D1934" s="64" t="n"/>
      <c r="E1934" s="65">
        <f>IF(E1933&lt;=0,0,IF(Materiales!$G$279&lt;=0,E1933,ROUNDUP(E1933/Materiales!$G$279,0)*Materiales!$G$279))</f>
        <v/>
      </c>
      <c r="F1934" s="65">
        <f>IF(F1933&lt;=0,0,IF(Materiales!$G$279&lt;=0,F1933,ROUNDUP(F1933/Materiales!$G$279,0)*Materiales!$G$279))</f>
        <v/>
      </c>
      <c r="G1934" s="65">
        <f>IF(G1933&lt;=0,0,IF(Materiales!$G$279&lt;=0,G1933,ROUNDUP(G1933/Materiales!$G$279,0)*Materiales!$G$279))</f>
        <v/>
      </c>
      <c r="H1934" s="65">
        <f>IF(H1933&lt;=0,0,IF(Materiales!$G$279&lt;=0,H1933,ROUNDUP(H1933/Materiales!$G$279,0)*Materiales!$G$279))</f>
        <v/>
      </c>
      <c r="I1934" s="65">
        <f>IF(I1933&lt;=0,0,IF(Materiales!$G$279&lt;=0,I1933,ROUNDUP(I1933/Materiales!$G$279,0)*Materiales!$G$279))</f>
        <v/>
      </c>
      <c r="J1934" s="65">
        <f>IF(J1933&lt;=0,0,IF(Materiales!$G$279&lt;=0,J1933,ROUNDUP(J1933/Materiales!$G$279,0)*Materiales!$G$279))</f>
        <v/>
      </c>
      <c r="K1934" s="65">
        <f>IF(K1933&lt;=0,0,IF(Materiales!$G$279&lt;=0,K1933,ROUNDUP(K1933/Materiales!$G$279,0)*Materiales!$G$279))</f>
        <v/>
      </c>
      <c r="L1934" s="65">
        <f>IF(L1933&lt;=0,0,IF(Materiales!$G$279&lt;=0,L1933,ROUNDUP(L1933/Materiales!$G$279,0)*Materiales!$G$279))</f>
        <v/>
      </c>
      <c r="M1934" s="66" t="n"/>
    </row>
    <row r="1935">
      <c r="C1935" s="70" t="inlineStr">
        <is>
          <t>LANZAMIENTO DE ORDEN — pedir esta semana</t>
        </is>
      </c>
      <c r="D1935" s="64" t="n"/>
      <c r="E1935" s="71">
        <f>IF(1+Materiales!$F$279&gt;8,0,INDEX($E$1934:$L$1934,1,1+Materiales!$F$279))</f>
        <v/>
      </c>
      <c r="F1935" s="71">
        <f>IF(2+Materiales!$F$279&gt;8,0,INDEX($E$1934:$L$1934,1,2+Materiales!$F$279))</f>
        <v/>
      </c>
      <c r="G1935" s="71">
        <f>IF(3+Materiales!$F$279&gt;8,0,INDEX($E$1934:$L$1934,1,3+Materiales!$F$279))</f>
        <v/>
      </c>
      <c r="H1935" s="71">
        <f>IF(4+Materiales!$F$279&gt;8,0,INDEX($E$1934:$L$1934,1,4+Materiales!$F$279))</f>
        <v/>
      </c>
      <c r="I1935" s="71">
        <f>IF(5+Materiales!$F$279&gt;8,0,INDEX($E$1934:$L$1934,1,5+Materiales!$F$279))</f>
        <v/>
      </c>
      <c r="J1935" s="71">
        <f>IF(6+Materiales!$F$279&gt;8,0,INDEX($E$1934:$L$1934,1,6+Materiales!$F$279))</f>
        <v/>
      </c>
      <c r="K1935" s="71">
        <f>IF(7+Materiales!$F$279&gt;8,0,INDEX($E$1934:$L$1934,1,7+Materiales!$F$279))</f>
        <v/>
      </c>
      <c r="L1935" s="71">
        <f>IF(8+Materiales!$F$279&gt;8,0,INDEX($E$1934:$L$1934,1,8+Materiales!$F$279))</f>
        <v/>
      </c>
      <c r="M1935" s="72">
        <f>IF($A1930="","",IF(SUMPRODUCT((COLUMN($E$1934:$L$1934)-4&lt;=Materiales!$F$279)*$E$1934:$L$1934)&gt;0,"PEDIR YA (atrasado)","OK"))</f>
        <v/>
      </c>
    </row>
    <row r="1936" ht="6" customHeight="1"/>
    <row r="1937">
      <c r="A1937" s="62">
        <f>IF(Materiales!$A$280="","",Materiales!$A$280)</f>
        <v/>
      </c>
      <c r="B1937" s="62">
        <f>IF(Materiales!$B$280="","",Materiales!$B$280)</f>
        <v/>
      </c>
      <c r="C1937" s="63" t="inlineStr">
        <is>
          <t>Necesidad bruta</t>
        </is>
      </c>
      <c r="D1937" s="64" t="n"/>
      <c r="E1937" s="65">
        <f>ROUND(SUMIF(Consumo!$P$4:$P$189,"#"&amp;$A1937,Consumo!H$4:H$189),4)</f>
        <v/>
      </c>
      <c r="F1937" s="65">
        <f>ROUND(SUMIF(Consumo!$P$4:$P$189,"#"&amp;$A1937,Consumo!I$4:I$189),4)</f>
        <v/>
      </c>
      <c r="G1937" s="65">
        <f>ROUND(SUMIF(Consumo!$P$4:$P$189,"#"&amp;$A1937,Consumo!J$4:J$189),4)</f>
        <v/>
      </c>
      <c r="H1937" s="65">
        <f>ROUND(SUMIF(Consumo!$P$4:$P$189,"#"&amp;$A1937,Consumo!K$4:K$189),4)</f>
        <v/>
      </c>
      <c r="I1937" s="65">
        <f>ROUND(SUMIF(Consumo!$P$4:$P$189,"#"&amp;$A1937,Consumo!L$4:L$189),4)</f>
        <v/>
      </c>
      <c r="J1937" s="65">
        <f>ROUND(SUMIF(Consumo!$P$4:$P$189,"#"&amp;$A1937,Consumo!M$4:M$189),4)</f>
        <v/>
      </c>
      <c r="K1937" s="65">
        <f>ROUND(SUMIF(Consumo!$P$4:$P$189,"#"&amp;$A1937,Consumo!N$4:N$189),4)</f>
        <v/>
      </c>
      <c r="L1937" s="65">
        <f>ROUND(SUMIF(Consumo!$P$4:$P$189,"#"&amp;$A1937,Consumo!O$4:O$189),4)</f>
        <v/>
      </c>
      <c r="M1937" s="66" t="n"/>
    </row>
    <row r="1938">
      <c r="C1938" s="63" t="inlineStr">
        <is>
          <t>Recepciones programadas (ya pedido)</t>
        </is>
      </c>
      <c r="D1938" s="64" t="n"/>
      <c r="E1938" s="65">
        <f>SUMIF(Inventario!$M$5:$M$505,"#"&amp;$A1937,Inventario!E$5:E$505)</f>
        <v/>
      </c>
      <c r="F1938" s="65">
        <f>SUMIF(Inventario!$M$5:$M$505,"#"&amp;$A1937,Inventario!F$5:F$505)</f>
        <v/>
      </c>
      <c r="G1938" s="65">
        <f>SUMIF(Inventario!$M$5:$M$505,"#"&amp;$A1937,Inventario!G$5:G$505)</f>
        <v/>
      </c>
      <c r="H1938" s="65">
        <f>SUMIF(Inventario!$M$5:$M$505,"#"&amp;$A1937,Inventario!H$5:H$505)</f>
        <v/>
      </c>
      <c r="I1938" s="65">
        <f>SUMIF(Inventario!$M$5:$M$505,"#"&amp;$A1937,Inventario!I$5:I$505)</f>
        <v/>
      </c>
      <c r="J1938" s="65">
        <f>SUMIF(Inventario!$M$5:$M$505,"#"&amp;$A1937,Inventario!J$5:J$505)</f>
        <v/>
      </c>
      <c r="K1938" s="65">
        <f>SUMIF(Inventario!$M$5:$M$505,"#"&amp;$A1937,Inventario!K$5:K$505)</f>
        <v/>
      </c>
      <c r="L1938" s="65">
        <f>SUMIF(Inventario!$M$5:$M$505,"#"&amp;$A1937,Inventario!L$5:L$505)</f>
        <v/>
      </c>
      <c r="M1938" s="66" t="n"/>
    </row>
    <row r="1939">
      <c r="C1939" s="63" t="inlineStr">
        <is>
          <t>Stock proyectado disponible</t>
        </is>
      </c>
      <c r="D1939" s="67">
        <f>SUMIF(Inventario!$M$5:$M$505,"#"&amp;$A1937,Inventario!$C$5:$C$505)</f>
        <v/>
      </c>
      <c r="E1939" s="68">
        <f>D1939+E1938+E1941-E1937</f>
        <v/>
      </c>
      <c r="F1939" s="68">
        <f>E1939+F1938+F1941-F1937</f>
        <v/>
      </c>
      <c r="G1939" s="68">
        <f>F1939+G1938+G1941-G1937</f>
        <v/>
      </c>
      <c r="H1939" s="68">
        <f>G1939+H1938+H1941-H1937</f>
        <v/>
      </c>
      <c r="I1939" s="68">
        <f>H1939+I1938+I1941-I1937</f>
        <v/>
      </c>
      <c r="J1939" s="68">
        <f>I1939+J1938+J1941-J1937</f>
        <v/>
      </c>
      <c r="K1939" s="68">
        <f>J1939+K1938+K1941-K1937</f>
        <v/>
      </c>
      <c r="L1939" s="68">
        <f>K1939+L1938+L1941-L1937</f>
        <v/>
      </c>
      <c r="M1939" s="66" t="n"/>
    </row>
    <row r="1940">
      <c r="C1940" s="63" t="inlineStr">
        <is>
          <t>Necesidad neta</t>
        </is>
      </c>
      <c r="D1940" s="64" t="n"/>
      <c r="E1940" s="69">
        <f>MAX(0,ROUND(E1937+Materiales!$H$280-D1939-E1938,4))</f>
        <v/>
      </c>
      <c r="F1940" s="69">
        <f>MAX(0,ROUND(F1937+Materiales!$H$280-E1939-F1938,4))</f>
        <v/>
      </c>
      <c r="G1940" s="69">
        <f>MAX(0,ROUND(G1937+Materiales!$H$280-F1939-G1938,4))</f>
        <v/>
      </c>
      <c r="H1940" s="69">
        <f>MAX(0,ROUND(H1937+Materiales!$H$280-G1939-H1938,4))</f>
        <v/>
      </c>
      <c r="I1940" s="69">
        <f>MAX(0,ROUND(I1937+Materiales!$H$280-H1939-I1938,4))</f>
        <v/>
      </c>
      <c r="J1940" s="69">
        <f>MAX(0,ROUND(J1937+Materiales!$H$280-I1939-J1938,4))</f>
        <v/>
      </c>
      <c r="K1940" s="69">
        <f>MAX(0,ROUND(K1937+Materiales!$H$280-J1939-K1938,4))</f>
        <v/>
      </c>
      <c r="L1940" s="69">
        <f>MAX(0,ROUND(L1937+Materiales!$H$280-K1939-L1938,4))</f>
        <v/>
      </c>
      <c r="M1940" s="66" t="n"/>
    </row>
    <row r="1941">
      <c r="C1941" s="63" t="inlineStr">
        <is>
          <t>Recepcion de orden planificada</t>
        </is>
      </c>
      <c r="D1941" s="64" t="n"/>
      <c r="E1941" s="65">
        <f>IF(E1940&lt;=0,0,IF(Materiales!$G$280&lt;=0,E1940,ROUNDUP(E1940/Materiales!$G$280,0)*Materiales!$G$280))</f>
        <v/>
      </c>
      <c r="F1941" s="65">
        <f>IF(F1940&lt;=0,0,IF(Materiales!$G$280&lt;=0,F1940,ROUNDUP(F1940/Materiales!$G$280,0)*Materiales!$G$280))</f>
        <v/>
      </c>
      <c r="G1941" s="65">
        <f>IF(G1940&lt;=0,0,IF(Materiales!$G$280&lt;=0,G1940,ROUNDUP(G1940/Materiales!$G$280,0)*Materiales!$G$280))</f>
        <v/>
      </c>
      <c r="H1941" s="65">
        <f>IF(H1940&lt;=0,0,IF(Materiales!$G$280&lt;=0,H1940,ROUNDUP(H1940/Materiales!$G$280,0)*Materiales!$G$280))</f>
        <v/>
      </c>
      <c r="I1941" s="65">
        <f>IF(I1940&lt;=0,0,IF(Materiales!$G$280&lt;=0,I1940,ROUNDUP(I1940/Materiales!$G$280,0)*Materiales!$G$280))</f>
        <v/>
      </c>
      <c r="J1941" s="65">
        <f>IF(J1940&lt;=0,0,IF(Materiales!$G$280&lt;=0,J1940,ROUNDUP(J1940/Materiales!$G$280,0)*Materiales!$G$280))</f>
        <v/>
      </c>
      <c r="K1941" s="65">
        <f>IF(K1940&lt;=0,0,IF(Materiales!$G$280&lt;=0,K1940,ROUNDUP(K1940/Materiales!$G$280,0)*Materiales!$G$280))</f>
        <v/>
      </c>
      <c r="L1941" s="65">
        <f>IF(L1940&lt;=0,0,IF(Materiales!$G$280&lt;=0,L1940,ROUNDUP(L1940/Materiales!$G$280,0)*Materiales!$G$280))</f>
        <v/>
      </c>
      <c r="M1941" s="66" t="n"/>
    </row>
    <row r="1942">
      <c r="C1942" s="70" t="inlineStr">
        <is>
          <t>LANZAMIENTO DE ORDEN — pedir esta semana</t>
        </is>
      </c>
      <c r="D1942" s="64" t="n"/>
      <c r="E1942" s="71">
        <f>IF(1+Materiales!$F$280&gt;8,0,INDEX($E$1941:$L$1941,1,1+Materiales!$F$280))</f>
        <v/>
      </c>
      <c r="F1942" s="71">
        <f>IF(2+Materiales!$F$280&gt;8,0,INDEX($E$1941:$L$1941,1,2+Materiales!$F$280))</f>
        <v/>
      </c>
      <c r="G1942" s="71">
        <f>IF(3+Materiales!$F$280&gt;8,0,INDEX($E$1941:$L$1941,1,3+Materiales!$F$280))</f>
        <v/>
      </c>
      <c r="H1942" s="71">
        <f>IF(4+Materiales!$F$280&gt;8,0,INDEX($E$1941:$L$1941,1,4+Materiales!$F$280))</f>
        <v/>
      </c>
      <c r="I1942" s="71">
        <f>IF(5+Materiales!$F$280&gt;8,0,INDEX($E$1941:$L$1941,1,5+Materiales!$F$280))</f>
        <v/>
      </c>
      <c r="J1942" s="71">
        <f>IF(6+Materiales!$F$280&gt;8,0,INDEX($E$1941:$L$1941,1,6+Materiales!$F$280))</f>
        <v/>
      </c>
      <c r="K1942" s="71">
        <f>IF(7+Materiales!$F$280&gt;8,0,INDEX($E$1941:$L$1941,1,7+Materiales!$F$280))</f>
        <v/>
      </c>
      <c r="L1942" s="71">
        <f>IF(8+Materiales!$F$280&gt;8,0,INDEX($E$1941:$L$1941,1,8+Materiales!$F$280))</f>
        <v/>
      </c>
      <c r="M1942" s="72">
        <f>IF($A1937="","",IF(SUMPRODUCT((COLUMN($E$1941:$L$1941)-4&lt;=Materiales!$F$280)*$E$1941:$L$1941)&gt;0,"PEDIR YA (atrasado)","OK"))</f>
        <v/>
      </c>
    </row>
    <row r="1943" ht="6" customHeight="1"/>
    <row r="1944">
      <c r="A1944" s="62">
        <f>IF(Materiales!$A$281="","",Materiales!$A$281)</f>
        <v/>
      </c>
      <c r="B1944" s="62">
        <f>IF(Materiales!$B$281="","",Materiales!$B$281)</f>
        <v/>
      </c>
      <c r="C1944" s="63" t="inlineStr">
        <is>
          <t>Necesidad bruta</t>
        </is>
      </c>
      <c r="D1944" s="64" t="n"/>
      <c r="E1944" s="65">
        <f>ROUND(SUMIF(Consumo!$P$4:$P$189,"#"&amp;$A1944,Consumo!H$4:H$189),4)</f>
        <v/>
      </c>
      <c r="F1944" s="65">
        <f>ROUND(SUMIF(Consumo!$P$4:$P$189,"#"&amp;$A1944,Consumo!I$4:I$189),4)</f>
        <v/>
      </c>
      <c r="G1944" s="65">
        <f>ROUND(SUMIF(Consumo!$P$4:$P$189,"#"&amp;$A1944,Consumo!J$4:J$189),4)</f>
        <v/>
      </c>
      <c r="H1944" s="65">
        <f>ROUND(SUMIF(Consumo!$P$4:$P$189,"#"&amp;$A1944,Consumo!K$4:K$189),4)</f>
        <v/>
      </c>
      <c r="I1944" s="65">
        <f>ROUND(SUMIF(Consumo!$P$4:$P$189,"#"&amp;$A1944,Consumo!L$4:L$189),4)</f>
        <v/>
      </c>
      <c r="J1944" s="65">
        <f>ROUND(SUMIF(Consumo!$P$4:$P$189,"#"&amp;$A1944,Consumo!M$4:M$189),4)</f>
        <v/>
      </c>
      <c r="K1944" s="65">
        <f>ROUND(SUMIF(Consumo!$P$4:$P$189,"#"&amp;$A1944,Consumo!N$4:N$189),4)</f>
        <v/>
      </c>
      <c r="L1944" s="65">
        <f>ROUND(SUMIF(Consumo!$P$4:$P$189,"#"&amp;$A1944,Consumo!O$4:O$189),4)</f>
        <v/>
      </c>
      <c r="M1944" s="66" t="n"/>
    </row>
    <row r="1945">
      <c r="C1945" s="63" t="inlineStr">
        <is>
          <t>Recepciones programadas (ya pedido)</t>
        </is>
      </c>
      <c r="D1945" s="64" t="n"/>
      <c r="E1945" s="65">
        <f>SUMIF(Inventario!$M$5:$M$505,"#"&amp;$A1944,Inventario!E$5:E$505)</f>
        <v/>
      </c>
      <c r="F1945" s="65">
        <f>SUMIF(Inventario!$M$5:$M$505,"#"&amp;$A1944,Inventario!F$5:F$505)</f>
        <v/>
      </c>
      <c r="G1945" s="65">
        <f>SUMIF(Inventario!$M$5:$M$505,"#"&amp;$A1944,Inventario!G$5:G$505)</f>
        <v/>
      </c>
      <c r="H1945" s="65">
        <f>SUMIF(Inventario!$M$5:$M$505,"#"&amp;$A1944,Inventario!H$5:H$505)</f>
        <v/>
      </c>
      <c r="I1945" s="65">
        <f>SUMIF(Inventario!$M$5:$M$505,"#"&amp;$A1944,Inventario!I$5:I$505)</f>
        <v/>
      </c>
      <c r="J1945" s="65">
        <f>SUMIF(Inventario!$M$5:$M$505,"#"&amp;$A1944,Inventario!J$5:J$505)</f>
        <v/>
      </c>
      <c r="K1945" s="65">
        <f>SUMIF(Inventario!$M$5:$M$505,"#"&amp;$A1944,Inventario!K$5:K$505)</f>
        <v/>
      </c>
      <c r="L1945" s="65">
        <f>SUMIF(Inventario!$M$5:$M$505,"#"&amp;$A1944,Inventario!L$5:L$505)</f>
        <v/>
      </c>
      <c r="M1945" s="66" t="n"/>
    </row>
    <row r="1946">
      <c r="C1946" s="63" t="inlineStr">
        <is>
          <t>Stock proyectado disponible</t>
        </is>
      </c>
      <c r="D1946" s="67">
        <f>SUMIF(Inventario!$M$5:$M$505,"#"&amp;$A1944,Inventario!$C$5:$C$505)</f>
        <v/>
      </c>
      <c r="E1946" s="68">
        <f>D1946+E1945+E1948-E1944</f>
        <v/>
      </c>
      <c r="F1946" s="68">
        <f>E1946+F1945+F1948-F1944</f>
        <v/>
      </c>
      <c r="G1946" s="68">
        <f>F1946+G1945+G1948-G1944</f>
        <v/>
      </c>
      <c r="H1946" s="68">
        <f>G1946+H1945+H1948-H1944</f>
        <v/>
      </c>
      <c r="I1946" s="68">
        <f>H1946+I1945+I1948-I1944</f>
        <v/>
      </c>
      <c r="J1946" s="68">
        <f>I1946+J1945+J1948-J1944</f>
        <v/>
      </c>
      <c r="K1946" s="68">
        <f>J1946+K1945+K1948-K1944</f>
        <v/>
      </c>
      <c r="L1946" s="68">
        <f>K1946+L1945+L1948-L1944</f>
        <v/>
      </c>
      <c r="M1946" s="66" t="n"/>
    </row>
    <row r="1947">
      <c r="C1947" s="63" t="inlineStr">
        <is>
          <t>Necesidad neta</t>
        </is>
      </c>
      <c r="D1947" s="64" t="n"/>
      <c r="E1947" s="69">
        <f>MAX(0,ROUND(E1944+Materiales!$H$281-D1946-E1945,4))</f>
        <v/>
      </c>
      <c r="F1947" s="69">
        <f>MAX(0,ROUND(F1944+Materiales!$H$281-E1946-F1945,4))</f>
        <v/>
      </c>
      <c r="G1947" s="69">
        <f>MAX(0,ROUND(G1944+Materiales!$H$281-F1946-G1945,4))</f>
        <v/>
      </c>
      <c r="H1947" s="69">
        <f>MAX(0,ROUND(H1944+Materiales!$H$281-G1946-H1945,4))</f>
        <v/>
      </c>
      <c r="I1947" s="69">
        <f>MAX(0,ROUND(I1944+Materiales!$H$281-H1946-I1945,4))</f>
        <v/>
      </c>
      <c r="J1947" s="69">
        <f>MAX(0,ROUND(J1944+Materiales!$H$281-I1946-J1945,4))</f>
        <v/>
      </c>
      <c r="K1947" s="69">
        <f>MAX(0,ROUND(K1944+Materiales!$H$281-J1946-K1945,4))</f>
        <v/>
      </c>
      <c r="L1947" s="69">
        <f>MAX(0,ROUND(L1944+Materiales!$H$281-K1946-L1945,4))</f>
        <v/>
      </c>
      <c r="M1947" s="66" t="n"/>
    </row>
    <row r="1948">
      <c r="C1948" s="63" t="inlineStr">
        <is>
          <t>Recepcion de orden planificada</t>
        </is>
      </c>
      <c r="D1948" s="64" t="n"/>
      <c r="E1948" s="65">
        <f>IF(E1947&lt;=0,0,IF(Materiales!$G$281&lt;=0,E1947,ROUNDUP(E1947/Materiales!$G$281,0)*Materiales!$G$281))</f>
        <v/>
      </c>
      <c r="F1948" s="65">
        <f>IF(F1947&lt;=0,0,IF(Materiales!$G$281&lt;=0,F1947,ROUNDUP(F1947/Materiales!$G$281,0)*Materiales!$G$281))</f>
        <v/>
      </c>
      <c r="G1948" s="65">
        <f>IF(G1947&lt;=0,0,IF(Materiales!$G$281&lt;=0,G1947,ROUNDUP(G1947/Materiales!$G$281,0)*Materiales!$G$281))</f>
        <v/>
      </c>
      <c r="H1948" s="65">
        <f>IF(H1947&lt;=0,0,IF(Materiales!$G$281&lt;=0,H1947,ROUNDUP(H1947/Materiales!$G$281,0)*Materiales!$G$281))</f>
        <v/>
      </c>
      <c r="I1948" s="65">
        <f>IF(I1947&lt;=0,0,IF(Materiales!$G$281&lt;=0,I1947,ROUNDUP(I1947/Materiales!$G$281,0)*Materiales!$G$281))</f>
        <v/>
      </c>
      <c r="J1948" s="65">
        <f>IF(J1947&lt;=0,0,IF(Materiales!$G$281&lt;=0,J1947,ROUNDUP(J1947/Materiales!$G$281,0)*Materiales!$G$281))</f>
        <v/>
      </c>
      <c r="K1948" s="65">
        <f>IF(K1947&lt;=0,0,IF(Materiales!$G$281&lt;=0,K1947,ROUNDUP(K1947/Materiales!$G$281,0)*Materiales!$G$281))</f>
        <v/>
      </c>
      <c r="L1948" s="65">
        <f>IF(L1947&lt;=0,0,IF(Materiales!$G$281&lt;=0,L1947,ROUNDUP(L1947/Materiales!$G$281,0)*Materiales!$G$281))</f>
        <v/>
      </c>
      <c r="M1948" s="66" t="n"/>
    </row>
    <row r="1949">
      <c r="C1949" s="70" t="inlineStr">
        <is>
          <t>LANZAMIENTO DE ORDEN — pedir esta semana</t>
        </is>
      </c>
      <c r="D1949" s="64" t="n"/>
      <c r="E1949" s="71">
        <f>IF(1+Materiales!$F$281&gt;8,0,INDEX($E$1948:$L$1948,1,1+Materiales!$F$281))</f>
        <v/>
      </c>
      <c r="F1949" s="71">
        <f>IF(2+Materiales!$F$281&gt;8,0,INDEX($E$1948:$L$1948,1,2+Materiales!$F$281))</f>
        <v/>
      </c>
      <c r="G1949" s="71">
        <f>IF(3+Materiales!$F$281&gt;8,0,INDEX($E$1948:$L$1948,1,3+Materiales!$F$281))</f>
        <v/>
      </c>
      <c r="H1949" s="71">
        <f>IF(4+Materiales!$F$281&gt;8,0,INDEX($E$1948:$L$1948,1,4+Materiales!$F$281))</f>
        <v/>
      </c>
      <c r="I1949" s="71">
        <f>IF(5+Materiales!$F$281&gt;8,0,INDEX($E$1948:$L$1948,1,5+Materiales!$F$281))</f>
        <v/>
      </c>
      <c r="J1949" s="71">
        <f>IF(6+Materiales!$F$281&gt;8,0,INDEX($E$1948:$L$1948,1,6+Materiales!$F$281))</f>
        <v/>
      </c>
      <c r="K1949" s="71">
        <f>IF(7+Materiales!$F$281&gt;8,0,INDEX($E$1948:$L$1948,1,7+Materiales!$F$281))</f>
        <v/>
      </c>
      <c r="L1949" s="71">
        <f>IF(8+Materiales!$F$281&gt;8,0,INDEX($E$1948:$L$1948,1,8+Materiales!$F$281))</f>
        <v/>
      </c>
      <c r="M1949" s="72">
        <f>IF($A1944="","",IF(SUMPRODUCT((COLUMN($E$1948:$L$1948)-4&lt;=Materiales!$F$281)*$E$1948:$L$1948)&gt;0,"PEDIR YA (atrasado)","OK"))</f>
        <v/>
      </c>
    </row>
    <row r="1950" ht="6" customHeight="1"/>
    <row r="1951">
      <c r="A1951" s="62">
        <f>IF(Materiales!$A$282="","",Materiales!$A$282)</f>
        <v/>
      </c>
      <c r="B1951" s="62">
        <f>IF(Materiales!$B$282="","",Materiales!$B$282)</f>
        <v/>
      </c>
      <c r="C1951" s="63" t="inlineStr">
        <is>
          <t>Necesidad bruta</t>
        </is>
      </c>
      <c r="D1951" s="64" t="n"/>
      <c r="E1951" s="65">
        <f>ROUND(SUMIF(Consumo!$P$4:$P$189,"#"&amp;$A1951,Consumo!H$4:H$189),4)</f>
        <v/>
      </c>
      <c r="F1951" s="65">
        <f>ROUND(SUMIF(Consumo!$P$4:$P$189,"#"&amp;$A1951,Consumo!I$4:I$189),4)</f>
        <v/>
      </c>
      <c r="G1951" s="65">
        <f>ROUND(SUMIF(Consumo!$P$4:$P$189,"#"&amp;$A1951,Consumo!J$4:J$189),4)</f>
        <v/>
      </c>
      <c r="H1951" s="65">
        <f>ROUND(SUMIF(Consumo!$P$4:$P$189,"#"&amp;$A1951,Consumo!K$4:K$189),4)</f>
        <v/>
      </c>
      <c r="I1951" s="65">
        <f>ROUND(SUMIF(Consumo!$P$4:$P$189,"#"&amp;$A1951,Consumo!L$4:L$189),4)</f>
        <v/>
      </c>
      <c r="J1951" s="65">
        <f>ROUND(SUMIF(Consumo!$P$4:$P$189,"#"&amp;$A1951,Consumo!M$4:M$189),4)</f>
        <v/>
      </c>
      <c r="K1951" s="65">
        <f>ROUND(SUMIF(Consumo!$P$4:$P$189,"#"&amp;$A1951,Consumo!N$4:N$189),4)</f>
        <v/>
      </c>
      <c r="L1951" s="65">
        <f>ROUND(SUMIF(Consumo!$P$4:$P$189,"#"&amp;$A1951,Consumo!O$4:O$189),4)</f>
        <v/>
      </c>
      <c r="M1951" s="66" t="n"/>
    </row>
    <row r="1952">
      <c r="C1952" s="63" t="inlineStr">
        <is>
          <t>Recepciones programadas (ya pedido)</t>
        </is>
      </c>
      <c r="D1952" s="64" t="n"/>
      <c r="E1952" s="65">
        <f>SUMIF(Inventario!$M$5:$M$505,"#"&amp;$A1951,Inventario!E$5:E$505)</f>
        <v/>
      </c>
      <c r="F1952" s="65">
        <f>SUMIF(Inventario!$M$5:$M$505,"#"&amp;$A1951,Inventario!F$5:F$505)</f>
        <v/>
      </c>
      <c r="G1952" s="65">
        <f>SUMIF(Inventario!$M$5:$M$505,"#"&amp;$A1951,Inventario!G$5:G$505)</f>
        <v/>
      </c>
      <c r="H1952" s="65">
        <f>SUMIF(Inventario!$M$5:$M$505,"#"&amp;$A1951,Inventario!H$5:H$505)</f>
        <v/>
      </c>
      <c r="I1952" s="65">
        <f>SUMIF(Inventario!$M$5:$M$505,"#"&amp;$A1951,Inventario!I$5:I$505)</f>
        <v/>
      </c>
      <c r="J1952" s="65">
        <f>SUMIF(Inventario!$M$5:$M$505,"#"&amp;$A1951,Inventario!J$5:J$505)</f>
        <v/>
      </c>
      <c r="K1952" s="65">
        <f>SUMIF(Inventario!$M$5:$M$505,"#"&amp;$A1951,Inventario!K$5:K$505)</f>
        <v/>
      </c>
      <c r="L1952" s="65">
        <f>SUMIF(Inventario!$M$5:$M$505,"#"&amp;$A1951,Inventario!L$5:L$505)</f>
        <v/>
      </c>
      <c r="M1952" s="66" t="n"/>
    </row>
    <row r="1953">
      <c r="C1953" s="63" t="inlineStr">
        <is>
          <t>Stock proyectado disponible</t>
        </is>
      </c>
      <c r="D1953" s="67">
        <f>SUMIF(Inventario!$M$5:$M$505,"#"&amp;$A1951,Inventario!$C$5:$C$505)</f>
        <v/>
      </c>
      <c r="E1953" s="68">
        <f>D1953+E1952+E1955-E1951</f>
        <v/>
      </c>
      <c r="F1953" s="68">
        <f>E1953+F1952+F1955-F1951</f>
        <v/>
      </c>
      <c r="G1953" s="68">
        <f>F1953+G1952+G1955-G1951</f>
        <v/>
      </c>
      <c r="H1953" s="68">
        <f>G1953+H1952+H1955-H1951</f>
        <v/>
      </c>
      <c r="I1953" s="68">
        <f>H1953+I1952+I1955-I1951</f>
        <v/>
      </c>
      <c r="J1953" s="68">
        <f>I1953+J1952+J1955-J1951</f>
        <v/>
      </c>
      <c r="K1953" s="68">
        <f>J1953+K1952+K1955-K1951</f>
        <v/>
      </c>
      <c r="L1953" s="68">
        <f>K1953+L1952+L1955-L1951</f>
        <v/>
      </c>
      <c r="M1953" s="66" t="n"/>
    </row>
    <row r="1954">
      <c r="C1954" s="63" t="inlineStr">
        <is>
          <t>Necesidad neta</t>
        </is>
      </c>
      <c r="D1954" s="64" t="n"/>
      <c r="E1954" s="69">
        <f>MAX(0,ROUND(E1951+Materiales!$H$282-D1953-E1952,4))</f>
        <v/>
      </c>
      <c r="F1954" s="69">
        <f>MAX(0,ROUND(F1951+Materiales!$H$282-E1953-F1952,4))</f>
        <v/>
      </c>
      <c r="G1954" s="69">
        <f>MAX(0,ROUND(G1951+Materiales!$H$282-F1953-G1952,4))</f>
        <v/>
      </c>
      <c r="H1954" s="69">
        <f>MAX(0,ROUND(H1951+Materiales!$H$282-G1953-H1952,4))</f>
        <v/>
      </c>
      <c r="I1954" s="69">
        <f>MAX(0,ROUND(I1951+Materiales!$H$282-H1953-I1952,4))</f>
        <v/>
      </c>
      <c r="J1954" s="69">
        <f>MAX(0,ROUND(J1951+Materiales!$H$282-I1953-J1952,4))</f>
        <v/>
      </c>
      <c r="K1954" s="69">
        <f>MAX(0,ROUND(K1951+Materiales!$H$282-J1953-K1952,4))</f>
        <v/>
      </c>
      <c r="L1954" s="69">
        <f>MAX(0,ROUND(L1951+Materiales!$H$282-K1953-L1952,4))</f>
        <v/>
      </c>
      <c r="M1954" s="66" t="n"/>
    </row>
    <row r="1955">
      <c r="C1955" s="63" t="inlineStr">
        <is>
          <t>Recepcion de orden planificada</t>
        </is>
      </c>
      <c r="D1955" s="64" t="n"/>
      <c r="E1955" s="65">
        <f>IF(E1954&lt;=0,0,IF(Materiales!$G$282&lt;=0,E1954,ROUNDUP(E1954/Materiales!$G$282,0)*Materiales!$G$282))</f>
        <v/>
      </c>
      <c r="F1955" s="65">
        <f>IF(F1954&lt;=0,0,IF(Materiales!$G$282&lt;=0,F1954,ROUNDUP(F1954/Materiales!$G$282,0)*Materiales!$G$282))</f>
        <v/>
      </c>
      <c r="G1955" s="65">
        <f>IF(G1954&lt;=0,0,IF(Materiales!$G$282&lt;=0,G1954,ROUNDUP(G1954/Materiales!$G$282,0)*Materiales!$G$282))</f>
        <v/>
      </c>
      <c r="H1955" s="65">
        <f>IF(H1954&lt;=0,0,IF(Materiales!$G$282&lt;=0,H1954,ROUNDUP(H1954/Materiales!$G$282,0)*Materiales!$G$282))</f>
        <v/>
      </c>
      <c r="I1955" s="65">
        <f>IF(I1954&lt;=0,0,IF(Materiales!$G$282&lt;=0,I1954,ROUNDUP(I1954/Materiales!$G$282,0)*Materiales!$G$282))</f>
        <v/>
      </c>
      <c r="J1955" s="65">
        <f>IF(J1954&lt;=0,0,IF(Materiales!$G$282&lt;=0,J1954,ROUNDUP(J1954/Materiales!$G$282,0)*Materiales!$G$282))</f>
        <v/>
      </c>
      <c r="K1955" s="65">
        <f>IF(K1954&lt;=0,0,IF(Materiales!$G$282&lt;=0,K1954,ROUNDUP(K1954/Materiales!$G$282,0)*Materiales!$G$282))</f>
        <v/>
      </c>
      <c r="L1955" s="65">
        <f>IF(L1954&lt;=0,0,IF(Materiales!$G$282&lt;=0,L1954,ROUNDUP(L1954/Materiales!$G$282,0)*Materiales!$G$282))</f>
        <v/>
      </c>
      <c r="M1955" s="66" t="n"/>
    </row>
    <row r="1956">
      <c r="C1956" s="70" t="inlineStr">
        <is>
          <t>LANZAMIENTO DE ORDEN — pedir esta semana</t>
        </is>
      </c>
      <c r="D1956" s="64" t="n"/>
      <c r="E1956" s="71">
        <f>IF(1+Materiales!$F$282&gt;8,0,INDEX($E$1955:$L$1955,1,1+Materiales!$F$282))</f>
        <v/>
      </c>
      <c r="F1956" s="71">
        <f>IF(2+Materiales!$F$282&gt;8,0,INDEX($E$1955:$L$1955,1,2+Materiales!$F$282))</f>
        <v/>
      </c>
      <c r="G1956" s="71">
        <f>IF(3+Materiales!$F$282&gt;8,0,INDEX($E$1955:$L$1955,1,3+Materiales!$F$282))</f>
        <v/>
      </c>
      <c r="H1956" s="71">
        <f>IF(4+Materiales!$F$282&gt;8,0,INDEX($E$1955:$L$1955,1,4+Materiales!$F$282))</f>
        <v/>
      </c>
      <c r="I1956" s="71">
        <f>IF(5+Materiales!$F$282&gt;8,0,INDEX($E$1955:$L$1955,1,5+Materiales!$F$282))</f>
        <v/>
      </c>
      <c r="J1956" s="71">
        <f>IF(6+Materiales!$F$282&gt;8,0,INDEX($E$1955:$L$1955,1,6+Materiales!$F$282))</f>
        <v/>
      </c>
      <c r="K1956" s="71">
        <f>IF(7+Materiales!$F$282&gt;8,0,INDEX($E$1955:$L$1955,1,7+Materiales!$F$282))</f>
        <v/>
      </c>
      <c r="L1956" s="71">
        <f>IF(8+Materiales!$F$282&gt;8,0,INDEX($E$1955:$L$1955,1,8+Materiales!$F$282))</f>
        <v/>
      </c>
      <c r="M1956" s="72">
        <f>IF($A1951="","",IF(SUMPRODUCT((COLUMN($E$1955:$L$1955)-4&lt;=Materiales!$F$282)*$E$1955:$L$1955)&gt;0,"PEDIR YA (atrasado)","OK"))</f>
        <v/>
      </c>
    </row>
    <row r="1957" ht="6" customHeight="1"/>
    <row r="1958">
      <c r="A1958" s="62">
        <f>IF(Materiales!$A$283="","",Materiales!$A$283)</f>
        <v/>
      </c>
      <c r="B1958" s="62">
        <f>IF(Materiales!$B$283="","",Materiales!$B$283)</f>
        <v/>
      </c>
      <c r="C1958" s="63" t="inlineStr">
        <is>
          <t>Necesidad bruta</t>
        </is>
      </c>
      <c r="D1958" s="64" t="n"/>
      <c r="E1958" s="65">
        <f>ROUND(SUMIF(Consumo!$P$4:$P$189,"#"&amp;$A1958,Consumo!H$4:H$189),4)</f>
        <v/>
      </c>
      <c r="F1958" s="65">
        <f>ROUND(SUMIF(Consumo!$P$4:$P$189,"#"&amp;$A1958,Consumo!I$4:I$189),4)</f>
        <v/>
      </c>
      <c r="G1958" s="65">
        <f>ROUND(SUMIF(Consumo!$P$4:$P$189,"#"&amp;$A1958,Consumo!J$4:J$189),4)</f>
        <v/>
      </c>
      <c r="H1958" s="65">
        <f>ROUND(SUMIF(Consumo!$P$4:$P$189,"#"&amp;$A1958,Consumo!K$4:K$189),4)</f>
        <v/>
      </c>
      <c r="I1958" s="65">
        <f>ROUND(SUMIF(Consumo!$P$4:$P$189,"#"&amp;$A1958,Consumo!L$4:L$189),4)</f>
        <v/>
      </c>
      <c r="J1958" s="65">
        <f>ROUND(SUMIF(Consumo!$P$4:$P$189,"#"&amp;$A1958,Consumo!M$4:M$189),4)</f>
        <v/>
      </c>
      <c r="K1958" s="65">
        <f>ROUND(SUMIF(Consumo!$P$4:$P$189,"#"&amp;$A1958,Consumo!N$4:N$189),4)</f>
        <v/>
      </c>
      <c r="L1958" s="65">
        <f>ROUND(SUMIF(Consumo!$P$4:$P$189,"#"&amp;$A1958,Consumo!O$4:O$189),4)</f>
        <v/>
      </c>
      <c r="M1958" s="66" t="n"/>
    </row>
    <row r="1959">
      <c r="C1959" s="63" t="inlineStr">
        <is>
          <t>Recepciones programadas (ya pedido)</t>
        </is>
      </c>
      <c r="D1959" s="64" t="n"/>
      <c r="E1959" s="65">
        <f>SUMIF(Inventario!$M$5:$M$505,"#"&amp;$A1958,Inventario!E$5:E$505)</f>
        <v/>
      </c>
      <c r="F1959" s="65">
        <f>SUMIF(Inventario!$M$5:$M$505,"#"&amp;$A1958,Inventario!F$5:F$505)</f>
        <v/>
      </c>
      <c r="G1959" s="65">
        <f>SUMIF(Inventario!$M$5:$M$505,"#"&amp;$A1958,Inventario!G$5:G$505)</f>
        <v/>
      </c>
      <c r="H1959" s="65">
        <f>SUMIF(Inventario!$M$5:$M$505,"#"&amp;$A1958,Inventario!H$5:H$505)</f>
        <v/>
      </c>
      <c r="I1959" s="65">
        <f>SUMIF(Inventario!$M$5:$M$505,"#"&amp;$A1958,Inventario!I$5:I$505)</f>
        <v/>
      </c>
      <c r="J1959" s="65">
        <f>SUMIF(Inventario!$M$5:$M$505,"#"&amp;$A1958,Inventario!J$5:J$505)</f>
        <v/>
      </c>
      <c r="K1959" s="65">
        <f>SUMIF(Inventario!$M$5:$M$505,"#"&amp;$A1958,Inventario!K$5:K$505)</f>
        <v/>
      </c>
      <c r="L1959" s="65">
        <f>SUMIF(Inventario!$M$5:$M$505,"#"&amp;$A1958,Inventario!L$5:L$505)</f>
        <v/>
      </c>
      <c r="M1959" s="66" t="n"/>
    </row>
    <row r="1960">
      <c r="C1960" s="63" t="inlineStr">
        <is>
          <t>Stock proyectado disponible</t>
        </is>
      </c>
      <c r="D1960" s="67">
        <f>SUMIF(Inventario!$M$5:$M$505,"#"&amp;$A1958,Inventario!$C$5:$C$505)</f>
        <v/>
      </c>
      <c r="E1960" s="68">
        <f>D1960+E1959+E1962-E1958</f>
        <v/>
      </c>
      <c r="F1960" s="68">
        <f>E1960+F1959+F1962-F1958</f>
        <v/>
      </c>
      <c r="G1960" s="68">
        <f>F1960+G1959+G1962-G1958</f>
        <v/>
      </c>
      <c r="H1960" s="68">
        <f>G1960+H1959+H1962-H1958</f>
        <v/>
      </c>
      <c r="I1960" s="68">
        <f>H1960+I1959+I1962-I1958</f>
        <v/>
      </c>
      <c r="J1960" s="68">
        <f>I1960+J1959+J1962-J1958</f>
        <v/>
      </c>
      <c r="K1960" s="68">
        <f>J1960+K1959+K1962-K1958</f>
        <v/>
      </c>
      <c r="L1960" s="68">
        <f>K1960+L1959+L1962-L1958</f>
        <v/>
      </c>
      <c r="M1960" s="66" t="n"/>
    </row>
    <row r="1961">
      <c r="C1961" s="63" t="inlineStr">
        <is>
          <t>Necesidad neta</t>
        </is>
      </c>
      <c r="D1961" s="64" t="n"/>
      <c r="E1961" s="69">
        <f>MAX(0,ROUND(E1958+Materiales!$H$283-D1960-E1959,4))</f>
        <v/>
      </c>
      <c r="F1961" s="69">
        <f>MAX(0,ROUND(F1958+Materiales!$H$283-E1960-F1959,4))</f>
        <v/>
      </c>
      <c r="G1961" s="69">
        <f>MAX(0,ROUND(G1958+Materiales!$H$283-F1960-G1959,4))</f>
        <v/>
      </c>
      <c r="H1961" s="69">
        <f>MAX(0,ROUND(H1958+Materiales!$H$283-G1960-H1959,4))</f>
        <v/>
      </c>
      <c r="I1961" s="69">
        <f>MAX(0,ROUND(I1958+Materiales!$H$283-H1960-I1959,4))</f>
        <v/>
      </c>
      <c r="J1961" s="69">
        <f>MAX(0,ROUND(J1958+Materiales!$H$283-I1960-J1959,4))</f>
        <v/>
      </c>
      <c r="K1961" s="69">
        <f>MAX(0,ROUND(K1958+Materiales!$H$283-J1960-K1959,4))</f>
        <v/>
      </c>
      <c r="L1961" s="69">
        <f>MAX(0,ROUND(L1958+Materiales!$H$283-K1960-L1959,4))</f>
        <v/>
      </c>
      <c r="M1961" s="66" t="n"/>
    </row>
    <row r="1962">
      <c r="C1962" s="63" t="inlineStr">
        <is>
          <t>Recepcion de orden planificada</t>
        </is>
      </c>
      <c r="D1962" s="64" t="n"/>
      <c r="E1962" s="65">
        <f>IF(E1961&lt;=0,0,IF(Materiales!$G$283&lt;=0,E1961,ROUNDUP(E1961/Materiales!$G$283,0)*Materiales!$G$283))</f>
        <v/>
      </c>
      <c r="F1962" s="65">
        <f>IF(F1961&lt;=0,0,IF(Materiales!$G$283&lt;=0,F1961,ROUNDUP(F1961/Materiales!$G$283,0)*Materiales!$G$283))</f>
        <v/>
      </c>
      <c r="G1962" s="65">
        <f>IF(G1961&lt;=0,0,IF(Materiales!$G$283&lt;=0,G1961,ROUNDUP(G1961/Materiales!$G$283,0)*Materiales!$G$283))</f>
        <v/>
      </c>
      <c r="H1962" s="65">
        <f>IF(H1961&lt;=0,0,IF(Materiales!$G$283&lt;=0,H1961,ROUNDUP(H1961/Materiales!$G$283,0)*Materiales!$G$283))</f>
        <v/>
      </c>
      <c r="I1962" s="65">
        <f>IF(I1961&lt;=0,0,IF(Materiales!$G$283&lt;=0,I1961,ROUNDUP(I1961/Materiales!$G$283,0)*Materiales!$G$283))</f>
        <v/>
      </c>
      <c r="J1962" s="65">
        <f>IF(J1961&lt;=0,0,IF(Materiales!$G$283&lt;=0,J1961,ROUNDUP(J1961/Materiales!$G$283,0)*Materiales!$G$283))</f>
        <v/>
      </c>
      <c r="K1962" s="65">
        <f>IF(K1961&lt;=0,0,IF(Materiales!$G$283&lt;=0,K1961,ROUNDUP(K1961/Materiales!$G$283,0)*Materiales!$G$283))</f>
        <v/>
      </c>
      <c r="L1962" s="65">
        <f>IF(L1961&lt;=0,0,IF(Materiales!$G$283&lt;=0,L1961,ROUNDUP(L1961/Materiales!$G$283,0)*Materiales!$G$283))</f>
        <v/>
      </c>
      <c r="M1962" s="66" t="n"/>
    </row>
    <row r="1963">
      <c r="C1963" s="70" t="inlineStr">
        <is>
          <t>LANZAMIENTO DE ORDEN — pedir esta semana</t>
        </is>
      </c>
      <c r="D1963" s="64" t="n"/>
      <c r="E1963" s="71">
        <f>IF(1+Materiales!$F$283&gt;8,0,INDEX($E$1962:$L$1962,1,1+Materiales!$F$283))</f>
        <v/>
      </c>
      <c r="F1963" s="71">
        <f>IF(2+Materiales!$F$283&gt;8,0,INDEX($E$1962:$L$1962,1,2+Materiales!$F$283))</f>
        <v/>
      </c>
      <c r="G1963" s="71">
        <f>IF(3+Materiales!$F$283&gt;8,0,INDEX($E$1962:$L$1962,1,3+Materiales!$F$283))</f>
        <v/>
      </c>
      <c r="H1963" s="71">
        <f>IF(4+Materiales!$F$283&gt;8,0,INDEX($E$1962:$L$1962,1,4+Materiales!$F$283))</f>
        <v/>
      </c>
      <c r="I1963" s="71">
        <f>IF(5+Materiales!$F$283&gt;8,0,INDEX($E$1962:$L$1962,1,5+Materiales!$F$283))</f>
        <v/>
      </c>
      <c r="J1963" s="71">
        <f>IF(6+Materiales!$F$283&gt;8,0,INDEX($E$1962:$L$1962,1,6+Materiales!$F$283))</f>
        <v/>
      </c>
      <c r="K1963" s="71">
        <f>IF(7+Materiales!$F$283&gt;8,0,INDEX($E$1962:$L$1962,1,7+Materiales!$F$283))</f>
        <v/>
      </c>
      <c r="L1963" s="71">
        <f>IF(8+Materiales!$F$283&gt;8,0,INDEX($E$1962:$L$1962,1,8+Materiales!$F$283))</f>
        <v/>
      </c>
      <c r="M1963" s="72">
        <f>IF($A1958="","",IF(SUMPRODUCT((COLUMN($E$1962:$L$1962)-4&lt;=Materiales!$F$283)*$E$1962:$L$1962)&gt;0,"PEDIR YA (atrasado)","OK"))</f>
        <v/>
      </c>
    </row>
    <row r="1964" ht="6" customHeight="1"/>
    <row r="1965">
      <c r="A1965" s="62">
        <f>IF(Materiales!$A$284="","",Materiales!$A$284)</f>
        <v/>
      </c>
      <c r="B1965" s="62">
        <f>IF(Materiales!$B$284="","",Materiales!$B$284)</f>
        <v/>
      </c>
      <c r="C1965" s="63" t="inlineStr">
        <is>
          <t>Necesidad bruta</t>
        </is>
      </c>
      <c r="D1965" s="64" t="n"/>
      <c r="E1965" s="65">
        <f>ROUND(SUMIF(Consumo!$P$4:$P$189,"#"&amp;$A1965,Consumo!H$4:H$189),4)</f>
        <v/>
      </c>
      <c r="F1965" s="65">
        <f>ROUND(SUMIF(Consumo!$P$4:$P$189,"#"&amp;$A1965,Consumo!I$4:I$189),4)</f>
        <v/>
      </c>
      <c r="G1965" s="65">
        <f>ROUND(SUMIF(Consumo!$P$4:$P$189,"#"&amp;$A1965,Consumo!J$4:J$189),4)</f>
        <v/>
      </c>
      <c r="H1965" s="65">
        <f>ROUND(SUMIF(Consumo!$P$4:$P$189,"#"&amp;$A1965,Consumo!K$4:K$189),4)</f>
        <v/>
      </c>
      <c r="I1965" s="65">
        <f>ROUND(SUMIF(Consumo!$P$4:$P$189,"#"&amp;$A1965,Consumo!L$4:L$189),4)</f>
        <v/>
      </c>
      <c r="J1965" s="65">
        <f>ROUND(SUMIF(Consumo!$P$4:$P$189,"#"&amp;$A1965,Consumo!M$4:M$189),4)</f>
        <v/>
      </c>
      <c r="K1965" s="65">
        <f>ROUND(SUMIF(Consumo!$P$4:$P$189,"#"&amp;$A1965,Consumo!N$4:N$189),4)</f>
        <v/>
      </c>
      <c r="L1965" s="65">
        <f>ROUND(SUMIF(Consumo!$P$4:$P$189,"#"&amp;$A1965,Consumo!O$4:O$189),4)</f>
        <v/>
      </c>
      <c r="M1965" s="66" t="n"/>
    </row>
    <row r="1966">
      <c r="C1966" s="63" t="inlineStr">
        <is>
          <t>Recepciones programadas (ya pedido)</t>
        </is>
      </c>
      <c r="D1966" s="64" t="n"/>
      <c r="E1966" s="65">
        <f>SUMIF(Inventario!$M$5:$M$505,"#"&amp;$A1965,Inventario!E$5:E$505)</f>
        <v/>
      </c>
      <c r="F1966" s="65">
        <f>SUMIF(Inventario!$M$5:$M$505,"#"&amp;$A1965,Inventario!F$5:F$505)</f>
        <v/>
      </c>
      <c r="G1966" s="65">
        <f>SUMIF(Inventario!$M$5:$M$505,"#"&amp;$A1965,Inventario!G$5:G$505)</f>
        <v/>
      </c>
      <c r="H1966" s="65">
        <f>SUMIF(Inventario!$M$5:$M$505,"#"&amp;$A1965,Inventario!H$5:H$505)</f>
        <v/>
      </c>
      <c r="I1966" s="65">
        <f>SUMIF(Inventario!$M$5:$M$505,"#"&amp;$A1965,Inventario!I$5:I$505)</f>
        <v/>
      </c>
      <c r="J1966" s="65">
        <f>SUMIF(Inventario!$M$5:$M$505,"#"&amp;$A1965,Inventario!J$5:J$505)</f>
        <v/>
      </c>
      <c r="K1966" s="65">
        <f>SUMIF(Inventario!$M$5:$M$505,"#"&amp;$A1965,Inventario!K$5:K$505)</f>
        <v/>
      </c>
      <c r="L1966" s="65">
        <f>SUMIF(Inventario!$M$5:$M$505,"#"&amp;$A1965,Inventario!L$5:L$505)</f>
        <v/>
      </c>
      <c r="M1966" s="66" t="n"/>
    </row>
    <row r="1967">
      <c r="C1967" s="63" t="inlineStr">
        <is>
          <t>Stock proyectado disponible</t>
        </is>
      </c>
      <c r="D1967" s="67">
        <f>SUMIF(Inventario!$M$5:$M$505,"#"&amp;$A1965,Inventario!$C$5:$C$505)</f>
        <v/>
      </c>
      <c r="E1967" s="68">
        <f>D1967+E1966+E1969-E1965</f>
        <v/>
      </c>
      <c r="F1967" s="68">
        <f>E1967+F1966+F1969-F1965</f>
        <v/>
      </c>
      <c r="G1967" s="68">
        <f>F1967+G1966+G1969-G1965</f>
        <v/>
      </c>
      <c r="H1967" s="68">
        <f>G1967+H1966+H1969-H1965</f>
        <v/>
      </c>
      <c r="I1967" s="68">
        <f>H1967+I1966+I1969-I1965</f>
        <v/>
      </c>
      <c r="J1967" s="68">
        <f>I1967+J1966+J1969-J1965</f>
        <v/>
      </c>
      <c r="K1967" s="68">
        <f>J1967+K1966+K1969-K1965</f>
        <v/>
      </c>
      <c r="L1967" s="68">
        <f>K1967+L1966+L1969-L1965</f>
        <v/>
      </c>
      <c r="M1967" s="66" t="n"/>
    </row>
    <row r="1968">
      <c r="C1968" s="63" t="inlineStr">
        <is>
          <t>Necesidad neta</t>
        </is>
      </c>
      <c r="D1968" s="64" t="n"/>
      <c r="E1968" s="69">
        <f>MAX(0,ROUND(E1965+Materiales!$H$284-D1967-E1966,4))</f>
        <v/>
      </c>
      <c r="F1968" s="69">
        <f>MAX(0,ROUND(F1965+Materiales!$H$284-E1967-F1966,4))</f>
        <v/>
      </c>
      <c r="G1968" s="69">
        <f>MAX(0,ROUND(G1965+Materiales!$H$284-F1967-G1966,4))</f>
        <v/>
      </c>
      <c r="H1968" s="69">
        <f>MAX(0,ROUND(H1965+Materiales!$H$284-G1967-H1966,4))</f>
        <v/>
      </c>
      <c r="I1968" s="69">
        <f>MAX(0,ROUND(I1965+Materiales!$H$284-H1967-I1966,4))</f>
        <v/>
      </c>
      <c r="J1968" s="69">
        <f>MAX(0,ROUND(J1965+Materiales!$H$284-I1967-J1966,4))</f>
        <v/>
      </c>
      <c r="K1968" s="69">
        <f>MAX(0,ROUND(K1965+Materiales!$H$284-J1967-K1966,4))</f>
        <v/>
      </c>
      <c r="L1968" s="69">
        <f>MAX(0,ROUND(L1965+Materiales!$H$284-K1967-L1966,4))</f>
        <v/>
      </c>
      <c r="M1968" s="66" t="n"/>
    </row>
    <row r="1969">
      <c r="C1969" s="63" t="inlineStr">
        <is>
          <t>Recepcion de orden planificada</t>
        </is>
      </c>
      <c r="D1969" s="64" t="n"/>
      <c r="E1969" s="65">
        <f>IF(E1968&lt;=0,0,IF(Materiales!$G$284&lt;=0,E1968,ROUNDUP(E1968/Materiales!$G$284,0)*Materiales!$G$284))</f>
        <v/>
      </c>
      <c r="F1969" s="65">
        <f>IF(F1968&lt;=0,0,IF(Materiales!$G$284&lt;=0,F1968,ROUNDUP(F1968/Materiales!$G$284,0)*Materiales!$G$284))</f>
        <v/>
      </c>
      <c r="G1969" s="65">
        <f>IF(G1968&lt;=0,0,IF(Materiales!$G$284&lt;=0,G1968,ROUNDUP(G1968/Materiales!$G$284,0)*Materiales!$G$284))</f>
        <v/>
      </c>
      <c r="H1969" s="65">
        <f>IF(H1968&lt;=0,0,IF(Materiales!$G$284&lt;=0,H1968,ROUNDUP(H1968/Materiales!$G$284,0)*Materiales!$G$284))</f>
        <v/>
      </c>
      <c r="I1969" s="65">
        <f>IF(I1968&lt;=0,0,IF(Materiales!$G$284&lt;=0,I1968,ROUNDUP(I1968/Materiales!$G$284,0)*Materiales!$G$284))</f>
        <v/>
      </c>
      <c r="J1969" s="65">
        <f>IF(J1968&lt;=0,0,IF(Materiales!$G$284&lt;=0,J1968,ROUNDUP(J1968/Materiales!$G$284,0)*Materiales!$G$284))</f>
        <v/>
      </c>
      <c r="K1969" s="65">
        <f>IF(K1968&lt;=0,0,IF(Materiales!$G$284&lt;=0,K1968,ROUNDUP(K1968/Materiales!$G$284,0)*Materiales!$G$284))</f>
        <v/>
      </c>
      <c r="L1969" s="65">
        <f>IF(L1968&lt;=0,0,IF(Materiales!$G$284&lt;=0,L1968,ROUNDUP(L1968/Materiales!$G$284,0)*Materiales!$G$284))</f>
        <v/>
      </c>
      <c r="M1969" s="66" t="n"/>
    </row>
    <row r="1970">
      <c r="C1970" s="70" t="inlineStr">
        <is>
          <t>LANZAMIENTO DE ORDEN — pedir esta semana</t>
        </is>
      </c>
      <c r="D1970" s="64" t="n"/>
      <c r="E1970" s="71">
        <f>IF(1+Materiales!$F$284&gt;8,0,INDEX($E$1969:$L$1969,1,1+Materiales!$F$284))</f>
        <v/>
      </c>
      <c r="F1970" s="71">
        <f>IF(2+Materiales!$F$284&gt;8,0,INDEX($E$1969:$L$1969,1,2+Materiales!$F$284))</f>
        <v/>
      </c>
      <c r="G1970" s="71">
        <f>IF(3+Materiales!$F$284&gt;8,0,INDEX($E$1969:$L$1969,1,3+Materiales!$F$284))</f>
        <v/>
      </c>
      <c r="H1970" s="71">
        <f>IF(4+Materiales!$F$284&gt;8,0,INDEX($E$1969:$L$1969,1,4+Materiales!$F$284))</f>
        <v/>
      </c>
      <c r="I1970" s="71">
        <f>IF(5+Materiales!$F$284&gt;8,0,INDEX($E$1969:$L$1969,1,5+Materiales!$F$284))</f>
        <v/>
      </c>
      <c r="J1970" s="71">
        <f>IF(6+Materiales!$F$284&gt;8,0,INDEX($E$1969:$L$1969,1,6+Materiales!$F$284))</f>
        <v/>
      </c>
      <c r="K1970" s="71">
        <f>IF(7+Materiales!$F$284&gt;8,0,INDEX($E$1969:$L$1969,1,7+Materiales!$F$284))</f>
        <v/>
      </c>
      <c r="L1970" s="71">
        <f>IF(8+Materiales!$F$284&gt;8,0,INDEX($E$1969:$L$1969,1,8+Materiales!$F$284))</f>
        <v/>
      </c>
      <c r="M1970" s="72">
        <f>IF($A1965="","",IF(SUMPRODUCT((COLUMN($E$1969:$L$1969)-4&lt;=Materiales!$F$284)*$E$1969:$L$1969)&gt;0,"PEDIR YA (atrasado)","OK"))</f>
        <v/>
      </c>
    </row>
    <row r="1971" ht="6" customHeight="1"/>
    <row r="1972">
      <c r="A1972" s="62">
        <f>IF(Materiales!$A$285="","",Materiales!$A$285)</f>
        <v/>
      </c>
      <c r="B1972" s="62">
        <f>IF(Materiales!$B$285="","",Materiales!$B$285)</f>
        <v/>
      </c>
      <c r="C1972" s="63" t="inlineStr">
        <is>
          <t>Necesidad bruta</t>
        </is>
      </c>
      <c r="D1972" s="64" t="n"/>
      <c r="E1972" s="65">
        <f>ROUND(SUMIF(Consumo!$P$4:$P$189,"#"&amp;$A1972,Consumo!H$4:H$189),4)</f>
        <v/>
      </c>
      <c r="F1972" s="65">
        <f>ROUND(SUMIF(Consumo!$P$4:$P$189,"#"&amp;$A1972,Consumo!I$4:I$189),4)</f>
        <v/>
      </c>
      <c r="G1972" s="65">
        <f>ROUND(SUMIF(Consumo!$P$4:$P$189,"#"&amp;$A1972,Consumo!J$4:J$189),4)</f>
        <v/>
      </c>
      <c r="H1972" s="65">
        <f>ROUND(SUMIF(Consumo!$P$4:$P$189,"#"&amp;$A1972,Consumo!K$4:K$189),4)</f>
        <v/>
      </c>
      <c r="I1972" s="65">
        <f>ROUND(SUMIF(Consumo!$P$4:$P$189,"#"&amp;$A1972,Consumo!L$4:L$189),4)</f>
        <v/>
      </c>
      <c r="J1972" s="65">
        <f>ROUND(SUMIF(Consumo!$P$4:$P$189,"#"&amp;$A1972,Consumo!M$4:M$189),4)</f>
        <v/>
      </c>
      <c r="K1972" s="65">
        <f>ROUND(SUMIF(Consumo!$P$4:$P$189,"#"&amp;$A1972,Consumo!N$4:N$189),4)</f>
        <v/>
      </c>
      <c r="L1972" s="65">
        <f>ROUND(SUMIF(Consumo!$P$4:$P$189,"#"&amp;$A1972,Consumo!O$4:O$189),4)</f>
        <v/>
      </c>
      <c r="M1972" s="66" t="n"/>
    </row>
    <row r="1973">
      <c r="C1973" s="63" t="inlineStr">
        <is>
          <t>Recepciones programadas (ya pedido)</t>
        </is>
      </c>
      <c r="D1973" s="64" t="n"/>
      <c r="E1973" s="65">
        <f>SUMIF(Inventario!$M$5:$M$505,"#"&amp;$A1972,Inventario!E$5:E$505)</f>
        <v/>
      </c>
      <c r="F1973" s="65">
        <f>SUMIF(Inventario!$M$5:$M$505,"#"&amp;$A1972,Inventario!F$5:F$505)</f>
        <v/>
      </c>
      <c r="G1973" s="65">
        <f>SUMIF(Inventario!$M$5:$M$505,"#"&amp;$A1972,Inventario!G$5:G$505)</f>
        <v/>
      </c>
      <c r="H1973" s="65">
        <f>SUMIF(Inventario!$M$5:$M$505,"#"&amp;$A1972,Inventario!H$5:H$505)</f>
        <v/>
      </c>
      <c r="I1973" s="65">
        <f>SUMIF(Inventario!$M$5:$M$505,"#"&amp;$A1972,Inventario!I$5:I$505)</f>
        <v/>
      </c>
      <c r="J1973" s="65">
        <f>SUMIF(Inventario!$M$5:$M$505,"#"&amp;$A1972,Inventario!J$5:J$505)</f>
        <v/>
      </c>
      <c r="K1973" s="65">
        <f>SUMIF(Inventario!$M$5:$M$505,"#"&amp;$A1972,Inventario!K$5:K$505)</f>
        <v/>
      </c>
      <c r="L1973" s="65">
        <f>SUMIF(Inventario!$M$5:$M$505,"#"&amp;$A1972,Inventario!L$5:L$505)</f>
        <v/>
      </c>
      <c r="M1973" s="66" t="n"/>
    </row>
    <row r="1974">
      <c r="C1974" s="63" t="inlineStr">
        <is>
          <t>Stock proyectado disponible</t>
        </is>
      </c>
      <c r="D1974" s="67">
        <f>SUMIF(Inventario!$M$5:$M$505,"#"&amp;$A1972,Inventario!$C$5:$C$505)</f>
        <v/>
      </c>
      <c r="E1974" s="68">
        <f>D1974+E1973+E1976-E1972</f>
        <v/>
      </c>
      <c r="F1974" s="68">
        <f>E1974+F1973+F1976-F1972</f>
        <v/>
      </c>
      <c r="G1974" s="68">
        <f>F1974+G1973+G1976-G1972</f>
        <v/>
      </c>
      <c r="H1974" s="68">
        <f>G1974+H1973+H1976-H1972</f>
        <v/>
      </c>
      <c r="I1974" s="68">
        <f>H1974+I1973+I1976-I1972</f>
        <v/>
      </c>
      <c r="J1974" s="68">
        <f>I1974+J1973+J1976-J1972</f>
        <v/>
      </c>
      <c r="K1974" s="68">
        <f>J1974+K1973+K1976-K1972</f>
        <v/>
      </c>
      <c r="L1974" s="68">
        <f>K1974+L1973+L1976-L1972</f>
        <v/>
      </c>
      <c r="M1974" s="66" t="n"/>
    </row>
    <row r="1975">
      <c r="C1975" s="63" t="inlineStr">
        <is>
          <t>Necesidad neta</t>
        </is>
      </c>
      <c r="D1975" s="64" t="n"/>
      <c r="E1975" s="69">
        <f>MAX(0,ROUND(E1972+Materiales!$H$285-D1974-E1973,4))</f>
        <v/>
      </c>
      <c r="F1975" s="69">
        <f>MAX(0,ROUND(F1972+Materiales!$H$285-E1974-F1973,4))</f>
        <v/>
      </c>
      <c r="G1975" s="69">
        <f>MAX(0,ROUND(G1972+Materiales!$H$285-F1974-G1973,4))</f>
        <v/>
      </c>
      <c r="H1975" s="69">
        <f>MAX(0,ROUND(H1972+Materiales!$H$285-G1974-H1973,4))</f>
        <v/>
      </c>
      <c r="I1975" s="69">
        <f>MAX(0,ROUND(I1972+Materiales!$H$285-H1974-I1973,4))</f>
        <v/>
      </c>
      <c r="J1975" s="69">
        <f>MAX(0,ROUND(J1972+Materiales!$H$285-I1974-J1973,4))</f>
        <v/>
      </c>
      <c r="K1975" s="69">
        <f>MAX(0,ROUND(K1972+Materiales!$H$285-J1974-K1973,4))</f>
        <v/>
      </c>
      <c r="L1975" s="69">
        <f>MAX(0,ROUND(L1972+Materiales!$H$285-K1974-L1973,4))</f>
        <v/>
      </c>
      <c r="M1975" s="66" t="n"/>
    </row>
    <row r="1976">
      <c r="C1976" s="63" t="inlineStr">
        <is>
          <t>Recepcion de orden planificada</t>
        </is>
      </c>
      <c r="D1976" s="64" t="n"/>
      <c r="E1976" s="65">
        <f>IF(E1975&lt;=0,0,IF(Materiales!$G$285&lt;=0,E1975,ROUNDUP(E1975/Materiales!$G$285,0)*Materiales!$G$285))</f>
        <v/>
      </c>
      <c r="F1976" s="65">
        <f>IF(F1975&lt;=0,0,IF(Materiales!$G$285&lt;=0,F1975,ROUNDUP(F1975/Materiales!$G$285,0)*Materiales!$G$285))</f>
        <v/>
      </c>
      <c r="G1976" s="65">
        <f>IF(G1975&lt;=0,0,IF(Materiales!$G$285&lt;=0,G1975,ROUNDUP(G1975/Materiales!$G$285,0)*Materiales!$G$285))</f>
        <v/>
      </c>
      <c r="H1976" s="65">
        <f>IF(H1975&lt;=0,0,IF(Materiales!$G$285&lt;=0,H1975,ROUNDUP(H1975/Materiales!$G$285,0)*Materiales!$G$285))</f>
        <v/>
      </c>
      <c r="I1976" s="65">
        <f>IF(I1975&lt;=0,0,IF(Materiales!$G$285&lt;=0,I1975,ROUNDUP(I1975/Materiales!$G$285,0)*Materiales!$G$285))</f>
        <v/>
      </c>
      <c r="J1976" s="65">
        <f>IF(J1975&lt;=0,0,IF(Materiales!$G$285&lt;=0,J1975,ROUNDUP(J1975/Materiales!$G$285,0)*Materiales!$G$285))</f>
        <v/>
      </c>
      <c r="K1976" s="65">
        <f>IF(K1975&lt;=0,0,IF(Materiales!$G$285&lt;=0,K1975,ROUNDUP(K1975/Materiales!$G$285,0)*Materiales!$G$285))</f>
        <v/>
      </c>
      <c r="L1976" s="65">
        <f>IF(L1975&lt;=0,0,IF(Materiales!$G$285&lt;=0,L1975,ROUNDUP(L1975/Materiales!$G$285,0)*Materiales!$G$285))</f>
        <v/>
      </c>
      <c r="M1976" s="66" t="n"/>
    </row>
    <row r="1977">
      <c r="C1977" s="70" t="inlineStr">
        <is>
          <t>LANZAMIENTO DE ORDEN — pedir esta semana</t>
        </is>
      </c>
      <c r="D1977" s="64" t="n"/>
      <c r="E1977" s="71">
        <f>IF(1+Materiales!$F$285&gt;8,0,INDEX($E$1976:$L$1976,1,1+Materiales!$F$285))</f>
        <v/>
      </c>
      <c r="F1977" s="71">
        <f>IF(2+Materiales!$F$285&gt;8,0,INDEX($E$1976:$L$1976,1,2+Materiales!$F$285))</f>
        <v/>
      </c>
      <c r="G1977" s="71">
        <f>IF(3+Materiales!$F$285&gt;8,0,INDEX($E$1976:$L$1976,1,3+Materiales!$F$285))</f>
        <v/>
      </c>
      <c r="H1977" s="71">
        <f>IF(4+Materiales!$F$285&gt;8,0,INDEX($E$1976:$L$1976,1,4+Materiales!$F$285))</f>
        <v/>
      </c>
      <c r="I1977" s="71">
        <f>IF(5+Materiales!$F$285&gt;8,0,INDEX($E$1976:$L$1976,1,5+Materiales!$F$285))</f>
        <v/>
      </c>
      <c r="J1977" s="71">
        <f>IF(6+Materiales!$F$285&gt;8,0,INDEX($E$1976:$L$1976,1,6+Materiales!$F$285))</f>
        <v/>
      </c>
      <c r="K1977" s="71">
        <f>IF(7+Materiales!$F$285&gt;8,0,INDEX($E$1976:$L$1976,1,7+Materiales!$F$285))</f>
        <v/>
      </c>
      <c r="L1977" s="71">
        <f>IF(8+Materiales!$F$285&gt;8,0,INDEX($E$1976:$L$1976,1,8+Materiales!$F$285))</f>
        <v/>
      </c>
      <c r="M1977" s="72">
        <f>IF($A1972="","",IF(SUMPRODUCT((COLUMN($E$1976:$L$1976)-4&lt;=Materiales!$F$285)*$E$1976:$L$1976)&gt;0,"PEDIR YA (atrasado)","OK"))</f>
        <v/>
      </c>
    </row>
    <row r="1978" ht="6" customHeight="1"/>
    <row r="1979">
      <c r="A1979" s="62">
        <f>IF(Materiales!$A$286="","",Materiales!$A$286)</f>
        <v/>
      </c>
      <c r="B1979" s="62">
        <f>IF(Materiales!$B$286="","",Materiales!$B$286)</f>
        <v/>
      </c>
      <c r="C1979" s="63" t="inlineStr">
        <is>
          <t>Necesidad bruta</t>
        </is>
      </c>
      <c r="D1979" s="64" t="n"/>
      <c r="E1979" s="65">
        <f>ROUND(SUMIF(Consumo!$P$4:$P$189,"#"&amp;$A1979,Consumo!H$4:H$189),4)</f>
        <v/>
      </c>
      <c r="F1979" s="65">
        <f>ROUND(SUMIF(Consumo!$P$4:$P$189,"#"&amp;$A1979,Consumo!I$4:I$189),4)</f>
        <v/>
      </c>
      <c r="G1979" s="65">
        <f>ROUND(SUMIF(Consumo!$P$4:$P$189,"#"&amp;$A1979,Consumo!J$4:J$189),4)</f>
        <v/>
      </c>
      <c r="H1979" s="65">
        <f>ROUND(SUMIF(Consumo!$P$4:$P$189,"#"&amp;$A1979,Consumo!K$4:K$189),4)</f>
        <v/>
      </c>
      <c r="I1979" s="65">
        <f>ROUND(SUMIF(Consumo!$P$4:$P$189,"#"&amp;$A1979,Consumo!L$4:L$189),4)</f>
        <v/>
      </c>
      <c r="J1979" s="65">
        <f>ROUND(SUMIF(Consumo!$P$4:$P$189,"#"&amp;$A1979,Consumo!M$4:M$189),4)</f>
        <v/>
      </c>
      <c r="K1979" s="65">
        <f>ROUND(SUMIF(Consumo!$P$4:$P$189,"#"&amp;$A1979,Consumo!N$4:N$189),4)</f>
        <v/>
      </c>
      <c r="L1979" s="65">
        <f>ROUND(SUMIF(Consumo!$P$4:$P$189,"#"&amp;$A1979,Consumo!O$4:O$189),4)</f>
        <v/>
      </c>
      <c r="M1979" s="66" t="n"/>
    </row>
    <row r="1980">
      <c r="C1980" s="63" t="inlineStr">
        <is>
          <t>Recepciones programadas (ya pedido)</t>
        </is>
      </c>
      <c r="D1980" s="64" t="n"/>
      <c r="E1980" s="65">
        <f>SUMIF(Inventario!$M$5:$M$505,"#"&amp;$A1979,Inventario!E$5:E$505)</f>
        <v/>
      </c>
      <c r="F1980" s="65">
        <f>SUMIF(Inventario!$M$5:$M$505,"#"&amp;$A1979,Inventario!F$5:F$505)</f>
        <v/>
      </c>
      <c r="G1980" s="65">
        <f>SUMIF(Inventario!$M$5:$M$505,"#"&amp;$A1979,Inventario!G$5:G$505)</f>
        <v/>
      </c>
      <c r="H1980" s="65">
        <f>SUMIF(Inventario!$M$5:$M$505,"#"&amp;$A1979,Inventario!H$5:H$505)</f>
        <v/>
      </c>
      <c r="I1980" s="65">
        <f>SUMIF(Inventario!$M$5:$M$505,"#"&amp;$A1979,Inventario!I$5:I$505)</f>
        <v/>
      </c>
      <c r="J1980" s="65">
        <f>SUMIF(Inventario!$M$5:$M$505,"#"&amp;$A1979,Inventario!J$5:J$505)</f>
        <v/>
      </c>
      <c r="K1980" s="65">
        <f>SUMIF(Inventario!$M$5:$M$505,"#"&amp;$A1979,Inventario!K$5:K$505)</f>
        <v/>
      </c>
      <c r="L1980" s="65">
        <f>SUMIF(Inventario!$M$5:$M$505,"#"&amp;$A1979,Inventario!L$5:L$505)</f>
        <v/>
      </c>
      <c r="M1980" s="66" t="n"/>
    </row>
    <row r="1981">
      <c r="C1981" s="63" t="inlineStr">
        <is>
          <t>Stock proyectado disponible</t>
        </is>
      </c>
      <c r="D1981" s="67">
        <f>SUMIF(Inventario!$M$5:$M$505,"#"&amp;$A1979,Inventario!$C$5:$C$505)</f>
        <v/>
      </c>
      <c r="E1981" s="68">
        <f>D1981+E1980+E1983-E1979</f>
        <v/>
      </c>
      <c r="F1981" s="68">
        <f>E1981+F1980+F1983-F1979</f>
        <v/>
      </c>
      <c r="G1981" s="68">
        <f>F1981+G1980+G1983-G1979</f>
        <v/>
      </c>
      <c r="H1981" s="68">
        <f>G1981+H1980+H1983-H1979</f>
        <v/>
      </c>
      <c r="I1981" s="68">
        <f>H1981+I1980+I1983-I1979</f>
        <v/>
      </c>
      <c r="J1981" s="68">
        <f>I1981+J1980+J1983-J1979</f>
        <v/>
      </c>
      <c r="K1981" s="68">
        <f>J1981+K1980+K1983-K1979</f>
        <v/>
      </c>
      <c r="L1981" s="68">
        <f>K1981+L1980+L1983-L1979</f>
        <v/>
      </c>
      <c r="M1981" s="66" t="n"/>
    </row>
    <row r="1982">
      <c r="C1982" s="63" t="inlineStr">
        <is>
          <t>Necesidad neta</t>
        </is>
      </c>
      <c r="D1982" s="64" t="n"/>
      <c r="E1982" s="69">
        <f>MAX(0,ROUND(E1979+Materiales!$H$286-D1981-E1980,4))</f>
        <v/>
      </c>
      <c r="F1982" s="69">
        <f>MAX(0,ROUND(F1979+Materiales!$H$286-E1981-F1980,4))</f>
        <v/>
      </c>
      <c r="G1982" s="69">
        <f>MAX(0,ROUND(G1979+Materiales!$H$286-F1981-G1980,4))</f>
        <v/>
      </c>
      <c r="H1982" s="69">
        <f>MAX(0,ROUND(H1979+Materiales!$H$286-G1981-H1980,4))</f>
        <v/>
      </c>
      <c r="I1982" s="69">
        <f>MAX(0,ROUND(I1979+Materiales!$H$286-H1981-I1980,4))</f>
        <v/>
      </c>
      <c r="J1982" s="69">
        <f>MAX(0,ROUND(J1979+Materiales!$H$286-I1981-J1980,4))</f>
        <v/>
      </c>
      <c r="K1982" s="69">
        <f>MAX(0,ROUND(K1979+Materiales!$H$286-J1981-K1980,4))</f>
        <v/>
      </c>
      <c r="L1982" s="69">
        <f>MAX(0,ROUND(L1979+Materiales!$H$286-K1981-L1980,4))</f>
        <v/>
      </c>
      <c r="M1982" s="66" t="n"/>
    </row>
    <row r="1983">
      <c r="C1983" s="63" t="inlineStr">
        <is>
          <t>Recepcion de orden planificada</t>
        </is>
      </c>
      <c r="D1983" s="64" t="n"/>
      <c r="E1983" s="65">
        <f>IF(E1982&lt;=0,0,IF(Materiales!$G$286&lt;=0,E1982,ROUNDUP(E1982/Materiales!$G$286,0)*Materiales!$G$286))</f>
        <v/>
      </c>
      <c r="F1983" s="65">
        <f>IF(F1982&lt;=0,0,IF(Materiales!$G$286&lt;=0,F1982,ROUNDUP(F1982/Materiales!$G$286,0)*Materiales!$G$286))</f>
        <v/>
      </c>
      <c r="G1983" s="65">
        <f>IF(G1982&lt;=0,0,IF(Materiales!$G$286&lt;=0,G1982,ROUNDUP(G1982/Materiales!$G$286,0)*Materiales!$G$286))</f>
        <v/>
      </c>
      <c r="H1983" s="65">
        <f>IF(H1982&lt;=0,0,IF(Materiales!$G$286&lt;=0,H1982,ROUNDUP(H1982/Materiales!$G$286,0)*Materiales!$G$286))</f>
        <v/>
      </c>
      <c r="I1983" s="65">
        <f>IF(I1982&lt;=0,0,IF(Materiales!$G$286&lt;=0,I1982,ROUNDUP(I1982/Materiales!$G$286,0)*Materiales!$G$286))</f>
        <v/>
      </c>
      <c r="J1983" s="65">
        <f>IF(J1982&lt;=0,0,IF(Materiales!$G$286&lt;=0,J1982,ROUNDUP(J1982/Materiales!$G$286,0)*Materiales!$G$286))</f>
        <v/>
      </c>
      <c r="K1983" s="65">
        <f>IF(K1982&lt;=0,0,IF(Materiales!$G$286&lt;=0,K1982,ROUNDUP(K1982/Materiales!$G$286,0)*Materiales!$G$286))</f>
        <v/>
      </c>
      <c r="L1983" s="65">
        <f>IF(L1982&lt;=0,0,IF(Materiales!$G$286&lt;=0,L1982,ROUNDUP(L1982/Materiales!$G$286,0)*Materiales!$G$286))</f>
        <v/>
      </c>
      <c r="M1983" s="66" t="n"/>
    </row>
    <row r="1984">
      <c r="C1984" s="70" t="inlineStr">
        <is>
          <t>LANZAMIENTO DE ORDEN — pedir esta semana</t>
        </is>
      </c>
      <c r="D1984" s="64" t="n"/>
      <c r="E1984" s="71">
        <f>IF(1+Materiales!$F$286&gt;8,0,INDEX($E$1983:$L$1983,1,1+Materiales!$F$286))</f>
        <v/>
      </c>
      <c r="F1984" s="71">
        <f>IF(2+Materiales!$F$286&gt;8,0,INDEX($E$1983:$L$1983,1,2+Materiales!$F$286))</f>
        <v/>
      </c>
      <c r="G1984" s="71">
        <f>IF(3+Materiales!$F$286&gt;8,0,INDEX($E$1983:$L$1983,1,3+Materiales!$F$286))</f>
        <v/>
      </c>
      <c r="H1984" s="71">
        <f>IF(4+Materiales!$F$286&gt;8,0,INDEX($E$1983:$L$1983,1,4+Materiales!$F$286))</f>
        <v/>
      </c>
      <c r="I1984" s="71">
        <f>IF(5+Materiales!$F$286&gt;8,0,INDEX($E$1983:$L$1983,1,5+Materiales!$F$286))</f>
        <v/>
      </c>
      <c r="J1984" s="71">
        <f>IF(6+Materiales!$F$286&gt;8,0,INDEX($E$1983:$L$1983,1,6+Materiales!$F$286))</f>
        <v/>
      </c>
      <c r="K1984" s="71">
        <f>IF(7+Materiales!$F$286&gt;8,0,INDEX($E$1983:$L$1983,1,7+Materiales!$F$286))</f>
        <v/>
      </c>
      <c r="L1984" s="71">
        <f>IF(8+Materiales!$F$286&gt;8,0,INDEX($E$1983:$L$1983,1,8+Materiales!$F$286))</f>
        <v/>
      </c>
      <c r="M1984" s="72">
        <f>IF($A1979="","",IF(SUMPRODUCT((COLUMN($E$1983:$L$1983)-4&lt;=Materiales!$F$286)*$E$1983:$L$1983)&gt;0,"PEDIR YA (atrasado)","OK"))</f>
        <v/>
      </c>
    </row>
    <row r="1985" ht="6" customHeight="1"/>
    <row r="1986">
      <c r="A1986" s="62">
        <f>IF(Materiales!$A$287="","",Materiales!$A$287)</f>
        <v/>
      </c>
      <c r="B1986" s="62">
        <f>IF(Materiales!$B$287="","",Materiales!$B$287)</f>
        <v/>
      </c>
      <c r="C1986" s="63" t="inlineStr">
        <is>
          <t>Necesidad bruta</t>
        </is>
      </c>
      <c r="D1986" s="64" t="n"/>
      <c r="E1986" s="65">
        <f>ROUND(SUMIF(Consumo!$P$4:$P$189,"#"&amp;$A1986,Consumo!H$4:H$189),4)</f>
        <v/>
      </c>
      <c r="F1986" s="65">
        <f>ROUND(SUMIF(Consumo!$P$4:$P$189,"#"&amp;$A1986,Consumo!I$4:I$189),4)</f>
        <v/>
      </c>
      <c r="G1986" s="65">
        <f>ROUND(SUMIF(Consumo!$P$4:$P$189,"#"&amp;$A1986,Consumo!J$4:J$189),4)</f>
        <v/>
      </c>
      <c r="H1986" s="65">
        <f>ROUND(SUMIF(Consumo!$P$4:$P$189,"#"&amp;$A1986,Consumo!K$4:K$189),4)</f>
        <v/>
      </c>
      <c r="I1986" s="65">
        <f>ROUND(SUMIF(Consumo!$P$4:$P$189,"#"&amp;$A1986,Consumo!L$4:L$189),4)</f>
        <v/>
      </c>
      <c r="J1986" s="65">
        <f>ROUND(SUMIF(Consumo!$P$4:$P$189,"#"&amp;$A1986,Consumo!M$4:M$189),4)</f>
        <v/>
      </c>
      <c r="K1986" s="65">
        <f>ROUND(SUMIF(Consumo!$P$4:$P$189,"#"&amp;$A1986,Consumo!N$4:N$189),4)</f>
        <v/>
      </c>
      <c r="L1986" s="65">
        <f>ROUND(SUMIF(Consumo!$P$4:$P$189,"#"&amp;$A1986,Consumo!O$4:O$189),4)</f>
        <v/>
      </c>
      <c r="M1986" s="66" t="n"/>
    </row>
    <row r="1987">
      <c r="C1987" s="63" t="inlineStr">
        <is>
          <t>Recepciones programadas (ya pedido)</t>
        </is>
      </c>
      <c r="D1987" s="64" t="n"/>
      <c r="E1987" s="65">
        <f>SUMIF(Inventario!$M$5:$M$505,"#"&amp;$A1986,Inventario!E$5:E$505)</f>
        <v/>
      </c>
      <c r="F1987" s="65">
        <f>SUMIF(Inventario!$M$5:$M$505,"#"&amp;$A1986,Inventario!F$5:F$505)</f>
        <v/>
      </c>
      <c r="G1987" s="65">
        <f>SUMIF(Inventario!$M$5:$M$505,"#"&amp;$A1986,Inventario!G$5:G$505)</f>
        <v/>
      </c>
      <c r="H1987" s="65">
        <f>SUMIF(Inventario!$M$5:$M$505,"#"&amp;$A1986,Inventario!H$5:H$505)</f>
        <v/>
      </c>
      <c r="I1987" s="65">
        <f>SUMIF(Inventario!$M$5:$M$505,"#"&amp;$A1986,Inventario!I$5:I$505)</f>
        <v/>
      </c>
      <c r="J1987" s="65">
        <f>SUMIF(Inventario!$M$5:$M$505,"#"&amp;$A1986,Inventario!J$5:J$505)</f>
        <v/>
      </c>
      <c r="K1987" s="65">
        <f>SUMIF(Inventario!$M$5:$M$505,"#"&amp;$A1986,Inventario!K$5:K$505)</f>
        <v/>
      </c>
      <c r="L1987" s="65">
        <f>SUMIF(Inventario!$M$5:$M$505,"#"&amp;$A1986,Inventario!L$5:L$505)</f>
        <v/>
      </c>
      <c r="M1987" s="66" t="n"/>
    </row>
    <row r="1988">
      <c r="C1988" s="63" t="inlineStr">
        <is>
          <t>Stock proyectado disponible</t>
        </is>
      </c>
      <c r="D1988" s="67">
        <f>SUMIF(Inventario!$M$5:$M$505,"#"&amp;$A1986,Inventario!$C$5:$C$505)</f>
        <v/>
      </c>
      <c r="E1988" s="68">
        <f>D1988+E1987+E1990-E1986</f>
        <v/>
      </c>
      <c r="F1988" s="68">
        <f>E1988+F1987+F1990-F1986</f>
        <v/>
      </c>
      <c r="G1988" s="68">
        <f>F1988+G1987+G1990-G1986</f>
        <v/>
      </c>
      <c r="H1988" s="68">
        <f>G1988+H1987+H1990-H1986</f>
        <v/>
      </c>
      <c r="I1988" s="68">
        <f>H1988+I1987+I1990-I1986</f>
        <v/>
      </c>
      <c r="J1988" s="68">
        <f>I1988+J1987+J1990-J1986</f>
        <v/>
      </c>
      <c r="K1988" s="68">
        <f>J1988+K1987+K1990-K1986</f>
        <v/>
      </c>
      <c r="L1988" s="68">
        <f>K1988+L1987+L1990-L1986</f>
        <v/>
      </c>
      <c r="M1988" s="66" t="n"/>
    </row>
    <row r="1989">
      <c r="C1989" s="63" t="inlineStr">
        <is>
          <t>Necesidad neta</t>
        </is>
      </c>
      <c r="D1989" s="64" t="n"/>
      <c r="E1989" s="69">
        <f>MAX(0,ROUND(E1986+Materiales!$H$287-D1988-E1987,4))</f>
        <v/>
      </c>
      <c r="F1989" s="69">
        <f>MAX(0,ROUND(F1986+Materiales!$H$287-E1988-F1987,4))</f>
        <v/>
      </c>
      <c r="G1989" s="69">
        <f>MAX(0,ROUND(G1986+Materiales!$H$287-F1988-G1987,4))</f>
        <v/>
      </c>
      <c r="H1989" s="69">
        <f>MAX(0,ROUND(H1986+Materiales!$H$287-G1988-H1987,4))</f>
        <v/>
      </c>
      <c r="I1989" s="69">
        <f>MAX(0,ROUND(I1986+Materiales!$H$287-H1988-I1987,4))</f>
        <v/>
      </c>
      <c r="J1989" s="69">
        <f>MAX(0,ROUND(J1986+Materiales!$H$287-I1988-J1987,4))</f>
        <v/>
      </c>
      <c r="K1989" s="69">
        <f>MAX(0,ROUND(K1986+Materiales!$H$287-J1988-K1987,4))</f>
        <v/>
      </c>
      <c r="L1989" s="69">
        <f>MAX(0,ROUND(L1986+Materiales!$H$287-K1988-L1987,4))</f>
        <v/>
      </c>
      <c r="M1989" s="66" t="n"/>
    </row>
    <row r="1990">
      <c r="C1990" s="63" t="inlineStr">
        <is>
          <t>Recepcion de orden planificada</t>
        </is>
      </c>
      <c r="D1990" s="64" t="n"/>
      <c r="E1990" s="65">
        <f>IF(E1989&lt;=0,0,IF(Materiales!$G$287&lt;=0,E1989,ROUNDUP(E1989/Materiales!$G$287,0)*Materiales!$G$287))</f>
        <v/>
      </c>
      <c r="F1990" s="65">
        <f>IF(F1989&lt;=0,0,IF(Materiales!$G$287&lt;=0,F1989,ROUNDUP(F1989/Materiales!$G$287,0)*Materiales!$G$287))</f>
        <v/>
      </c>
      <c r="G1990" s="65">
        <f>IF(G1989&lt;=0,0,IF(Materiales!$G$287&lt;=0,G1989,ROUNDUP(G1989/Materiales!$G$287,0)*Materiales!$G$287))</f>
        <v/>
      </c>
      <c r="H1990" s="65">
        <f>IF(H1989&lt;=0,0,IF(Materiales!$G$287&lt;=0,H1989,ROUNDUP(H1989/Materiales!$G$287,0)*Materiales!$G$287))</f>
        <v/>
      </c>
      <c r="I1990" s="65">
        <f>IF(I1989&lt;=0,0,IF(Materiales!$G$287&lt;=0,I1989,ROUNDUP(I1989/Materiales!$G$287,0)*Materiales!$G$287))</f>
        <v/>
      </c>
      <c r="J1990" s="65">
        <f>IF(J1989&lt;=0,0,IF(Materiales!$G$287&lt;=0,J1989,ROUNDUP(J1989/Materiales!$G$287,0)*Materiales!$G$287))</f>
        <v/>
      </c>
      <c r="K1990" s="65">
        <f>IF(K1989&lt;=0,0,IF(Materiales!$G$287&lt;=0,K1989,ROUNDUP(K1989/Materiales!$G$287,0)*Materiales!$G$287))</f>
        <v/>
      </c>
      <c r="L1990" s="65">
        <f>IF(L1989&lt;=0,0,IF(Materiales!$G$287&lt;=0,L1989,ROUNDUP(L1989/Materiales!$G$287,0)*Materiales!$G$287))</f>
        <v/>
      </c>
      <c r="M1990" s="66" t="n"/>
    </row>
    <row r="1991">
      <c r="C1991" s="70" t="inlineStr">
        <is>
          <t>LANZAMIENTO DE ORDEN — pedir esta semana</t>
        </is>
      </c>
      <c r="D1991" s="64" t="n"/>
      <c r="E1991" s="71">
        <f>IF(1+Materiales!$F$287&gt;8,0,INDEX($E$1990:$L$1990,1,1+Materiales!$F$287))</f>
        <v/>
      </c>
      <c r="F1991" s="71">
        <f>IF(2+Materiales!$F$287&gt;8,0,INDEX($E$1990:$L$1990,1,2+Materiales!$F$287))</f>
        <v/>
      </c>
      <c r="G1991" s="71">
        <f>IF(3+Materiales!$F$287&gt;8,0,INDEX($E$1990:$L$1990,1,3+Materiales!$F$287))</f>
        <v/>
      </c>
      <c r="H1991" s="71">
        <f>IF(4+Materiales!$F$287&gt;8,0,INDEX($E$1990:$L$1990,1,4+Materiales!$F$287))</f>
        <v/>
      </c>
      <c r="I1991" s="71">
        <f>IF(5+Materiales!$F$287&gt;8,0,INDEX($E$1990:$L$1990,1,5+Materiales!$F$287))</f>
        <v/>
      </c>
      <c r="J1991" s="71">
        <f>IF(6+Materiales!$F$287&gt;8,0,INDEX($E$1990:$L$1990,1,6+Materiales!$F$287))</f>
        <v/>
      </c>
      <c r="K1991" s="71">
        <f>IF(7+Materiales!$F$287&gt;8,0,INDEX($E$1990:$L$1990,1,7+Materiales!$F$287))</f>
        <v/>
      </c>
      <c r="L1991" s="71">
        <f>IF(8+Materiales!$F$287&gt;8,0,INDEX($E$1990:$L$1990,1,8+Materiales!$F$287))</f>
        <v/>
      </c>
      <c r="M1991" s="72">
        <f>IF($A1986="","",IF(SUMPRODUCT((COLUMN($E$1990:$L$1990)-4&lt;=Materiales!$F$287)*$E$1990:$L$1990)&gt;0,"PEDIR YA (atrasado)","OK"))</f>
        <v/>
      </c>
    </row>
    <row r="1992" ht="6" customHeight="1"/>
    <row r="1993">
      <c r="A1993" s="62">
        <f>IF(Materiales!$A$288="","",Materiales!$A$288)</f>
        <v/>
      </c>
      <c r="B1993" s="62">
        <f>IF(Materiales!$B$288="","",Materiales!$B$288)</f>
        <v/>
      </c>
      <c r="C1993" s="63" t="inlineStr">
        <is>
          <t>Necesidad bruta</t>
        </is>
      </c>
      <c r="D1993" s="64" t="n"/>
      <c r="E1993" s="65">
        <f>ROUND(SUMIF(Consumo!$P$4:$P$189,"#"&amp;$A1993,Consumo!H$4:H$189),4)</f>
        <v/>
      </c>
      <c r="F1993" s="65">
        <f>ROUND(SUMIF(Consumo!$P$4:$P$189,"#"&amp;$A1993,Consumo!I$4:I$189),4)</f>
        <v/>
      </c>
      <c r="G1993" s="65">
        <f>ROUND(SUMIF(Consumo!$P$4:$P$189,"#"&amp;$A1993,Consumo!J$4:J$189),4)</f>
        <v/>
      </c>
      <c r="H1993" s="65">
        <f>ROUND(SUMIF(Consumo!$P$4:$P$189,"#"&amp;$A1993,Consumo!K$4:K$189),4)</f>
        <v/>
      </c>
      <c r="I1993" s="65">
        <f>ROUND(SUMIF(Consumo!$P$4:$P$189,"#"&amp;$A1993,Consumo!L$4:L$189),4)</f>
        <v/>
      </c>
      <c r="J1993" s="65">
        <f>ROUND(SUMIF(Consumo!$P$4:$P$189,"#"&amp;$A1993,Consumo!M$4:M$189),4)</f>
        <v/>
      </c>
      <c r="K1993" s="65">
        <f>ROUND(SUMIF(Consumo!$P$4:$P$189,"#"&amp;$A1993,Consumo!N$4:N$189),4)</f>
        <v/>
      </c>
      <c r="L1993" s="65">
        <f>ROUND(SUMIF(Consumo!$P$4:$P$189,"#"&amp;$A1993,Consumo!O$4:O$189),4)</f>
        <v/>
      </c>
      <c r="M1993" s="66" t="n"/>
    </row>
    <row r="1994">
      <c r="C1994" s="63" t="inlineStr">
        <is>
          <t>Recepciones programadas (ya pedido)</t>
        </is>
      </c>
      <c r="D1994" s="64" t="n"/>
      <c r="E1994" s="65">
        <f>SUMIF(Inventario!$M$5:$M$505,"#"&amp;$A1993,Inventario!E$5:E$505)</f>
        <v/>
      </c>
      <c r="F1994" s="65">
        <f>SUMIF(Inventario!$M$5:$M$505,"#"&amp;$A1993,Inventario!F$5:F$505)</f>
        <v/>
      </c>
      <c r="G1994" s="65">
        <f>SUMIF(Inventario!$M$5:$M$505,"#"&amp;$A1993,Inventario!G$5:G$505)</f>
        <v/>
      </c>
      <c r="H1994" s="65">
        <f>SUMIF(Inventario!$M$5:$M$505,"#"&amp;$A1993,Inventario!H$5:H$505)</f>
        <v/>
      </c>
      <c r="I1994" s="65">
        <f>SUMIF(Inventario!$M$5:$M$505,"#"&amp;$A1993,Inventario!I$5:I$505)</f>
        <v/>
      </c>
      <c r="J1994" s="65">
        <f>SUMIF(Inventario!$M$5:$M$505,"#"&amp;$A1993,Inventario!J$5:J$505)</f>
        <v/>
      </c>
      <c r="K1994" s="65">
        <f>SUMIF(Inventario!$M$5:$M$505,"#"&amp;$A1993,Inventario!K$5:K$505)</f>
        <v/>
      </c>
      <c r="L1994" s="65">
        <f>SUMIF(Inventario!$M$5:$M$505,"#"&amp;$A1993,Inventario!L$5:L$505)</f>
        <v/>
      </c>
      <c r="M1994" s="66" t="n"/>
    </row>
    <row r="1995">
      <c r="C1995" s="63" t="inlineStr">
        <is>
          <t>Stock proyectado disponible</t>
        </is>
      </c>
      <c r="D1995" s="67">
        <f>SUMIF(Inventario!$M$5:$M$505,"#"&amp;$A1993,Inventario!$C$5:$C$505)</f>
        <v/>
      </c>
      <c r="E1995" s="68">
        <f>D1995+E1994+E1997-E1993</f>
        <v/>
      </c>
      <c r="F1995" s="68">
        <f>E1995+F1994+F1997-F1993</f>
        <v/>
      </c>
      <c r="G1995" s="68">
        <f>F1995+G1994+G1997-G1993</f>
        <v/>
      </c>
      <c r="H1995" s="68">
        <f>G1995+H1994+H1997-H1993</f>
        <v/>
      </c>
      <c r="I1995" s="68">
        <f>H1995+I1994+I1997-I1993</f>
        <v/>
      </c>
      <c r="J1995" s="68">
        <f>I1995+J1994+J1997-J1993</f>
        <v/>
      </c>
      <c r="K1995" s="68">
        <f>J1995+K1994+K1997-K1993</f>
        <v/>
      </c>
      <c r="L1995" s="68">
        <f>K1995+L1994+L1997-L1993</f>
        <v/>
      </c>
      <c r="M1995" s="66" t="n"/>
    </row>
    <row r="1996">
      <c r="C1996" s="63" t="inlineStr">
        <is>
          <t>Necesidad neta</t>
        </is>
      </c>
      <c r="D1996" s="64" t="n"/>
      <c r="E1996" s="69">
        <f>MAX(0,ROUND(E1993+Materiales!$H$288-D1995-E1994,4))</f>
        <v/>
      </c>
      <c r="F1996" s="69">
        <f>MAX(0,ROUND(F1993+Materiales!$H$288-E1995-F1994,4))</f>
        <v/>
      </c>
      <c r="G1996" s="69">
        <f>MAX(0,ROUND(G1993+Materiales!$H$288-F1995-G1994,4))</f>
        <v/>
      </c>
      <c r="H1996" s="69">
        <f>MAX(0,ROUND(H1993+Materiales!$H$288-G1995-H1994,4))</f>
        <v/>
      </c>
      <c r="I1996" s="69">
        <f>MAX(0,ROUND(I1993+Materiales!$H$288-H1995-I1994,4))</f>
        <v/>
      </c>
      <c r="J1996" s="69">
        <f>MAX(0,ROUND(J1993+Materiales!$H$288-I1995-J1994,4))</f>
        <v/>
      </c>
      <c r="K1996" s="69">
        <f>MAX(0,ROUND(K1993+Materiales!$H$288-J1995-K1994,4))</f>
        <v/>
      </c>
      <c r="L1996" s="69">
        <f>MAX(0,ROUND(L1993+Materiales!$H$288-K1995-L1994,4))</f>
        <v/>
      </c>
      <c r="M1996" s="66" t="n"/>
    </row>
    <row r="1997">
      <c r="C1997" s="63" t="inlineStr">
        <is>
          <t>Recepcion de orden planificada</t>
        </is>
      </c>
      <c r="D1997" s="64" t="n"/>
      <c r="E1997" s="65">
        <f>IF(E1996&lt;=0,0,IF(Materiales!$G$288&lt;=0,E1996,ROUNDUP(E1996/Materiales!$G$288,0)*Materiales!$G$288))</f>
        <v/>
      </c>
      <c r="F1997" s="65">
        <f>IF(F1996&lt;=0,0,IF(Materiales!$G$288&lt;=0,F1996,ROUNDUP(F1996/Materiales!$G$288,0)*Materiales!$G$288))</f>
        <v/>
      </c>
      <c r="G1997" s="65">
        <f>IF(G1996&lt;=0,0,IF(Materiales!$G$288&lt;=0,G1996,ROUNDUP(G1996/Materiales!$G$288,0)*Materiales!$G$288))</f>
        <v/>
      </c>
      <c r="H1997" s="65">
        <f>IF(H1996&lt;=0,0,IF(Materiales!$G$288&lt;=0,H1996,ROUNDUP(H1996/Materiales!$G$288,0)*Materiales!$G$288))</f>
        <v/>
      </c>
      <c r="I1997" s="65">
        <f>IF(I1996&lt;=0,0,IF(Materiales!$G$288&lt;=0,I1996,ROUNDUP(I1996/Materiales!$G$288,0)*Materiales!$G$288))</f>
        <v/>
      </c>
      <c r="J1997" s="65">
        <f>IF(J1996&lt;=0,0,IF(Materiales!$G$288&lt;=0,J1996,ROUNDUP(J1996/Materiales!$G$288,0)*Materiales!$G$288))</f>
        <v/>
      </c>
      <c r="K1997" s="65">
        <f>IF(K1996&lt;=0,0,IF(Materiales!$G$288&lt;=0,K1996,ROUNDUP(K1996/Materiales!$G$288,0)*Materiales!$G$288))</f>
        <v/>
      </c>
      <c r="L1997" s="65">
        <f>IF(L1996&lt;=0,0,IF(Materiales!$G$288&lt;=0,L1996,ROUNDUP(L1996/Materiales!$G$288,0)*Materiales!$G$288))</f>
        <v/>
      </c>
      <c r="M1997" s="66" t="n"/>
    </row>
    <row r="1998">
      <c r="C1998" s="70" t="inlineStr">
        <is>
          <t>LANZAMIENTO DE ORDEN — pedir esta semana</t>
        </is>
      </c>
      <c r="D1998" s="64" t="n"/>
      <c r="E1998" s="71">
        <f>IF(1+Materiales!$F$288&gt;8,0,INDEX($E$1997:$L$1997,1,1+Materiales!$F$288))</f>
        <v/>
      </c>
      <c r="F1998" s="71">
        <f>IF(2+Materiales!$F$288&gt;8,0,INDEX($E$1997:$L$1997,1,2+Materiales!$F$288))</f>
        <v/>
      </c>
      <c r="G1998" s="71">
        <f>IF(3+Materiales!$F$288&gt;8,0,INDEX($E$1997:$L$1997,1,3+Materiales!$F$288))</f>
        <v/>
      </c>
      <c r="H1998" s="71">
        <f>IF(4+Materiales!$F$288&gt;8,0,INDEX($E$1997:$L$1997,1,4+Materiales!$F$288))</f>
        <v/>
      </c>
      <c r="I1998" s="71">
        <f>IF(5+Materiales!$F$288&gt;8,0,INDEX($E$1997:$L$1997,1,5+Materiales!$F$288))</f>
        <v/>
      </c>
      <c r="J1998" s="71">
        <f>IF(6+Materiales!$F$288&gt;8,0,INDEX($E$1997:$L$1997,1,6+Materiales!$F$288))</f>
        <v/>
      </c>
      <c r="K1998" s="71">
        <f>IF(7+Materiales!$F$288&gt;8,0,INDEX($E$1997:$L$1997,1,7+Materiales!$F$288))</f>
        <v/>
      </c>
      <c r="L1998" s="71">
        <f>IF(8+Materiales!$F$288&gt;8,0,INDEX($E$1997:$L$1997,1,8+Materiales!$F$288))</f>
        <v/>
      </c>
      <c r="M1998" s="72">
        <f>IF($A1993="","",IF(SUMPRODUCT((COLUMN($E$1997:$L$1997)-4&lt;=Materiales!$F$288)*$E$1997:$L$1997)&gt;0,"PEDIR YA (atrasado)","OK"))</f>
        <v/>
      </c>
    </row>
    <row r="1999" ht="6" customHeight="1"/>
    <row r="2000">
      <c r="A2000" s="62">
        <f>IF(Materiales!$A$289="","",Materiales!$A$289)</f>
        <v/>
      </c>
      <c r="B2000" s="62">
        <f>IF(Materiales!$B$289="","",Materiales!$B$289)</f>
        <v/>
      </c>
      <c r="C2000" s="63" t="inlineStr">
        <is>
          <t>Necesidad bruta</t>
        </is>
      </c>
      <c r="D2000" s="64" t="n"/>
      <c r="E2000" s="65">
        <f>ROUND(SUMIF(Consumo!$P$4:$P$189,"#"&amp;$A2000,Consumo!H$4:H$189),4)</f>
        <v/>
      </c>
      <c r="F2000" s="65">
        <f>ROUND(SUMIF(Consumo!$P$4:$P$189,"#"&amp;$A2000,Consumo!I$4:I$189),4)</f>
        <v/>
      </c>
      <c r="G2000" s="65">
        <f>ROUND(SUMIF(Consumo!$P$4:$P$189,"#"&amp;$A2000,Consumo!J$4:J$189),4)</f>
        <v/>
      </c>
      <c r="H2000" s="65">
        <f>ROUND(SUMIF(Consumo!$P$4:$P$189,"#"&amp;$A2000,Consumo!K$4:K$189),4)</f>
        <v/>
      </c>
      <c r="I2000" s="65">
        <f>ROUND(SUMIF(Consumo!$P$4:$P$189,"#"&amp;$A2000,Consumo!L$4:L$189),4)</f>
        <v/>
      </c>
      <c r="J2000" s="65">
        <f>ROUND(SUMIF(Consumo!$P$4:$P$189,"#"&amp;$A2000,Consumo!M$4:M$189),4)</f>
        <v/>
      </c>
      <c r="K2000" s="65">
        <f>ROUND(SUMIF(Consumo!$P$4:$P$189,"#"&amp;$A2000,Consumo!N$4:N$189),4)</f>
        <v/>
      </c>
      <c r="L2000" s="65">
        <f>ROUND(SUMIF(Consumo!$P$4:$P$189,"#"&amp;$A2000,Consumo!O$4:O$189),4)</f>
        <v/>
      </c>
      <c r="M2000" s="66" t="n"/>
    </row>
    <row r="2001">
      <c r="C2001" s="63" t="inlineStr">
        <is>
          <t>Recepciones programadas (ya pedido)</t>
        </is>
      </c>
      <c r="D2001" s="64" t="n"/>
      <c r="E2001" s="65">
        <f>SUMIF(Inventario!$M$5:$M$505,"#"&amp;$A2000,Inventario!E$5:E$505)</f>
        <v/>
      </c>
      <c r="F2001" s="65">
        <f>SUMIF(Inventario!$M$5:$M$505,"#"&amp;$A2000,Inventario!F$5:F$505)</f>
        <v/>
      </c>
      <c r="G2001" s="65">
        <f>SUMIF(Inventario!$M$5:$M$505,"#"&amp;$A2000,Inventario!G$5:G$505)</f>
        <v/>
      </c>
      <c r="H2001" s="65">
        <f>SUMIF(Inventario!$M$5:$M$505,"#"&amp;$A2000,Inventario!H$5:H$505)</f>
        <v/>
      </c>
      <c r="I2001" s="65">
        <f>SUMIF(Inventario!$M$5:$M$505,"#"&amp;$A2000,Inventario!I$5:I$505)</f>
        <v/>
      </c>
      <c r="J2001" s="65">
        <f>SUMIF(Inventario!$M$5:$M$505,"#"&amp;$A2000,Inventario!J$5:J$505)</f>
        <v/>
      </c>
      <c r="K2001" s="65">
        <f>SUMIF(Inventario!$M$5:$M$505,"#"&amp;$A2000,Inventario!K$5:K$505)</f>
        <v/>
      </c>
      <c r="L2001" s="65">
        <f>SUMIF(Inventario!$M$5:$M$505,"#"&amp;$A2000,Inventario!L$5:L$505)</f>
        <v/>
      </c>
      <c r="M2001" s="66" t="n"/>
    </row>
    <row r="2002">
      <c r="C2002" s="63" t="inlineStr">
        <is>
          <t>Stock proyectado disponible</t>
        </is>
      </c>
      <c r="D2002" s="67">
        <f>SUMIF(Inventario!$M$5:$M$505,"#"&amp;$A2000,Inventario!$C$5:$C$505)</f>
        <v/>
      </c>
      <c r="E2002" s="68">
        <f>D2002+E2001+E2004-E2000</f>
        <v/>
      </c>
      <c r="F2002" s="68">
        <f>E2002+F2001+F2004-F2000</f>
        <v/>
      </c>
      <c r="G2002" s="68">
        <f>F2002+G2001+G2004-G2000</f>
        <v/>
      </c>
      <c r="H2002" s="68">
        <f>G2002+H2001+H2004-H2000</f>
        <v/>
      </c>
      <c r="I2002" s="68">
        <f>H2002+I2001+I2004-I2000</f>
        <v/>
      </c>
      <c r="J2002" s="68">
        <f>I2002+J2001+J2004-J2000</f>
        <v/>
      </c>
      <c r="K2002" s="68">
        <f>J2002+K2001+K2004-K2000</f>
        <v/>
      </c>
      <c r="L2002" s="68">
        <f>K2002+L2001+L2004-L2000</f>
        <v/>
      </c>
      <c r="M2002" s="66" t="n"/>
    </row>
    <row r="2003">
      <c r="C2003" s="63" t="inlineStr">
        <is>
          <t>Necesidad neta</t>
        </is>
      </c>
      <c r="D2003" s="64" t="n"/>
      <c r="E2003" s="69">
        <f>MAX(0,ROUND(E2000+Materiales!$H$289-D2002-E2001,4))</f>
        <v/>
      </c>
      <c r="F2003" s="69">
        <f>MAX(0,ROUND(F2000+Materiales!$H$289-E2002-F2001,4))</f>
        <v/>
      </c>
      <c r="G2003" s="69">
        <f>MAX(0,ROUND(G2000+Materiales!$H$289-F2002-G2001,4))</f>
        <v/>
      </c>
      <c r="H2003" s="69">
        <f>MAX(0,ROUND(H2000+Materiales!$H$289-G2002-H2001,4))</f>
        <v/>
      </c>
      <c r="I2003" s="69">
        <f>MAX(0,ROUND(I2000+Materiales!$H$289-H2002-I2001,4))</f>
        <v/>
      </c>
      <c r="J2003" s="69">
        <f>MAX(0,ROUND(J2000+Materiales!$H$289-I2002-J2001,4))</f>
        <v/>
      </c>
      <c r="K2003" s="69">
        <f>MAX(0,ROUND(K2000+Materiales!$H$289-J2002-K2001,4))</f>
        <v/>
      </c>
      <c r="L2003" s="69">
        <f>MAX(0,ROUND(L2000+Materiales!$H$289-K2002-L2001,4))</f>
        <v/>
      </c>
      <c r="M2003" s="66" t="n"/>
    </row>
    <row r="2004">
      <c r="C2004" s="63" t="inlineStr">
        <is>
          <t>Recepcion de orden planificada</t>
        </is>
      </c>
      <c r="D2004" s="64" t="n"/>
      <c r="E2004" s="65">
        <f>IF(E2003&lt;=0,0,IF(Materiales!$G$289&lt;=0,E2003,ROUNDUP(E2003/Materiales!$G$289,0)*Materiales!$G$289))</f>
        <v/>
      </c>
      <c r="F2004" s="65">
        <f>IF(F2003&lt;=0,0,IF(Materiales!$G$289&lt;=0,F2003,ROUNDUP(F2003/Materiales!$G$289,0)*Materiales!$G$289))</f>
        <v/>
      </c>
      <c r="G2004" s="65">
        <f>IF(G2003&lt;=0,0,IF(Materiales!$G$289&lt;=0,G2003,ROUNDUP(G2003/Materiales!$G$289,0)*Materiales!$G$289))</f>
        <v/>
      </c>
      <c r="H2004" s="65">
        <f>IF(H2003&lt;=0,0,IF(Materiales!$G$289&lt;=0,H2003,ROUNDUP(H2003/Materiales!$G$289,0)*Materiales!$G$289))</f>
        <v/>
      </c>
      <c r="I2004" s="65">
        <f>IF(I2003&lt;=0,0,IF(Materiales!$G$289&lt;=0,I2003,ROUNDUP(I2003/Materiales!$G$289,0)*Materiales!$G$289))</f>
        <v/>
      </c>
      <c r="J2004" s="65">
        <f>IF(J2003&lt;=0,0,IF(Materiales!$G$289&lt;=0,J2003,ROUNDUP(J2003/Materiales!$G$289,0)*Materiales!$G$289))</f>
        <v/>
      </c>
      <c r="K2004" s="65">
        <f>IF(K2003&lt;=0,0,IF(Materiales!$G$289&lt;=0,K2003,ROUNDUP(K2003/Materiales!$G$289,0)*Materiales!$G$289))</f>
        <v/>
      </c>
      <c r="L2004" s="65">
        <f>IF(L2003&lt;=0,0,IF(Materiales!$G$289&lt;=0,L2003,ROUNDUP(L2003/Materiales!$G$289,0)*Materiales!$G$289))</f>
        <v/>
      </c>
      <c r="M2004" s="66" t="n"/>
    </row>
    <row r="2005">
      <c r="C2005" s="70" t="inlineStr">
        <is>
          <t>LANZAMIENTO DE ORDEN — pedir esta semana</t>
        </is>
      </c>
      <c r="D2005" s="64" t="n"/>
      <c r="E2005" s="71">
        <f>IF(1+Materiales!$F$289&gt;8,0,INDEX($E$2004:$L$2004,1,1+Materiales!$F$289))</f>
        <v/>
      </c>
      <c r="F2005" s="71">
        <f>IF(2+Materiales!$F$289&gt;8,0,INDEX($E$2004:$L$2004,1,2+Materiales!$F$289))</f>
        <v/>
      </c>
      <c r="G2005" s="71">
        <f>IF(3+Materiales!$F$289&gt;8,0,INDEX($E$2004:$L$2004,1,3+Materiales!$F$289))</f>
        <v/>
      </c>
      <c r="H2005" s="71">
        <f>IF(4+Materiales!$F$289&gt;8,0,INDEX($E$2004:$L$2004,1,4+Materiales!$F$289))</f>
        <v/>
      </c>
      <c r="I2005" s="71">
        <f>IF(5+Materiales!$F$289&gt;8,0,INDEX($E$2004:$L$2004,1,5+Materiales!$F$289))</f>
        <v/>
      </c>
      <c r="J2005" s="71">
        <f>IF(6+Materiales!$F$289&gt;8,0,INDEX($E$2004:$L$2004,1,6+Materiales!$F$289))</f>
        <v/>
      </c>
      <c r="K2005" s="71">
        <f>IF(7+Materiales!$F$289&gt;8,0,INDEX($E$2004:$L$2004,1,7+Materiales!$F$289))</f>
        <v/>
      </c>
      <c r="L2005" s="71">
        <f>IF(8+Materiales!$F$289&gt;8,0,INDEX($E$2004:$L$2004,1,8+Materiales!$F$289))</f>
        <v/>
      </c>
      <c r="M2005" s="72">
        <f>IF($A2000="","",IF(SUMPRODUCT((COLUMN($E$2004:$L$2004)-4&lt;=Materiales!$F$289)*$E$2004:$L$2004)&gt;0,"PEDIR YA (atrasado)","OK"))</f>
        <v/>
      </c>
    </row>
    <row r="2006" ht="6" customHeight="1"/>
    <row r="2007">
      <c r="A2007" s="62">
        <f>IF(Materiales!$A$290="","",Materiales!$A$290)</f>
        <v/>
      </c>
      <c r="B2007" s="62">
        <f>IF(Materiales!$B$290="","",Materiales!$B$290)</f>
        <v/>
      </c>
      <c r="C2007" s="63" t="inlineStr">
        <is>
          <t>Necesidad bruta</t>
        </is>
      </c>
      <c r="D2007" s="64" t="n"/>
      <c r="E2007" s="65">
        <f>ROUND(SUMIF(Consumo!$P$4:$P$189,"#"&amp;$A2007,Consumo!H$4:H$189),4)</f>
        <v/>
      </c>
      <c r="F2007" s="65">
        <f>ROUND(SUMIF(Consumo!$P$4:$P$189,"#"&amp;$A2007,Consumo!I$4:I$189),4)</f>
        <v/>
      </c>
      <c r="G2007" s="65">
        <f>ROUND(SUMIF(Consumo!$P$4:$P$189,"#"&amp;$A2007,Consumo!J$4:J$189),4)</f>
        <v/>
      </c>
      <c r="H2007" s="65">
        <f>ROUND(SUMIF(Consumo!$P$4:$P$189,"#"&amp;$A2007,Consumo!K$4:K$189),4)</f>
        <v/>
      </c>
      <c r="I2007" s="65">
        <f>ROUND(SUMIF(Consumo!$P$4:$P$189,"#"&amp;$A2007,Consumo!L$4:L$189),4)</f>
        <v/>
      </c>
      <c r="J2007" s="65">
        <f>ROUND(SUMIF(Consumo!$P$4:$P$189,"#"&amp;$A2007,Consumo!M$4:M$189),4)</f>
        <v/>
      </c>
      <c r="K2007" s="65">
        <f>ROUND(SUMIF(Consumo!$P$4:$P$189,"#"&amp;$A2007,Consumo!N$4:N$189),4)</f>
        <v/>
      </c>
      <c r="L2007" s="65">
        <f>ROUND(SUMIF(Consumo!$P$4:$P$189,"#"&amp;$A2007,Consumo!O$4:O$189),4)</f>
        <v/>
      </c>
      <c r="M2007" s="66" t="n"/>
    </row>
    <row r="2008">
      <c r="C2008" s="63" t="inlineStr">
        <is>
          <t>Recepciones programadas (ya pedido)</t>
        </is>
      </c>
      <c r="D2008" s="64" t="n"/>
      <c r="E2008" s="65">
        <f>SUMIF(Inventario!$M$5:$M$505,"#"&amp;$A2007,Inventario!E$5:E$505)</f>
        <v/>
      </c>
      <c r="F2008" s="65">
        <f>SUMIF(Inventario!$M$5:$M$505,"#"&amp;$A2007,Inventario!F$5:F$505)</f>
        <v/>
      </c>
      <c r="G2008" s="65">
        <f>SUMIF(Inventario!$M$5:$M$505,"#"&amp;$A2007,Inventario!G$5:G$505)</f>
        <v/>
      </c>
      <c r="H2008" s="65">
        <f>SUMIF(Inventario!$M$5:$M$505,"#"&amp;$A2007,Inventario!H$5:H$505)</f>
        <v/>
      </c>
      <c r="I2008" s="65">
        <f>SUMIF(Inventario!$M$5:$M$505,"#"&amp;$A2007,Inventario!I$5:I$505)</f>
        <v/>
      </c>
      <c r="J2008" s="65">
        <f>SUMIF(Inventario!$M$5:$M$505,"#"&amp;$A2007,Inventario!J$5:J$505)</f>
        <v/>
      </c>
      <c r="K2008" s="65">
        <f>SUMIF(Inventario!$M$5:$M$505,"#"&amp;$A2007,Inventario!K$5:K$505)</f>
        <v/>
      </c>
      <c r="L2008" s="65">
        <f>SUMIF(Inventario!$M$5:$M$505,"#"&amp;$A2007,Inventario!L$5:L$505)</f>
        <v/>
      </c>
      <c r="M2008" s="66" t="n"/>
    </row>
    <row r="2009">
      <c r="C2009" s="63" t="inlineStr">
        <is>
          <t>Stock proyectado disponible</t>
        </is>
      </c>
      <c r="D2009" s="67">
        <f>SUMIF(Inventario!$M$5:$M$505,"#"&amp;$A2007,Inventario!$C$5:$C$505)</f>
        <v/>
      </c>
      <c r="E2009" s="68">
        <f>D2009+E2008+E2011-E2007</f>
        <v/>
      </c>
      <c r="F2009" s="68">
        <f>E2009+F2008+F2011-F2007</f>
        <v/>
      </c>
      <c r="G2009" s="68">
        <f>F2009+G2008+G2011-G2007</f>
        <v/>
      </c>
      <c r="H2009" s="68">
        <f>G2009+H2008+H2011-H2007</f>
        <v/>
      </c>
      <c r="I2009" s="68">
        <f>H2009+I2008+I2011-I2007</f>
        <v/>
      </c>
      <c r="J2009" s="68">
        <f>I2009+J2008+J2011-J2007</f>
        <v/>
      </c>
      <c r="K2009" s="68">
        <f>J2009+K2008+K2011-K2007</f>
        <v/>
      </c>
      <c r="L2009" s="68">
        <f>K2009+L2008+L2011-L2007</f>
        <v/>
      </c>
      <c r="M2009" s="66" t="n"/>
    </row>
    <row r="2010">
      <c r="C2010" s="63" t="inlineStr">
        <is>
          <t>Necesidad neta</t>
        </is>
      </c>
      <c r="D2010" s="64" t="n"/>
      <c r="E2010" s="69">
        <f>MAX(0,ROUND(E2007+Materiales!$H$290-D2009-E2008,4))</f>
        <v/>
      </c>
      <c r="F2010" s="69">
        <f>MAX(0,ROUND(F2007+Materiales!$H$290-E2009-F2008,4))</f>
        <v/>
      </c>
      <c r="G2010" s="69">
        <f>MAX(0,ROUND(G2007+Materiales!$H$290-F2009-G2008,4))</f>
        <v/>
      </c>
      <c r="H2010" s="69">
        <f>MAX(0,ROUND(H2007+Materiales!$H$290-G2009-H2008,4))</f>
        <v/>
      </c>
      <c r="I2010" s="69">
        <f>MAX(0,ROUND(I2007+Materiales!$H$290-H2009-I2008,4))</f>
        <v/>
      </c>
      <c r="J2010" s="69">
        <f>MAX(0,ROUND(J2007+Materiales!$H$290-I2009-J2008,4))</f>
        <v/>
      </c>
      <c r="K2010" s="69">
        <f>MAX(0,ROUND(K2007+Materiales!$H$290-J2009-K2008,4))</f>
        <v/>
      </c>
      <c r="L2010" s="69">
        <f>MAX(0,ROUND(L2007+Materiales!$H$290-K2009-L2008,4))</f>
        <v/>
      </c>
      <c r="M2010" s="66" t="n"/>
    </row>
    <row r="2011">
      <c r="C2011" s="63" t="inlineStr">
        <is>
          <t>Recepcion de orden planificada</t>
        </is>
      </c>
      <c r="D2011" s="64" t="n"/>
      <c r="E2011" s="65">
        <f>IF(E2010&lt;=0,0,IF(Materiales!$G$290&lt;=0,E2010,ROUNDUP(E2010/Materiales!$G$290,0)*Materiales!$G$290))</f>
        <v/>
      </c>
      <c r="F2011" s="65">
        <f>IF(F2010&lt;=0,0,IF(Materiales!$G$290&lt;=0,F2010,ROUNDUP(F2010/Materiales!$G$290,0)*Materiales!$G$290))</f>
        <v/>
      </c>
      <c r="G2011" s="65">
        <f>IF(G2010&lt;=0,0,IF(Materiales!$G$290&lt;=0,G2010,ROUNDUP(G2010/Materiales!$G$290,0)*Materiales!$G$290))</f>
        <v/>
      </c>
      <c r="H2011" s="65">
        <f>IF(H2010&lt;=0,0,IF(Materiales!$G$290&lt;=0,H2010,ROUNDUP(H2010/Materiales!$G$290,0)*Materiales!$G$290))</f>
        <v/>
      </c>
      <c r="I2011" s="65">
        <f>IF(I2010&lt;=0,0,IF(Materiales!$G$290&lt;=0,I2010,ROUNDUP(I2010/Materiales!$G$290,0)*Materiales!$G$290))</f>
        <v/>
      </c>
      <c r="J2011" s="65">
        <f>IF(J2010&lt;=0,0,IF(Materiales!$G$290&lt;=0,J2010,ROUNDUP(J2010/Materiales!$G$290,0)*Materiales!$G$290))</f>
        <v/>
      </c>
      <c r="K2011" s="65">
        <f>IF(K2010&lt;=0,0,IF(Materiales!$G$290&lt;=0,K2010,ROUNDUP(K2010/Materiales!$G$290,0)*Materiales!$G$290))</f>
        <v/>
      </c>
      <c r="L2011" s="65">
        <f>IF(L2010&lt;=0,0,IF(Materiales!$G$290&lt;=0,L2010,ROUNDUP(L2010/Materiales!$G$290,0)*Materiales!$G$290))</f>
        <v/>
      </c>
      <c r="M2011" s="66" t="n"/>
    </row>
    <row r="2012">
      <c r="C2012" s="70" t="inlineStr">
        <is>
          <t>LANZAMIENTO DE ORDEN — pedir esta semana</t>
        </is>
      </c>
      <c r="D2012" s="64" t="n"/>
      <c r="E2012" s="71">
        <f>IF(1+Materiales!$F$290&gt;8,0,INDEX($E$2011:$L$2011,1,1+Materiales!$F$290))</f>
        <v/>
      </c>
      <c r="F2012" s="71">
        <f>IF(2+Materiales!$F$290&gt;8,0,INDEX($E$2011:$L$2011,1,2+Materiales!$F$290))</f>
        <v/>
      </c>
      <c r="G2012" s="71">
        <f>IF(3+Materiales!$F$290&gt;8,0,INDEX($E$2011:$L$2011,1,3+Materiales!$F$290))</f>
        <v/>
      </c>
      <c r="H2012" s="71">
        <f>IF(4+Materiales!$F$290&gt;8,0,INDEX($E$2011:$L$2011,1,4+Materiales!$F$290))</f>
        <v/>
      </c>
      <c r="I2012" s="71">
        <f>IF(5+Materiales!$F$290&gt;8,0,INDEX($E$2011:$L$2011,1,5+Materiales!$F$290))</f>
        <v/>
      </c>
      <c r="J2012" s="71">
        <f>IF(6+Materiales!$F$290&gt;8,0,INDEX($E$2011:$L$2011,1,6+Materiales!$F$290))</f>
        <v/>
      </c>
      <c r="K2012" s="71">
        <f>IF(7+Materiales!$F$290&gt;8,0,INDEX($E$2011:$L$2011,1,7+Materiales!$F$290))</f>
        <v/>
      </c>
      <c r="L2012" s="71">
        <f>IF(8+Materiales!$F$290&gt;8,0,INDEX($E$2011:$L$2011,1,8+Materiales!$F$290))</f>
        <v/>
      </c>
      <c r="M2012" s="72">
        <f>IF($A2007="","",IF(SUMPRODUCT((COLUMN($E$2011:$L$2011)-4&lt;=Materiales!$F$290)*$E$2011:$L$2011)&gt;0,"PEDIR YA (atrasado)","OK"))</f>
        <v/>
      </c>
    </row>
    <row r="2013" ht="6" customHeight="1"/>
    <row r="2014">
      <c r="A2014" s="62">
        <f>IF(Materiales!$A$291="","",Materiales!$A$291)</f>
        <v/>
      </c>
      <c r="B2014" s="62">
        <f>IF(Materiales!$B$291="","",Materiales!$B$291)</f>
        <v/>
      </c>
      <c r="C2014" s="63" t="inlineStr">
        <is>
          <t>Necesidad bruta</t>
        </is>
      </c>
      <c r="D2014" s="64" t="n"/>
      <c r="E2014" s="65">
        <f>ROUND(SUMIF(Consumo!$P$4:$P$189,"#"&amp;$A2014,Consumo!H$4:H$189),4)</f>
        <v/>
      </c>
      <c r="F2014" s="65">
        <f>ROUND(SUMIF(Consumo!$P$4:$P$189,"#"&amp;$A2014,Consumo!I$4:I$189),4)</f>
        <v/>
      </c>
      <c r="G2014" s="65">
        <f>ROUND(SUMIF(Consumo!$P$4:$P$189,"#"&amp;$A2014,Consumo!J$4:J$189),4)</f>
        <v/>
      </c>
      <c r="H2014" s="65">
        <f>ROUND(SUMIF(Consumo!$P$4:$P$189,"#"&amp;$A2014,Consumo!K$4:K$189),4)</f>
        <v/>
      </c>
      <c r="I2014" s="65">
        <f>ROUND(SUMIF(Consumo!$P$4:$P$189,"#"&amp;$A2014,Consumo!L$4:L$189),4)</f>
        <v/>
      </c>
      <c r="J2014" s="65">
        <f>ROUND(SUMIF(Consumo!$P$4:$P$189,"#"&amp;$A2014,Consumo!M$4:M$189),4)</f>
        <v/>
      </c>
      <c r="K2014" s="65">
        <f>ROUND(SUMIF(Consumo!$P$4:$P$189,"#"&amp;$A2014,Consumo!N$4:N$189),4)</f>
        <v/>
      </c>
      <c r="L2014" s="65">
        <f>ROUND(SUMIF(Consumo!$P$4:$P$189,"#"&amp;$A2014,Consumo!O$4:O$189),4)</f>
        <v/>
      </c>
      <c r="M2014" s="66" t="n"/>
    </row>
    <row r="2015">
      <c r="C2015" s="63" t="inlineStr">
        <is>
          <t>Recepciones programadas (ya pedido)</t>
        </is>
      </c>
      <c r="D2015" s="64" t="n"/>
      <c r="E2015" s="65">
        <f>SUMIF(Inventario!$M$5:$M$505,"#"&amp;$A2014,Inventario!E$5:E$505)</f>
        <v/>
      </c>
      <c r="F2015" s="65">
        <f>SUMIF(Inventario!$M$5:$M$505,"#"&amp;$A2014,Inventario!F$5:F$505)</f>
        <v/>
      </c>
      <c r="G2015" s="65">
        <f>SUMIF(Inventario!$M$5:$M$505,"#"&amp;$A2014,Inventario!G$5:G$505)</f>
        <v/>
      </c>
      <c r="H2015" s="65">
        <f>SUMIF(Inventario!$M$5:$M$505,"#"&amp;$A2014,Inventario!H$5:H$505)</f>
        <v/>
      </c>
      <c r="I2015" s="65">
        <f>SUMIF(Inventario!$M$5:$M$505,"#"&amp;$A2014,Inventario!I$5:I$505)</f>
        <v/>
      </c>
      <c r="J2015" s="65">
        <f>SUMIF(Inventario!$M$5:$M$505,"#"&amp;$A2014,Inventario!J$5:J$505)</f>
        <v/>
      </c>
      <c r="K2015" s="65">
        <f>SUMIF(Inventario!$M$5:$M$505,"#"&amp;$A2014,Inventario!K$5:K$505)</f>
        <v/>
      </c>
      <c r="L2015" s="65">
        <f>SUMIF(Inventario!$M$5:$M$505,"#"&amp;$A2014,Inventario!L$5:L$505)</f>
        <v/>
      </c>
      <c r="M2015" s="66" t="n"/>
    </row>
    <row r="2016">
      <c r="C2016" s="63" t="inlineStr">
        <is>
          <t>Stock proyectado disponible</t>
        </is>
      </c>
      <c r="D2016" s="67">
        <f>SUMIF(Inventario!$M$5:$M$505,"#"&amp;$A2014,Inventario!$C$5:$C$505)</f>
        <v/>
      </c>
      <c r="E2016" s="68">
        <f>D2016+E2015+E2018-E2014</f>
        <v/>
      </c>
      <c r="F2016" s="68">
        <f>E2016+F2015+F2018-F2014</f>
        <v/>
      </c>
      <c r="G2016" s="68">
        <f>F2016+G2015+G2018-G2014</f>
        <v/>
      </c>
      <c r="H2016" s="68">
        <f>G2016+H2015+H2018-H2014</f>
        <v/>
      </c>
      <c r="I2016" s="68">
        <f>H2016+I2015+I2018-I2014</f>
        <v/>
      </c>
      <c r="J2016" s="68">
        <f>I2016+J2015+J2018-J2014</f>
        <v/>
      </c>
      <c r="K2016" s="68">
        <f>J2016+K2015+K2018-K2014</f>
        <v/>
      </c>
      <c r="L2016" s="68">
        <f>K2016+L2015+L2018-L2014</f>
        <v/>
      </c>
      <c r="M2016" s="66" t="n"/>
    </row>
    <row r="2017">
      <c r="C2017" s="63" t="inlineStr">
        <is>
          <t>Necesidad neta</t>
        </is>
      </c>
      <c r="D2017" s="64" t="n"/>
      <c r="E2017" s="69">
        <f>MAX(0,ROUND(E2014+Materiales!$H$291-D2016-E2015,4))</f>
        <v/>
      </c>
      <c r="F2017" s="69">
        <f>MAX(0,ROUND(F2014+Materiales!$H$291-E2016-F2015,4))</f>
        <v/>
      </c>
      <c r="G2017" s="69">
        <f>MAX(0,ROUND(G2014+Materiales!$H$291-F2016-G2015,4))</f>
        <v/>
      </c>
      <c r="H2017" s="69">
        <f>MAX(0,ROUND(H2014+Materiales!$H$291-G2016-H2015,4))</f>
        <v/>
      </c>
      <c r="I2017" s="69">
        <f>MAX(0,ROUND(I2014+Materiales!$H$291-H2016-I2015,4))</f>
        <v/>
      </c>
      <c r="J2017" s="69">
        <f>MAX(0,ROUND(J2014+Materiales!$H$291-I2016-J2015,4))</f>
        <v/>
      </c>
      <c r="K2017" s="69">
        <f>MAX(0,ROUND(K2014+Materiales!$H$291-J2016-K2015,4))</f>
        <v/>
      </c>
      <c r="L2017" s="69">
        <f>MAX(0,ROUND(L2014+Materiales!$H$291-K2016-L2015,4))</f>
        <v/>
      </c>
      <c r="M2017" s="66" t="n"/>
    </row>
    <row r="2018">
      <c r="C2018" s="63" t="inlineStr">
        <is>
          <t>Recepcion de orden planificada</t>
        </is>
      </c>
      <c r="D2018" s="64" t="n"/>
      <c r="E2018" s="65">
        <f>IF(E2017&lt;=0,0,IF(Materiales!$G$291&lt;=0,E2017,ROUNDUP(E2017/Materiales!$G$291,0)*Materiales!$G$291))</f>
        <v/>
      </c>
      <c r="F2018" s="65">
        <f>IF(F2017&lt;=0,0,IF(Materiales!$G$291&lt;=0,F2017,ROUNDUP(F2017/Materiales!$G$291,0)*Materiales!$G$291))</f>
        <v/>
      </c>
      <c r="G2018" s="65">
        <f>IF(G2017&lt;=0,0,IF(Materiales!$G$291&lt;=0,G2017,ROUNDUP(G2017/Materiales!$G$291,0)*Materiales!$G$291))</f>
        <v/>
      </c>
      <c r="H2018" s="65">
        <f>IF(H2017&lt;=0,0,IF(Materiales!$G$291&lt;=0,H2017,ROUNDUP(H2017/Materiales!$G$291,0)*Materiales!$G$291))</f>
        <v/>
      </c>
      <c r="I2018" s="65">
        <f>IF(I2017&lt;=0,0,IF(Materiales!$G$291&lt;=0,I2017,ROUNDUP(I2017/Materiales!$G$291,0)*Materiales!$G$291))</f>
        <v/>
      </c>
      <c r="J2018" s="65">
        <f>IF(J2017&lt;=0,0,IF(Materiales!$G$291&lt;=0,J2017,ROUNDUP(J2017/Materiales!$G$291,0)*Materiales!$G$291))</f>
        <v/>
      </c>
      <c r="K2018" s="65">
        <f>IF(K2017&lt;=0,0,IF(Materiales!$G$291&lt;=0,K2017,ROUNDUP(K2017/Materiales!$G$291,0)*Materiales!$G$291))</f>
        <v/>
      </c>
      <c r="L2018" s="65">
        <f>IF(L2017&lt;=0,0,IF(Materiales!$G$291&lt;=0,L2017,ROUNDUP(L2017/Materiales!$G$291,0)*Materiales!$G$291))</f>
        <v/>
      </c>
      <c r="M2018" s="66" t="n"/>
    </row>
    <row r="2019">
      <c r="C2019" s="70" t="inlineStr">
        <is>
          <t>LANZAMIENTO DE ORDEN — pedir esta semana</t>
        </is>
      </c>
      <c r="D2019" s="64" t="n"/>
      <c r="E2019" s="71">
        <f>IF(1+Materiales!$F$291&gt;8,0,INDEX($E$2018:$L$2018,1,1+Materiales!$F$291))</f>
        <v/>
      </c>
      <c r="F2019" s="71">
        <f>IF(2+Materiales!$F$291&gt;8,0,INDEX($E$2018:$L$2018,1,2+Materiales!$F$291))</f>
        <v/>
      </c>
      <c r="G2019" s="71">
        <f>IF(3+Materiales!$F$291&gt;8,0,INDEX($E$2018:$L$2018,1,3+Materiales!$F$291))</f>
        <v/>
      </c>
      <c r="H2019" s="71">
        <f>IF(4+Materiales!$F$291&gt;8,0,INDEX($E$2018:$L$2018,1,4+Materiales!$F$291))</f>
        <v/>
      </c>
      <c r="I2019" s="71">
        <f>IF(5+Materiales!$F$291&gt;8,0,INDEX($E$2018:$L$2018,1,5+Materiales!$F$291))</f>
        <v/>
      </c>
      <c r="J2019" s="71">
        <f>IF(6+Materiales!$F$291&gt;8,0,INDEX($E$2018:$L$2018,1,6+Materiales!$F$291))</f>
        <v/>
      </c>
      <c r="K2019" s="71">
        <f>IF(7+Materiales!$F$291&gt;8,0,INDEX($E$2018:$L$2018,1,7+Materiales!$F$291))</f>
        <v/>
      </c>
      <c r="L2019" s="71">
        <f>IF(8+Materiales!$F$291&gt;8,0,INDEX($E$2018:$L$2018,1,8+Materiales!$F$291))</f>
        <v/>
      </c>
      <c r="M2019" s="72">
        <f>IF($A2014="","",IF(SUMPRODUCT((COLUMN($E$2018:$L$2018)-4&lt;=Materiales!$F$291)*$E$2018:$L$2018)&gt;0,"PEDIR YA (atrasado)","OK"))</f>
        <v/>
      </c>
    </row>
    <row r="2020" ht="6" customHeight="1"/>
    <row r="2021">
      <c r="A2021" s="62">
        <f>IF(Materiales!$A$292="","",Materiales!$A$292)</f>
        <v/>
      </c>
      <c r="B2021" s="62">
        <f>IF(Materiales!$B$292="","",Materiales!$B$292)</f>
        <v/>
      </c>
      <c r="C2021" s="63" t="inlineStr">
        <is>
          <t>Necesidad bruta</t>
        </is>
      </c>
      <c r="D2021" s="64" t="n"/>
      <c r="E2021" s="65">
        <f>ROUND(SUMIF(Consumo!$P$4:$P$189,"#"&amp;$A2021,Consumo!H$4:H$189),4)</f>
        <v/>
      </c>
      <c r="F2021" s="65">
        <f>ROUND(SUMIF(Consumo!$P$4:$P$189,"#"&amp;$A2021,Consumo!I$4:I$189),4)</f>
        <v/>
      </c>
      <c r="G2021" s="65">
        <f>ROUND(SUMIF(Consumo!$P$4:$P$189,"#"&amp;$A2021,Consumo!J$4:J$189),4)</f>
        <v/>
      </c>
      <c r="H2021" s="65">
        <f>ROUND(SUMIF(Consumo!$P$4:$P$189,"#"&amp;$A2021,Consumo!K$4:K$189),4)</f>
        <v/>
      </c>
      <c r="I2021" s="65">
        <f>ROUND(SUMIF(Consumo!$P$4:$P$189,"#"&amp;$A2021,Consumo!L$4:L$189),4)</f>
        <v/>
      </c>
      <c r="J2021" s="65">
        <f>ROUND(SUMIF(Consumo!$P$4:$P$189,"#"&amp;$A2021,Consumo!M$4:M$189),4)</f>
        <v/>
      </c>
      <c r="K2021" s="65">
        <f>ROUND(SUMIF(Consumo!$P$4:$P$189,"#"&amp;$A2021,Consumo!N$4:N$189),4)</f>
        <v/>
      </c>
      <c r="L2021" s="65">
        <f>ROUND(SUMIF(Consumo!$P$4:$P$189,"#"&amp;$A2021,Consumo!O$4:O$189),4)</f>
        <v/>
      </c>
      <c r="M2021" s="66" t="n"/>
    </row>
    <row r="2022">
      <c r="C2022" s="63" t="inlineStr">
        <is>
          <t>Recepciones programadas (ya pedido)</t>
        </is>
      </c>
      <c r="D2022" s="64" t="n"/>
      <c r="E2022" s="65">
        <f>SUMIF(Inventario!$M$5:$M$505,"#"&amp;$A2021,Inventario!E$5:E$505)</f>
        <v/>
      </c>
      <c r="F2022" s="65">
        <f>SUMIF(Inventario!$M$5:$M$505,"#"&amp;$A2021,Inventario!F$5:F$505)</f>
        <v/>
      </c>
      <c r="G2022" s="65">
        <f>SUMIF(Inventario!$M$5:$M$505,"#"&amp;$A2021,Inventario!G$5:G$505)</f>
        <v/>
      </c>
      <c r="H2022" s="65">
        <f>SUMIF(Inventario!$M$5:$M$505,"#"&amp;$A2021,Inventario!H$5:H$505)</f>
        <v/>
      </c>
      <c r="I2022" s="65">
        <f>SUMIF(Inventario!$M$5:$M$505,"#"&amp;$A2021,Inventario!I$5:I$505)</f>
        <v/>
      </c>
      <c r="J2022" s="65">
        <f>SUMIF(Inventario!$M$5:$M$505,"#"&amp;$A2021,Inventario!J$5:J$505)</f>
        <v/>
      </c>
      <c r="K2022" s="65">
        <f>SUMIF(Inventario!$M$5:$M$505,"#"&amp;$A2021,Inventario!K$5:K$505)</f>
        <v/>
      </c>
      <c r="L2022" s="65">
        <f>SUMIF(Inventario!$M$5:$M$505,"#"&amp;$A2021,Inventario!L$5:L$505)</f>
        <v/>
      </c>
      <c r="M2022" s="66" t="n"/>
    </row>
    <row r="2023">
      <c r="C2023" s="63" t="inlineStr">
        <is>
          <t>Stock proyectado disponible</t>
        </is>
      </c>
      <c r="D2023" s="67">
        <f>SUMIF(Inventario!$M$5:$M$505,"#"&amp;$A2021,Inventario!$C$5:$C$505)</f>
        <v/>
      </c>
      <c r="E2023" s="68">
        <f>D2023+E2022+E2025-E2021</f>
        <v/>
      </c>
      <c r="F2023" s="68">
        <f>E2023+F2022+F2025-F2021</f>
        <v/>
      </c>
      <c r="G2023" s="68">
        <f>F2023+G2022+G2025-G2021</f>
        <v/>
      </c>
      <c r="H2023" s="68">
        <f>G2023+H2022+H2025-H2021</f>
        <v/>
      </c>
      <c r="I2023" s="68">
        <f>H2023+I2022+I2025-I2021</f>
        <v/>
      </c>
      <c r="J2023" s="68">
        <f>I2023+J2022+J2025-J2021</f>
        <v/>
      </c>
      <c r="K2023" s="68">
        <f>J2023+K2022+K2025-K2021</f>
        <v/>
      </c>
      <c r="L2023" s="68">
        <f>K2023+L2022+L2025-L2021</f>
        <v/>
      </c>
      <c r="M2023" s="66" t="n"/>
    </row>
    <row r="2024">
      <c r="C2024" s="63" t="inlineStr">
        <is>
          <t>Necesidad neta</t>
        </is>
      </c>
      <c r="D2024" s="64" t="n"/>
      <c r="E2024" s="69">
        <f>MAX(0,ROUND(E2021+Materiales!$H$292-D2023-E2022,4))</f>
        <v/>
      </c>
      <c r="F2024" s="69">
        <f>MAX(0,ROUND(F2021+Materiales!$H$292-E2023-F2022,4))</f>
        <v/>
      </c>
      <c r="G2024" s="69">
        <f>MAX(0,ROUND(G2021+Materiales!$H$292-F2023-G2022,4))</f>
        <v/>
      </c>
      <c r="H2024" s="69">
        <f>MAX(0,ROUND(H2021+Materiales!$H$292-G2023-H2022,4))</f>
        <v/>
      </c>
      <c r="I2024" s="69">
        <f>MAX(0,ROUND(I2021+Materiales!$H$292-H2023-I2022,4))</f>
        <v/>
      </c>
      <c r="J2024" s="69">
        <f>MAX(0,ROUND(J2021+Materiales!$H$292-I2023-J2022,4))</f>
        <v/>
      </c>
      <c r="K2024" s="69">
        <f>MAX(0,ROUND(K2021+Materiales!$H$292-J2023-K2022,4))</f>
        <v/>
      </c>
      <c r="L2024" s="69">
        <f>MAX(0,ROUND(L2021+Materiales!$H$292-K2023-L2022,4))</f>
        <v/>
      </c>
      <c r="M2024" s="66" t="n"/>
    </row>
    <row r="2025">
      <c r="C2025" s="63" t="inlineStr">
        <is>
          <t>Recepcion de orden planificada</t>
        </is>
      </c>
      <c r="D2025" s="64" t="n"/>
      <c r="E2025" s="65">
        <f>IF(E2024&lt;=0,0,IF(Materiales!$G$292&lt;=0,E2024,ROUNDUP(E2024/Materiales!$G$292,0)*Materiales!$G$292))</f>
        <v/>
      </c>
      <c r="F2025" s="65">
        <f>IF(F2024&lt;=0,0,IF(Materiales!$G$292&lt;=0,F2024,ROUNDUP(F2024/Materiales!$G$292,0)*Materiales!$G$292))</f>
        <v/>
      </c>
      <c r="G2025" s="65">
        <f>IF(G2024&lt;=0,0,IF(Materiales!$G$292&lt;=0,G2024,ROUNDUP(G2024/Materiales!$G$292,0)*Materiales!$G$292))</f>
        <v/>
      </c>
      <c r="H2025" s="65">
        <f>IF(H2024&lt;=0,0,IF(Materiales!$G$292&lt;=0,H2024,ROUNDUP(H2024/Materiales!$G$292,0)*Materiales!$G$292))</f>
        <v/>
      </c>
      <c r="I2025" s="65">
        <f>IF(I2024&lt;=0,0,IF(Materiales!$G$292&lt;=0,I2024,ROUNDUP(I2024/Materiales!$G$292,0)*Materiales!$G$292))</f>
        <v/>
      </c>
      <c r="J2025" s="65">
        <f>IF(J2024&lt;=0,0,IF(Materiales!$G$292&lt;=0,J2024,ROUNDUP(J2024/Materiales!$G$292,0)*Materiales!$G$292))</f>
        <v/>
      </c>
      <c r="K2025" s="65">
        <f>IF(K2024&lt;=0,0,IF(Materiales!$G$292&lt;=0,K2024,ROUNDUP(K2024/Materiales!$G$292,0)*Materiales!$G$292))</f>
        <v/>
      </c>
      <c r="L2025" s="65">
        <f>IF(L2024&lt;=0,0,IF(Materiales!$G$292&lt;=0,L2024,ROUNDUP(L2024/Materiales!$G$292,0)*Materiales!$G$292))</f>
        <v/>
      </c>
      <c r="M2025" s="66" t="n"/>
    </row>
    <row r="2026">
      <c r="C2026" s="70" t="inlineStr">
        <is>
          <t>LANZAMIENTO DE ORDEN — pedir esta semana</t>
        </is>
      </c>
      <c r="D2026" s="64" t="n"/>
      <c r="E2026" s="71">
        <f>IF(1+Materiales!$F$292&gt;8,0,INDEX($E$2025:$L$2025,1,1+Materiales!$F$292))</f>
        <v/>
      </c>
      <c r="F2026" s="71">
        <f>IF(2+Materiales!$F$292&gt;8,0,INDEX($E$2025:$L$2025,1,2+Materiales!$F$292))</f>
        <v/>
      </c>
      <c r="G2026" s="71">
        <f>IF(3+Materiales!$F$292&gt;8,0,INDEX($E$2025:$L$2025,1,3+Materiales!$F$292))</f>
        <v/>
      </c>
      <c r="H2026" s="71">
        <f>IF(4+Materiales!$F$292&gt;8,0,INDEX($E$2025:$L$2025,1,4+Materiales!$F$292))</f>
        <v/>
      </c>
      <c r="I2026" s="71">
        <f>IF(5+Materiales!$F$292&gt;8,0,INDEX($E$2025:$L$2025,1,5+Materiales!$F$292))</f>
        <v/>
      </c>
      <c r="J2026" s="71">
        <f>IF(6+Materiales!$F$292&gt;8,0,INDEX($E$2025:$L$2025,1,6+Materiales!$F$292))</f>
        <v/>
      </c>
      <c r="K2026" s="71">
        <f>IF(7+Materiales!$F$292&gt;8,0,INDEX($E$2025:$L$2025,1,7+Materiales!$F$292))</f>
        <v/>
      </c>
      <c r="L2026" s="71">
        <f>IF(8+Materiales!$F$292&gt;8,0,INDEX($E$2025:$L$2025,1,8+Materiales!$F$292))</f>
        <v/>
      </c>
      <c r="M2026" s="72">
        <f>IF($A2021="","",IF(SUMPRODUCT((COLUMN($E$2025:$L$2025)-4&lt;=Materiales!$F$292)*$E$2025:$L$2025)&gt;0,"PEDIR YA (atrasado)","OK"))</f>
        <v/>
      </c>
    </row>
    <row r="2027" ht="6" customHeight="1"/>
    <row r="2028">
      <c r="A2028" s="62">
        <f>IF(Materiales!$A$293="","",Materiales!$A$293)</f>
        <v/>
      </c>
      <c r="B2028" s="62">
        <f>IF(Materiales!$B$293="","",Materiales!$B$293)</f>
        <v/>
      </c>
      <c r="C2028" s="63" t="inlineStr">
        <is>
          <t>Necesidad bruta</t>
        </is>
      </c>
      <c r="D2028" s="64" t="n"/>
      <c r="E2028" s="65">
        <f>ROUND(SUMIF(Consumo!$P$4:$P$189,"#"&amp;$A2028,Consumo!H$4:H$189),4)</f>
        <v/>
      </c>
      <c r="F2028" s="65">
        <f>ROUND(SUMIF(Consumo!$P$4:$P$189,"#"&amp;$A2028,Consumo!I$4:I$189),4)</f>
        <v/>
      </c>
      <c r="G2028" s="65">
        <f>ROUND(SUMIF(Consumo!$P$4:$P$189,"#"&amp;$A2028,Consumo!J$4:J$189),4)</f>
        <v/>
      </c>
      <c r="H2028" s="65">
        <f>ROUND(SUMIF(Consumo!$P$4:$P$189,"#"&amp;$A2028,Consumo!K$4:K$189),4)</f>
        <v/>
      </c>
      <c r="I2028" s="65">
        <f>ROUND(SUMIF(Consumo!$P$4:$P$189,"#"&amp;$A2028,Consumo!L$4:L$189),4)</f>
        <v/>
      </c>
      <c r="J2028" s="65">
        <f>ROUND(SUMIF(Consumo!$P$4:$P$189,"#"&amp;$A2028,Consumo!M$4:M$189),4)</f>
        <v/>
      </c>
      <c r="K2028" s="65">
        <f>ROUND(SUMIF(Consumo!$P$4:$P$189,"#"&amp;$A2028,Consumo!N$4:N$189),4)</f>
        <v/>
      </c>
      <c r="L2028" s="65">
        <f>ROUND(SUMIF(Consumo!$P$4:$P$189,"#"&amp;$A2028,Consumo!O$4:O$189),4)</f>
        <v/>
      </c>
      <c r="M2028" s="66" t="n"/>
    </row>
    <row r="2029">
      <c r="C2029" s="63" t="inlineStr">
        <is>
          <t>Recepciones programadas (ya pedido)</t>
        </is>
      </c>
      <c r="D2029" s="64" t="n"/>
      <c r="E2029" s="65">
        <f>SUMIF(Inventario!$M$5:$M$505,"#"&amp;$A2028,Inventario!E$5:E$505)</f>
        <v/>
      </c>
      <c r="F2029" s="65">
        <f>SUMIF(Inventario!$M$5:$M$505,"#"&amp;$A2028,Inventario!F$5:F$505)</f>
        <v/>
      </c>
      <c r="G2029" s="65">
        <f>SUMIF(Inventario!$M$5:$M$505,"#"&amp;$A2028,Inventario!G$5:G$505)</f>
        <v/>
      </c>
      <c r="H2029" s="65">
        <f>SUMIF(Inventario!$M$5:$M$505,"#"&amp;$A2028,Inventario!H$5:H$505)</f>
        <v/>
      </c>
      <c r="I2029" s="65">
        <f>SUMIF(Inventario!$M$5:$M$505,"#"&amp;$A2028,Inventario!I$5:I$505)</f>
        <v/>
      </c>
      <c r="J2029" s="65">
        <f>SUMIF(Inventario!$M$5:$M$505,"#"&amp;$A2028,Inventario!J$5:J$505)</f>
        <v/>
      </c>
      <c r="K2029" s="65">
        <f>SUMIF(Inventario!$M$5:$M$505,"#"&amp;$A2028,Inventario!K$5:K$505)</f>
        <v/>
      </c>
      <c r="L2029" s="65">
        <f>SUMIF(Inventario!$M$5:$M$505,"#"&amp;$A2028,Inventario!L$5:L$505)</f>
        <v/>
      </c>
      <c r="M2029" s="66" t="n"/>
    </row>
    <row r="2030">
      <c r="C2030" s="63" t="inlineStr">
        <is>
          <t>Stock proyectado disponible</t>
        </is>
      </c>
      <c r="D2030" s="67">
        <f>SUMIF(Inventario!$M$5:$M$505,"#"&amp;$A2028,Inventario!$C$5:$C$505)</f>
        <v/>
      </c>
      <c r="E2030" s="68">
        <f>D2030+E2029+E2032-E2028</f>
        <v/>
      </c>
      <c r="F2030" s="68">
        <f>E2030+F2029+F2032-F2028</f>
        <v/>
      </c>
      <c r="G2030" s="68">
        <f>F2030+G2029+G2032-G2028</f>
        <v/>
      </c>
      <c r="H2030" s="68">
        <f>G2030+H2029+H2032-H2028</f>
        <v/>
      </c>
      <c r="I2030" s="68">
        <f>H2030+I2029+I2032-I2028</f>
        <v/>
      </c>
      <c r="J2030" s="68">
        <f>I2030+J2029+J2032-J2028</f>
        <v/>
      </c>
      <c r="K2030" s="68">
        <f>J2030+K2029+K2032-K2028</f>
        <v/>
      </c>
      <c r="L2030" s="68">
        <f>K2030+L2029+L2032-L2028</f>
        <v/>
      </c>
      <c r="M2030" s="66" t="n"/>
    </row>
    <row r="2031">
      <c r="C2031" s="63" t="inlineStr">
        <is>
          <t>Necesidad neta</t>
        </is>
      </c>
      <c r="D2031" s="64" t="n"/>
      <c r="E2031" s="69">
        <f>MAX(0,ROUND(E2028+Materiales!$H$293-D2030-E2029,4))</f>
        <v/>
      </c>
      <c r="F2031" s="69">
        <f>MAX(0,ROUND(F2028+Materiales!$H$293-E2030-F2029,4))</f>
        <v/>
      </c>
      <c r="G2031" s="69">
        <f>MAX(0,ROUND(G2028+Materiales!$H$293-F2030-G2029,4))</f>
        <v/>
      </c>
      <c r="H2031" s="69">
        <f>MAX(0,ROUND(H2028+Materiales!$H$293-G2030-H2029,4))</f>
        <v/>
      </c>
      <c r="I2031" s="69">
        <f>MAX(0,ROUND(I2028+Materiales!$H$293-H2030-I2029,4))</f>
        <v/>
      </c>
      <c r="J2031" s="69">
        <f>MAX(0,ROUND(J2028+Materiales!$H$293-I2030-J2029,4))</f>
        <v/>
      </c>
      <c r="K2031" s="69">
        <f>MAX(0,ROUND(K2028+Materiales!$H$293-J2030-K2029,4))</f>
        <v/>
      </c>
      <c r="L2031" s="69">
        <f>MAX(0,ROUND(L2028+Materiales!$H$293-K2030-L2029,4))</f>
        <v/>
      </c>
      <c r="M2031" s="66" t="n"/>
    </row>
    <row r="2032">
      <c r="C2032" s="63" t="inlineStr">
        <is>
          <t>Recepcion de orden planificada</t>
        </is>
      </c>
      <c r="D2032" s="64" t="n"/>
      <c r="E2032" s="65">
        <f>IF(E2031&lt;=0,0,IF(Materiales!$G$293&lt;=0,E2031,ROUNDUP(E2031/Materiales!$G$293,0)*Materiales!$G$293))</f>
        <v/>
      </c>
      <c r="F2032" s="65">
        <f>IF(F2031&lt;=0,0,IF(Materiales!$G$293&lt;=0,F2031,ROUNDUP(F2031/Materiales!$G$293,0)*Materiales!$G$293))</f>
        <v/>
      </c>
      <c r="G2032" s="65">
        <f>IF(G2031&lt;=0,0,IF(Materiales!$G$293&lt;=0,G2031,ROUNDUP(G2031/Materiales!$G$293,0)*Materiales!$G$293))</f>
        <v/>
      </c>
      <c r="H2032" s="65">
        <f>IF(H2031&lt;=0,0,IF(Materiales!$G$293&lt;=0,H2031,ROUNDUP(H2031/Materiales!$G$293,0)*Materiales!$G$293))</f>
        <v/>
      </c>
      <c r="I2032" s="65">
        <f>IF(I2031&lt;=0,0,IF(Materiales!$G$293&lt;=0,I2031,ROUNDUP(I2031/Materiales!$G$293,0)*Materiales!$G$293))</f>
        <v/>
      </c>
      <c r="J2032" s="65">
        <f>IF(J2031&lt;=0,0,IF(Materiales!$G$293&lt;=0,J2031,ROUNDUP(J2031/Materiales!$G$293,0)*Materiales!$G$293))</f>
        <v/>
      </c>
      <c r="K2032" s="65">
        <f>IF(K2031&lt;=0,0,IF(Materiales!$G$293&lt;=0,K2031,ROUNDUP(K2031/Materiales!$G$293,0)*Materiales!$G$293))</f>
        <v/>
      </c>
      <c r="L2032" s="65">
        <f>IF(L2031&lt;=0,0,IF(Materiales!$G$293&lt;=0,L2031,ROUNDUP(L2031/Materiales!$G$293,0)*Materiales!$G$293))</f>
        <v/>
      </c>
      <c r="M2032" s="66" t="n"/>
    </row>
    <row r="2033">
      <c r="C2033" s="70" t="inlineStr">
        <is>
          <t>LANZAMIENTO DE ORDEN — pedir esta semana</t>
        </is>
      </c>
      <c r="D2033" s="64" t="n"/>
      <c r="E2033" s="71">
        <f>IF(1+Materiales!$F$293&gt;8,0,INDEX($E$2032:$L$2032,1,1+Materiales!$F$293))</f>
        <v/>
      </c>
      <c r="F2033" s="71">
        <f>IF(2+Materiales!$F$293&gt;8,0,INDEX($E$2032:$L$2032,1,2+Materiales!$F$293))</f>
        <v/>
      </c>
      <c r="G2033" s="71">
        <f>IF(3+Materiales!$F$293&gt;8,0,INDEX($E$2032:$L$2032,1,3+Materiales!$F$293))</f>
        <v/>
      </c>
      <c r="H2033" s="71">
        <f>IF(4+Materiales!$F$293&gt;8,0,INDEX($E$2032:$L$2032,1,4+Materiales!$F$293))</f>
        <v/>
      </c>
      <c r="I2033" s="71">
        <f>IF(5+Materiales!$F$293&gt;8,0,INDEX($E$2032:$L$2032,1,5+Materiales!$F$293))</f>
        <v/>
      </c>
      <c r="J2033" s="71">
        <f>IF(6+Materiales!$F$293&gt;8,0,INDEX($E$2032:$L$2032,1,6+Materiales!$F$293))</f>
        <v/>
      </c>
      <c r="K2033" s="71">
        <f>IF(7+Materiales!$F$293&gt;8,0,INDEX($E$2032:$L$2032,1,7+Materiales!$F$293))</f>
        <v/>
      </c>
      <c r="L2033" s="71">
        <f>IF(8+Materiales!$F$293&gt;8,0,INDEX($E$2032:$L$2032,1,8+Materiales!$F$293))</f>
        <v/>
      </c>
      <c r="M2033" s="72">
        <f>IF($A2028="","",IF(SUMPRODUCT((COLUMN($E$2032:$L$2032)-4&lt;=Materiales!$F$293)*$E$2032:$L$2032)&gt;0,"PEDIR YA (atrasado)","OK"))</f>
        <v/>
      </c>
    </row>
    <row r="2034" ht="6" customHeight="1"/>
    <row r="2035">
      <c r="A2035" s="62">
        <f>IF(Materiales!$A$294="","",Materiales!$A$294)</f>
        <v/>
      </c>
      <c r="B2035" s="62">
        <f>IF(Materiales!$B$294="","",Materiales!$B$294)</f>
        <v/>
      </c>
      <c r="C2035" s="63" t="inlineStr">
        <is>
          <t>Necesidad bruta</t>
        </is>
      </c>
      <c r="D2035" s="64" t="n"/>
      <c r="E2035" s="65">
        <f>ROUND(SUMIF(Consumo!$P$4:$P$189,"#"&amp;$A2035,Consumo!H$4:H$189),4)</f>
        <v/>
      </c>
      <c r="F2035" s="65">
        <f>ROUND(SUMIF(Consumo!$P$4:$P$189,"#"&amp;$A2035,Consumo!I$4:I$189),4)</f>
        <v/>
      </c>
      <c r="G2035" s="65">
        <f>ROUND(SUMIF(Consumo!$P$4:$P$189,"#"&amp;$A2035,Consumo!J$4:J$189),4)</f>
        <v/>
      </c>
      <c r="H2035" s="65">
        <f>ROUND(SUMIF(Consumo!$P$4:$P$189,"#"&amp;$A2035,Consumo!K$4:K$189),4)</f>
        <v/>
      </c>
      <c r="I2035" s="65">
        <f>ROUND(SUMIF(Consumo!$P$4:$P$189,"#"&amp;$A2035,Consumo!L$4:L$189),4)</f>
        <v/>
      </c>
      <c r="J2035" s="65">
        <f>ROUND(SUMIF(Consumo!$P$4:$P$189,"#"&amp;$A2035,Consumo!M$4:M$189),4)</f>
        <v/>
      </c>
      <c r="K2035" s="65">
        <f>ROUND(SUMIF(Consumo!$P$4:$P$189,"#"&amp;$A2035,Consumo!N$4:N$189),4)</f>
        <v/>
      </c>
      <c r="L2035" s="65">
        <f>ROUND(SUMIF(Consumo!$P$4:$P$189,"#"&amp;$A2035,Consumo!O$4:O$189),4)</f>
        <v/>
      </c>
      <c r="M2035" s="66" t="n"/>
    </row>
    <row r="2036">
      <c r="C2036" s="63" t="inlineStr">
        <is>
          <t>Recepciones programadas (ya pedido)</t>
        </is>
      </c>
      <c r="D2036" s="64" t="n"/>
      <c r="E2036" s="65">
        <f>SUMIF(Inventario!$M$5:$M$505,"#"&amp;$A2035,Inventario!E$5:E$505)</f>
        <v/>
      </c>
      <c r="F2036" s="65">
        <f>SUMIF(Inventario!$M$5:$M$505,"#"&amp;$A2035,Inventario!F$5:F$505)</f>
        <v/>
      </c>
      <c r="G2036" s="65">
        <f>SUMIF(Inventario!$M$5:$M$505,"#"&amp;$A2035,Inventario!G$5:G$505)</f>
        <v/>
      </c>
      <c r="H2036" s="65">
        <f>SUMIF(Inventario!$M$5:$M$505,"#"&amp;$A2035,Inventario!H$5:H$505)</f>
        <v/>
      </c>
      <c r="I2036" s="65">
        <f>SUMIF(Inventario!$M$5:$M$505,"#"&amp;$A2035,Inventario!I$5:I$505)</f>
        <v/>
      </c>
      <c r="J2036" s="65">
        <f>SUMIF(Inventario!$M$5:$M$505,"#"&amp;$A2035,Inventario!J$5:J$505)</f>
        <v/>
      </c>
      <c r="K2036" s="65">
        <f>SUMIF(Inventario!$M$5:$M$505,"#"&amp;$A2035,Inventario!K$5:K$505)</f>
        <v/>
      </c>
      <c r="L2036" s="65">
        <f>SUMIF(Inventario!$M$5:$M$505,"#"&amp;$A2035,Inventario!L$5:L$505)</f>
        <v/>
      </c>
      <c r="M2036" s="66" t="n"/>
    </row>
    <row r="2037">
      <c r="C2037" s="63" t="inlineStr">
        <is>
          <t>Stock proyectado disponible</t>
        </is>
      </c>
      <c r="D2037" s="67">
        <f>SUMIF(Inventario!$M$5:$M$505,"#"&amp;$A2035,Inventario!$C$5:$C$505)</f>
        <v/>
      </c>
      <c r="E2037" s="68">
        <f>D2037+E2036+E2039-E2035</f>
        <v/>
      </c>
      <c r="F2037" s="68">
        <f>E2037+F2036+F2039-F2035</f>
        <v/>
      </c>
      <c r="G2037" s="68">
        <f>F2037+G2036+G2039-G2035</f>
        <v/>
      </c>
      <c r="H2037" s="68">
        <f>G2037+H2036+H2039-H2035</f>
        <v/>
      </c>
      <c r="I2037" s="68">
        <f>H2037+I2036+I2039-I2035</f>
        <v/>
      </c>
      <c r="J2037" s="68">
        <f>I2037+J2036+J2039-J2035</f>
        <v/>
      </c>
      <c r="K2037" s="68">
        <f>J2037+K2036+K2039-K2035</f>
        <v/>
      </c>
      <c r="L2037" s="68">
        <f>K2037+L2036+L2039-L2035</f>
        <v/>
      </c>
      <c r="M2037" s="66" t="n"/>
    </row>
    <row r="2038">
      <c r="C2038" s="63" t="inlineStr">
        <is>
          <t>Necesidad neta</t>
        </is>
      </c>
      <c r="D2038" s="64" t="n"/>
      <c r="E2038" s="69">
        <f>MAX(0,ROUND(E2035+Materiales!$H$294-D2037-E2036,4))</f>
        <v/>
      </c>
      <c r="F2038" s="69">
        <f>MAX(0,ROUND(F2035+Materiales!$H$294-E2037-F2036,4))</f>
        <v/>
      </c>
      <c r="G2038" s="69">
        <f>MAX(0,ROUND(G2035+Materiales!$H$294-F2037-G2036,4))</f>
        <v/>
      </c>
      <c r="H2038" s="69">
        <f>MAX(0,ROUND(H2035+Materiales!$H$294-G2037-H2036,4))</f>
        <v/>
      </c>
      <c r="I2038" s="69">
        <f>MAX(0,ROUND(I2035+Materiales!$H$294-H2037-I2036,4))</f>
        <v/>
      </c>
      <c r="J2038" s="69">
        <f>MAX(0,ROUND(J2035+Materiales!$H$294-I2037-J2036,4))</f>
        <v/>
      </c>
      <c r="K2038" s="69">
        <f>MAX(0,ROUND(K2035+Materiales!$H$294-J2037-K2036,4))</f>
        <v/>
      </c>
      <c r="L2038" s="69">
        <f>MAX(0,ROUND(L2035+Materiales!$H$294-K2037-L2036,4))</f>
        <v/>
      </c>
      <c r="M2038" s="66" t="n"/>
    </row>
    <row r="2039">
      <c r="C2039" s="63" t="inlineStr">
        <is>
          <t>Recepcion de orden planificada</t>
        </is>
      </c>
      <c r="D2039" s="64" t="n"/>
      <c r="E2039" s="65">
        <f>IF(E2038&lt;=0,0,IF(Materiales!$G$294&lt;=0,E2038,ROUNDUP(E2038/Materiales!$G$294,0)*Materiales!$G$294))</f>
        <v/>
      </c>
      <c r="F2039" s="65">
        <f>IF(F2038&lt;=0,0,IF(Materiales!$G$294&lt;=0,F2038,ROUNDUP(F2038/Materiales!$G$294,0)*Materiales!$G$294))</f>
        <v/>
      </c>
      <c r="G2039" s="65">
        <f>IF(G2038&lt;=0,0,IF(Materiales!$G$294&lt;=0,G2038,ROUNDUP(G2038/Materiales!$G$294,0)*Materiales!$G$294))</f>
        <v/>
      </c>
      <c r="H2039" s="65">
        <f>IF(H2038&lt;=0,0,IF(Materiales!$G$294&lt;=0,H2038,ROUNDUP(H2038/Materiales!$G$294,0)*Materiales!$G$294))</f>
        <v/>
      </c>
      <c r="I2039" s="65">
        <f>IF(I2038&lt;=0,0,IF(Materiales!$G$294&lt;=0,I2038,ROUNDUP(I2038/Materiales!$G$294,0)*Materiales!$G$294))</f>
        <v/>
      </c>
      <c r="J2039" s="65">
        <f>IF(J2038&lt;=0,0,IF(Materiales!$G$294&lt;=0,J2038,ROUNDUP(J2038/Materiales!$G$294,0)*Materiales!$G$294))</f>
        <v/>
      </c>
      <c r="K2039" s="65">
        <f>IF(K2038&lt;=0,0,IF(Materiales!$G$294&lt;=0,K2038,ROUNDUP(K2038/Materiales!$G$294,0)*Materiales!$G$294))</f>
        <v/>
      </c>
      <c r="L2039" s="65">
        <f>IF(L2038&lt;=0,0,IF(Materiales!$G$294&lt;=0,L2038,ROUNDUP(L2038/Materiales!$G$294,0)*Materiales!$G$294))</f>
        <v/>
      </c>
      <c r="M2039" s="66" t="n"/>
    </row>
    <row r="2040">
      <c r="C2040" s="70" t="inlineStr">
        <is>
          <t>LANZAMIENTO DE ORDEN — pedir esta semana</t>
        </is>
      </c>
      <c r="D2040" s="64" t="n"/>
      <c r="E2040" s="71">
        <f>IF(1+Materiales!$F$294&gt;8,0,INDEX($E$2039:$L$2039,1,1+Materiales!$F$294))</f>
        <v/>
      </c>
      <c r="F2040" s="71">
        <f>IF(2+Materiales!$F$294&gt;8,0,INDEX($E$2039:$L$2039,1,2+Materiales!$F$294))</f>
        <v/>
      </c>
      <c r="G2040" s="71">
        <f>IF(3+Materiales!$F$294&gt;8,0,INDEX($E$2039:$L$2039,1,3+Materiales!$F$294))</f>
        <v/>
      </c>
      <c r="H2040" s="71">
        <f>IF(4+Materiales!$F$294&gt;8,0,INDEX($E$2039:$L$2039,1,4+Materiales!$F$294))</f>
        <v/>
      </c>
      <c r="I2040" s="71">
        <f>IF(5+Materiales!$F$294&gt;8,0,INDEX($E$2039:$L$2039,1,5+Materiales!$F$294))</f>
        <v/>
      </c>
      <c r="J2040" s="71">
        <f>IF(6+Materiales!$F$294&gt;8,0,INDEX($E$2039:$L$2039,1,6+Materiales!$F$294))</f>
        <v/>
      </c>
      <c r="K2040" s="71">
        <f>IF(7+Materiales!$F$294&gt;8,0,INDEX($E$2039:$L$2039,1,7+Materiales!$F$294))</f>
        <v/>
      </c>
      <c r="L2040" s="71">
        <f>IF(8+Materiales!$F$294&gt;8,0,INDEX($E$2039:$L$2039,1,8+Materiales!$F$294))</f>
        <v/>
      </c>
      <c r="M2040" s="72">
        <f>IF($A2035="","",IF(SUMPRODUCT((COLUMN($E$2039:$L$2039)-4&lt;=Materiales!$F$294)*$E$2039:$L$2039)&gt;0,"PEDIR YA (atrasado)","OK"))</f>
        <v/>
      </c>
    </row>
    <row r="2041" ht="6" customHeight="1"/>
    <row r="2042">
      <c r="A2042" s="62">
        <f>IF(Materiales!$A$295="","",Materiales!$A$295)</f>
        <v/>
      </c>
      <c r="B2042" s="62">
        <f>IF(Materiales!$B$295="","",Materiales!$B$295)</f>
        <v/>
      </c>
      <c r="C2042" s="63" t="inlineStr">
        <is>
          <t>Necesidad bruta</t>
        </is>
      </c>
      <c r="D2042" s="64" t="n"/>
      <c r="E2042" s="65">
        <f>ROUND(SUMIF(Consumo!$P$4:$P$189,"#"&amp;$A2042,Consumo!H$4:H$189),4)</f>
        <v/>
      </c>
      <c r="F2042" s="65">
        <f>ROUND(SUMIF(Consumo!$P$4:$P$189,"#"&amp;$A2042,Consumo!I$4:I$189),4)</f>
        <v/>
      </c>
      <c r="G2042" s="65">
        <f>ROUND(SUMIF(Consumo!$P$4:$P$189,"#"&amp;$A2042,Consumo!J$4:J$189),4)</f>
        <v/>
      </c>
      <c r="H2042" s="65">
        <f>ROUND(SUMIF(Consumo!$P$4:$P$189,"#"&amp;$A2042,Consumo!K$4:K$189),4)</f>
        <v/>
      </c>
      <c r="I2042" s="65">
        <f>ROUND(SUMIF(Consumo!$P$4:$P$189,"#"&amp;$A2042,Consumo!L$4:L$189),4)</f>
        <v/>
      </c>
      <c r="J2042" s="65">
        <f>ROUND(SUMIF(Consumo!$P$4:$P$189,"#"&amp;$A2042,Consumo!M$4:M$189),4)</f>
        <v/>
      </c>
      <c r="K2042" s="65">
        <f>ROUND(SUMIF(Consumo!$P$4:$P$189,"#"&amp;$A2042,Consumo!N$4:N$189),4)</f>
        <v/>
      </c>
      <c r="L2042" s="65">
        <f>ROUND(SUMIF(Consumo!$P$4:$P$189,"#"&amp;$A2042,Consumo!O$4:O$189),4)</f>
        <v/>
      </c>
      <c r="M2042" s="66" t="n"/>
    </row>
    <row r="2043">
      <c r="C2043" s="63" t="inlineStr">
        <is>
          <t>Recepciones programadas (ya pedido)</t>
        </is>
      </c>
      <c r="D2043" s="64" t="n"/>
      <c r="E2043" s="65">
        <f>SUMIF(Inventario!$M$5:$M$505,"#"&amp;$A2042,Inventario!E$5:E$505)</f>
        <v/>
      </c>
      <c r="F2043" s="65">
        <f>SUMIF(Inventario!$M$5:$M$505,"#"&amp;$A2042,Inventario!F$5:F$505)</f>
        <v/>
      </c>
      <c r="G2043" s="65">
        <f>SUMIF(Inventario!$M$5:$M$505,"#"&amp;$A2042,Inventario!G$5:G$505)</f>
        <v/>
      </c>
      <c r="H2043" s="65">
        <f>SUMIF(Inventario!$M$5:$M$505,"#"&amp;$A2042,Inventario!H$5:H$505)</f>
        <v/>
      </c>
      <c r="I2043" s="65">
        <f>SUMIF(Inventario!$M$5:$M$505,"#"&amp;$A2042,Inventario!I$5:I$505)</f>
        <v/>
      </c>
      <c r="J2043" s="65">
        <f>SUMIF(Inventario!$M$5:$M$505,"#"&amp;$A2042,Inventario!J$5:J$505)</f>
        <v/>
      </c>
      <c r="K2043" s="65">
        <f>SUMIF(Inventario!$M$5:$M$505,"#"&amp;$A2042,Inventario!K$5:K$505)</f>
        <v/>
      </c>
      <c r="L2043" s="65">
        <f>SUMIF(Inventario!$M$5:$M$505,"#"&amp;$A2042,Inventario!L$5:L$505)</f>
        <v/>
      </c>
      <c r="M2043" s="66" t="n"/>
    </row>
    <row r="2044">
      <c r="C2044" s="63" t="inlineStr">
        <is>
          <t>Stock proyectado disponible</t>
        </is>
      </c>
      <c r="D2044" s="67">
        <f>SUMIF(Inventario!$M$5:$M$505,"#"&amp;$A2042,Inventario!$C$5:$C$505)</f>
        <v/>
      </c>
      <c r="E2044" s="68">
        <f>D2044+E2043+E2046-E2042</f>
        <v/>
      </c>
      <c r="F2044" s="68">
        <f>E2044+F2043+F2046-F2042</f>
        <v/>
      </c>
      <c r="G2044" s="68">
        <f>F2044+G2043+G2046-G2042</f>
        <v/>
      </c>
      <c r="H2044" s="68">
        <f>G2044+H2043+H2046-H2042</f>
        <v/>
      </c>
      <c r="I2044" s="68">
        <f>H2044+I2043+I2046-I2042</f>
        <v/>
      </c>
      <c r="J2044" s="68">
        <f>I2044+J2043+J2046-J2042</f>
        <v/>
      </c>
      <c r="K2044" s="68">
        <f>J2044+K2043+K2046-K2042</f>
        <v/>
      </c>
      <c r="L2044" s="68">
        <f>K2044+L2043+L2046-L2042</f>
        <v/>
      </c>
      <c r="M2044" s="66" t="n"/>
    </row>
    <row r="2045">
      <c r="C2045" s="63" t="inlineStr">
        <is>
          <t>Necesidad neta</t>
        </is>
      </c>
      <c r="D2045" s="64" t="n"/>
      <c r="E2045" s="69">
        <f>MAX(0,ROUND(E2042+Materiales!$H$295-D2044-E2043,4))</f>
        <v/>
      </c>
      <c r="F2045" s="69">
        <f>MAX(0,ROUND(F2042+Materiales!$H$295-E2044-F2043,4))</f>
        <v/>
      </c>
      <c r="G2045" s="69">
        <f>MAX(0,ROUND(G2042+Materiales!$H$295-F2044-G2043,4))</f>
        <v/>
      </c>
      <c r="H2045" s="69">
        <f>MAX(0,ROUND(H2042+Materiales!$H$295-G2044-H2043,4))</f>
        <v/>
      </c>
      <c r="I2045" s="69">
        <f>MAX(0,ROUND(I2042+Materiales!$H$295-H2044-I2043,4))</f>
        <v/>
      </c>
      <c r="J2045" s="69">
        <f>MAX(0,ROUND(J2042+Materiales!$H$295-I2044-J2043,4))</f>
        <v/>
      </c>
      <c r="K2045" s="69">
        <f>MAX(0,ROUND(K2042+Materiales!$H$295-J2044-K2043,4))</f>
        <v/>
      </c>
      <c r="L2045" s="69">
        <f>MAX(0,ROUND(L2042+Materiales!$H$295-K2044-L2043,4))</f>
        <v/>
      </c>
      <c r="M2045" s="66" t="n"/>
    </row>
    <row r="2046">
      <c r="C2046" s="63" t="inlineStr">
        <is>
          <t>Recepcion de orden planificada</t>
        </is>
      </c>
      <c r="D2046" s="64" t="n"/>
      <c r="E2046" s="65">
        <f>IF(E2045&lt;=0,0,IF(Materiales!$G$295&lt;=0,E2045,ROUNDUP(E2045/Materiales!$G$295,0)*Materiales!$G$295))</f>
        <v/>
      </c>
      <c r="F2046" s="65">
        <f>IF(F2045&lt;=0,0,IF(Materiales!$G$295&lt;=0,F2045,ROUNDUP(F2045/Materiales!$G$295,0)*Materiales!$G$295))</f>
        <v/>
      </c>
      <c r="G2046" s="65">
        <f>IF(G2045&lt;=0,0,IF(Materiales!$G$295&lt;=0,G2045,ROUNDUP(G2045/Materiales!$G$295,0)*Materiales!$G$295))</f>
        <v/>
      </c>
      <c r="H2046" s="65">
        <f>IF(H2045&lt;=0,0,IF(Materiales!$G$295&lt;=0,H2045,ROUNDUP(H2045/Materiales!$G$295,0)*Materiales!$G$295))</f>
        <v/>
      </c>
      <c r="I2046" s="65">
        <f>IF(I2045&lt;=0,0,IF(Materiales!$G$295&lt;=0,I2045,ROUNDUP(I2045/Materiales!$G$295,0)*Materiales!$G$295))</f>
        <v/>
      </c>
      <c r="J2046" s="65">
        <f>IF(J2045&lt;=0,0,IF(Materiales!$G$295&lt;=0,J2045,ROUNDUP(J2045/Materiales!$G$295,0)*Materiales!$G$295))</f>
        <v/>
      </c>
      <c r="K2046" s="65">
        <f>IF(K2045&lt;=0,0,IF(Materiales!$G$295&lt;=0,K2045,ROUNDUP(K2045/Materiales!$G$295,0)*Materiales!$G$295))</f>
        <v/>
      </c>
      <c r="L2046" s="65">
        <f>IF(L2045&lt;=0,0,IF(Materiales!$G$295&lt;=0,L2045,ROUNDUP(L2045/Materiales!$G$295,0)*Materiales!$G$295))</f>
        <v/>
      </c>
      <c r="M2046" s="66" t="n"/>
    </row>
    <row r="2047">
      <c r="C2047" s="70" t="inlineStr">
        <is>
          <t>LANZAMIENTO DE ORDEN — pedir esta semana</t>
        </is>
      </c>
      <c r="D2047" s="64" t="n"/>
      <c r="E2047" s="71">
        <f>IF(1+Materiales!$F$295&gt;8,0,INDEX($E$2046:$L$2046,1,1+Materiales!$F$295))</f>
        <v/>
      </c>
      <c r="F2047" s="71">
        <f>IF(2+Materiales!$F$295&gt;8,0,INDEX($E$2046:$L$2046,1,2+Materiales!$F$295))</f>
        <v/>
      </c>
      <c r="G2047" s="71">
        <f>IF(3+Materiales!$F$295&gt;8,0,INDEX($E$2046:$L$2046,1,3+Materiales!$F$295))</f>
        <v/>
      </c>
      <c r="H2047" s="71">
        <f>IF(4+Materiales!$F$295&gt;8,0,INDEX($E$2046:$L$2046,1,4+Materiales!$F$295))</f>
        <v/>
      </c>
      <c r="I2047" s="71">
        <f>IF(5+Materiales!$F$295&gt;8,0,INDEX($E$2046:$L$2046,1,5+Materiales!$F$295))</f>
        <v/>
      </c>
      <c r="J2047" s="71">
        <f>IF(6+Materiales!$F$295&gt;8,0,INDEX($E$2046:$L$2046,1,6+Materiales!$F$295))</f>
        <v/>
      </c>
      <c r="K2047" s="71">
        <f>IF(7+Materiales!$F$295&gt;8,0,INDEX($E$2046:$L$2046,1,7+Materiales!$F$295))</f>
        <v/>
      </c>
      <c r="L2047" s="71">
        <f>IF(8+Materiales!$F$295&gt;8,0,INDEX($E$2046:$L$2046,1,8+Materiales!$F$295))</f>
        <v/>
      </c>
      <c r="M2047" s="72">
        <f>IF($A2042="","",IF(SUMPRODUCT((COLUMN($E$2046:$L$2046)-4&lt;=Materiales!$F$295)*$E$2046:$L$2046)&gt;0,"PEDIR YA (atrasado)","OK"))</f>
        <v/>
      </c>
    </row>
    <row r="2048" ht="6" customHeight="1"/>
    <row r="2049">
      <c r="A2049" s="62">
        <f>IF(Materiales!$A$296="","",Materiales!$A$296)</f>
        <v/>
      </c>
      <c r="B2049" s="62">
        <f>IF(Materiales!$B$296="","",Materiales!$B$296)</f>
        <v/>
      </c>
      <c r="C2049" s="63" t="inlineStr">
        <is>
          <t>Necesidad bruta</t>
        </is>
      </c>
      <c r="D2049" s="64" t="n"/>
      <c r="E2049" s="65">
        <f>ROUND(SUMIF(Consumo!$P$4:$P$189,"#"&amp;$A2049,Consumo!H$4:H$189),4)</f>
        <v/>
      </c>
      <c r="F2049" s="65">
        <f>ROUND(SUMIF(Consumo!$P$4:$P$189,"#"&amp;$A2049,Consumo!I$4:I$189),4)</f>
        <v/>
      </c>
      <c r="G2049" s="65">
        <f>ROUND(SUMIF(Consumo!$P$4:$P$189,"#"&amp;$A2049,Consumo!J$4:J$189),4)</f>
        <v/>
      </c>
      <c r="H2049" s="65">
        <f>ROUND(SUMIF(Consumo!$P$4:$P$189,"#"&amp;$A2049,Consumo!K$4:K$189),4)</f>
        <v/>
      </c>
      <c r="I2049" s="65">
        <f>ROUND(SUMIF(Consumo!$P$4:$P$189,"#"&amp;$A2049,Consumo!L$4:L$189),4)</f>
        <v/>
      </c>
      <c r="J2049" s="65">
        <f>ROUND(SUMIF(Consumo!$P$4:$P$189,"#"&amp;$A2049,Consumo!M$4:M$189),4)</f>
        <v/>
      </c>
      <c r="K2049" s="65">
        <f>ROUND(SUMIF(Consumo!$P$4:$P$189,"#"&amp;$A2049,Consumo!N$4:N$189),4)</f>
        <v/>
      </c>
      <c r="L2049" s="65">
        <f>ROUND(SUMIF(Consumo!$P$4:$P$189,"#"&amp;$A2049,Consumo!O$4:O$189),4)</f>
        <v/>
      </c>
      <c r="M2049" s="66" t="n"/>
    </row>
    <row r="2050">
      <c r="C2050" s="63" t="inlineStr">
        <is>
          <t>Recepciones programadas (ya pedido)</t>
        </is>
      </c>
      <c r="D2050" s="64" t="n"/>
      <c r="E2050" s="65">
        <f>SUMIF(Inventario!$M$5:$M$505,"#"&amp;$A2049,Inventario!E$5:E$505)</f>
        <v/>
      </c>
      <c r="F2050" s="65">
        <f>SUMIF(Inventario!$M$5:$M$505,"#"&amp;$A2049,Inventario!F$5:F$505)</f>
        <v/>
      </c>
      <c r="G2050" s="65">
        <f>SUMIF(Inventario!$M$5:$M$505,"#"&amp;$A2049,Inventario!G$5:G$505)</f>
        <v/>
      </c>
      <c r="H2050" s="65">
        <f>SUMIF(Inventario!$M$5:$M$505,"#"&amp;$A2049,Inventario!H$5:H$505)</f>
        <v/>
      </c>
      <c r="I2050" s="65">
        <f>SUMIF(Inventario!$M$5:$M$505,"#"&amp;$A2049,Inventario!I$5:I$505)</f>
        <v/>
      </c>
      <c r="J2050" s="65">
        <f>SUMIF(Inventario!$M$5:$M$505,"#"&amp;$A2049,Inventario!J$5:J$505)</f>
        <v/>
      </c>
      <c r="K2050" s="65">
        <f>SUMIF(Inventario!$M$5:$M$505,"#"&amp;$A2049,Inventario!K$5:K$505)</f>
        <v/>
      </c>
      <c r="L2050" s="65">
        <f>SUMIF(Inventario!$M$5:$M$505,"#"&amp;$A2049,Inventario!L$5:L$505)</f>
        <v/>
      </c>
      <c r="M2050" s="66" t="n"/>
    </row>
    <row r="2051">
      <c r="C2051" s="63" t="inlineStr">
        <is>
          <t>Stock proyectado disponible</t>
        </is>
      </c>
      <c r="D2051" s="67">
        <f>SUMIF(Inventario!$M$5:$M$505,"#"&amp;$A2049,Inventario!$C$5:$C$505)</f>
        <v/>
      </c>
      <c r="E2051" s="68">
        <f>D2051+E2050+E2053-E2049</f>
        <v/>
      </c>
      <c r="F2051" s="68">
        <f>E2051+F2050+F2053-F2049</f>
        <v/>
      </c>
      <c r="G2051" s="68">
        <f>F2051+G2050+G2053-G2049</f>
        <v/>
      </c>
      <c r="H2051" s="68">
        <f>G2051+H2050+H2053-H2049</f>
        <v/>
      </c>
      <c r="I2051" s="68">
        <f>H2051+I2050+I2053-I2049</f>
        <v/>
      </c>
      <c r="J2051" s="68">
        <f>I2051+J2050+J2053-J2049</f>
        <v/>
      </c>
      <c r="K2051" s="68">
        <f>J2051+K2050+K2053-K2049</f>
        <v/>
      </c>
      <c r="L2051" s="68">
        <f>K2051+L2050+L2053-L2049</f>
        <v/>
      </c>
      <c r="M2051" s="66" t="n"/>
    </row>
    <row r="2052">
      <c r="C2052" s="63" t="inlineStr">
        <is>
          <t>Necesidad neta</t>
        </is>
      </c>
      <c r="D2052" s="64" t="n"/>
      <c r="E2052" s="69">
        <f>MAX(0,ROUND(E2049+Materiales!$H$296-D2051-E2050,4))</f>
        <v/>
      </c>
      <c r="F2052" s="69">
        <f>MAX(0,ROUND(F2049+Materiales!$H$296-E2051-F2050,4))</f>
        <v/>
      </c>
      <c r="G2052" s="69">
        <f>MAX(0,ROUND(G2049+Materiales!$H$296-F2051-G2050,4))</f>
        <v/>
      </c>
      <c r="H2052" s="69">
        <f>MAX(0,ROUND(H2049+Materiales!$H$296-G2051-H2050,4))</f>
        <v/>
      </c>
      <c r="I2052" s="69">
        <f>MAX(0,ROUND(I2049+Materiales!$H$296-H2051-I2050,4))</f>
        <v/>
      </c>
      <c r="J2052" s="69">
        <f>MAX(0,ROUND(J2049+Materiales!$H$296-I2051-J2050,4))</f>
        <v/>
      </c>
      <c r="K2052" s="69">
        <f>MAX(0,ROUND(K2049+Materiales!$H$296-J2051-K2050,4))</f>
        <v/>
      </c>
      <c r="L2052" s="69">
        <f>MAX(0,ROUND(L2049+Materiales!$H$296-K2051-L2050,4))</f>
        <v/>
      </c>
      <c r="M2052" s="66" t="n"/>
    </row>
    <row r="2053">
      <c r="C2053" s="63" t="inlineStr">
        <is>
          <t>Recepcion de orden planificada</t>
        </is>
      </c>
      <c r="D2053" s="64" t="n"/>
      <c r="E2053" s="65">
        <f>IF(E2052&lt;=0,0,IF(Materiales!$G$296&lt;=0,E2052,ROUNDUP(E2052/Materiales!$G$296,0)*Materiales!$G$296))</f>
        <v/>
      </c>
      <c r="F2053" s="65">
        <f>IF(F2052&lt;=0,0,IF(Materiales!$G$296&lt;=0,F2052,ROUNDUP(F2052/Materiales!$G$296,0)*Materiales!$G$296))</f>
        <v/>
      </c>
      <c r="G2053" s="65">
        <f>IF(G2052&lt;=0,0,IF(Materiales!$G$296&lt;=0,G2052,ROUNDUP(G2052/Materiales!$G$296,0)*Materiales!$G$296))</f>
        <v/>
      </c>
      <c r="H2053" s="65">
        <f>IF(H2052&lt;=0,0,IF(Materiales!$G$296&lt;=0,H2052,ROUNDUP(H2052/Materiales!$G$296,0)*Materiales!$G$296))</f>
        <v/>
      </c>
      <c r="I2053" s="65">
        <f>IF(I2052&lt;=0,0,IF(Materiales!$G$296&lt;=0,I2052,ROUNDUP(I2052/Materiales!$G$296,0)*Materiales!$G$296))</f>
        <v/>
      </c>
      <c r="J2053" s="65">
        <f>IF(J2052&lt;=0,0,IF(Materiales!$G$296&lt;=0,J2052,ROUNDUP(J2052/Materiales!$G$296,0)*Materiales!$G$296))</f>
        <v/>
      </c>
      <c r="K2053" s="65">
        <f>IF(K2052&lt;=0,0,IF(Materiales!$G$296&lt;=0,K2052,ROUNDUP(K2052/Materiales!$G$296,0)*Materiales!$G$296))</f>
        <v/>
      </c>
      <c r="L2053" s="65">
        <f>IF(L2052&lt;=0,0,IF(Materiales!$G$296&lt;=0,L2052,ROUNDUP(L2052/Materiales!$G$296,0)*Materiales!$G$296))</f>
        <v/>
      </c>
      <c r="M2053" s="66" t="n"/>
    </row>
    <row r="2054">
      <c r="C2054" s="70" t="inlineStr">
        <is>
          <t>LANZAMIENTO DE ORDEN — pedir esta semana</t>
        </is>
      </c>
      <c r="D2054" s="64" t="n"/>
      <c r="E2054" s="71">
        <f>IF(1+Materiales!$F$296&gt;8,0,INDEX($E$2053:$L$2053,1,1+Materiales!$F$296))</f>
        <v/>
      </c>
      <c r="F2054" s="71">
        <f>IF(2+Materiales!$F$296&gt;8,0,INDEX($E$2053:$L$2053,1,2+Materiales!$F$296))</f>
        <v/>
      </c>
      <c r="G2054" s="71">
        <f>IF(3+Materiales!$F$296&gt;8,0,INDEX($E$2053:$L$2053,1,3+Materiales!$F$296))</f>
        <v/>
      </c>
      <c r="H2054" s="71">
        <f>IF(4+Materiales!$F$296&gt;8,0,INDEX($E$2053:$L$2053,1,4+Materiales!$F$296))</f>
        <v/>
      </c>
      <c r="I2054" s="71">
        <f>IF(5+Materiales!$F$296&gt;8,0,INDEX($E$2053:$L$2053,1,5+Materiales!$F$296))</f>
        <v/>
      </c>
      <c r="J2054" s="71">
        <f>IF(6+Materiales!$F$296&gt;8,0,INDEX($E$2053:$L$2053,1,6+Materiales!$F$296))</f>
        <v/>
      </c>
      <c r="K2054" s="71">
        <f>IF(7+Materiales!$F$296&gt;8,0,INDEX($E$2053:$L$2053,1,7+Materiales!$F$296))</f>
        <v/>
      </c>
      <c r="L2054" s="71">
        <f>IF(8+Materiales!$F$296&gt;8,0,INDEX($E$2053:$L$2053,1,8+Materiales!$F$296))</f>
        <v/>
      </c>
      <c r="M2054" s="72">
        <f>IF($A2049="","",IF(SUMPRODUCT((COLUMN($E$2053:$L$2053)-4&lt;=Materiales!$F$296)*$E$2053:$L$2053)&gt;0,"PEDIR YA (atrasado)","OK"))</f>
        <v/>
      </c>
    </row>
    <row r="2055" ht="6" customHeight="1"/>
    <row r="2056">
      <c r="A2056" s="62">
        <f>IF(Materiales!$A$297="","",Materiales!$A$297)</f>
        <v/>
      </c>
      <c r="B2056" s="62">
        <f>IF(Materiales!$B$297="","",Materiales!$B$297)</f>
        <v/>
      </c>
      <c r="C2056" s="63" t="inlineStr">
        <is>
          <t>Necesidad bruta</t>
        </is>
      </c>
      <c r="D2056" s="64" t="n"/>
      <c r="E2056" s="65">
        <f>ROUND(SUMIF(Consumo!$P$4:$P$189,"#"&amp;$A2056,Consumo!H$4:H$189),4)</f>
        <v/>
      </c>
      <c r="F2056" s="65">
        <f>ROUND(SUMIF(Consumo!$P$4:$P$189,"#"&amp;$A2056,Consumo!I$4:I$189),4)</f>
        <v/>
      </c>
      <c r="G2056" s="65">
        <f>ROUND(SUMIF(Consumo!$P$4:$P$189,"#"&amp;$A2056,Consumo!J$4:J$189),4)</f>
        <v/>
      </c>
      <c r="H2056" s="65">
        <f>ROUND(SUMIF(Consumo!$P$4:$P$189,"#"&amp;$A2056,Consumo!K$4:K$189),4)</f>
        <v/>
      </c>
      <c r="I2056" s="65">
        <f>ROUND(SUMIF(Consumo!$P$4:$P$189,"#"&amp;$A2056,Consumo!L$4:L$189),4)</f>
        <v/>
      </c>
      <c r="J2056" s="65">
        <f>ROUND(SUMIF(Consumo!$P$4:$P$189,"#"&amp;$A2056,Consumo!M$4:M$189),4)</f>
        <v/>
      </c>
      <c r="K2056" s="65">
        <f>ROUND(SUMIF(Consumo!$P$4:$P$189,"#"&amp;$A2056,Consumo!N$4:N$189),4)</f>
        <v/>
      </c>
      <c r="L2056" s="65">
        <f>ROUND(SUMIF(Consumo!$P$4:$P$189,"#"&amp;$A2056,Consumo!O$4:O$189),4)</f>
        <v/>
      </c>
      <c r="M2056" s="66" t="n"/>
    </row>
    <row r="2057">
      <c r="C2057" s="63" t="inlineStr">
        <is>
          <t>Recepciones programadas (ya pedido)</t>
        </is>
      </c>
      <c r="D2057" s="64" t="n"/>
      <c r="E2057" s="65">
        <f>SUMIF(Inventario!$M$5:$M$505,"#"&amp;$A2056,Inventario!E$5:E$505)</f>
        <v/>
      </c>
      <c r="F2057" s="65">
        <f>SUMIF(Inventario!$M$5:$M$505,"#"&amp;$A2056,Inventario!F$5:F$505)</f>
        <v/>
      </c>
      <c r="G2057" s="65">
        <f>SUMIF(Inventario!$M$5:$M$505,"#"&amp;$A2056,Inventario!G$5:G$505)</f>
        <v/>
      </c>
      <c r="H2057" s="65">
        <f>SUMIF(Inventario!$M$5:$M$505,"#"&amp;$A2056,Inventario!H$5:H$505)</f>
        <v/>
      </c>
      <c r="I2057" s="65">
        <f>SUMIF(Inventario!$M$5:$M$505,"#"&amp;$A2056,Inventario!I$5:I$505)</f>
        <v/>
      </c>
      <c r="J2057" s="65">
        <f>SUMIF(Inventario!$M$5:$M$505,"#"&amp;$A2056,Inventario!J$5:J$505)</f>
        <v/>
      </c>
      <c r="K2057" s="65">
        <f>SUMIF(Inventario!$M$5:$M$505,"#"&amp;$A2056,Inventario!K$5:K$505)</f>
        <v/>
      </c>
      <c r="L2057" s="65">
        <f>SUMIF(Inventario!$M$5:$M$505,"#"&amp;$A2056,Inventario!L$5:L$505)</f>
        <v/>
      </c>
      <c r="M2057" s="66" t="n"/>
    </row>
    <row r="2058">
      <c r="C2058" s="63" t="inlineStr">
        <is>
          <t>Stock proyectado disponible</t>
        </is>
      </c>
      <c r="D2058" s="67">
        <f>SUMIF(Inventario!$M$5:$M$505,"#"&amp;$A2056,Inventario!$C$5:$C$505)</f>
        <v/>
      </c>
      <c r="E2058" s="68">
        <f>D2058+E2057+E2060-E2056</f>
        <v/>
      </c>
      <c r="F2058" s="68">
        <f>E2058+F2057+F2060-F2056</f>
        <v/>
      </c>
      <c r="G2058" s="68">
        <f>F2058+G2057+G2060-G2056</f>
        <v/>
      </c>
      <c r="H2058" s="68">
        <f>G2058+H2057+H2060-H2056</f>
        <v/>
      </c>
      <c r="I2058" s="68">
        <f>H2058+I2057+I2060-I2056</f>
        <v/>
      </c>
      <c r="J2058" s="68">
        <f>I2058+J2057+J2060-J2056</f>
        <v/>
      </c>
      <c r="K2058" s="68">
        <f>J2058+K2057+K2060-K2056</f>
        <v/>
      </c>
      <c r="L2058" s="68">
        <f>K2058+L2057+L2060-L2056</f>
        <v/>
      </c>
      <c r="M2058" s="66" t="n"/>
    </row>
    <row r="2059">
      <c r="C2059" s="63" t="inlineStr">
        <is>
          <t>Necesidad neta</t>
        </is>
      </c>
      <c r="D2059" s="64" t="n"/>
      <c r="E2059" s="69">
        <f>MAX(0,ROUND(E2056+Materiales!$H$297-D2058-E2057,4))</f>
        <v/>
      </c>
      <c r="F2059" s="69">
        <f>MAX(0,ROUND(F2056+Materiales!$H$297-E2058-F2057,4))</f>
        <v/>
      </c>
      <c r="G2059" s="69">
        <f>MAX(0,ROUND(G2056+Materiales!$H$297-F2058-G2057,4))</f>
        <v/>
      </c>
      <c r="H2059" s="69">
        <f>MAX(0,ROUND(H2056+Materiales!$H$297-G2058-H2057,4))</f>
        <v/>
      </c>
      <c r="I2059" s="69">
        <f>MAX(0,ROUND(I2056+Materiales!$H$297-H2058-I2057,4))</f>
        <v/>
      </c>
      <c r="J2059" s="69">
        <f>MAX(0,ROUND(J2056+Materiales!$H$297-I2058-J2057,4))</f>
        <v/>
      </c>
      <c r="K2059" s="69">
        <f>MAX(0,ROUND(K2056+Materiales!$H$297-J2058-K2057,4))</f>
        <v/>
      </c>
      <c r="L2059" s="69">
        <f>MAX(0,ROUND(L2056+Materiales!$H$297-K2058-L2057,4))</f>
        <v/>
      </c>
      <c r="M2059" s="66" t="n"/>
    </row>
    <row r="2060">
      <c r="C2060" s="63" t="inlineStr">
        <is>
          <t>Recepcion de orden planificada</t>
        </is>
      </c>
      <c r="D2060" s="64" t="n"/>
      <c r="E2060" s="65">
        <f>IF(E2059&lt;=0,0,IF(Materiales!$G$297&lt;=0,E2059,ROUNDUP(E2059/Materiales!$G$297,0)*Materiales!$G$297))</f>
        <v/>
      </c>
      <c r="F2060" s="65">
        <f>IF(F2059&lt;=0,0,IF(Materiales!$G$297&lt;=0,F2059,ROUNDUP(F2059/Materiales!$G$297,0)*Materiales!$G$297))</f>
        <v/>
      </c>
      <c r="G2060" s="65">
        <f>IF(G2059&lt;=0,0,IF(Materiales!$G$297&lt;=0,G2059,ROUNDUP(G2059/Materiales!$G$297,0)*Materiales!$G$297))</f>
        <v/>
      </c>
      <c r="H2060" s="65">
        <f>IF(H2059&lt;=0,0,IF(Materiales!$G$297&lt;=0,H2059,ROUNDUP(H2059/Materiales!$G$297,0)*Materiales!$G$297))</f>
        <v/>
      </c>
      <c r="I2060" s="65">
        <f>IF(I2059&lt;=0,0,IF(Materiales!$G$297&lt;=0,I2059,ROUNDUP(I2059/Materiales!$G$297,0)*Materiales!$G$297))</f>
        <v/>
      </c>
      <c r="J2060" s="65">
        <f>IF(J2059&lt;=0,0,IF(Materiales!$G$297&lt;=0,J2059,ROUNDUP(J2059/Materiales!$G$297,0)*Materiales!$G$297))</f>
        <v/>
      </c>
      <c r="K2060" s="65">
        <f>IF(K2059&lt;=0,0,IF(Materiales!$G$297&lt;=0,K2059,ROUNDUP(K2059/Materiales!$G$297,0)*Materiales!$G$297))</f>
        <v/>
      </c>
      <c r="L2060" s="65">
        <f>IF(L2059&lt;=0,0,IF(Materiales!$G$297&lt;=0,L2059,ROUNDUP(L2059/Materiales!$G$297,0)*Materiales!$G$297))</f>
        <v/>
      </c>
      <c r="M2060" s="66" t="n"/>
    </row>
    <row r="2061">
      <c r="C2061" s="70" t="inlineStr">
        <is>
          <t>LANZAMIENTO DE ORDEN — pedir esta semana</t>
        </is>
      </c>
      <c r="D2061" s="64" t="n"/>
      <c r="E2061" s="71">
        <f>IF(1+Materiales!$F$297&gt;8,0,INDEX($E$2060:$L$2060,1,1+Materiales!$F$297))</f>
        <v/>
      </c>
      <c r="F2061" s="71">
        <f>IF(2+Materiales!$F$297&gt;8,0,INDEX($E$2060:$L$2060,1,2+Materiales!$F$297))</f>
        <v/>
      </c>
      <c r="G2061" s="71">
        <f>IF(3+Materiales!$F$297&gt;8,0,INDEX($E$2060:$L$2060,1,3+Materiales!$F$297))</f>
        <v/>
      </c>
      <c r="H2061" s="71">
        <f>IF(4+Materiales!$F$297&gt;8,0,INDEX($E$2060:$L$2060,1,4+Materiales!$F$297))</f>
        <v/>
      </c>
      <c r="I2061" s="71">
        <f>IF(5+Materiales!$F$297&gt;8,0,INDEX($E$2060:$L$2060,1,5+Materiales!$F$297))</f>
        <v/>
      </c>
      <c r="J2061" s="71">
        <f>IF(6+Materiales!$F$297&gt;8,0,INDEX($E$2060:$L$2060,1,6+Materiales!$F$297))</f>
        <v/>
      </c>
      <c r="K2061" s="71">
        <f>IF(7+Materiales!$F$297&gt;8,0,INDEX($E$2060:$L$2060,1,7+Materiales!$F$297))</f>
        <v/>
      </c>
      <c r="L2061" s="71">
        <f>IF(8+Materiales!$F$297&gt;8,0,INDEX($E$2060:$L$2060,1,8+Materiales!$F$297))</f>
        <v/>
      </c>
      <c r="M2061" s="72">
        <f>IF($A2056="","",IF(SUMPRODUCT((COLUMN($E$2060:$L$2060)-4&lt;=Materiales!$F$297)*$E$2060:$L$2060)&gt;0,"PEDIR YA (atrasado)","OK"))</f>
        <v/>
      </c>
    </row>
    <row r="2062" ht="6" customHeight="1"/>
    <row r="2063">
      <c r="A2063" s="62">
        <f>IF(Materiales!$A$298="","",Materiales!$A$298)</f>
        <v/>
      </c>
      <c r="B2063" s="62">
        <f>IF(Materiales!$B$298="","",Materiales!$B$298)</f>
        <v/>
      </c>
      <c r="C2063" s="63" t="inlineStr">
        <is>
          <t>Necesidad bruta</t>
        </is>
      </c>
      <c r="D2063" s="64" t="n"/>
      <c r="E2063" s="65">
        <f>ROUND(SUMIF(Consumo!$P$4:$P$189,"#"&amp;$A2063,Consumo!H$4:H$189),4)</f>
        <v/>
      </c>
      <c r="F2063" s="65">
        <f>ROUND(SUMIF(Consumo!$P$4:$P$189,"#"&amp;$A2063,Consumo!I$4:I$189),4)</f>
        <v/>
      </c>
      <c r="G2063" s="65">
        <f>ROUND(SUMIF(Consumo!$P$4:$P$189,"#"&amp;$A2063,Consumo!J$4:J$189),4)</f>
        <v/>
      </c>
      <c r="H2063" s="65">
        <f>ROUND(SUMIF(Consumo!$P$4:$P$189,"#"&amp;$A2063,Consumo!K$4:K$189),4)</f>
        <v/>
      </c>
      <c r="I2063" s="65">
        <f>ROUND(SUMIF(Consumo!$P$4:$P$189,"#"&amp;$A2063,Consumo!L$4:L$189),4)</f>
        <v/>
      </c>
      <c r="J2063" s="65">
        <f>ROUND(SUMIF(Consumo!$P$4:$P$189,"#"&amp;$A2063,Consumo!M$4:M$189),4)</f>
        <v/>
      </c>
      <c r="K2063" s="65">
        <f>ROUND(SUMIF(Consumo!$P$4:$P$189,"#"&amp;$A2063,Consumo!N$4:N$189),4)</f>
        <v/>
      </c>
      <c r="L2063" s="65">
        <f>ROUND(SUMIF(Consumo!$P$4:$P$189,"#"&amp;$A2063,Consumo!O$4:O$189),4)</f>
        <v/>
      </c>
      <c r="M2063" s="66" t="n"/>
    </row>
    <row r="2064">
      <c r="C2064" s="63" t="inlineStr">
        <is>
          <t>Recepciones programadas (ya pedido)</t>
        </is>
      </c>
      <c r="D2064" s="64" t="n"/>
      <c r="E2064" s="65">
        <f>SUMIF(Inventario!$M$5:$M$505,"#"&amp;$A2063,Inventario!E$5:E$505)</f>
        <v/>
      </c>
      <c r="F2064" s="65">
        <f>SUMIF(Inventario!$M$5:$M$505,"#"&amp;$A2063,Inventario!F$5:F$505)</f>
        <v/>
      </c>
      <c r="G2064" s="65">
        <f>SUMIF(Inventario!$M$5:$M$505,"#"&amp;$A2063,Inventario!G$5:G$505)</f>
        <v/>
      </c>
      <c r="H2064" s="65">
        <f>SUMIF(Inventario!$M$5:$M$505,"#"&amp;$A2063,Inventario!H$5:H$505)</f>
        <v/>
      </c>
      <c r="I2064" s="65">
        <f>SUMIF(Inventario!$M$5:$M$505,"#"&amp;$A2063,Inventario!I$5:I$505)</f>
        <v/>
      </c>
      <c r="J2064" s="65">
        <f>SUMIF(Inventario!$M$5:$M$505,"#"&amp;$A2063,Inventario!J$5:J$505)</f>
        <v/>
      </c>
      <c r="K2064" s="65">
        <f>SUMIF(Inventario!$M$5:$M$505,"#"&amp;$A2063,Inventario!K$5:K$505)</f>
        <v/>
      </c>
      <c r="L2064" s="65">
        <f>SUMIF(Inventario!$M$5:$M$505,"#"&amp;$A2063,Inventario!L$5:L$505)</f>
        <v/>
      </c>
      <c r="M2064" s="66" t="n"/>
    </row>
    <row r="2065">
      <c r="C2065" s="63" t="inlineStr">
        <is>
          <t>Stock proyectado disponible</t>
        </is>
      </c>
      <c r="D2065" s="67">
        <f>SUMIF(Inventario!$M$5:$M$505,"#"&amp;$A2063,Inventario!$C$5:$C$505)</f>
        <v/>
      </c>
      <c r="E2065" s="68">
        <f>D2065+E2064+E2067-E2063</f>
        <v/>
      </c>
      <c r="F2065" s="68">
        <f>E2065+F2064+F2067-F2063</f>
        <v/>
      </c>
      <c r="G2065" s="68">
        <f>F2065+G2064+G2067-G2063</f>
        <v/>
      </c>
      <c r="H2065" s="68">
        <f>G2065+H2064+H2067-H2063</f>
        <v/>
      </c>
      <c r="I2065" s="68">
        <f>H2065+I2064+I2067-I2063</f>
        <v/>
      </c>
      <c r="J2065" s="68">
        <f>I2065+J2064+J2067-J2063</f>
        <v/>
      </c>
      <c r="K2065" s="68">
        <f>J2065+K2064+K2067-K2063</f>
        <v/>
      </c>
      <c r="L2065" s="68">
        <f>K2065+L2064+L2067-L2063</f>
        <v/>
      </c>
      <c r="M2065" s="66" t="n"/>
    </row>
    <row r="2066">
      <c r="C2066" s="63" t="inlineStr">
        <is>
          <t>Necesidad neta</t>
        </is>
      </c>
      <c r="D2066" s="64" t="n"/>
      <c r="E2066" s="69">
        <f>MAX(0,ROUND(E2063+Materiales!$H$298-D2065-E2064,4))</f>
        <v/>
      </c>
      <c r="F2066" s="69">
        <f>MAX(0,ROUND(F2063+Materiales!$H$298-E2065-F2064,4))</f>
        <v/>
      </c>
      <c r="G2066" s="69">
        <f>MAX(0,ROUND(G2063+Materiales!$H$298-F2065-G2064,4))</f>
        <v/>
      </c>
      <c r="H2066" s="69">
        <f>MAX(0,ROUND(H2063+Materiales!$H$298-G2065-H2064,4))</f>
        <v/>
      </c>
      <c r="I2066" s="69">
        <f>MAX(0,ROUND(I2063+Materiales!$H$298-H2065-I2064,4))</f>
        <v/>
      </c>
      <c r="J2066" s="69">
        <f>MAX(0,ROUND(J2063+Materiales!$H$298-I2065-J2064,4))</f>
        <v/>
      </c>
      <c r="K2066" s="69">
        <f>MAX(0,ROUND(K2063+Materiales!$H$298-J2065-K2064,4))</f>
        <v/>
      </c>
      <c r="L2066" s="69">
        <f>MAX(0,ROUND(L2063+Materiales!$H$298-K2065-L2064,4))</f>
        <v/>
      </c>
      <c r="M2066" s="66" t="n"/>
    </row>
    <row r="2067">
      <c r="C2067" s="63" t="inlineStr">
        <is>
          <t>Recepcion de orden planificada</t>
        </is>
      </c>
      <c r="D2067" s="64" t="n"/>
      <c r="E2067" s="65">
        <f>IF(E2066&lt;=0,0,IF(Materiales!$G$298&lt;=0,E2066,ROUNDUP(E2066/Materiales!$G$298,0)*Materiales!$G$298))</f>
        <v/>
      </c>
      <c r="F2067" s="65">
        <f>IF(F2066&lt;=0,0,IF(Materiales!$G$298&lt;=0,F2066,ROUNDUP(F2066/Materiales!$G$298,0)*Materiales!$G$298))</f>
        <v/>
      </c>
      <c r="G2067" s="65">
        <f>IF(G2066&lt;=0,0,IF(Materiales!$G$298&lt;=0,G2066,ROUNDUP(G2066/Materiales!$G$298,0)*Materiales!$G$298))</f>
        <v/>
      </c>
      <c r="H2067" s="65">
        <f>IF(H2066&lt;=0,0,IF(Materiales!$G$298&lt;=0,H2066,ROUNDUP(H2066/Materiales!$G$298,0)*Materiales!$G$298))</f>
        <v/>
      </c>
      <c r="I2067" s="65">
        <f>IF(I2066&lt;=0,0,IF(Materiales!$G$298&lt;=0,I2066,ROUNDUP(I2066/Materiales!$G$298,0)*Materiales!$G$298))</f>
        <v/>
      </c>
      <c r="J2067" s="65">
        <f>IF(J2066&lt;=0,0,IF(Materiales!$G$298&lt;=0,J2066,ROUNDUP(J2066/Materiales!$G$298,0)*Materiales!$G$298))</f>
        <v/>
      </c>
      <c r="K2067" s="65">
        <f>IF(K2066&lt;=0,0,IF(Materiales!$G$298&lt;=0,K2066,ROUNDUP(K2066/Materiales!$G$298,0)*Materiales!$G$298))</f>
        <v/>
      </c>
      <c r="L2067" s="65">
        <f>IF(L2066&lt;=0,0,IF(Materiales!$G$298&lt;=0,L2066,ROUNDUP(L2066/Materiales!$G$298,0)*Materiales!$G$298))</f>
        <v/>
      </c>
      <c r="M2067" s="66" t="n"/>
    </row>
    <row r="2068">
      <c r="C2068" s="70" t="inlineStr">
        <is>
          <t>LANZAMIENTO DE ORDEN — pedir esta semana</t>
        </is>
      </c>
      <c r="D2068" s="64" t="n"/>
      <c r="E2068" s="71">
        <f>IF(1+Materiales!$F$298&gt;8,0,INDEX($E$2067:$L$2067,1,1+Materiales!$F$298))</f>
        <v/>
      </c>
      <c r="F2068" s="71">
        <f>IF(2+Materiales!$F$298&gt;8,0,INDEX($E$2067:$L$2067,1,2+Materiales!$F$298))</f>
        <v/>
      </c>
      <c r="G2068" s="71">
        <f>IF(3+Materiales!$F$298&gt;8,0,INDEX($E$2067:$L$2067,1,3+Materiales!$F$298))</f>
        <v/>
      </c>
      <c r="H2068" s="71">
        <f>IF(4+Materiales!$F$298&gt;8,0,INDEX($E$2067:$L$2067,1,4+Materiales!$F$298))</f>
        <v/>
      </c>
      <c r="I2068" s="71">
        <f>IF(5+Materiales!$F$298&gt;8,0,INDEX($E$2067:$L$2067,1,5+Materiales!$F$298))</f>
        <v/>
      </c>
      <c r="J2068" s="71">
        <f>IF(6+Materiales!$F$298&gt;8,0,INDEX($E$2067:$L$2067,1,6+Materiales!$F$298))</f>
        <v/>
      </c>
      <c r="K2068" s="71">
        <f>IF(7+Materiales!$F$298&gt;8,0,INDEX($E$2067:$L$2067,1,7+Materiales!$F$298))</f>
        <v/>
      </c>
      <c r="L2068" s="71">
        <f>IF(8+Materiales!$F$298&gt;8,0,INDEX($E$2067:$L$2067,1,8+Materiales!$F$298))</f>
        <v/>
      </c>
      <c r="M2068" s="72">
        <f>IF($A2063="","",IF(SUMPRODUCT((COLUMN($E$2067:$L$2067)-4&lt;=Materiales!$F$298)*$E$2067:$L$2067)&gt;0,"PEDIR YA (atrasado)","OK"))</f>
        <v/>
      </c>
    </row>
    <row r="2069" ht="6" customHeight="1"/>
    <row r="2070">
      <c r="A2070" s="62">
        <f>IF(Materiales!$A$299="","",Materiales!$A$299)</f>
        <v/>
      </c>
      <c r="B2070" s="62">
        <f>IF(Materiales!$B$299="","",Materiales!$B$299)</f>
        <v/>
      </c>
      <c r="C2070" s="63" t="inlineStr">
        <is>
          <t>Necesidad bruta</t>
        </is>
      </c>
      <c r="D2070" s="64" t="n"/>
      <c r="E2070" s="65">
        <f>ROUND(SUMIF(Consumo!$P$4:$P$189,"#"&amp;$A2070,Consumo!H$4:H$189),4)</f>
        <v/>
      </c>
      <c r="F2070" s="65">
        <f>ROUND(SUMIF(Consumo!$P$4:$P$189,"#"&amp;$A2070,Consumo!I$4:I$189),4)</f>
        <v/>
      </c>
      <c r="G2070" s="65">
        <f>ROUND(SUMIF(Consumo!$P$4:$P$189,"#"&amp;$A2070,Consumo!J$4:J$189),4)</f>
        <v/>
      </c>
      <c r="H2070" s="65">
        <f>ROUND(SUMIF(Consumo!$P$4:$P$189,"#"&amp;$A2070,Consumo!K$4:K$189),4)</f>
        <v/>
      </c>
      <c r="I2070" s="65">
        <f>ROUND(SUMIF(Consumo!$P$4:$P$189,"#"&amp;$A2070,Consumo!L$4:L$189),4)</f>
        <v/>
      </c>
      <c r="J2070" s="65">
        <f>ROUND(SUMIF(Consumo!$P$4:$P$189,"#"&amp;$A2070,Consumo!M$4:M$189),4)</f>
        <v/>
      </c>
      <c r="K2070" s="65">
        <f>ROUND(SUMIF(Consumo!$P$4:$P$189,"#"&amp;$A2070,Consumo!N$4:N$189),4)</f>
        <v/>
      </c>
      <c r="L2070" s="65">
        <f>ROUND(SUMIF(Consumo!$P$4:$P$189,"#"&amp;$A2070,Consumo!O$4:O$189),4)</f>
        <v/>
      </c>
      <c r="M2070" s="66" t="n"/>
    </row>
    <row r="2071">
      <c r="C2071" s="63" t="inlineStr">
        <is>
          <t>Recepciones programadas (ya pedido)</t>
        </is>
      </c>
      <c r="D2071" s="64" t="n"/>
      <c r="E2071" s="65">
        <f>SUMIF(Inventario!$M$5:$M$505,"#"&amp;$A2070,Inventario!E$5:E$505)</f>
        <v/>
      </c>
      <c r="F2071" s="65">
        <f>SUMIF(Inventario!$M$5:$M$505,"#"&amp;$A2070,Inventario!F$5:F$505)</f>
        <v/>
      </c>
      <c r="G2071" s="65">
        <f>SUMIF(Inventario!$M$5:$M$505,"#"&amp;$A2070,Inventario!G$5:G$505)</f>
        <v/>
      </c>
      <c r="H2071" s="65">
        <f>SUMIF(Inventario!$M$5:$M$505,"#"&amp;$A2070,Inventario!H$5:H$505)</f>
        <v/>
      </c>
      <c r="I2071" s="65">
        <f>SUMIF(Inventario!$M$5:$M$505,"#"&amp;$A2070,Inventario!I$5:I$505)</f>
        <v/>
      </c>
      <c r="J2071" s="65">
        <f>SUMIF(Inventario!$M$5:$M$505,"#"&amp;$A2070,Inventario!J$5:J$505)</f>
        <v/>
      </c>
      <c r="K2071" s="65">
        <f>SUMIF(Inventario!$M$5:$M$505,"#"&amp;$A2070,Inventario!K$5:K$505)</f>
        <v/>
      </c>
      <c r="L2071" s="65">
        <f>SUMIF(Inventario!$M$5:$M$505,"#"&amp;$A2070,Inventario!L$5:L$505)</f>
        <v/>
      </c>
      <c r="M2071" s="66" t="n"/>
    </row>
    <row r="2072">
      <c r="C2072" s="63" t="inlineStr">
        <is>
          <t>Stock proyectado disponible</t>
        </is>
      </c>
      <c r="D2072" s="67">
        <f>SUMIF(Inventario!$M$5:$M$505,"#"&amp;$A2070,Inventario!$C$5:$C$505)</f>
        <v/>
      </c>
      <c r="E2072" s="68">
        <f>D2072+E2071+E2074-E2070</f>
        <v/>
      </c>
      <c r="F2072" s="68">
        <f>E2072+F2071+F2074-F2070</f>
        <v/>
      </c>
      <c r="G2072" s="68">
        <f>F2072+G2071+G2074-G2070</f>
        <v/>
      </c>
      <c r="H2072" s="68">
        <f>G2072+H2071+H2074-H2070</f>
        <v/>
      </c>
      <c r="I2072" s="68">
        <f>H2072+I2071+I2074-I2070</f>
        <v/>
      </c>
      <c r="J2072" s="68">
        <f>I2072+J2071+J2074-J2070</f>
        <v/>
      </c>
      <c r="K2072" s="68">
        <f>J2072+K2071+K2074-K2070</f>
        <v/>
      </c>
      <c r="L2072" s="68">
        <f>K2072+L2071+L2074-L2070</f>
        <v/>
      </c>
      <c r="M2072" s="66" t="n"/>
    </row>
    <row r="2073">
      <c r="C2073" s="63" t="inlineStr">
        <is>
          <t>Necesidad neta</t>
        </is>
      </c>
      <c r="D2073" s="64" t="n"/>
      <c r="E2073" s="69">
        <f>MAX(0,ROUND(E2070+Materiales!$H$299-D2072-E2071,4))</f>
        <v/>
      </c>
      <c r="F2073" s="69">
        <f>MAX(0,ROUND(F2070+Materiales!$H$299-E2072-F2071,4))</f>
        <v/>
      </c>
      <c r="G2073" s="69">
        <f>MAX(0,ROUND(G2070+Materiales!$H$299-F2072-G2071,4))</f>
        <v/>
      </c>
      <c r="H2073" s="69">
        <f>MAX(0,ROUND(H2070+Materiales!$H$299-G2072-H2071,4))</f>
        <v/>
      </c>
      <c r="I2073" s="69">
        <f>MAX(0,ROUND(I2070+Materiales!$H$299-H2072-I2071,4))</f>
        <v/>
      </c>
      <c r="J2073" s="69">
        <f>MAX(0,ROUND(J2070+Materiales!$H$299-I2072-J2071,4))</f>
        <v/>
      </c>
      <c r="K2073" s="69">
        <f>MAX(0,ROUND(K2070+Materiales!$H$299-J2072-K2071,4))</f>
        <v/>
      </c>
      <c r="L2073" s="69">
        <f>MAX(0,ROUND(L2070+Materiales!$H$299-K2072-L2071,4))</f>
        <v/>
      </c>
      <c r="M2073" s="66" t="n"/>
    </row>
    <row r="2074">
      <c r="C2074" s="63" t="inlineStr">
        <is>
          <t>Recepcion de orden planificada</t>
        </is>
      </c>
      <c r="D2074" s="64" t="n"/>
      <c r="E2074" s="65">
        <f>IF(E2073&lt;=0,0,IF(Materiales!$G$299&lt;=0,E2073,ROUNDUP(E2073/Materiales!$G$299,0)*Materiales!$G$299))</f>
        <v/>
      </c>
      <c r="F2074" s="65">
        <f>IF(F2073&lt;=0,0,IF(Materiales!$G$299&lt;=0,F2073,ROUNDUP(F2073/Materiales!$G$299,0)*Materiales!$G$299))</f>
        <v/>
      </c>
      <c r="G2074" s="65">
        <f>IF(G2073&lt;=0,0,IF(Materiales!$G$299&lt;=0,G2073,ROUNDUP(G2073/Materiales!$G$299,0)*Materiales!$G$299))</f>
        <v/>
      </c>
      <c r="H2074" s="65">
        <f>IF(H2073&lt;=0,0,IF(Materiales!$G$299&lt;=0,H2073,ROUNDUP(H2073/Materiales!$G$299,0)*Materiales!$G$299))</f>
        <v/>
      </c>
      <c r="I2074" s="65">
        <f>IF(I2073&lt;=0,0,IF(Materiales!$G$299&lt;=0,I2073,ROUNDUP(I2073/Materiales!$G$299,0)*Materiales!$G$299))</f>
        <v/>
      </c>
      <c r="J2074" s="65">
        <f>IF(J2073&lt;=0,0,IF(Materiales!$G$299&lt;=0,J2073,ROUNDUP(J2073/Materiales!$G$299,0)*Materiales!$G$299))</f>
        <v/>
      </c>
      <c r="K2074" s="65">
        <f>IF(K2073&lt;=0,0,IF(Materiales!$G$299&lt;=0,K2073,ROUNDUP(K2073/Materiales!$G$299,0)*Materiales!$G$299))</f>
        <v/>
      </c>
      <c r="L2074" s="65">
        <f>IF(L2073&lt;=0,0,IF(Materiales!$G$299&lt;=0,L2073,ROUNDUP(L2073/Materiales!$G$299,0)*Materiales!$G$299))</f>
        <v/>
      </c>
      <c r="M2074" s="66" t="n"/>
    </row>
    <row r="2075">
      <c r="C2075" s="70" t="inlineStr">
        <is>
          <t>LANZAMIENTO DE ORDEN — pedir esta semana</t>
        </is>
      </c>
      <c r="D2075" s="64" t="n"/>
      <c r="E2075" s="71">
        <f>IF(1+Materiales!$F$299&gt;8,0,INDEX($E$2074:$L$2074,1,1+Materiales!$F$299))</f>
        <v/>
      </c>
      <c r="F2075" s="71">
        <f>IF(2+Materiales!$F$299&gt;8,0,INDEX($E$2074:$L$2074,1,2+Materiales!$F$299))</f>
        <v/>
      </c>
      <c r="G2075" s="71">
        <f>IF(3+Materiales!$F$299&gt;8,0,INDEX($E$2074:$L$2074,1,3+Materiales!$F$299))</f>
        <v/>
      </c>
      <c r="H2075" s="71">
        <f>IF(4+Materiales!$F$299&gt;8,0,INDEX($E$2074:$L$2074,1,4+Materiales!$F$299))</f>
        <v/>
      </c>
      <c r="I2075" s="71">
        <f>IF(5+Materiales!$F$299&gt;8,0,INDEX($E$2074:$L$2074,1,5+Materiales!$F$299))</f>
        <v/>
      </c>
      <c r="J2075" s="71">
        <f>IF(6+Materiales!$F$299&gt;8,0,INDEX($E$2074:$L$2074,1,6+Materiales!$F$299))</f>
        <v/>
      </c>
      <c r="K2075" s="71">
        <f>IF(7+Materiales!$F$299&gt;8,0,INDEX($E$2074:$L$2074,1,7+Materiales!$F$299))</f>
        <v/>
      </c>
      <c r="L2075" s="71">
        <f>IF(8+Materiales!$F$299&gt;8,0,INDEX($E$2074:$L$2074,1,8+Materiales!$F$299))</f>
        <v/>
      </c>
      <c r="M2075" s="72">
        <f>IF($A2070="","",IF(SUMPRODUCT((COLUMN($E$2074:$L$2074)-4&lt;=Materiales!$F$299)*$E$2074:$L$2074)&gt;0,"PEDIR YA (atrasado)","OK"))</f>
        <v/>
      </c>
    </row>
    <row r="2076" ht="6" customHeight="1"/>
    <row r="2077">
      <c r="A2077" s="62">
        <f>IF(Materiales!$A$300="","",Materiales!$A$300)</f>
        <v/>
      </c>
      <c r="B2077" s="62">
        <f>IF(Materiales!$B$300="","",Materiales!$B$300)</f>
        <v/>
      </c>
      <c r="C2077" s="63" t="inlineStr">
        <is>
          <t>Necesidad bruta</t>
        </is>
      </c>
      <c r="D2077" s="64" t="n"/>
      <c r="E2077" s="65">
        <f>ROUND(SUMIF(Consumo!$P$4:$P$189,"#"&amp;$A2077,Consumo!H$4:H$189),4)</f>
        <v/>
      </c>
      <c r="F2077" s="65">
        <f>ROUND(SUMIF(Consumo!$P$4:$P$189,"#"&amp;$A2077,Consumo!I$4:I$189),4)</f>
        <v/>
      </c>
      <c r="G2077" s="65">
        <f>ROUND(SUMIF(Consumo!$P$4:$P$189,"#"&amp;$A2077,Consumo!J$4:J$189),4)</f>
        <v/>
      </c>
      <c r="H2077" s="65">
        <f>ROUND(SUMIF(Consumo!$P$4:$P$189,"#"&amp;$A2077,Consumo!K$4:K$189),4)</f>
        <v/>
      </c>
      <c r="I2077" s="65">
        <f>ROUND(SUMIF(Consumo!$P$4:$P$189,"#"&amp;$A2077,Consumo!L$4:L$189),4)</f>
        <v/>
      </c>
      <c r="J2077" s="65">
        <f>ROUND(SUMIF(Consumo!$P$4:$P$189,"#"&amp;$A2077,Consumo!M$4:M$189),4)</f>
        <v/>
      </c>
      <c r="K2077" s="65">
        <f>ROUND(SUMIF(Consumo!$P$4:$P$189,"#"&amp;$A2077,Consumo!N$4:N$189),4)</f>
        <v/>
      </c>
      <c r="L2077" s="65">
        <f>ROUND(SUMIF(Consumo!$P$4:$P$189,"#"&amp;$A2077,Consumo!O$4:O$189),4)</f>
        <v/>
      </c>
      <c r="M2077" s="66" t="n"/>
    </row>
    <row r="2078">
      <c r="C2078" s="63" t="inlineStr">
        <is>
          <t>Recepciones programadas (ya pedido)</t>
        </is>
      </c>
      <c r="D2078" s="64" t="n"/>
      <c r="E2078" s="65">
        <f>SUMIF(Inventario!$M$5:$M$505,"#"&amp;$A2077,Inventario!E$5:E$505)</f>
        <v/>
      </c>
      <c r="F2078" s="65">
        <f>SUMIF(Inventario!$M$5:$M$505,"#"&amp;$A2077,Inventario!F$5:F$505)</f>
        <v/>
      </c>
      <c r="G2078" s="65">
        <f>SUMIF(Inventario!$M$5:$M$505,"#"&amp;$A2077,Inventario!G$5:G$505)</f>
        <v/>
      </c>
      <c r="H2078" s="65">
        <f>SUMIF(Inventario!$M$5:$M$505,"#"&amp;$A2077,Inventario!H$5:H$505)</f>
        <v/>
      </c>
      <c r="I2078" s="65">
        <f>SUMIF(Inventario!$M$5:$M$505,"#"&amp;$A2077,Inventario!I$5:I$505)</f>
        <v/>
      </c>
      <c r="J2078" s="65">
        <f>SUMIF(Inventario!$M$5:$M$505,"#"&amp;$A2077,Inventario!J$5:J$505)</f>
        <v/>
      </c>
      <c r="K2078" s="65">
        <f>SUMIF(Inventario!$M$5:$M$505,"#"&amp;$A2077,Inventario!K$5:K$505)</f>
        <v/>
      </c>
      <c r="L2078" s="65">
        <f>SUMIF(Inventario!$M$5:$M$505,"#"&amp;$A2077,Inventario!L$5:L$505)</f>
        <v/>
      </c>
      <c r="M2078" s="66" t="n"/>
    </row>
    <row r="2079">
      <c r="C2079" s="63" t="inlineStr">
        <is>
          <t>Stock proyectado disponible</t>
        </is>
      </c>
      <c r="D2079" s="67">
        <f>SUMIF(Inventario!$M$5:$M$505,"#"&amp;$A2077,Inventario!$C$5:$C$505)</f>
        <v/>
      </c>
      <c r="E2079" s="68">
        <f>D2079+E2078+E2081-E2077</f>
        <v/>
      </c>
      <c r="F2079" s="68">
        <f>E2079+F2078+F2081-F2077</f>
        <v/>
      </c>
      <c r="G2079" s="68">
        <f>F2079+G2078+G2081-G2077</f>
        <v/>
      </c>
      <c r="H2079" s="68">
        <f>G2079+H2078+H2081-H2077</f>
        <v/>
      </c>
      <c r="I2079" s="68">
        <f>H2079+I2078+I2081-I2077</f>
        <v/>
      </c>
      <c r="J2079" s="68">
        <f>I2079+J2078+J2081-J2077</f>
        <v/>
      </c>
      <c r="K2079" s="68">
        <f>J2079+K2078+K2081-K2077</f>
        <v/>
      </c>
      <c r="L2079" s="68">
        <f>K2079+L2078+L2081-L2077</f>
        <v/>
      </c>
      <c r="M2079" s="66" t="n"/>
    </row>
    <row r="2080">
      <c r="C2080" s="63" t="inlineStr">
        <is>
          <t>Necesidad neta</t>
        </is>
      </c>
      <c r="D2080" s="64" t="n"/>
      <c r="E2080" s="69">
        <f>MAX(0,ROUND(E2077+Materiales!$H$300-D2079-E2078,4))</f>
        <v/>
      </c>
      <c r="F2080" s="69">
        <f>MAX(0,ROUND(F2077+Materiales!$H$300-E2079-F2078,4))</f>
        <v/>
      </c>
      <c r="G2080" s="69">
        <f>MAX(0,ROUND(G2077+Materiales!$H$300-F2079-G2078,4))</f>
        <v/>
      </c>
      <c r="H2080" s="69">
        <f>MAX(0,ROUND(H2077+Materiales!$H$300-G2079-H2078,4))</f>
        <v/>
      </c>
      <c r="I2080" s="69">
        <f>MAX(0,ROUND(I2077+Materiales!$H$300-H2079-I2078,4))</f>
        <v/>
      </c>
      <c r="J2080" s="69">
        <f>MAX(0,ROUND(J2077+Materiales!$H$300-I2079-J2078,4))</f>
        <v/>
      </c>
      <c r="K2080" s="69">
        <f>MAX(0,ROUND(K2077+Materiales!$H$300-J2079-K2078,4))</f>
        <v/>
      </c>
      <c r="L2080" s="69">
        <f>MAX(0,ROUND(L2077+Materiales!$H$300-K2079-L2078,4))</f>
        <v/>
      </c>
      <c r="M2080" s="66" t="n"/>
    </row>
    <row r="2081">
      <c r="C2081" s="63" t="inlineStr">
        <is>
          <t>Recepcion de orden planificada</t>
        </is>
      </c>
      <c r="D2081" s="64" t="n"/>
      <c r="E2081" s="65">
        <f>IF(E2080&lt;=0,0,IF(Materiales!$G$300&lt;=0,E2080,ROUNDUP(E2080/Materiales!$G$300,0)*Materiales!$G$300))</f>
        <v/>
      </c>
      <c r="F2081" s="65">
        <f>IF(F2080&lt;=0,0,IF(Materiales!$G$300&lt;=0,F2080,ROUNDUP(F2080/Materiales!$G$300,0)*Materiales!$G$300))</f>
        <v/>
      </c>
      <c r="G2081" s="65">
        <f>IF(G2080&lt;=0,0,IF(Materiales!$G$300&lt;=0,G2080,ROUNDUP(G2080/Materiales!$G$300,0)*Materiales!$G$300))</f>
        <v/>
      </c>
      <c r="H2081" s="65">
        <f>IF(H2080&lt;=0,0,IF(Materiales!$G$300&lt;=0,H2080,ROUNDUP(H2080/Materiales!$G$300,0)*Materiales!$G$300))</f>
        <v/>
      </c>
      <c r="I2081" s="65">
        <f>IF(I2080&lt;=0,0,IF(Materiales!$G$300&lt;=0,I2080,ROUNDUP(I2080/Materiales!$G$300,0)*Materiales!$G$300))</f>
        <v/>
      </c>
      <c r="J2081" s="65">
        <f>IF(J2080&lt;=0,0,IF(Materiales!$G$300&lt;=0,J2080,ROUNDUP(J2080/Materiales!$G$300,0)*Materiales!$G$300))</f>
        <v/>
      </c>
      <c r="K2081" s="65">
        <f>IF(K2080&lt;=0,0,IF(Materiales!$G$300&lt;=0,K2080,ROUNDUP(K2080/Materiales!$G$300,0)*Materiales!$G$300))</f>
        <v/>
      </c>
      <c r="L2081" s="65">
        <f>IF(L2080&lt;=0,0,IF(Materiales!$G$300&lt;=0,L2080,ROUNDUP(L2080/Materiales!$G$300,0)*Materiales!$G$300))</f>
        <v/>
      </c>
      <c r="M2081" s="66" t="n"/>
    </row>
    <row r="2082">
      <c r="C2082" s="70" t="inlineStr">
        <is>
          <t>LANZAMIENTO DE ORDEN — pedir esta semana</t>
        </is>
      </c>
      <c r="D2082" s="64" t="n"/>
      <c r="E2082" s="71">
        <f>IF(1+Materiales!$F$300&gt;8,0,INDEX($E$2081:$L$2081,1,1+Materiales!$F$300))</f>
        <v/>
      </c>
      <c r="F2082" s="71">
        <f>IF(2+Materiales!$F$300&gt;8,0,INDEX($E$2081:$L$2081,1,2+Materiales!$F$300))</f>
        <v/>
      </c>
      <c r="G2082" s="71">
        <f>IF(3+Materiales!$F$300&gt;8,0,INDEX($E$2081:$L$2081,1,3+Materiales!$F$300))</f>
        <v/>
      </c>
      <c r="H2082" s="71">
        <f>IF(4+Materiales!$F$300&gt;8,0,INDEX($E$2081:$L$2081,1,4+Materiales!$F$300))</f>
        <v/>
      </c>
      <c r="I2082" s="71">
        <f>IF(5+Materiales!$F$300&gt;8,0,INDEX($E$2081:$L$2081,1,5+Materiales!$F$300))</f>
        <v/>
      </c>
      <c r="J2082" s="71">
        <f>IF(6+Materiales!$F$300&gt;8,0,INDEX($E$2081:$L$2081,1,6+Materiales!$F$300))</f>
        <v/>
      </c>
      <c r="K2082" s="71">
        <f>IF(7+Materiales!$F$300&gt;8,0,INDEX($E$2081:$L$2081,1,7+Materiales!$F$300))</f>
        <v/>
      </c>
      <c r="L2082" s="71">
        <f>IF(8+Materiales!$F$300&gt;8,0,INDEX($E$2081:$L$2081,1,8+Materiales!$F$300))</f>
        <v/>
      </c>
      <c r="M2082" s="72">
        <f>IF($A2077="","",IF(SUMPRODUCT((COLUMN($E$2081:$L$2081)-4&lt;=Materiales!$F$300)*$E$2081:$L$2081)&gt;0,"PEDIR YA (atrasado)","OK"))</f>
        <v/>
      </c>
    </row>
    <row r="2083" ht="6" customHeight="1"/>
    <row r="2084">
      <c r="A2084" s="62">
        <f>IF(Materiales!$A$301="","",Materiales!$A$301)</f>
        <v/>
      </c>
      <c r="B2084" s="62">
        <f>IF(Materiales!$B$301="","",Materiales!$B$301)</f>
        <v/>
      </c>
      <c r="C2084" s="63" t="inlineStr">
        <is>
          <t>Necesidad bruta</t>
        </is>
      </c>
      <c r="D2084" s="64" t="n"/>
      <c r="E2084" s="65">
        <f>ROUND(SUMIF(Consumo!$P$4:$P$189,"#"&amp;$A2084,Consumo!H$4:H$189),4)</f>
        <v/>
      </c>
      <c r="F2084" s="65">
        <f>ROUND(SUMIF(Consumo!$P$4:$P$189,"#"&amp;$A2084,Consumo!I$4:I$189),4)</f>
        <v/>
      </c>
      <c r="G2084" s="65">
        <f>ROUND(SUMIF(Consumo!$P$4:$P$189,"#"&amp;$A2084,Consumo!J$4:J$189),4)</f>
        <v/>
      </c>
      <c r="H2084" s="65">
        <f>ROUND(SUMIF(Consumo!$P$4:$P$189,"#"&amp;$A2084,Consumo!K$4:K$189),4)</f>
        <v/>
      </c>
      <c r="I2084" s="65">
        <f>ROUND(SUMIF(Consumo!$P$4:$P$189,"#"&amp;$A2084,Consumo!L$4:L$189),4)</f>
        <v/>
      </c>
      <c r="J2084" s="65">
        <f>ROUND(SUMIF(Consumo!$P$4:$P$189,"#"&amp;$A2084,Consumo!M$4:M$189),4)</f>
        <v/>
      </c>
      <c r="K2084" s="65">
        <f>ROUND(SUMIF(Consumo!$P$4:$P$189,"#"&amp;$A2084,Consumo!N$4:N$189),4)</f>
        <v/>
      </c>
      <c r="L2084" s="65">
        <f>ROUND(SUMIF(Consumo!$P$4:$P$189,"#"&amp;$A2084,Consumo!O$4:O$189),4)</f>
        <v/>
      </c>
      <c r="M2084" s="66" t="n"/>
    </row>
    <row r="2085">
      <c r="C2085" s="63" t="inlineStr">
        <is>
          <t>Recepciones programadas (ya pedido)</t>
        </is>
      </c>
      <c r="D2085" s="64" t="n"/>
      <c r="E2085" s="65">
        <f>SUMIF(Inventario!$M$5:$M$505,"#"&amp;$A2084,Inventario!E$5:E$505)</f>
        <v/>
      </c>
      <c r="F2085" s="65">
        <f>SUMIF(Inventario!$M$5:$M$505,"#"&amp;$A2084,Inventario!F$5:F$505)</f>
        <v/>
      </c>
      <c r="G2085" s="65">
        <f>SUMIF(Inventario!$M$5:$M$505,"#"&amp;$A2084,Inventario!G$5:G$505)</f>
        <v/>
      </c>
      <c r="H2085" s="65">
        <f>SUMIF(Inventario!$M$5:$M$505,"#"&amp;$A2084,Inventario!H$5:H$505)</f>
        <v/>
      </c>
      <c r="I2085" s="65">
        <f>SUMIF(Inventario!$M$5:$M$505,"#"&amp;$A2084,Inventario!I$5:I$505)</f>
        <v/>
      </c>
      <c r="J2085" s="65">
        <f>SUMIF(Inventario!$M$5:$M$505,"#"&amp;$A2084,Inventario!J$5:J$505)</f>
        <v/>
      </c>
      <c r="K2085" s="65">
        <f>SUMIF(Inventario!$M$5:$M$505,"#"&amp;$A2084,Inventario!K$5:K$505)</f>
        <v/>
      </c>
      <c r="L2085" s="65">
        <f>SUMIF(Inventario!$M$5:$M$505,"#"&amp;$A2084,Inventario!L$5:L$505)</f>
        <v/>
      </c>
      <c r="M2085" s="66" t="n"/>
    </row>
    <row r="2086">
      <c r="C2086" s="63" t="inlineStr">
        <is>
          <t>Stock proyectado disponible</t>
        </is>
      </c>
      <c r="D2086" s="67">
        <f>SUMIF(Inventario!$M$5:$M$505,"#"&amp;$A2084,Inventario!$C$5:$C$505)</f>
        <v/>
      </c>
      <c r="E2086" s="68">
        <f>D2086+E2085+E2088-E2084</f>
        <v/>
      </c>
      <c r="F2086" s="68">
        <f>E2086+F2085+F2088-F2084</f>
        <v/>
      </c>
      <c r="G2086" s="68">
        <f>F2086+G2085+G2088-G2084</f>
        <v/>
      </c>
      <c r="H2086" s="68">
        <f>G2086+H2085+H2088-H2084</f>
        <v/>
      </c>
      <c r="I2086" s="68">
        <f>H2086+I2085+I2088-I2084</f>
        <v/>
      </c>
      <c r="J2086" s="68">
        <f>I2086+J2085+J2088-J2084</f>
        <v/>
      </c>
      <c r="K2086" s="68">
        <f>J2086+K2085+K2088-K2084</f>
        <v/>
      </c>
      <c r="L2086" s="68">
        <f>K2086+L2085+L2088-L2084</f>
        <v/>
      </c>
      <c r="M2086" s="66" t="n"/>
    </row>
    <row r="2087">
      <c r="C2087" s="63" t="inlineStr">
        <is>
          <t>Necesidad neta</t>
        </is>
      </c>
      <c r="D2087" s="64" t="n"/>
      <c r="E2087" s="69">
        <f>MAX(0,ROUND(E2084+Materiales!$H$301-D2086-E2085,4))</f>
        <v/>
      </c>
      <c r="F2087" s="69">
        <f>MAX(0,ROUND(F2084+Materiales!$H$301-E2086-F2085,4))</f>
        <v/>
      </c>
      <c r="G2087" s="69">
        <f>MAX(0,ROUND(G2084+Materiales!$H$301-F2086-G2085,4))</f>
        <v/>
      </c>
      <c r="H2087" s="69">
        <f>MAX(0,ROUND(H2084+Materiales!$H$301-G2086-H2085,4))</f>
        <v/>
      </c>
      <c r="I2087" s="69">
        <f>MAX(0,ROUND(I2084+Materiales!$H$301-H2086-I2085,4))</f>
        <v/>
      </c>
      <c r="J2087" s="69">
        <f>MAX(0,ROUND(J2084+Materiales!$H$301-I2086-J2085,4))</f>
        <v/>
      </c>
      <c r="K2087" s="69">
        <f>MAX(0,ROUND(K2084+Materiales!$H$301-J2086-K2085,4))</f>
        <v/>
      </c>
      <c r="L2087" s="69">
        <f>MAX(0,ROUND(L2084+Materiales!$H$301-K2086-L2085,4))</f>
        <v/>
      </c>
      <c r="M2087" s="66" t="n"/>
    </row>
    <row r="2088">
      <c r="C2088" s="63" t="inlineStr">
        <is>
          <t>Recepcion de orden planificada</t>
        </is>
      </c>
      <c r="D2088" s="64" t="n"/>
      <c r="E2088" s="65">
        <f>IF(E2087&lt;=0,0,IF(Materiales!$G$301&lt;=0,E2087,ROUNDUP(E2087/Materiales!$G$301,0)*Materiales!$G$301))</f>
        <v/>
      </c>
      <c r="F2088" s="65">
        <f>IF(F2087&lt;=0,0,IF(Materiales!$G$301&lt;=0,F2087,ROUNDUP(F2087/Materiales!$G$301,0)*Materiales!$G$301))</f>
        <v/>
      </c>
      <c r="G2088" s="65">
        <f>IF(G2087&lt;=0,0,IF(Materiales!$G$301&lt;=0,G2087,ROUNDUP(G2087/Materiales!$G$301,0)*Materiales!$G$301))</f>
        <v/>
      </c>
      <c r="H2088" s="65">
        <f>IF(H2087&lt;=0,0,IF(Materiales!$G$301&lt;=0,H2087,ROUNDUP(H2087/Materiales!$G$301,0)*Materiales!$G$301))</f>
        <v/>
      </c>
      <c r="I2088" s="65">
        <f>IF(I2087&lt;=0,0,IF(Materiales!$G$301&lt;=0,I2087,ROUNDUP(I2087/Materiales!$G$301,0)*Materiales!$G$301))</f>
        <v/>
      </c>
      <c r="J2088" s="65">
        <f>IF(J2087&lt;=0,0,IF(Materiales!$G$301&lt;=0,J2087,ROUNDUP(J2087/Materiales!$G$301,0)*Materiales!$G$301))</f>
        <v/>
      </c>
      <c r="K2088" s="65">
        <f>IF(K2087&lt;=0,0,IF(Materiales!$G$301&lt;=0,K2087,ROUNDUP(K2087/Materiales!$G$301,0)*Materiales!$G$301))</f>
        <v/>
      </c>
      <c r="L2088" s="65">
        <f>IF(L2087&lt;=0,0,IF(Materiales!$G$301&lt;=0,L2087,ROUNDUP(L2087/Materiales!$G$301,0)*Materiales!$G$301))</f>
        <v/>
      </c>
      <c r="M2088" s="66" t="n"/>
    </row>
    <row r="2089">
      <c r="C2089" s="70" t="inlineStr">
        <is>
          <t>LANZAMIENTO DE ORDEN — pedir esta semana</t>
        </is>
      </c>
      <c r="D2089" s="64" t="n"/>
      <c r="E2089" s="71">
        <f>IF(1+Materiales!$F$301&gt;8,0,INDEX($E$2088:$L$2088,1,1+Materiales!$F$301))</f>
        <v/>
      </c>
      <c r="F2089" s="71">
        <f>IF(2+Materiales!$F$301&gt;8,0,INDEX($E$2088:$L$2088,1,2+Materiales!$F$301))</f>
        <v/>
      </c>
      <c r="G2089" s="71">
        <f>IF(3+Materiales!$F$301&gt;8,0,INDEX($E$2088:$L$2088,1,3+Materiales!$F$301))</f>
        <v/>
      </c>
      <c r="H2089" s="71">
        <f>IF(4+Materiales!$F$301&gt;8,0,INDEX($E$2088:$L$2088,1,4+Materiales!$F$301))</f>
        <v/>
      </c>
      <c r="I2089" s="71">
        <f>IF(5+Materiales!$F$301&gt;8,0,INDEX($E$2088:$L$2088,1,5+Materiales!$F$301))</f>
        <v/>
      </c>
      <c r="J2089" s="71">
        <f>IF(6+Materiales!$F$301&gt;8,0,INDEX($E$2088:$L$2088,1,6+Materiales!$F$301))</f>
        <v/>
      </c>
      <c r="K2089" s="71">
        <f>IF(7+Materiales!$F$301&gt;8,0,INDEX($E$2088:$L$2088,1,7+Materiales!$F$301))</f>
        <v/>
      </c>
      <c r="L2089" s="71">
        <f>IF(8+Materiales!$F$301&gt;8,0,INDEX($E$2088:$L$2088,1,8+Materiales!$F$301))</f>
        <v/>
      </c>
      <c r="M2089" s="72">
        <f>IF($A2084="","",IF(SUMPRODUCT((COLUMN($E$2088:$L$2088)-4&lt;=Materiales!$F$301)*$E$2088:$L$2088)&gt;0,"PEDIR YA (atrasado)","OK"))</f>
        <v/>
      </c>
    </row>
    <row r="2090" ht="6" customHeight="1"/>
    <row r="2091">
      <c r="A2091" s="62">
        <f>IF(Materiales!$A$302="","",Materiales!$A$302)</f>
        <v/>
      </c>
      <c r="B2091" s="62">
        <f>IF(Materiales!$B$302="","",Materiales!$B$302)</f>
        <v/>
      </c>
      <c r="C2091" s="63" t="inlineStr">
        <is>
          <t>Necesidad bruta</t>
        </is>
      </c>
      <c r="D2091" s="64" t="n"/>
      <c r="E2091" s="65">
        <f>ROUND(SUMIF(Consumo!$P$4:$P$189,"#"&amp;$A2091,Consumo!H$4:H$189),4)</f>
        <v/>
      </c>
      <c r="F2091" s="65">
        <f>ROUND(SUMIF(Consumo!$P$4:$P$189,"#"&amp;$A2091,Consumo!I$4:I$189),4)</f>
        <v/>
      </c>
      <c r="G2091" s="65">
        <f>ROUND(SUMIF(Consumo!$P$4:$P$189,"#"&amp;$A2091,Consumo!J$4:J$189),4)</f>
        <v/>
      </c>
      <c r="H2091" s="65">
        <f>ROUND(SUMIF(Consumo!$P$4:$P$189,"#"&amp;$A2091,Consumo!K$4:K$189),4)</f>
        <v/>
      </c>
      <c r="I2091" s="65">
        <f>ROUND(SUMIF(Consumo!$P$4:$P$189,"#"&amp;$A2091,Consumo!L$4:L$189),4)</f>
        <v/>
      </c>
      <c r="J2091" s="65">
        <f>ROUND(SUMIF(Consumo!$P$4:$P$189,"#"&amp;$A2091,Consumo!M$4:M$189),4)</f>
        <v/>
      </c>
      <c r="K2091" s="65">
        <f>ROUND(SUMIF(Consumo!$P$4:$P$189,"#"&amp;$A2091,Consumo!N$4:N$189),4)</f>
        <v/>
      </c>
      <c r="L2091" s="65">
        <f>ROUND(SUMIF(Consumo!$P$4:$P$189,"#"&amp;$A2091,Consumo!O$4:O$189),4)</f>
        <v/>
      </c>
      <c r="M2091" s="66" t="n"/>
    </row>
    <row r="2092">
      <c r="C2092" s="63" t="inlineStr">
        <is>
          <t>Recepciones programadas (ya pedido)</t>
        </is>
      </c>
      <c r="D2092" s="64" t="n"/>
      <c r="E2092" s="65">
        <f>SUMIF(Inventario!$M$5:$M$505,"#"&amp;$A2091,Inventario!E$5:E$505)</f>
        <v/>
      </c>
      <c r="F2092" s="65">
        <f>SUMIF(Inventario!$M$5:$M$505,"#"&amp;$A2091,Inventario!F$5:F$505)</f>
        <v/>
      </c>
      <c r="G2092" s="65">
        <f>SUMIF(Inventario!$M$5:$M$505,"#"&amp;$A2091,Inventario!G$5:G$505)</f>
        <v/>
      </c>
      <c r="H2092" s="65">
        <f>SUMIF(Inventario!$M$5:$M$505,"#"&amp;$A2091,Inventario!H$5:H$505)</f>
        <v/>
      </c>
      <c r="I2092" s="65">
        <f>SUMIF(Inventario!$M$5:$M$505,"#"&amp;$A2091,Inventario!I$5:I$505)</f>
        <v/>
      </c>
      <c r="J2092" s="65">
        <f>SUMIF(Inventario!$M$5:$M$505,"#"&amp;$A2091,Inventario!J$5:J$505)</f>
        <v/>
      </c>
      <c r="K2092" s="65">
        <f>SUMIF(Inventario!$M$5:$M$505,"#"&amp;$A2091,Inventario!K$5:K$505)</f>
        <v/>
      </c>
      <c r="L2092" s="65">
        <f>SUMIF(Inventario!$M$5:$M$505,"#"&amp;$A2091,Inventario!L$5:L$505)</f>
        <v/>
      </c>
      <c r="M2092" s="66" t="n"/>
    </row>
    <row r="2093">
      <c r="C2093" s="63" t="inlineStr">
        <is>
          <t>Stock proyectado disponible</t>
        </is>
      </c>
      <c r="D2093" s="67">
        <f>SUMIF(Inventario!$M$5:$M$505,"#"&amp;$A2091,Inventario!$C$5:$C$505)</f>
        <v/>
      </c>
      <c r="E2093" s="68">
        <f>D2093+E2092+E2095-E2091</f>
        <v/>
      </c>
      <c r="F2093" s="68">
        <f>E2093+F2092+F2095-F2091</f>
        <v/>
      </c>
      <c r="G2093" s="68">
        <f>F2093+G2092+G2095-G2091</f>
        <v/>
      </c>
      <c r="H2093" s="68">
        <f>G2093+H2092+H2095-H2091</f>
        <v/>
      </c>
      <c r="I2093" s="68">
        <f>H2093+I2092+I2095-I2091</f>
        <v/>
      </c>
      <c r="J2093" s="68">
        <f>I2093+J2092+J2095-J2091</f>
        <v/>
      </c>
      <c r="K2093" s="68">
        <f>J2093+K2092+K2095-K2091</f>
        <v/>
      </c>
      <c r="L2093" s="68">
        <f>K2093+L2092+L2095-L2091</f>
        <v/>
      </c>
      <c r="M2093" s="66" t="n"/>
    </row>
    <row r="2094">
      <c r="C2094" s="63" t="inlineStr">
        <is>
          <t>Necesidad neta</t>
        </is>
      </c>
      <c r="D2094" s="64" t="n"/>
      <c r="E2094" s="69">
        <f>MAX(0,ROUND(E2091+Materiales!$H$302-D2093-E2092,4))</f>
        <v/>
      </c>
      <c r="F2094" s="69">
        <f>MAX(0,ROUND(F2091+Materiales!$H$302-E2093-F2092,4))</f>
        <v/>
      </c>
      <c r="G2094" s="69">
        <f>MAX(0,ROUND(G2091+Materiales!$H$302-F2093-G2092,4))</f>
        <v/>
      </c>
      <c r="H2094" s="69">
        <f>MAX(0,ROUND(H2091+Materiales!$H$302-G2093-H2092,4))</f>
        <v/>
      </c>
      <c r="I2094" s="69">
        <f>MAX(0,ROUND(I2091+Materiales!$H$302-H2093-I2092,4))</f>
        <v/>
      </c>
      <c r="J2094" s="69">
        <f>MAX(0,ROUND(J2091+Materiales!$H$302-I2093-J2092,4))</f>
        <v/>
      </c>
      <c r="K2094" s="69">
        <f>MAX(0,ROUND(K2091+Materiales!$H$302-J2093-K2092,4))</f>
        <v/>
      </c>
      <c r="L2094" s="69">
        <f>MAX(0,ROUND(L2091+Materiales!$H$302-K2093-L2092,4))</f>
        <v/>
      </c>
      <c r="M2094" s="66" t="n"/>
    </row>
    <row r="2095">
      <c r="C2095" s="63" t="inlineStr">
        <is>
          <t>Recepcion de orden planificada</t>
        </is>
      </c>
      <c r="D2095" s="64" t="n"/>
      <c r="E2095" s="65">
        <f>IF(E2094&lt;=0,0,IF(Materiales!$G$302&lt;=0,E2094,ROUNDUP(E2094/Materiales!$G$302,0)*Materiales!$G$302))</f>
        <v/>
      </c>
      <c r="F2095" s="65">
        <f>IF(F2094&lt;=0,0,IF(Materiales!$G$302&lt;=0,F2094,ROUNDUP(F2094/Materiales!$G$302,0)*Materiales!$G$302))</f>
        <v/>
      </c>
      <c r="G2095" s="65">
        <f>IF(G2094&lt;=0,0,IF(Materiales!$G$302&lt;=0,G2094,ROUNDUP(G2094/Materiales!$G$302,0)*Materiales!$G$302))</f>
        <v/>
      </c>
      <c r="H2095" s="65">
        <f>IF(H2094&lt;=0,0,IF(Materiales!$G$302&lt;=0,H2094,ROUNDUP(H2094/Materiales!$G$302,0)*Materiales!$G$302))</f>
        <v/>
      </c>
      <c r="I2095" s="65">
        <f>IF(I2094&lt;=0,0,IF(Materiales!$G$302&lt;=0,I2094,ROUNDUP(I2094/Materiales!$G$302,0)*Materiales!$G$302))</f>
        <v/>
      </c>
      <c r="J2095" s="65">
        <f>IF(J2094&lt;=0,0,IF(Materiales!$G$302&lt;=0,J2094,ROUNDUP(J2094/Materiales!$G$302,0)*Materiales!$G$302))</f>
        <v/>
      </c>
      <c r="K2095" s="65">
        <f>IF(K2094&lt;=0,0,IF(Materiales!$G$302&lt;=0,K2094,ROUNDUP(K2094/Materiales!$G$302,0)*Materiales!$G$302))</f>
        <v/>
      </c>
      <c r="L2095" s="65">
        <f>IF(L2094&lt;=0,0,IF(Materiales!$G$302&lt;=0,L2094,ROUNDUP(L2094/Materiales!$G$302,0)*Materiales!$G$302))</f>
        <v/>
      </c>
      <c r="M2095" s="66" t="n"/>
    </row>
    <row r="2096">
      <c r="C2096" s="70" t="inlineStr">
        <is>
          <t>LANZAMIENTO DE ORDEN — pedir esta semana</t>
        </is>
      </c>
      <c r="D2096" s="64" t="n"/>
      <c r="E2096" s="71">
        <f>IF(1+Materiales!$F$302&gt;8,0,INDEX($E$2095:$L$2095,1,1+Materiales!$F$302))</f>
        <v/>
      </c>
      <c r="F2096" s="71">
        <f>IF(2+Materiales!$F$302&gt;8,0,INDEX($E$2095:$L$2095,1,2+Materiales!$F$302))</f>
        <v/>
      </c>
      <c r="G2096" s="71">
        <f>IF(3+Materiales!$F$302&gt;8,0,INDEX($E$2095:$L$2095,1,3+Materiales!$F$302))</f>
        <v/>
      </c>
      <c r="H2096" s="71">
        <f>IF(4+Materiales!$F$302&gt;8,0,INDEX($E$2095:$L$2095,1,4+Materiales!$F$302))</f>
        <v/>
      </c>
      <c r="I2096" s="71">
        <f>IF(5+Materiales!$F$302&gt;8,0,INDEX($E$2095:$L$2095,1,5+Materiales!$F$302))</f>
        <v/>
      </c>
      <c r="J2096" s="71">
        <f>IF(6+Materiales!$F$302&gt;8,0,INDEX($E$2095:$L$2095,1,6+Materiales!$F$302))</f>
        <v/>
      </c>
      <c r="K2096" s="71">
        <f>IF(7+Materiales!$F$302&gt;8,0,INDEX($E$2095:$L$2095,1,7+Materiales!$F$302))</f>
        <v/>
      </c>
      <c r="L2096" s="71">
        <f>IF(8+Materiales!$F$302&gt;8,0,INDEX($E$2095:$L$2095,1,8+Materiales!$F$302))</f>
        <v/>
      </c>
      <c r="M2096" s="72">
        <f>IF($A2091="","",IF(SUMPRODUCT((COLUMN($E$2095:$L$2095)-4&lt;=Materiales!$F$302)*$E$2095:$L$2095)&gt;0,"PEDIR YA (atrasado)","OK"))</f>
        <v/>
      </c>
    </row>
    <row r="2097" ht="6" customHeight="1"/>
    <row r="2098">
      <c r="A2098" s="62">
        <f>IF(Materiales!$A$303="","",Materiales!$A$303)</f>
        <v/>
      </c>
      <c r="B2098" s="62">
        <f>IF(Materiales!$B$303="","",Materiales!$B$303)</f>
        <v/>
      </c>
      <c r="C2098" s="63" t="inlineStr">
        <is>
          <t>Necesidad bruta</t>
        </is>
      </c>
      <c r="D2098" s="64" t="n"/>
      <c r="E2098" s="65">
        <f>ROUND(SUMIF(Consumo!$P$4:$P$189,"#"&amp;$A2098,Consumo!H$4:H$189),4)</f>
        <v/>
      </c>
      <c r="F2098" s="65">
        <f>ROUND(SUMIF(Consumo!$P$4:$P$189,"#"&amp;$A2098,Consumo!I$4:I$189),4)</f>
        <v/>
      </c>
      <c r="G2098" s="65">
        <f>ROUND(SUMIF(Consumo!$P$4:$P$189,"#"&amp;$A2098,Consumo!J$4:J$189),4)</f>
        <v/>
      </c>
      <c r="H2098" s="65">
        <f>ROUND(SUMIF(Consumo!$P$4:$P$189,"#"&amp;$A2098,Consumo!K$4:K$189),4)</f>
        <v/>
      </c>
      <c r="I2098" s="65">
        <f>ROUND(SUMIF(Consumo!$P$4:$P$189,"#"&amp;$A2098,Consumo!L$4:L$189),4)</f>
        <v/>
      </c>
      <c r="J2098" s="65">
        <f>ROUND(SUMIF(Consumo!$P$4:$P$189,"#"&amp;$A2098,Consumo!M$4:M$189),4)</f>
        <v/>
      </c>
      <c r="K2098" s="65">
        <f>ROUND(SUMIF(Consumo!$P$4:$P$189,"#"&amp;$A2098,Consumo!N$4:N$189),4)</f>
        <v/>
      </c>
      <c r="L2098" s="65">
        <f>ROUND(SUMIF(Consumo!$P$4:$P$189,"#"&amp;$A2098,Consumo!O$4:O$189),4)</f>
        <v/>
      </c>
      <c r="M2098" s="66" t="n"/>
    </row>
    <row r="2099">
      <c r="C2099" s="63" t="inlineStr">
        <is>
          <t>Recepciones programadas (ya pedido)</t>
        </is>
      </c>
      <c r="D2099" s="64" t="n"/>
      <c r="E2099" s="65">
        <f>SUMIF(Inventario!$M$5:$M$505,"#"&amp;$A2098,Inventario!E$5:E$505)</f>
        <v/>
      </c>
      <c r="F2099" s="65">
        <f>SUMIF(Inventario!$M$5:$M$505,"#"&amp;$A2098,Inventario!F$5:F$505)</f>
        <v/>
      </c>
      <c r="G2099" s="65">
        <f>SUMIF(Inventario!$M$5:$M$505,"#"&amp;$A2098,Inventario!G$5:G$505)</f>
        <v/>
      </c>
      <c r="H2099" s="65">
        <f>SUMIF(Inventario!$M$5:$M$505,"#"&amp;$A2098,Inventario!H$5:H$505)</f>
        <v/>
      </c>
      <c r="I2099" s="65">
        <f>SUMIF(Inventario!$M$5:$M$505,"#"&amp;$A2098,Inventario!I$5:I$505)</f>
        <v/>
      </c>
      <c r="J2099" s="65">
        <f>SUMIF(Inventario!$M$5:$M$505,"#"&amp;$A2098,Inventario!J$5:J$505)</f>
        <v/>
      </c>
      <c r="K2099" s="65">
        <f>SUMIF(Inventario!$M$5:$M$505,"#"&amp;$A2098,Inventario!K$5:K$505)</f>
        <v/>
      </c>
      <c r="L2099" s="65">
        <f>SUMIF(Inventario!$M$5:$M$505,"#"&amp;$A2098,Inventario!L$5:L$505)</f>
        <v/>
      </c>
      <c r="M2099" s="66" t="n"/>
    </row>
    <row r="2100">
      <c r="C2100" s="63" t="inlineStr">
        <is>
          <t>Stock proyectado disponible</t>
        </is>
      </c>
      <c r="D2100" s="67">
        <f>SUMIF(Inventario!$M$5:$M$505,"#"&amp;$A2098,Inventario!$C$5:$C$505)</f>
        <v/>
      </c>
      <c r="E2100" s="68">
        <f>D2100+E2099+E2102-E2098</f>
        <v/>
      </c>
      <c r="F2100" s="68">
        <f>E2100+F2099+F2102-F2098</f>
        <v/>
      </c>
      <c r="G2100" s="68">
        <f>F2100+G2099+G2102-G2098</f>
        <v/>
      </c>
      <c r="H2100" s="68">
        <f>G2100+H2099+H2102-H2098</f>
        <v/>
      </c>
      <c r="I2100" s="68">
        <f>H2100+I2099+I2102-I2098</f>
        <v/>
      </c>
      <c r="J2100" s="68">
        <f>I2100+J2099+J2102-J2098</f>
        <v/>
      </c>
      <c r="K2100" s="68">
        <f>J2100+K2099+K2102-K2098</f>
        <v/>
      </c>
      <c r="L2100" s="68">
        <f>K2100+L2099+L2102-L2098</f>
        <v/>
      </c>
      <c r="M2100" s="66" t="n"/>
    </row>
    <row r="2101">
      <c r="C2101" s="63" t="inlineStr">
        <is>
          <t>Necesidad neta</t>
        </is>
      </c>
      <c r="D2101" s="64" t="n"/>
      <c r="E2101" s="69">
        <f>MAX(0,ROUND(E2098+Materiales!$H$303-D2100-E2099,4))</f>
        <v/>
      </c>
      <c r="F2101" s="69">
        <f>MAX(0,ROUND(F2098+Materiales!$H$303-E2100-F2099,4))</f>
        <v/>
      </c>
      <c r="G2101" s="69">
        <f>MAX(0,ROUND(G2098+Materiales!$H$303-F2100-G2099,4))</f>
        <v/>
      </c>
      <c r="H2101" s="69">
        <f>MAX(0,ROUND(H2098+Materiales!$H$303-G2100-H2099,4))</f>
        <v/>
      </c>
      <c r="I2101" s="69">
        <f>MAX(0,ROUND(I2098+Materiales!$H$303-H2100-I2099,4))</f>
        <v/>
      </c>
      <c r="J2101" s="69">
        <f>MAX(0,ROUND(J2098+Materiales!$H$303-I2100-J2099,4))</f>
        <v/>
      </c>
      <c r="K2101" s="69">
        <f>MAX(0,ROUND(K2098+Materiales!$H$303-J2100-K2099,4))</f>
        <v/>
      </c>
      <c r="L2101" s="69">
        <f>MAX(0,ROUND(L2098+Materiales!$H$303-K2100-L2099,4))</f>
        <v/>
      </c>
      <c r="M2101" s="66" t="n"/>
    </row>
    <row r="2102">
      <c r="C2102" s="63" t="inlineStr">
        <is>
          <t>Recepcion de orden planificada</t>
        </is>
      </c>
      <c r="D2102" s="64" t="n"/>
      <c r="E2102" s="65">
        <f>IF(E2101&lt;=0,0,IF(Materiales!$G$303&lt;=0,E2101,ROUNDUP(E2101/Materiales!$G$303,0)*Materiales!$G$303))</f>
        <v/>
      </c>
      <c r="F2102" s="65">
        <f>IF(F2101&lt;=0,0,IF(Materiales!$G$303&lt;=0,F2101,ROUNDUP(F2101/Materiales!$G$303,0)*Materiales!$G$303))</f>
        <v/>
      </c>
      <c r="G2102" s="65">
        <f>IF(G2101&lt;=0,0,IF(Materiales!$G$303&lt;=0,G2101,ROUNDUP(G2101/Materiales!$G$303,0)*Materiales!$G$303))</f>
        <v/>
      </c>
      <c r="H2102" s="65">
        <f>IF(H2101&lt;=0,0,IF(Materiales!$G$303&lt;=0,H2101,ROUNDUP(H2101/Materiales!$G$303,0)*Materiales!$G$303))</f>
        <v/>
      </c>
      <c r="I2102" s="65">
        <f>IF(I2101&lt;=0,0,IF(Materiales!$G$303&lt;=0,I2101,ROUNDUP(I2101/Materiales!$G$303,0)*Materiales!$G$303))</f>
        <v/>
      </c>
      <c r="J2102" s="65">
        <f>IF(J2101&lt;=0,0,IF(Materiales!$G$303&lt;=0,J2101,ROUNDUP(J2101/Materiales!$G$303,0)*Materiales!$G$303))</f>
        <v/>
      </c>
      <c r="K2102" s="65">
        <f>IF(K2101&lt;=0,0,IF(Materiales!$G$303&lt;=0,K2101,ROUNDUP(K2101/Materiales!$G$303,0)*Materiales!$G$303))</f>
        <v/>
      </c>
      <c r="L2102" s="65">
        <f>IF(L2101&lt;=0,0,IF(Materiales!$G$303&lt;=0,L2101,ROUNDUP(L2101/Materiales!$G$303,0)*Materiales!$G$303))</f>
        <v/>
      </c>
      <c r="M2102" s="66" t="n"/>
    </row>
    <row r="2103">
      <c r="C2103" s="70" t="inlineStr">
        <is>
          <t>LANZAMIENTO DE ORDEN — pedir esta semana</t>
        </is>
      </c>
      <c r="D2103" s="64" t="n"/>
      <c r="E2103" s="71">
        <f>IF(1+Materiales!$F$303&gt;8,0,INDEX($E$2102:$L$2102,1,1+Materiales!$F$303))</f>
        <v/>
      </c>
      <c r="F2103" s="71">
        <f>IF(2+Materiales!$F$303&gt;8,0,INDEX($E$2102:$L$2102,1,2+Materiales!$F$303))</f>
        <v/>
      </c>
      <c r="G2103" s="71">
        <f>IF(3+Materiales!$F$303&gt;8,0,INDEX($E$2102:$L$2102,1,3+Materiales!$F$303))</f>
        <v/>
      </c>
      <c r="H2103" s="71">
        <f>IF(4+Materiales!$F$303&gt;8,0,INDEX($E$2102:$L$2102,1,4+Materiales!$F$303))</f>
        <v/>
      </c>
      <c r="I2103" s="71">
        <f>IF(5+Materiales!$F$303&gt;8,0,INDEX($E$2102:$L$2102,1,5+Materiales!$F$303))</f>
        <v/>
      </c>
      <c r="J2103" s="71">
        <f>IF(6+Materiales!$F$303&gt;8,0,INDEX($E$2102:$L$2102,1,6+Materiales!$F$303))</f>
        <v/>
      </c>
      <c r="K2103" s="71">
        <f>IF(7+Materiales!$F$303&gt;8,0,INDEX($E$2102:$L$2102,1,7+Materiales!$F$303))</f>
        <v/>
      </c>
      <c r="L2103" s="71">
        <f>IF(8+Materiales!$F$303&gt;8,0,INDEX($E$2102:$L$2102,1,8+Materiales!$F$303))</f>
        <v/>
      </c>
      <c r="M2103" s="72">
        <f>IF($A2098="","",IF(SUMPRODUCT((COLUMN($E$2102:$L$2102)-4&lt;=Materiales!$F$303)*$E$2102:$L$2102)&gt;0,"PEDIR YA (atrasado)","OK"))</f>
        <v/>
      </c>
    </row>
    <row r="2104" ht="6" customHeight="1"/>
    <row r="2105">
      <c r="A2105" s="62">
        <f>IF(Materiales!$A$304="","",Materiales!$A$304)</f>
        <v/>
      </c>
      <c r="B2105" s="62">
        <f>IF(Materiales!$B$304="","",Materiales!$B$304)</f>
        <v/>
      </c>
      <c r="C2105" s="63" t="inlineStr">
        <is>
          <t>Necesidad bruta</t>
        </is>
      </c>
      <c r="D2105" s="64" t="n"/>
      <c r="E2105" s="65">
        <f>ROUND(SUMIF(Consumo!$P$4:$P$189,"#"&amp;$A2105,Consumo!H$4:H$189),4)</f>
        <v/>
      </c>
      <c r="F2105" s="65">
        <f>ROUND(SUMIF(Consumo!$P$4:$P$189,"#"&amp;$A2105,Consumo!I$4:I$189),4)</f>
        <v/>
      </c>
      <c r="G2105" s="65">
        <f>ROUND(SUMIF(Consumo!$P$4:$P$189,"#"&amp;$A2105,Consumo!J$4:J$189),4)</f>
        <v/>
      </c>
      <c r="H2105" s="65">
        <f>ROUND(SUMIF(Consumo!$P$4:$P$189,"#"&amp;$A2105,Consumo!K$4:K$189),4)</f>
        <v/>
      </c>
      <c r="I2105" s="65">
        <f>ROUND(SUMIF(Consumo!$P$4:$P$189,"#"&amp;$A2105,Consumo!L$4:L$189),4)</f>
        <v/>
      </c>
      <c r="J2105" s="65">
        <f>ROUND(SUMIF(Consumo!$P$4:$P$189,"#"&amp;$A2105,Consumo!M$4:M$189),4)</f>
        <v/>
      </c>
      <c r="K2105" s="65">
        <f>ROUND(SUMIF(Consumo!$P$4:$P$189,"#"&amp;$A2105,Consumo!N$4:N$189),4)</f>
        <v/>
      </c>
      <c r="L2105" s="65">
        <f>ROUND(SUMIF(Consumo!$P$4:$P$189,"#"&amp;$A2105,Consumo!O$4:O$189),4)</f>
        <v/>
      </c>
      <c r="M2105" s="66" t="n"/>
    </row>
    <row r="2106">
      <c r="C2106" s="63" t="inlineStr">
        <is>
          <t>Recepciones programadas (ya pedido)</t>
        </is>
      </c>
      <c r="D2106" s="64" t="n"/>
      <c r="E2106" s="65">
        <f>SUMIF(Inventario!$M$5:$M$505,"#"&amp;$A2105,Inventario!E$5:E$505)</f>
        <v/>
      </c>
      <c r="F2106" s="65">
        <f>SUMIF(Inventario!$M$5:$M$505,"#"&amp;$A2105,Inventario!F$5:F$505)</f>
        <v/>
      </c>
      <c r="G2106" s="65">
        <f>SUMIF(Inventario!$M$5:$M$505,"#"&amp;$A2105,Inventario!G$5:G$505)</f>
        <v/>
      </c>
      <c r="H2106" s="65">
        <f>SUMIF(Inventario!$M$5:$M$505,"#"&amp;$A2105,Inventario!H$5:H$505)</f>
        <v/>
      </c>
      <c r="I2106" s="65">
        <f>SUMIF(Inventario!$M$5:$M$505,"#"&amp;$A2105,Inventario!I$5:I$505)</f>
        <v/>
      </c>
      <c r="J2106" s="65">
        <f>SUMIF(Inventario!$M$5:$M$505,"#"&amp;$A2105,Inventario!J$5:J$505)</f>
        <v/>
      </c>
      <c r="K2106" s="65">
        <f>SUMIF(Inventario!$M$5:$M$505,"#"&amp;$A2105,Inventario!K$5:K$505)</f>
        <v/>
      </c>
      <c r="L2106" s="65">
        <f>SUMIF(Inventario!$M$5:$M$505,"#"&amp;$A2105,Inventario!L$5:L$505)</f>
        <v/>
      </c>
      <c r="M2106" s="66" t="n"/>
    </row>
    <row r="2107">
      <c r="C2107" s="63" t="inlineStr">
        <is>
          <t>Stock proyectado disponible</t>
        </is>
      </c>
      <c r="D2107" s="67">
        <f>SUMIF(Inventario!$M$5:$M$505,"#"&amp;$A2105,Inventario!$C$5:$C$505)</f>
        <v/>
      </c>
      <c r="E2107" s="68">
        <f>D2107+E2106+E2109-E2105</f>
        <v/>
      </c>
      <c r="F2107" s="68">
        <f>E2107+F2106+F2109-F2105</f>
        <v/>
      </c>
      <c r="G2107" s="68">
        <f>F2107+G2106+G2109-G2105</f>
        <v/>
      </c>
      <c r="H2107" s="68">
        <f>G2107+H2106+H2109-H2105</f>
        <v/>
      </c>
      <c r="I2107" s="68">
        <f>H2107+I2106+I2109-I2105</f>
        <v/>
      </c>
      <c r="J2107" s="68">
        <f>I2107+J2106+J2109-J2105</f>
        <v/>
      </c>
      <c r="K2107" s="68">
        <f>J2107+K2106+K2109-K2105</f>
        <v/>
      </c>
      <c r="L2107" s="68">
        <f>K2107+L2106+L2109-L2105</f>
        <v/>
      </c>
      <c r="M2107" s="66" t="n"/>
    </row>
    <row r="2108">
      <c r="C2108" s="63" t="inlineStr">
        <is>
          <t>Necesidad neta</t>
        </is>
      </c>
      <c r="D2108" s="64" t="n"/>
      <c r="E2108" s="69">
        <f>MAX(0,ROUND(E2105+Materiales!$H$304-D2107-E2106,4))</f>
        <v/>
      </c>
      <c r="F2108" s="69">
        <f>MAX(0,ROUND(F2105+Materiales!$H$304-E2107-F2106,4))</f>
        <v/>
      </c>
      <c r="G2108" s="69">
        <f>MAX(0,ROUND(G2105+Materiales!$H$304-F2107-G2106,4))</f>
        <v/>
      </c>
      <c r="H2108" s="69">
        <f>MAX(0,ROUND(H2105+Materiales!$H$304-G2107-H2106,4))</f>
        <v/>
      </c>
      <c r="I2108" s="69">
        <f>MAX(0,ROUND(I2105+Materiales!$H$304-H2107-I2106,4))</f>
        <v/>
      </c>
      <c r="J2108" s="69">
        <f>MAX(0,ROUND(J2105+Materiales!$H$304-I2107-J2106,4))</f>
        <v/>
      </c>
      <c r="K2108" s="69">
        <f>MAX(0,ROUND(K2105+Materiales!$H$304-J2107-K2106,4))</f>
        <v/>
      </c>
      <c r="L2108" s="69">
        <f>MAX(0,ROUND(L2105+Materiales!$H$304-K2107-L2106,4))</f>
        <v/>
      </c>
      <c r="M2108" s="66" t="n"/>
    </row>
    <row r="2109">
      <c r="C2109" s="63" t="inlineStr">
        <is>
          <t>Recepcion de orden planificada</t>
        </is>
      </c>
      <c r="D2109" s="64" t="n"/>
      <c r="E2109" s="65">
        <f>IF(E2108&lt;=0,0,IF(Materiales!$G$304&lt;=0,E2108,ROUNDUP(E2108/Materiales!$G$304,0)*Materiales!$G$304))</f>
        <v/>
      </c>
      <c r="F2109" s="65">
        <f>IF(F2108&lt;=0,0,IF(Materiales!$G$304&lt;=0,F2108,ROUNDUP(F2108/Materiales!$G$304,0)*Materiales!$G$304))</f>
        <v/>
      </c>
      <c r="G2109" s="65">
        <f>IF(G2108&lt;=0,0,IF(Materiales!$G$304&lt;=0,G2108,ROUNDUP(G2108/Materiales!$G$304,0)*Materiales!$G$304))</f>
        <v/>
      </c>
      <c r="H2109" s="65">
        <f>IF(H2108&lt;=0,0,IF(Materiales!$G$304&lt;=0,H2108,ROUNDUP(H2108/Materiales!$G$304,0)*Materiales!$G$304))</f>
        <v/>
      </c>
      <c r="I2109" s="65">
        <f>IF(I2108&lt;=0,0,IF(Materiales!$G$304&lt;=0,I2108,ROUNDUP(I2108/Materiales!$G$304,0)*Materiales!$G$304))</f>
        <v/>
      </c>
      <c r="J2109" s="65">
        <f>IF(J2108&lt;=0,0,IF(Materiales!$G$304&lt;=0,J2108,ROUNDUP(J2108/Materiales!$G$304,0)*Materiales!$G$304))</f>
        <v/>
      </c>
      <c r="K2109" s="65">
        <f>IF(K2108&lt;=0,0,IF(Materiales!$G$304&lt;=0,K2108,ROUNDUP(K2108/Materiales!$G$304,0)*Materiales!$G$304))</f>
        <v/>
      </c>
      <c r="L2109" s="65">
        <f>IF(L2108&lt;=0,0,IF(Materiales!$G$304&lt;=0,L2108,ROUNDUP(L2108/Materiales!$G$304,0)*Materiales!$G$304))</f>
        <v/>
      </c>
      <c r="M2109" s="66" t="n"/>
    </row>
    <row r="2110">
      <c r="C2110" s="70" t="inlineStr">
        <is>
          <t>LANZAMIENTO DE ORDEN — pedir esta semana</t>
        </is>
      </c>
      <c r="D2110" s="64" t="n"/>
      <c r="E2110" s="71">
        <f>IF(1+Materiales!$F$304&gt;8,0,INDEX($E$2109:$L$2109,1,1+Materiales!$F$304))</f>
        <v/>
      </c>
      <c r="F2110" s="71">
        <f>IF(2+Materiales!$F$304&gt;8,0,INDEX($E$2109:$L$2109,1,2+Materiales!$F$304))</f>
        <v/>
      </c>
      <c r="G2110" s="71">
        <f>IF(3+Materiales!$F$304&gt;8,0,INDEX($E$2109:$L$2109,1,3+Materiales!$F$304))</f>
        <v/>
      </c>
      <c r="H2110" s="71">
        <f>IF(4+Materiales!$F$304&gt;8,0,INDEX($E$2109:$L$2109,1,4+Materiales!$F$304))</f>
        <v/>
      </c>
      <c r="I2110" s="71">
        <f>IF(5+Materiales!$F$304&gt;8,0,INDEX($E$2109:$L$2109,1,5+Materiales!$F$304))</f>
        <v/>
      </c>
      <c r="J2110" s="71">
        <f>IF(6+Materiales!$F$304&gt;8,0,INDEX($E$2109:$L$2109,1,6+Materiales!$F$304))</f>
        <v/>
      </c>
      <c r="K2110" s="71">
        <f>IF(7+Materiales!$F$304&gt;8,0,INDEX($E$2109:$L$2109,1,7+Materiales!$F$304))</f>
        <v/>
      </c>
      <c r="L2110" s="71">
        <f>IF(8+Materiales!$F$304&gt;8,0,INDEX($E$2109:$L$2109,1,8+Materiales!$F$304))</f>
        <v/>
      </c>
      <c r="M2110" s="72">
        <f>IF($A2105="","",IF(SUMPRODUCT((COLUMN($E$2109:$L$2109)-4&lt;=Materiales!$F$304)*$E$2109:$L$2109)&gt;0,"PEDIR YA (atrasado)","OK"))</f>
        <v/>
      </c>
    </row>
    <row r="2111" ht="6" customHeight="1"/>
    <row r="2112">
      <c r="A2112" s="62">
        <f>IF(Materiales!$A$305="","",Materiales!$A$305)</f>
        <v/>
      </c>
      <c r="B2112" s="62">
        <f>IF(Materiales!$B$305="","",Materiales!$B$305)</f>
        <v/>
      </c>
      <c r="C2112" s="63" t="inlineStr">
        <is>
          <t>Necesidad bruta</t>
        </is>
      </c>
      <c r="D2112" s="64" t="n"/>
      <c r="E2112" s="65">
        <f>ROUND(SUMIF(Consumo!$P$4:$P$189,"#"&amp;$A2112,Consumo!H$4:H$189),4)</f>
        <v/>
      </c>
      <c r="F2112" s="65">
        <f>ROUND(SUMIF(Consumo!$P$4:$P$189,"#"&amp;$A2112,Consumo!I$4:I$189),4)</f>
        <v/>
      </c>
      <c r="G2112" s="65">
        <f>ROUND(SUMIF(Consumo!$P$4:$P$189,"#"&amp;$A2112,Consumo!J$4:J$189),4)</f>
        <v/>
      </c>
      <c r="H2112" s="65">
        <f>ROUND(SUMIF(Consumo!$P$4:$P$189,"#"&amp;$A2112,Consumo!K$4:K$189),4)</f>
        <v/>
      </c>
      <c r="I2112" s="65">
        <f>ROUND(SUMIF(Consumo!$P$4:$P$189,"#"&amp;$A2112,Consumo!L$4:L$189),4)</f>
        <v/>
      </c>
      <c r="J2112" s="65">
        <f>ROUND(SUMIF(Consumo!$P$4:$P$189,"#"&amp;$A2112,Consumo!M$4:M$189),4)</f>
        <v/>
      </c>
      <c r="K2112" s="65">
        <f>ROUND(SUMIF(Consumo!$P$4:$P$189,"#"&amp;$A2112,Consumo!N$4:N$189),4)</f>
        <v/>
      </c>
      <c r="L2112" s="65">
        <f>ROUND(SUMIF(Consumo!$P$4:$P$189,"#"&amp;$A2112,Consumo!O$4:O$189),4)</f>
        <v/>
      </c>
      <c r="M2112" s="66" t="n"/>
    </row>
    <row r="2113">
      <c r="C2113" s="63" t="inlineStr">
        <is>
          <t>Recepciones programadas (ya pedido)</t>
        </is>
      </c>
      <c r="D2113" s="64" t="n"/>
      <c r="E2113" s="65">
        <f>SUMIF(Inventario!$M$5:$M$505,"#"&amp;$A2112,Inventario!E$5:E$505)</f>
        <v/>
      </c>
      <c r="F2113" s="65">
        <f>SUMIF(Inventario!$M$5:$M$505,"#"&amp;$A2112,Inventario!F$5:F$505)</f>
        <v/>
      </c>
      <c r="G2113" s="65">
        <f>SUMIF(Inventario!$M$5:$M$505,"#"&amp;$A2112,Inventario!G$5:G$505)</f>
        <v/>
      </c>
      <c r="H2113" s="65">
        <f>SUMIF(Inventario!$M$5:$M$505,"#"&amp;$A2112,Inventario!H$5:H$505)</f>
        <v/>
      </c>
      <c r="I2113" s="65">
        <f>SUMIF(Inventario!$M$5:$M$505,"#"&amp;$A2112,Inventario!I$5:I$505)</f>
        <v/>
      </c>
      <c r="J2113" s="65">
        <f>SUMIF(Inventario!$M$5:$M$505,"#"&amp;$A2112,Inventario!J$5:J$505)</f>
        <v/>
      </c>
      <c r="K2113" s="65">
        <f>SUMIF(Inventario!$M$5:$M$505,"#"&amp;$A2112,Inventario!K$5:K$505)</f>
        <v/>
      </c>
      <c r="L2113" s="65">
        <f>SUMIF(Inventario!$M$5:$M$505,"#"&amp;$A2112,Inventario!L$5:L$505)</f>
        <v/>
      </c>
      <c r="M2113" s="66" t="n"/>
    </row>
    <row r="2114">
      <c r="C2114" s="63" t="inlineStr">
        <is>
          <t>Stock proyectado disponible</t>
        </is>
      </c>
      <c r="D2114" s="67">
        <f>SUMIF(Inventario!$M$5:$M$505,"#"&amp;$A2112,Inventario!$C$5:$C$505)</f>
        <v/>
      </c>
      <c r="E2114" s="68">
        <f>D2114+E2113+E2116-E2112</f>
        <v/>
      </c>
      <c r="F2114" s="68">
        <f>E2114+F2113+F2116-F2112</f>
        <v/>
      </c>
      <c r="G2114" s="68">
        <f>F2114+G2113+G2116-G2112</f>
        <v/>
      </c>
      <c r="H2114" s="68">
        <f>G2114+H2113+H2116-H2112</f>
        <v/>
      </c>
      <c r="I2114" s="68">
        <f>H2114+I2113+I2116-I2112</f>
        <v/>
      </c>
      <c r="J2114" s="68">
        <f>I2114+J2113+J2116-J2112</f>
        <v/>
      </c>
      <c r="K2114" s="68">
        <f>J2114+K2113+K2116-K2112</f>
        <v/>
      </c>
      <c r="L2114" s="68">
        <f>K2114+L2113+L2116-L2112</f>
        <v/>
      </c>
      <c r="M2114" s="66" t="n"/>
    </row>
    <row r="2115">
      <c r="C2115" s="63" t="inlineStr">
        <is>
          <t>Necesidad neta</t>
        </is>
      </c>
      <c r="D2115" s="64" t="n"/>
      <c r="E2115" s="69">
        <f>MAX(0,ROUND(E2112+Materiales!$H$305-D2114-E2113,4))</f>
        <v/>
      </c>
      <c r="F2115" s="69">
        <f>MAX(0,ROUND(F2112+Materiales!$H$305-E2114-F2113,4))</f>
        <v/>
      </c>
      <c r="G2115" s="69">
        <f>MAX(0,ROUND(G2112+Materiales!$H$305-F2114-G2113,4))</f>
        <v/>
      </c>
      <c r="H2115" s="69">
        <f>MAX(0,ROUND(H2112+Materiales!$H$305-G2114-H2113,4))</f>
        <v/>
      </c>
      <c r="I2115" s="69">
        <f>MAX(0,ROUND(I2112+Materiales!$H$305-H2114-I2113,4))</f>
        <v/>
      </c>
      <c r="J2115" s="69">
        <f>MAX(0,ROUND(J2112+Materiales!$H$305-I2114-J2113,4))</f>
        <v/>
      </c>
      <c r="K2115" s="69">
        <f>MAX(0,ROUND(K2112+Materiales!$H$305-J2114-K2113,4))</f>
        <v/>
      </c>
      <c r="L2115" s="69">
        <f>MAX(0,ROUND(L2112+Materiales!$H$305-K2114-L2113,4))</f>
        <v/>
      </c>
      <c r="M2115" s="66" t="n"/>
    </row>
    <row r="2116">
      <c r="C2116" s="63" t="inlineStr">
        <is>
          <t>Recepcion de orden planificada</t>
        </is>
      </c>
      <c r="D2116" s="64" t="n"/>
      <c r="E2116" s="65">
        <f>IF(E2115&lt;=0,0,IF(Materiales!$G$305&lt;=0,E2115,ROUNDUP(E2115/Materiales!$G$305,0)*Materiales!$G$305))</f>
        <v/>
      </c>
      <c r="F2116" s="65">
        <f>IF(F2115&lt;=0,0,IF(Materiales!$G$305&lt;=0,F2115,ROUNDUP(F2115/Materiales!$G$305,0)*Materiales!$G$305))</f>
        <v/>
      </c>
      <c r="G2116" s="65">
        <f>IF(G2115&lt;=0,0,IF(Materiales!$G$305&lt;=0,G2115,ROUNDUP(G2115/Materiales!$G$305,0)*Materiales!$G$305))</f>
        <v/>
      </c>
      <c r="H2116" s="65">
        <f>IF(H2115&lt;=0,0,IF(Materiales!$G$305&lt;=0,H2115,ROUNDUP(H2115/Materiales!$G$305,0)*Materiales!$G$305))</f>
        <v/>
      </c>
      <c r="I2116" s="65">
        <f>IF(I2115&lt;=0,0,IF(Materiales!$G$305&lt;=0,I2115,ROUNDUP(I2115/Materiales!$G$305,0)*Materiales!$G$305))</f>
        <v/>
      </c>
      <c r="J2116" s="65">
        <f>IF(J2115&lt;=0,0,IF(Materiales!$G$305&lt;=0,J2115,ROUNDUP(J2115/Materiales!$G$305,0)*Materiales!$G$305))</f>
        <v/>
      </c>
      <c r="K2116" s="65">
        <f>IF(K2115&lt;=0,0,IF(Materiales!$G$305&lt;=0,K2115,ROUNDUP(K2115/Materiales!$G$305,0)*Materiales!$G$305))</f>
        <v/>
      </c>
      <c r="L2116" s="65">
        <f>IF(L2115&lt;=0,0,IF(Materiales!$G$305&lt;=0,L2115,ROUNDUP(L2115/Materiales!$G$305,0)*Materiales!$G$305))</f>
        <v/>
      </c>
      <c r="M2116" s="66" t="n"/>
    </row>
    <row r="2117">
      <c r="C2117" s="70" t="inlineStr">
        <is>
          <t>LANZAMIENTO DE ORDEN — pedir esta semana</t>
        </is>
      </c>
      <c r="D2117" s="64" t="n"/>
      <c r="E2117" s="71">
        <f>IF(1+Materiales!$F$305&gt;8,0,INDEX($E$2116:$L$2116,1,1+Materiales!$F$305))</f>
        <v/>
      </c>
      <c r="F2117" s="71">
        <f>IF(2+Materiales!$F$305&gt;8,0,INDEX($E$2116:$L$2116,1,2+Materiales!$F$305))</f>
        <v/>
      </c>
      <c r="G2117" s="71">
        <f>IF(3+Materiales!$F$305&gt;8,0,INDEX($E$2116:$L$2116,1,3+Materiales!$F$305))</f>
        <v/>
      </c>
      <c r="H2117" s="71">
        <f>IF(4+Materiales!$F$305&gt;8,0,INDEX($E$2116:$L$2116,1,4+Materiales!$F$305))</f>
        <v/>
      </c>
      <c r="I2117" s="71">
        <f>IF(5+Materiales!$F$305&gt;8,0,INDEX($E$2116:$L$2116,1,5+Materiales!$F$305))</f>
        <v/>
      </c>
      <c r="J2117" s="71">
        <f>IF(6+Materiales!$F$305&gt;8,0,INDEX($E$2116:$L$2116,1,6+Materiales!$F$305))</f>
        <v/>
      </c>
      <c r="K2117" s="71">
        <f>IF(7+Materiales!$F$305&gt;8,0,INDEX($E$2116:$L$2116,1,7+Materiales!$F$305))</f>
        <v/>
      </c>
      <c r="L2117" s="71">
        <f>IF(8+Materiales!$F$305&gt;8,0,INDEX($E$2116:$L$2116,1,8+Materiales!$F$305))</f>
        <v/>
      </c>
      <c r="M2117" s="72">
        <f>IF($A2112="","",IF(SUMPRODUCT((COLUMN($E$2116:$L$2116)-4&lt;=Materiales!$F$305)*$E$2116:$L$2116)&gt;0,"PEDIR YA (atrasado)","OK"))</f>
        <v/>
      </c>
    </row>
    <row r="2118" ht="6" customHeight="1"/>
    <row r="2119">
      <c r="A2119" s="62">
        <f>IF(Materiales!$A$306="","",Materiales!$A$306)</f>
        <v/>
      </c>
      <c r="B2119" s="62">
        <f>IF(Materiales!$B$306="","",Materiales!$B$306)</f>
        <v/>
      </c>
      <c r="C2119" s="63" t="inlineStr">
        <is>
          <t>Necesidad bruta</t>
        </is>
      </c>
      <c r="D2119" s="64" t="n"/>
      <c r="E2119" s="65">
        <f>ROUND(SUMIF(Consumo!$P$4:$P$189,"#"&amp;$A2119,Consumo!H$4:H$189),4)</f>
        <v/>
      </c>
      <c r="F2119" s="65">
        <f>ROUND(SUMIF(Consumo!$P$4:$P$189,"#"&amp;$A2119,Consumo!I$4:I$189),4)</f>
        <v/>
      </c>
      <c r="G2119" s="65">
        <f>ROUND(SUMIF(Consumo!$P$4:$P$189,"#"&amp;$A2119,Consumo!J$4:J$189),4)</f>
        <v/>
      </c>
      <c r="H2119" s="65">
        <f>ROUND(SUMIF(Consumo!$P$4:$P$189,"#"&amp;$A2119,Consumo!K$4:K$189),4)</f>
        <v/>
      </c>
      <c r="I2119" s="65">
        <f>ROUND(SUMIF(Consumo!$P$4:$P$189,"#"&amp;$A2119,Consumo!L$4:L$189),4)</f>
        <v/>
      </c>
      <c r="J2119" s="65">
        <f>ROUND(SUMIF(Consumo!$P$4:$P$189,"#"&amp;$A2119,Consumo!M$4:M$189),4)</f>
        <v/>
      </c>
      <c r="K2119" s="65">
        <f>ROUND(SUMIF(Consumo!$P$4:$P$189,"#"&amp;$A2119,Consumo!N$4:N$189),4)</f>
        <v/>
      </c>
      <c r="L2119" s="65">
        <f>ROUND(SUMIF(Consumo!$P$4:$P$189,"#"&amp;$A2119,Consumo!O$4:O$189),4)</f>
        <v/>
      </c>
      <c r="M2119" s="66" t="n"/>
    </row>
    <row r="2120">
      <c r="C2120" s="63" t="inlineStr">
        <is>
          <t>Recepciones programadas (ya pedido)</t>
        </is>
      </c>
      <c r="D2120" s="64" t="n"/>
      <c r="E2120" s="65">
        <f>SUMIF(Inventario!$M$5:$M$505,"#"&amp;$A2119,Inventario!E$5:E$505)</f>
        <v/>
      </c>
      <c r="F2120" s="65">
        <f>SUMIF(Inventario!$M$5:$M$505,"#"&amp;$A2119,Inventario!F$5:F$505)</f>
        <v/>
      </c>
      <c r="G2120" s="65">
        <f>SUMIF(Inventario!$M$5:$M$505,"#"&amp;$A2119,Inventario!G$5:G$505)</f>
        <v/>
      </c>
      <c r="H2120" s="65">
        <f>SUMIF(Inventario!$M$5:$M$505,"#"&amp;$A2119,Inventario!H$5:H$505)</f>
        <v/>
      </c>
      <c r="I2120" s="65">
        <f>SUMIF(Inventario!$M$5:$M$505,"#"&amp;$A2119,Inventario!I$5:I$505)</f>
        <v/>
      </c>
      <c r="J2120" s="65">
        <f>SUMIF(Inventario!$M$5:$M$505,"#"&amp;$A2119,Inventario!J$5:J$505)</f>
        <v/>
      </c>
      <c r="K2120" s="65">
        <f>SUMIF(Inventario!$M$5:$M$505,"#"&amp;$A2119,Inventario!K$5:K$505)</f>
        <v/>
      </c>
      <c r="L2120" s="65">
        <f>SUMIF(Inventario!$M$5:$M$505,"#"&amp;$A2119,Inventario!L$5:L$505)</f>
        <v/>
      </c>
      <c r="M2120" s="66" t="n"/>
    </row>
    <row r="2121">
      <c r="C2121" s="63" t="inlineStr">
        <is>
          <t>Stock proyectado disponible</t>
        </is>
      </c>
      <c r="D2121" s="67">
        <f>SUMIF(Inventario!$M$5:$M$505,"#"&amp;$A2119,Inventario!$C$5:$C$505)</f>
        <v/>
      </c>
      <c r="E2121" s="68">
        <f>D2121+E2120+E2123-E2119</f>
        <v/>
      </c>
      <c r="F2121" s="68">
        <f>E2121+F2120+F2123-F2119</f>
        <v/>
      </c>
      <c r="G2121" s="68">
        <f>F2121+G2120+G2123-G2119</f>
        <v/>
      </c>
      <c r="H2121" s="68">
        <f>G2121+H2120+H2123-H2119</f>
        <v/>
      </c>
      <c r="I2121" s="68">
        <f>H2121+I2120+I2123-I2119</f>
        <v/>
      </c>
      <c r="J2121" s="68">
        <f>I2121+J2120+J2123-J2119</f>
        <v/>
      </c>
      <c r="K2121" s="68">
        <f>J2121+K2120+K2123-K2119</f>
        <v/>
      </c>
      <c r="L2121" s="68">
        <f>K2121+L2120+L2123-L2119</f>
        <v/>
      </c>
      <c r="M2121" s="66" t="n"/>
    </row>
    <row r="2122">
      <c r="C2122" s="63" t="inlineStr">
        <is>
          <t>Necesidad neta</t>
        </is>
      </c>
      <c r="D2122" s="64" t="n"/>
      <c r="E2122" s="69">
        <f>MAX(0,ROUND(E2119+Materiales!$H$306-D2121-E2120,4))</f>
        <v/>
      </c>
      <c r="F2122" s="69">
        <f>MAX(0,ROUND(F2119+Materiales!$H$306-E2121-F2120,4))</f>
        <v/>
      </c>
      <c r="G2122" s="69">
        <f>MAX(0,ROUND(G2119+Materiales!$H$306-F2121-G2120,4))</f>
        <v/>
      </c>
      <c r="H2122" s="69">
        <f>MAX(0,ROUND(H2119+Materiales!$H$306-G2121-H2120,4))</f>
        <v/>
      </c>
      <c r="I2122" s="69">
        <f>MAX(0,ROUND(I2119+Materiales!$H$306-H2121-I2120,4))</f>
        <v/>
      </c>
      <c r="J2122" s="69">
        <f>MAX(0,ROUND(J2119+Materiales!$H$306-I2121-J2120,4))</f>
        <v/>
      </c>
      <c r="K2122" s="69">
        <f>MAX(0,ROUND(K2119+Materiales!$H$306-J2121-K2120,4))</f>
        <v/>
      </c>
      <c r="L2122" s="69">
        <f>MAX(0,ROUND(L2119+Materiales!$H$306-K2121-L2120,4))</f>
        <v/>
      </c>
      <c r="M2122" s="66" t="n"/>
    </row>
    <row r="2123">
      <c r="C2123" s="63" t="inlineStr">
        <is>
          <t>Recepcion de orden planificada</t>
        </is>
      </c>
      <c r="D2123" s="64" t="n"/>
      <c r="E2123" s="65">
        <f>IF(E2122&lt;=0,0,IF(Materiales!$G$306&lt;=0,E2122,ROUNDUP(E2122/Materiales!$G$306,0)*Materiales!$G$306))</f>
        <v/>
      </c>
      <c r="F2123" s="65">
        <f>IF(F2122&lt;=0,0,IF(Materiales!$G$306&lt;=0,F2122,ROUNDUP(F2122/Materiales!$G$306,0)*Materiales!$G$306))</f>
        <v/>
      </c>
      <c r="G2123" s="65">
        <f>IF(G2122&lt;=0,0,IF(Materiales!$G$306&lt;=0,G2122,ROUNDUP(G2122/Materiales!$G$306,0)*Materiales!$G$306))</f>
        <v/>
      </c>
      <c r="H2123" s="65">
        <f>IF(H2122&lt;=0,0,IF(Materiales!$G$306&lt;=0,H2122,ROUNDUP(H2122/Materiales!$G$306,0)*Materiales!$G$306))</f>
        <v/>
      </c>
      <c r="I2123" s="65">
        <f>IF(I2122&lt;=0,0,IF(Materiales!$G$306&lt;=0,I2122,ROUNDUP(I2122/Materiales!$G$306,0)*Materiales!$G$306))</f>
        <v/>
      </c>
      <c r="J2123" s="65">
        <f>IF(J2122&lt;=0,0,IF(Materiales!$G$306&lt;=0,J2122,ROUNDUP(J2122/Materiales!$G$306,0)*Materiales!$G$306))</f>
        <v/>
      </c>
      <c r="K2123" s="65">
        <f>IF(K2122&lt;=0,0,IF(Materiales!$G$306&lt;=0,K2122,ROUNDUP(K2122/Materiales!$G$306,0)*Materiales!$G$306))</f>
        <v/>
      </c>
      <c r="L2123" s="65">
        <f>IF(L2122&lt;=0,0,IF(Materiales!$G$306&lt;=0,L2122,ROUNDUP(L2122/Materiales!$G$306,0)*Materiales!$G$306))</f>
        <v/>
      </c>
      <c r="M2123" s="66" t="n"/>
    </row>
    <row r="2124">
      <c r="C2124" s="70" t="inlineStr">
        <is>
          <t>LANZAMIENTO DE ORDEN — pedir esta semana</t>
        </is>
      </c>
      <c r="D2124" s="64" t="n"/>
      <c r="E2124" s="71">
        <f>IF(1+Materiales!$F$306&gt;8,0,INDEX($E$2123:$L$2123,1,1+Materiales!$F$306))</f>
        <v/>
      </c>
      <c r="F2124" s="71">
        <f>IF(2+Materiales!$F$306&gt;8,0,INDEX($E$2123:$L$2123,1,2+Materiales!$F$306))</f>
        <v/>
      </c>
      <c r="G2124" s="71">
        <f>IF(3+Materiales!$F$306&gt;8,0,INDEX($E$2123:$L$2123,1,3+Materiales!$F$306))</f>
        <v/>
      </c>
      <c r="H2124" s="71">
        <f>IF(4+Materiales!$F$306&gt;8,0,INDEX($E$2123:$L$2123,1,4+Materiales!$F$306))</f>
        <v/>
      </c>
      <c r="I2124" s="71">
        <f>IF(5+Materiales!$F$306&gt;8,0,INDEX($E$2123:$L$2123,1,5+Materiales!$F$306))</f>
        <v/>
      </c>
      <c r="J2124" s="71">
        <f>IF(6+Materiales!$F$306&gt;8,0,INDEX($E$2123:$L$2123,1,6+Materiales!$F$306))</f>
        <v/>
      </c>
      <c r="K2124" s="71">
        <f>IF(7+Materiales!$F$306&gt;8,0,INDEX($E$2123:$L$2123,1,7+Materiales!$F$306))</f>
        <v/>
      </c>
      <c r="L2124" s="71">
        <f>IF(8+Materiales!$F$306&gt;8,0,INDEX($E$2123:$L$2123,1,8+Materiales!$F$306))</f>
        <v/>
      </c>
      <c r="M2124" s="72">
        <f>IF($A2119="","",IF(SUMPRODUCT((COLUMN($E$2123:$L$2123)-4&lt;=Materiales!$F$306)*$E$2123:$L$2123)&gt;0,"PEDIR YA (atrasado)","OK"))</f>
        <v/>
      </c>
    </row>
    <row r="2125" ht="6" customHeight="1"/>
    <row r="2126">
      <c r="A2126" s="62">
        <f>IF(Materiales!$A$307="","",Materiales!$A$307)</f>
        <v/>
      </c>
      <c r="B2126" s="62">
        <f>IF(Materiales!$B$307="","",Materiales!$B$307)</f>
        <v/>
      </c>
      <c r="C2126" s="63" t="inlineStr">
        <is>
          <t>Necesidad bruta</t>
        </is>
      </c>
      <c r="D2126" s="64" t="n"/>
      <c r="E2126" s="65">
        <f>ROUND(SUMIF(Consumo!$P$4:$P$189,"#"&amp;$A2126,Consumo!H$4:H$189),4)</f>
        <v/>
      </c>
      <c r="F2126" s="65">
        <f>ROUND(SUMIF(Consumo!$P$4:$P$189,"#"&amp;$A2126,Consumo!I$4:I$189),4)</f>
        <v/>
      </c>
      <c r="G2126" s="65">
        <f>ROUND(SUMIF(Consumo!$P$4:$P$189,"#"&amp;$A2126,Consumo!J$4:J$189),4)</f>
        <v/>
      </c>
      <c r="H2126" s="65">
        <f>ROUND(SUMIF(Consumo!$P$4:$P$189,"#"&amp;$A2126,Consumo!K$4:K$189),4)</f>
        <v/>
      </c>
      <c r="I2126" s="65">
        <f>ROUND(SUMIF(Consumo!$P$4:$P$189,"#"&amp;$A2126,Consumo!L$4:L$189),4)</f>
        <v/>
      </c>
      <c r="J2126" s="65">
        <f>ROUND(SUMIF(Consumo!$P$4:$P$189,"#"&amp;$A2126,Consumo!M$4:M$189),4)</f>
        <v/>
      </c>
      <c r="K2126" s="65">
        <f>ROUND(SUMIF(Consumo!$P$4:$P$189,"#"&amp;$A2126,Consumo!N$4:N$189),4)</f>
        <v/>
      </c>
      <c r="L2126" s="65">
        <f>ROUND(SUMIF(Consumo!$P$4:$P$189,"#"&amp;$A2126,Consumo!O$4:O$189),4)</f>
        <v/>
      </c>
      <c r="M2126" s="66" t="n"/>
    </row>
    <row r="2127">
      <c r="C2127" s="63" t="inlineStr">
        <is>
          <t>Recepciones programadas (ya pedido)</t>
        </is>
      </c>
      <c r="D2127" s="64" t="n"/>
      <c r="E2127" s="65">
        <f>SUMIF(Inventario!$M$5:$M$505,"#"&amp;$A2126,Inventario!E$5:E$505)</f>
        <v/>
      </c>
      <c r="F2127" s="65">
        <f>SUMIF(Inventario!$M$5:$M$505,"#"&amp;$A2126,Inventario!F$5:F$505)</f>
        <v/>
      </c>
      <c r="G2127" s="65">
        <f>SUMIF(Inventario!$M$5:$M$505,"#"&amp;$A2126,Inventario!G$5:G$505)</f>
        <v/>
      </c>
      <c r="H2127" s="65">
        <f>SUMIF(Inventario!$M$5:$M$505,"#"&amp;$A2126,Inventario!H$5:H$505)</f>
        <v/>
      </c>
      <c r="I2127" s="65">
        <f>SUMIF(Inventario!$M$5:$M$505,"#"&amp;$A2126,Inventario!I$5:I$505)</f>
        <v/>
      </c>
      <c r="J2127" s="65">
        <f>SUMIF(Inventario!$M$5:$M$505,"#"&amp;$A2126,Inventario!J$5:J$505)</f>
        <v/>
      </c>
      <c r="K2127" s="65">
        <f>SUMIF(Inventario!$M$5:$M$505,"#"&amp;$A2126,Inventario!K$5:K$505)</f>
        <v/>
      </c>
      <c r="L2127" s="65">
        <f>SUMIF(Inventario!$M$5:$M$505,"#"&amp;$A2126,Inventario!L$5:L$505)</f>
        <v/>
      </c>
      <c r="M2127" s="66" t="n"/>
    </row>
    <row r="2128">
      <c r="C2128" s="63" t="inlineStr">
        <is>
          <t>Stock proyectado disponible</t>
        </is>
      </c>
      <c r="D2128" s="67">
        <f>SUMIF(Inventario!$M$5:$M$505,"#"&amp;$A2126,Inventario!$C$5:$C$505)</f>
        <v/>
      </c>
      <c r="E2128" s="68">
        <f>D2128+E2127+E2130-E2126</f>
        <v/>
      </c>
      <c r="F2128" s="68">
        <f>E2128+F2127+F2130-F2126</f>
        <v/>
      </c>
      <c r="G2128" s="68">
        <f>F2128+G2127+G2130-G2126</f>
        <v/>
      </c>
      <c r="H2128" s="68">
        <f>G2128+H2127+H2130-H2126</f>
        <v/>
      </c>
      <c r="I2128" s="68">
        <f>H2128+I2127+I2130-I2126</f>
        <v/>
      </c>
      <c r="J2128" s="68">
        <f>I2128+J2127+J2130-J2126</f>
        <v/>
      </c>
      <c r="K2128" s="68">
        <f>J2128+K2127+K2130-K2126</f>
        <v/>
      </c>
      <c r="L2128" s="68">
        <f>K2128+L2127+L2130-L2126</f>
        <v/>
      </c>
      <c r="M2128" s="66" t="n"/>
    </row>
    <row r="2129">
      <c r="C2129" s="63" t="inlineStr">
        <is>
          <t>Necesidad neta</t>
        </is>
      </c>
      <c r="D2129" s="64" t="n"/>
      <c r="E2129" s="69">
        <f>MAX(0,ROUND(E2126+Materiales!$H$307-D2128-E2127,4))</f>
        <v/>
      </c>
      <c r="F2129" s="69">
        <f>MAX(0,ROUND(F2126+Materiales!$H$307-E2128-F2127,4))</f>
        <v/>
      </c>
      <c r="G2129" s="69">
        <f>MAX(0,ROUND(G2126+Materiales!$H$307-F2128-G2127,4))</f>
        <v/>
      </c>
      <c r="H2129" s="69">
        <f>MAX(0,ROUND(H2126+Materiales!$H$307-G2128-H2127,4))</f>
        <v/>
      </c>
      <c r="I2129" s="69">
        <f>MAX(0,ROUND(I2126+Materiales!$H$307-H2128-I2127,4))</f>
        <v/>
      </c>
      <c r="J2129" s="69">
        <f>MAX(0,ROUND(J2126+Materiales!$H$307-I2128-J2127,4))</f>
        <v/>
      </c>
      <c r="K2129" s="69">
        <f>MAX(0,ROUND(K2126+Materiales!$H$307-J2128-K2127,4))</f>
        <v/>
      </c>
      <c r="L2129" s="69">
        <f>MAX(0,ROUND(L2126+Materiales!$H$307-K2128-L2127,4))</f>
        <v/>
      </c>
      <c r="M2129" s="66" t="n"/>
    </row>
    <row r="2130">
      <c r="C2130" s="63" t="inlineStr">
        <is>
          <t>Recepcion de orden planificada</t>
        </is>
      </c>
      <c r="D2130" s="64" t="n"/>
      <c r="E2130" s="65">
        <f>IF(E2129&lt;=0,0,IF(Materiales!$G$307&lt;=0,E2129,ROUNDUP(E2129/Materiales!$G$307,0)*Materiales!$G$307))</f>
        <v/>
      </c>
      <c r="F2130" s="65">
        <f>IF(F2129&lt;=0,0,IF(Materiales!$G$307&lt;=0,F2129,ROUNDUP(F2129/Materiales!$G$307,0)*Materiales!$G$307))</f>
        <v/>
      </c>
      <c r="G2130" s="65">
        <f>IF(G2129&lt;=0,0,IF(Materiales!$G$307&lt;=0,G2129,ROUNDUP(G2129/Materiales!$G$307,0)*Materiales!$G$307))</f>
        <v/>
      </c>
      <c r="H2130" s="65">
        <f>IF(H2129&lt;=0,0,IF(Materiales!$G$307&lt;=0,H2129,ROUNDUP(H2129/Materiales!$G$307,0)*Materiales!$G$307))</f>
        <v/>
      </c>
      <c r="I2130" s="65">
        <f>IF(I2129&lt;=0,0,IF(Materiales!$G$307&lt;=0,I2129,ROUNDUP(I2129/Materiales!$G$307,0)*Materiales!$G$307))</f>
        <v/>
      </c>
      <c r="J2130" s="65">
        <f>IF(J2129&lt;=0,0,IF(Materiales!$G$307&lt;=0,J2129,ROUNDUP(J2129/Materiales!$G$307,0)*Materiales!$G$307))</f>
        <v/>
      </c>
      <c r="K2130" s="65">
        <f>IF(K2129&lt;=0,0,IF(Materiales!$G$307&lt;=0,K2129,ROUNDUP(K2129/Materiales!$G$307,0)*Materiales!$G$307))</f>
        <v/>
      </c>
      <c r="L2130" s="65">
        <f>IF(L2129&lt;=0,0,IF(Materiales!$G$307&lt;=0,L2129,ROUNDUP(L2129/Materiales!$G$307,0)*Materiales!$G$307))</f>
        <v/>
      </c>
      <c r="M2130" s="66" t="n"/>
    </row>
    <row r="2131">
      <c r="C2131" s="70" t="inlineStr">
        <is>
          <t>LANZAMIENTO DE ORDEN — pedir esta semana</t>
        </is>
      </c>
      <c r="D2131" s="64" t="n"/>
      <c r="E2131" s="71">
        <f>IF(1+Materiales!$F$307&gt;8,0,INDEX($E$2130:$L$2130,1,1+Materiales!$F$307))</f>
        <v/>
      </c>
      <c r="F2131" s="71">
        <f>IF(2+Materiales!$F$307&gt;8,0,INDEX($E$2130:$L$2130,1,2+Materiales!$F$307))</f>
        <v/>
      </c>
      <c r="G2131" s="71">
        <f>IF(3+Materiales!$F$307&gt;8,0,INDEX($E$2130:$L$2130,1,3+Materiales!$F$307))</f>
        <v/>
      </c>
      <c r="H2131" s="71">
        <f>IF(4+Materiales!$F$307&gt;8,0,INDEX($E$2130:$L$2130,1,4+Materiales!$F$307))</f>
        <v/>
      </c>
      <c r="I2131" s="71">
        <f>IF(5+Materiales!$F$307&gt;8,0,INDEX($E$2130:$L$2130,1,5+Materiales!$F$307))</f>
        <v/>
      </c>
      <c r="J2131" s="71">
        <f>IF(6+Materiales!$F$307&gt;8,0,INDEX($E$2130:$L$2130,1,6+Materiales!$F$307))</f>
        <v/>
      </c>
      <c r="K2131" s="71">
        <f>IF(7+Materiales!$F$307&gt;8,0,INDEX($E$2130:$L$2130,1,7+Materiales!$F$307))</f>
        <v/>
      </c>
      <c r="L2131" s="71">
        <f>IF(8+Materiales!$F$307&gt;8,0,INDEX($E$2130:$L$2130,1,8+Materiales!$F$307))</f>
        <v/>
      </c>
      <c r="M2131" s="72">
        <f>IF($A2126="","",IF(SUMPRODUCT((COLUMN($E$2130:$L$2130)-4&lt;=Materiales!$F$307)*$E$2130:$L$2130)&gt;0,"PEDIR YA (atrasado)","OK"))</f>
        <v/>
      </c>
    </row>
    <row r="2132" ht="6" customHeight="1"/>
    <row r="2133">
      <c r="A2133" s="62">
        <f>IF(Materiales!$A$308="","",Materiales!$A$308)</f>
        <v/>
      </c>
      <c r="B2133" s="62">
        <f>IF(Materiales!$B$308="","",Materiales!$B$308)</f>
        <v/>
      </c>
      <c r="C2133" s="63" t="inlineStr">
        <is>
          <t>Necesidad bruta</t>
        </is>
      </c>
      <c r="D2133" s="64" t="n"/>
      <c r="E2133" s="65">
        <f>ROUND(SUMIF(Consumo!$P$4:$P$189,"#"&amp;$A2133,Consumo!H$4:H$189),4)</f>
        <v/>
      </c>
      <c r="F2133" s="65">
        <f>ROUND(SUMIF(Consumo!$P$4:$P$189,"#"&amp;$A2133,Consumo!I$4:I$189),4)</f>
        <v/>
      </c>
      <c r="G2133" s="65">
        <f>ROUND(SUMIF(Consumo!$P$4:$P$189,"#"&amp;$A2133,Consumo!J$4:J$189),4)</f>
        <v/>
      </c>
      <c r="H2133" s="65">
        <f>ROUND(SUMIF(Consumo!$P$4:$P$189,"#"&amp;$A2133,Consumo!K$4:K$189),4)</f>
        <v/>
      </c>
      <c r="I2133" s="65">
        <f>ROUND(SUMIF(Consumo!$P$4:$P$189,"#"&amp;$A2133,Consumo!L$4:L$189),4)</f>
        <v/>
      </c>
      <c r="J2133" s="65">
        <f>ROUND(SUMIF(Consumo!$P$4:$P$189,"#"&amp;$A2133,Consumo!M$4:M$189),4)</f>
        <v/>
      </c>
      <c r="K2133" s="65">
        <f>ROUND(SUMIF(Consumo!$P$4:$P$189,"#"&amp;$A2133,Consumo!N$4:N$189),4)</f>
        <v/>
      </c>
      <c r="L2133" s="65">
        <f>ROUND(SUMIF(Consumo!$P$4:$P$189,"#"&amp;$A2133,Consumo!O$4:O$189),4)</f>
        <v/>
      </c>
      <c r="M2133" s="66" t="n"/>
    </row>
    <row r="2134">
      <c r="C2134" s="63" t="inlineStr">
        <is>
          <t>Recepciones programadas (ya pedido)</t>
        </is>
      </c>
      <c r="D2134" s="64" t="n"/>
      <c r="E2134" s="65">
        <f>SUMIF(Inventario!$M$5:$M$505,"#"&amp;$A2133,Inventario!E$5:E$505)</f>
        <v/>
      </c>
      <c r="F2134" s="65">
        <f>SUMIF(Inventario!$M$5:$M$505,"#"&amp;$A2133,Inventario!F$5:F$505)</f>
        <v/>
      </c>
      <c r="G2134" s="65">
        <f>SUMIF(Inventario!$M$5:$M$505,"#"&amp;$A2133,Inventario!G$5:G$505)</f>
        <v/>
      </c>
      <c r="H2134" s="65">
        <f>SUMIF(Inventario!$M$5:$M$505,"#"&amp;$A2133,Inventario!H$5:H$505)</f>
        <v/>
      </c>
      <c r="I2134" s="65">
        <f>SUMIF(Inventario!$M$5:$M$505,"#"&amp;$A2133,Inventario!I$5:I$505)</f>
        <v/>
      </c>
      <c r="J2134" s="65">
        <f>SUMIF(Inventario!$M$5:$M$505,"#"&amp;$A2133,Inventario!J$5:J$505)</f>
        <v/>
      </c>
      <c r="K2134" s="65">
        <f>SUMIF(Inventario!$M$5:$M$505,"#"&amp;$A2133,Inventario!K$5:K$505)</f>
        <v/>
      </c>
      <c r="L2134" s="65">
        <f>SUMIF(Inventario!$M$5:$M$505,"#"&amp;$A2133,Inventario!L$5:L$505)</f>
        <v/>
      </c>
      <c r="M2134" s="66" t="n"/>
    </row>
    <row r="2135">
      <c r="C2135" s="63" t="inlineStr">
        <is>
          <t>Stock proyectado disponible</t>
        </is>
      </c>
      <c r="D2135" s="67">
        <f>SUMIF(Inventario!$M$5:$M$505,"#"&amp;$A2133,Inventario!$C$5:$C$505)</f>
        <v/>
      </c>
      <c r="E2135" s="68">
        <f>D2135+E2134+E2137-E2133</f>
        <v/>
      </c>
      <c r="F2135" s="68">
        <f>E2135+F2134+F2137-F2133</f>
        <v/>
      </c>
      <c r="G2135" s="68">
        <f>F2135+G2134+G2137-G2133</f>
        <v/>
      </c>
      <c r="H2135" s="68">
        <f>G2135+H2134+H2137-H2133</f>
        <v/>
      </c>
      <c r="I2135" s="68">
        <f>H2135+I2134+I2137-I2133</f>
        <v/>
      </c>
      <c r="J2135" s="68">
        <f>I2135+J2134+J2137-J2133</f>
        <v/>
      </c>
      <c r="K2135" s="68">
        <f>J2135+K2134+K2137-K2133</f>
        <v/>
      </c>
      <c r="L2135" s="68">
        <f>K2135+L2134+L2137-L2133</f>
        <v/>
      </c>
      <c r="M2135" s="66" t="n"/>
    </row>
    <row r="2136">
      <c r="C2136" s="63" t="inlineStr">
        <is>
          <t>Necesidad neta</t>
        </is>
      </c>
      <c r="D2136" s="64" t="n"/>
      <c r="E2136" s="69">
        <f>MAX(0,ROUND(E2133+Materiales!$H$308-D2135-E2134,4))</f>
        <v/>
      </c>
      <c r="F2136" s="69">
        <f>MAX(0,ROUND(F2133+Materiales!$H$308-E2135-F2134,4))</f>
        <v/>
      </c>
      <c r="G2136" s="69">
        <f>MAX(0,ROUND(G2133+Materiales!$H$308-F2135-G2134,4))</f>
        <v/>
      </c>
      <c r="H2136" s="69">
        <f>MAX(0,ROUND(H2133+Materiales!$H$308-G2135-H2134,4))</f>
        <v/>
      </c>
      <c r="I2136" s="69">
        <f>MAX(0,ROUND(I2133+Materiales!$H$308-H2135-I2134,4))</f>
        <v/>
      </c>
      <c r="J2136" s="69">
        <f>MAX(0,ROUND(J2133+Materiales!$H$308-I2135-J2134,4))</f>
        <v/>
      </c>
      <c r="K2136" s="69">
        <f>MAX(0,ROUND(K2133+Materiales!$H$308-J2135-K2134,4))</f>
        <v/>
      </c>
      <c r="L2136" s="69">
        <f>MAX(0,ROUND(L2133+Materiales!$H$308-K2135-L2134,4))</f>
        <v/>
      </c>
      <c r="M2136" s="66" t="n"/>
    </row>
    <row r="2137">
      <c r="C2137" s="63" t="inlineStr">
        <is>
          <t>Recepcion de orden planificada</t>
        </is>
      </c>
      <c r="D2137" s="64" t="n"/>
      <c r="E2137" s="65">
        <f>IF(E2136&lt;=0,0,IF(Materiales!$G$308&lt;=0,E2136,ROUNDUP(E2136/Materiales!$G$308,0)*Materiales!$G$308))</f>
        <v/>
      </c>
      <c r="F2137" s="65">
        <f>IF(F2136&lt;=0,0,IF(Materiales!$G$308&lt;=0,F2136,ROUNDUP(F2136/Materiales!$G$308,0)*Materiales!$G$308))</f>
        <v/>
      </c>
      <c r="G2137" s="65">
        <f>IF(G2136&lt;=0,0,IF(Materiales!$G$308&lt;=0,G2136,ROUNDUP(G2136/Materiales!$G$308,0)*Materiales!$G$308))</f>
        <v/>
      </c>
      <c r="H2137" s="65">
        <f>IF(H2136&lt;=0,0,IF(Materiales!$G$308&lt;=0,H2136,ROUNDUP(H2136/Materiales!$G$308,0)*Materiales!$G$308))</f>
        <v/>
      </c>
      <c r="I2137" s="65">
        <f>IF(I2136&lt;=0,0,IF(Materiales!$G$308&lt;=0,I2136,ROUNDUP(I2136/Materiales!$G$308,0)*Materiales!$G$308))</f>
        <v/>
      </c>
      <c r="J2137" s="65">
        <f>IF(J2136&lt;=0,0,IF(Materiales!$G$308&lt;=0,J2136,ROUNDUP(J2136/Materiales!$G$308,0)*Materiales!$G$308))</f>
        <v/>
      </c>
      <c r="K2137" s="65">
        <f>IF(K2136&lt;=0,0,IF(Materiales!$G$308&lt;=0,K2136,ROUNDUP(K2136/Materiales!$G$308,0)*Materiales!$G$308))</f>
        <v/>
      </c>
      <c r="L2137" s="65">
        <f>IF(L2136&lt;=0,0,IF(Materiales!$G$308&lt;=0,L2136,ROUNDUP(L2136/Materiales!$G$308,0)*Materiales!$G$308))</f>
        <v/>
      </c>
      <c r="M2137" s="66" t="n"/>
    </row>
    <row r="2138">
      <c r="C2138" s="70" t="inlineStr">
        <is>
          <t>LANZAMIENTO DE ORDEN — pedir esta semana</t>
        </is>
      </c>
      <c r="D2138" s="64" t="n"/>
      <c r="E2138" s="71">
        <f>IF(1+Materiales!$F$308&gt;8,0,INDEX($E$2137:$L$2137,1,1+Materiales!$F$308))</f>
        <v/>
      </c>
      <c r="F2138" s="71">
        <f>IF(2+Materiales!$F$308&gt;8,0,INDEX($E$2137:$L$2137,1,2+Materiales!$F$308))</f>
        <v/>
      </c>
      <c r="G2138" s="71">
        <f>IF(3+Materiales!$F$308&gt;8,0,INDEX($E$2137:$L$2137,1,3+Materiales!$F$308))</f>
        <v/>
      </c>
      <c r="H2138" s="71">
        <f>IF(4+Materiales!$F$308&gt;8,0,INDEX($E$2137:$L$2137,1,4+Materiales!$F$308))</f>
        <v/>
      </c>
      <c r="I2138" s="71">
        <f>IF(5+Materiales!$F$308&gt;8,0,INDEX($E$2137:$L$2137,1,5+Materiales!$F$308))</f>
        <v/>
      </c>
      <c r="J2138" s="71">
        <f>IF(6+Materiales!$F$308&gt;8,0,INDEX($E$2137:$L$2137,1,6+Materiales!$F$308))</f>
        <v/>
      </c>
      <c r="K2138" s="71">
        <f>IF(7+Materiales!$F$308&gt;8,0,INDEX($E$2137:$L$2137,1,7+Materiales!$F$308))</f>
        <v/>
      </c>
      <c r="L2138" s="71">
        <f>IF(8+Materiales!$F$308&gt;8,0,INDEX($E$2137:$L$2137,1,8+Materiales!$F$308))</f>
        <v/>
      </c>
      <c r="M2138" s="72">
        <f>IF($A2133="","",IF(SUMPRODUCT((COLUMN($E$2137:$L$2137)-4&lt;=Materiales!$F$308)*$E$2137:$L$2137)&gt;0,"PEDIR YA (atrasado)","OK"))</f>
        <v/>
      </c>
    </row>
    <row r="2139" ht="6" customHeight="1"/>
    <row r="2140">
      <c r="A2140" s="62">
        <f>IF(Materiales!$A$309="","",Materiales!$A$309)</f>
        <v/>
      </c>
      <c r="B2140" s="62">
        <f>IF(Materiales!$B$309="","",Materiales!$B$309)</f>
        <v/>
      </c>
      <c r="C2140" s="63" t="inlineStr">
        <is>
          <t>Necesidad bruta</t>
        </is>
      </c>
      <c r="D2140" s="64" t="n"/>
      <c r="E2140" s="65">
        <f>ROUND(SUMIF(Consumo!$P$4:$P$189,"#"&amp;$A2140,Consumo!H$4:H$189),4)</f>
        <v/>
      </c>
      <c r="F2140" s="65">
        <f>ROUND(SUMIF(Consumo!$P$4:$P$189,"#"&amp;$A2140,Consumo!I$4:I$189),4)</f>
        <v/>
      </c>
      <c r="G2140" s="65">
        <f>ROUND(SUMIF(Consumo!$P$4:$P$189,"#"&amp;$A2140,Consumo!J$4:J$189),4)</f>
        <v/>
      </c>
      <c r="H2140" s="65">
        <f>ROUND(SUMIF(Consumo!$P$4:$P$189,"#"&amp;$A2140,Consumo!K$4:K$189),4)</f>
        <v/>
      </c>
      <c r="I2140" s="65">
        <f>ROUND(SUMIF(Consumo!$P$4:$P$189,"#"&amp;$A2140,Consumo!L$4:L$189),4)</f>
        <v/>
      </c>
      <c r="J2140" s="65">
        <f>ROUND(SUMIF(Consumo!$P$4:$P$189,"#"&amp;$A2140,Consumo!M$4:M$189),4)</f>
        <v/>
      </c>
      <c r="K2140" s="65">
        <f>ROUND(SUMIF(Consumo!$P$4:$P$189,"#"&amp;$A2140,Consumo!N$4:N$189),4)</f>
        <v/>
      </c>
      <c r="L2140" s="65">
        <f>ROUND(SUMIF(Consumo!$P$4:$P$189,"#"&amp;$A2140,Consumo!O$4:O$189),4)</f>
        <v/>
      </c>
      <c r="M2140" s="66" t="n"/>
    </row>
    <row r="2141">
      <c r="C2141" s="63" t="inlineStr">
        <is>
          <t>Recepciones programadas (ya pedido)</t>
        </is>
      </c>
      <c r="D2141" s="64" t="n"/>
      <c r="E2141" s="65">
        <f>SUMIF(Inventario!$M$5:$M$505,"#"&amp;$A2140,Inventario!E$5:E$505)</f>
        <v/>
      </c>
      <c r="F2141" s="65">
        <f>SUMIF(Inventario!$M$5:$M$505,"#"&amp;$A2140,Inventario!F$5:F$505)</f>
        <v/>
      </c>
      <c r="G2141" s="65">
        <f>SUMIF(Inventario!$M$5:$M$505,"#"&amp;$A2140,Inventario!G$5:G$505)</f>
        <v/>
      </c>
      <c r="H2141" s="65">
        <f>SUMIF(Inventario!$M$5:$M$505,"#"&amp;$A2140,Inventario!H$5:H$505)</f>
        <v/>
      </c>
      <c r="I2141" s="65">
        <f>SUMIF(Inventario!$M$5:$M$505,"#"&amp;$A2140,Inventario!I$5:I$505)</f>
        <v/>
      </c>
      <c r="J2141" s="65">
        <f>SUMIF(Inventario!$M$5:$M$505,"#"&amp;$A2140,Inventario!J$5:J$505)</f>
        <v/>
      </c>
      <c r="K2141" s="65">
        <f>SUMIF(Inventario!$M$5:$M$505,"#"&amp;$A2140,Inventario!K$5:K$505)</f>
        <v/>
      </c>
      <c r="L2141" s="65">
        <f>SUMIF(Inventario!$M$5:$M$505,"#"&amp;$A2140,Inventario!L$5:L$505)</f>
        <v/>
      </c>
      <c r="M2141" s="66" t="n"/>
    </row>
    <row r="2142">
      <c r="C2142" s="63" t="inlineStr">
        <is>
          <t>Stock proyectado disponible</t>
        </is>
      </c>
      <c r="D2142" s="67">
        <f>SUMIF(Inventario!$M$5:$M$505,"#"&amp;$A2140,Inventario!$C$5:$C$505)</f>
        <v/>
      </c>
      <c r="E2142" s="68">
        <f>D2142+E2141+E2144-E2140</f>
        <v/>
      </c>
      <c r="F2142" s="68">
        <f>E2142+F2141+F2144-F2140</f>
        <v/>
      </c>
      <c r="G2142" s="68">
        <f>F2142+G2141+G2144-G2140</f>
        <v/>
      </c>
      <c r="H2142" s="68">
        <f>G2142+H2141+H2144-H2140</f>
        <v/>
      </c>
      <c r="I2142" s="68">
        <f>H2142+I2141+I2144-I2140</f>
        <v/>
      </c>
      <c r="J2142" s="68">
        <f>I2142+J2141+J2144-J2140</f>
        <v/>
      </c>
      <c r="K2142" s="68">
        <f>J2142+K2141+K2144-K2140</f>
        <v/>
      </c>
      <c r="L2142" s="68">
        <f>K2142+L2141+L2144-L2140</f>
        <v/>
      </c>
      <c r="M2142" s="66" t="n"/>
    </row>
    <row r="2143">
      <c r="C2143" s="63" t="inlineStr">
        <is>
          <t>Necesidad neta</t>
        </is>
      </c>
      <c r="D2143" s="64" t="n"/>
      <c r="E2143" s="69">
        <f>MAX(0,ROUND(E2140+Materiales!$H$309-D2142-E2141,4))</f>
        <v/>
      </c>
      <c r="F2143" s="69">
        <f>MAX(0,ROUND(F2140+Materiales!$H$309-E2142-F2141,4))</f>
        <v/>
      </c>
      <c r="G2143" s="69">
        <f>MAX(0,ROUND(G2140+Materiales!$H$309-F2142-G2141,4))</f>
        <v/>
      </c>
      <c r="H2143" s="69">
        <f>MAX(0,ROUND(H2140+Materiales!$H$309-G2142-H2141,4))</f>
        <v/>
      </c>
      <c r="I2143" s="69">
        <f>MAX(0,ROUND(I2140+Materiales!$H$309-H2142-I2141,4))</f>
        <v/>
      </c>
      <c r="J2143" s="69">
        <f>MAX(0,ROUND(J2140+Materiales!$H$309-I2142-J2141,4))</f>
        <v/>
      </c>
      <c r="K2143" s="69">
        <f>MAX(0,ROUND(K2140+Materiales!$H$309-J2142-K2141,4))</f>
        <v/>
      </c>
      <c r="L2143" s="69">
        <f>MAX(0,ROUND(L2140+Materiales!$H$309-K2142-L2141,4))</f>
        <v/>
      </c>
      <c r="M2143" s="66" t="n"/>
    </row>
    <row r="2144">
      <c r="C2144" s="63" t="inlineStr">
        <is>
          <t>Recepcion de orden planificada</t>
        </is>
      </c>
      <c r="D2144" s="64" t="n"/>
      <c r="E2144" s="65">
        <f>IF(E2143&lt;=0,0,IF(Materiales!$G$309&lt;=0,E2143,ROUNDUP(E2143/Materiales!$G$309,0)*Materiales!$G$309))</f>
        <v/>
      </c>
      <c r="F2144" s="65">
        <f>IF(F2143&lt;=0,0,IF(Materiales!$G$309&lt;=0,F2143,ROUNDUP(F2143/Materiales!$G$309,0)*Materiales!$G$309))</f>
        <v/>
      </c>
      <c r="G2144" s="65">
        <f>IF(G2143&lt;=0,0,IF(Materiales!$G$309&lt;=0,G2143,ROUNDUP(G2143/Materiales!$G$309,0)*Materiales!$G$309))</f>
        <v/>
      </c>
      <c r="H2144" s="65">
        <f>IF(H2143&lt;=0,0,IF(Materiales!$G$309&lt;=0,H2143,ROUNDUP(H2143/Materiales!$G$309,0)*Materiales!$G$309))</f>
        <v/>
      </c>
      <c r="I2144" s="65">
        <f>IF(I2143&lt;=0,0,IF(Materiales!$G$309&lt;=0,I2143,ROUNDUP(I2143/Materiales!$G$309,0)*Materiales!$G$309))</f>
        <v/>
      </c>
      <c r="J2144" s="65">
        <f>IF(J2143&lt;=0,0,IF(Materiales!$G$309&lt;=0,J2143,ROUNDUP(J2143/Materiales!$G$309,0)*Materiales!$G$309))</f>
        <v/>
      </c>
      <c r="K2144" s="65">
        <f>IF(K2143&lt;=0,0,IF(Materiales!$G$309&lt;=0,K2143,ROUNDUP(K2143/Materiales!$G$309,0)*Materiales!$G$309))</f>
        <v/>
      </c>
      <c r="L2144" s="65">
        <f>IF(L2143&lt;=0,0,IF(Materiales!$G$309&lt;=0,L2143,ROUNDUP(L2143/Materiales!$G$309,0)*Materiales!$G$309))</f>
        <v/>
      </c>
      <c r="M2144" s="66" t="n"/>
    </row>
    <row r="2145">
      <c r="C2145" s="70" t="inlineStr">
        <is>
          <t>LANZAMIENTO DE ORDEN — pedir esta semana</t>
        </is>
      </c>
      <c r="D2145" s="64" t="n"/>
      <c r="E2145" s="71">
        <f>IF(1+Materiales!$F$309&gt;8,0,INDEX($E$2144:$L$2144,1,1+Materiales!$F$309))</f>
        <v/>
      </c>
      <c r="F2145" s="71">
        <f>IF(2+Materiales!$F$309&gt;8,0,INDEX($E$2144:$L$2144,1,2+Materiales!$F$309))</f>
        <v/>
      </c>
      <c r="G2145" s="71">
        <f>IF(3+Materiales!$F$309&gt;8,0,INDEX($E$2144:$L$2144,1,3+Materiales!$F$309))</f>
        <v/>
      </c>
      <c r="H2145" s="71">
        <f>IF(4+Materiales!$F$309&gt;8,0,INDEX($E$2144:$L$2144,1,4+Materiales!$F$309))</f>
        <v/>
      </c>
      <c r="I2145" s="71">
        <f>IF(5+Materiales!$F$309&gt;8,0,INDEX($E$2144:$L$2144,1,5+Materiales!$F$309))</f>
        <v/>
      </c>
      <c r="J2145" s="71">
        <f>IF(6+Materiales!$F$309&gt;8,0,INDEX($E$2144:$L$2144,1,6+Materiales!$F$309))</f>
        <v/>
      </c>
      <c r="K2145" s="71">
        <f>IF(7+Materiales!$F$309&gt;8,0,INDEX($E$2144:$L$2144,1,7+Materiales!$F$309))</f>
        <v/>
      </c>
      <c r="L2145" s="71">
        <f>IF(8+Materiales!$F$309&gt;8,0,INDEX($E$2144:$L$2144,1,8+Materiales!$F$309))</f>
        <v/>
      </c>
      <c r="M2145" s="72">
        <f>IF($A2140="","",IF(SUMPRODUCT((COLUMN($E$2144:$L$2144)-4&lt;=Materiales!$F$309)*$E$2144:$L$2144)&gt;0,"PEDIR YA (atrasado)","OK"))</f>
        <v/>
      </c>
    </row>
    <row r="2146" ht="6" customHeight="1"/>
    <row r="2147">
      <c r="A2147" s="62">
        <f>IF(Materiales!$A$310="","",Materiales!$A$310)</f>
        <v/>
      </c>
      <c r="B2147" s="62">
        <f>IF(Materiales!$B$310="","",Materiales!$B$310)</f>
        <v/>
      </c>
      <c r="C2147" s="63" t="inlineStr">
        <is>
          <t>Necesidad bruta</t>
        </is>
      </c>
      <c r="D2147" s="64" t="n"/>
      <c r="E2147" s="65">
        <f>ROUND(SUMIF(Consumo!$P$4:$P$189,"#"&amp;$A2147,Consumo!H$4:H$189),4)</f>
        <v/>
      </c>
      <c r="F2147" s="65">
        <f>ROUND(SUMIF(Consumo!$P$4:$P$189,"#"&amp;$A2147,Consumo!I$4:I$189),4)</f>
        <v/>
      </c>
      <c r="G2147" s="65">
        <f>ROUND(SUMIF(Consumo!$P$4:$P$189,"#"&amp;$A2147,Consumo!J$4:J$189),4)</f>
        <v/>
      </c>
      <c r="H2147" s="65">
        <f>ROUND(SUMIF(Consumo!$P$4:$P$189,"#"&amp;$A2147,Consumo!K$4:K$189),4)</f>
        <v/>
      </c>
      <c r="I2147" s="65">
        <f>ROUND(SUMIF(Consumo!$P$4:$P$189,"#"&amp;$A2147,Consumo!L$4:L$189),4)</f>
        <v/>
      </c>
      <c r="J2147" s="65">
        <f>ROUND(SUMIF(Consumo!$P$4:$P$189,"#"&amp;$A2147,Consumo!M$4:M$189),4)</f>
        <v/>
      </c>
      <c r="K2147" s="65">
        <f>ROUND(SUMIF(Consumo!$P$4:$P$189,"#"&amp;$A2147,Consumo!N$4:N$189),4)</f>
        <v/>
      </c>
      <c r="L2147" s="65">
        <f>ROUND(SUMIF(Consumo!$P$4:$P$189,"#"&amp;$A2147,Consumo!O$4:O$189),4)</f>
        <v/>
      </c>
      <c r="M2147" s="66" t="n"/>
    </row>
    <row r="2148">
      <c r="C2148" s="63" t="inlineStr">
        <is>
          <t>Recepciones programadas (ya pedido)</t>
        </is>
      </c>
      <c r="D2148" s="64" t="n"/>
      <c r="E2148" s="65">
        <f>SUMIF(Inventario!$M$5:$M$505,"#"&amp;$A2147,Inventario!E$5:E$505)</f>
        <v/>
      </c>
      <c r="F2148" s="65">
        <f>SUMIF(Inventario!$M$5:$M$505,"#"&amp;$A2147,Inventario!F$5:F$505)</f>
        <v/>
      </c>
      <c r="G2148" s="65">
        <f>SUMIF(Inventario!$M$5:$M$505,"#"&amp;$A2147,Inventario!G$5:G$505)</f>
        <v/>
      </c>
      <c r="H2148" s="65">
        <f>SUMIF(Inventario!$M$5:$M$505,"#"&amp;$A2147,Inventario!H$5:H$505)</f>
        <v/>
      </c>
      <c r="I2148" s="65">
        <f>SUMIF(Inventario!$M$5:$M$505,"#"&amp;$A2147,Inventario!I$5:I$505)</f>
        <v/>
      </c>
      <c r="J2148" s="65">
        <f>SUMIF(Inventario!$M$5:$M$505,"#"&amp;$A2147,Inventario!J$5:J$505)</f>
        <v/>
      </c>
      <c r="K2148" s="65">
        <f>SUMIF(Inventario!$M$5:$M$505,"#"&amp;$A2147,Inventario!K$5:K$505)</f>
        <v/>
      </c>
      <c r="L2148" s="65">
        <f>SUMIF(Inventario!$M$5:$M$505,"#"&amp;$A2147,Inventario!L$5:L$505)</f>
        <v/>
      </c>
      <c r="M2148" s="66" t="n"/>
    </row>
    <row r="2149">
      <c r="C2149" s="63" t="inlineStr">
        <is>
          <t>Stock proyectado disponible</t>
        </is>
      </c>
      <c r="D2149" s="67">
        <f>SUMIF(Inventario!$M$5:$M$505,"#"&amp;$A2147,Inventario!$C$5:$C$505)</f>
        <v/>
      </c>
      <c r="E2149" s="68">
        <f>D2149+E2148+E2151-E2147</f>
        <v/>
      </c>
      <c r="F2149" s="68">
        <f>E2149+F2148+F2151-F2147</f>
        <v/>
      </c>
      <c r="G2149" s="68">
        <f>F2149+G2148+G2151-G2147</f>
        <v/>
      </c>
      <c r="H2149" s="68">
        <f>G2149+H2148+H2151-H2147</f>
        <v/>
      </c>
      <c r="I2149" s="68">
        <f>H2149+I2148+I2151-I2147</f>
        <v/>
      </c>
      <c r="J2149" s="68">
        <f>I2149+J2148+J2151-J2147</f>
        <v/>
      </c>
      <c r="K2149" s="68">
        <f>J2149+K2148+K2151-K2147</f>
        <v/>
      </c>
      <c r="L2149" s="68">
        <f>K2149+L2148+L2151-L2147</f>
        <v/>
      </c>
      <c r="M2149" s="66" t="n"/>
    </row>
    <row r="2150">
      <c r="C2150" s="63" t="inlineStr">
        <is>
          <t>Necesidad neta</t>
        </is>
      </c>
      <c r="D2150" s="64" t="n"/>
      <c r="E2150" s="69">
        <f>MAX(0,ROUND(E2147+Materiales!$H$310-D2149-E2148,4))</f>
        <v/>
      </c>
      <c r="F2150" s="69">
        <f>MAX(0,ROUND(F2147+Materiales!$H$310-E2149-F2148,4))</f>
        <v/>
      </c>
      <c r="G2150" s="69">
        <f>MAX(0,ROUND(G2147+Materiales!$H$310-F2149-G2148,4))</f>
        <v/>
      </c>
      <c r="H2150" s="69">
        <f>MAX(0,ROUND(H2147+Materiales!$H$310-G2149-H2148,4))</f>
        <v/>
      </c>
      <c r="I2150" s="69">
        <f>MAX(0,ROUND(I2147+Materiales!$H$310-H2149-I2148,4))</f>
        <v/>
      </c>
      <c r="J2150" s="69">
        <f>MAX(0,ROUND(J2147+Materiales!$H$310-I2149-J2148,4))</f>
        <v/>
      </c>
      <c r="K2150" s="69">
        <f>MAX(0,ROUND(K2147+Materiales!$H$310-J2149-K2148,4))</f>
        <v/>
      </c>
      <c r="L2150" s="69">
        <f>MAX(0,ROUND(L2147+Materiales!$H$310-K2149-L2148,4))</f>
        <v/>
      </c>
      <c r="M2150" s="66" t="n"/>
    </row>
    <row r="2151">
      <c r="C2151" s="63" t="inlineStr">
        <is>
          <t>Recepcion de orden planificada</t>
        </is>
      </c>
      <c r="D2151" s="64" t="n"/>
      <c r="E2151" s="65">
        <f>IF(E2150&lt;=0,0,IF(Materiales!$G$310&lt;=0,E2150,ROUNDUP(E2150/Materiales!$G$310,0)*Materiales!$G$310))</f>
        <v/>
      </c>
      <c r="F2151" s="65">
        <f>IF(F2150&lt;=0,0,IF(Materiales!$G$310&lt;=0,F2150,ROUNDUP(F2150/Materiales!$G$310,0)*Materiales!$G$310))</f>
        <v/>
      </c>
      <c r="G2151" s="65">
        <f>IF(G2150&lt;=0,0,IF(Materiales!$G$310&lt;=0,G2150,ROUNDUP(G2150/Materiales!$G$310,0)*Materiales!$G$310))</f>
        <v/>
      </c>
      <c r="H2151" s="65">
        <f>IF(H2150&lt;=0,0,IF(Materiales!$G$310&lt;=0,H2150,ROUNDUP(H2150/Materiales!$G$310,0)*Materiales!$G$310))</f>
        <v/>
      </c>
      <c r="I2151" s="65">
        <f>IF(I2150&lt;=0,0,IF(Materiales!$G$310&lt;=0,I2150,ROUNDUP(I2150/Materiales!$G$310,0)*Materiales!$G$310))</f>
        <v/>
      </c>
      <c r="J2151" s="65">
        <f>IF(J2150&lt;=0,0,IF(Materiales!$G$310&lt;=0,J2150,ROUNDUP(J2150/Materiales!$G$310,0)*Materiales!$G$310))</f>
        <v/>
      </c>
      <c r="K2151" s="65">
        <f>IF(K2150&lt;=0,0,IF(Materiales!$G$310&lt;=0,K2150,ROUNDUP(K2150/Materiales!$G$310,0)*Materiales!$G$310))</f>
        <v/>
      </c>
      <c r="L2151" s="65">
        <f>IF(L2150&lt;=0,0,IF(Materiales!$G$310&lt;=0,L2150,ROUNDUP(L2150/Materiales!$G$310,0)*Materiales!$G$310))</f>
        <v/>
      </c>
      <c r="M2151" s="66" t="n"/>
    </row>
    <row r="2152">
      <c r="C2152" s="70" t="inlineStr">
        <is>
          <t>LANZAMIENTO DE ORDEN — pedir esta semana</t>
        </is>
      </c>
      <c r="D2152" s="64" t="n"/>
      <c r="E2152" s="71">
        <f>IF(1+Materiales!$F$310&gt;8,0,INDEX($E$2151:$L$2151,1,1+Materiales!$F$310))</f>
        <v/>
      </c>
      <c r="F2152" s="71">
        <f>IF(2+Materiales!$F$310&gt;8,0,INDEX($E$2151:$L$2151,1,2+Materiales!$F$310))</f>
        <v/>
      </c>
      <c r="G2152" s="71">
        <f>IF(3+Materiales!$F$310&gt;8,0,INDEX($E$2151:$L$2151,1,3+Materiales!$F$310))</f>
        <v/>
      </c>
      <c r="H2152" s="71">
        <f>IF(4+Materiales!$F$310&gt;8,0,INDEX($E$2151:$L$2151,1,4+Materiales!$F$310))</f>
        <v/>
      </c>
      <c r="I2152" s="71">
        <f>IF(5+Materiales!$F$310&gt;8,0,INDEX($E$2151:$L$2151,1,5+Materiales!$F$310))</f>
        <v/>
      </c>
      <c r="J2152" s="71">
        <f>IF(6+Materiales!$F$310&gt;8,0,INDEX($E$2151:$L$2151,1,6+Materiales!$F$310))</f>
        <v/>
      </c>
      <c r="K2152" s="71">
        <f>IF(7+Materiales!$F$310&gt;8,0,INDEX($E$2151:$L$2151,1,7+Materiales!$F$310))</f>
        <v/>
      </c>
      <c r="L2152" s="71">
        <f>IF(8+Materiales!$F$310&gt;8,0,INDEX($E$2151:$L$2151,1,8+Materiales!$F$310))</f>
        <v/>
      </c>
      <c r="M2152" s="72">
        <f>IF($A2147="","",IF(SUMPRODUCT((COLUMN($E$2151:$L$2151)-4&lt;=Materiales!$F$310)*$E$2151:$L$2151)&gt;0,"PEDIR YA (atrasado)","OK"))</f>
        <v/>
      </c>
    </row>
    <row r="2153" ht="6" customHeight="1"/>
    <row r="2154">
      <c r="A2154" s="62">
        <f>IF(Materiales!$A$311="","",Materiales!$A$311)</f>
        <v/>
      </c>
      <c r="B2154" s="62">
        <f>IF(Materiales!$B$311="","",Materiales!$B$311)</f>
        <v/>
      </c>
      <c r="C2154" s="63" t="inlineStr">
        <is>
          <t>Necesidad bruta</t>
        </is>
      </c>
      <c r="D2154" s="64" t="n"/>
      <c r="E2154" s="65">
        <f>ROUND(SUMIF(Consumo!$P$4:$P$189,"#"&amp;$A2154,Consumo!H$4:H$189),4)</f>
        <v/>
      </c>
      <c r="F2154" s="65">
        <f>ROUND(SUMIF(Consumo!$P$4:$P$189,"#"&amp;$A2154,Consumo!I$4:I$189),4)</f>
        <v/>
      </c>
      <c r="G2154" s="65">
        <f>ROUND(SUMIF(Consumo!$P$4:$P$189,"#"&amp;$A2154,Consumo!J$4:J$189),4)</f>
        <v/>
      </c>
      <c r="H2154" s="65">
        <f>ROUND(SUMIF(Consumo!$P$4:$P$189,"#"&amp;$A2154,Consumo!K$4:K$189),4)</f>
        <v/>
      </c>
      <c r="I2154" s="65">
        <f>ROUND(SUMIF(Consumo!$P$4:$P$189,"#"&amp;$A2154,Consumo!L$4:L$189),4)</f>
        <v/>
      </c>
      <c r="J2154" s="65">
        <f>ROUND(SUMIF(Consumo!$P$4:$P$189,"#"&amp;$A2154,Consumo!M$4:M$189),4)</f>
        <v/>
      </c>
      <c r="K2154" s="65">
        <f>ROUND(SUMIF(Consumo!$P$4:$P$189,"#"&amp;$A2154,Consumo!N$4:N$189),4)</f>
        <v/>
      </c>
      <c r="L2154" s="65">
        <f>ROUND(SUMIF(Consumo!$P$4:$P$189,"#"&amp;$A2154,Consumo!O$4:O$189),4)</f>
        <v/>
      </c>
      <c r="M2154" s="66" t="n"/>
    </row>
    <row r="2155">
      <c r="C2155" s="63" t="inlineStr">
        <is>
          <t>Recepciones programadas (ya pedido)</t>
        </is>
      </c>
      <c r="D2155" s="64" t="n"/>
      <c r="E2155" s="65">
        <f>SUMIF(Inventario!$M$5:$M$505,"#"&amp;$A2154,Inventario!E$5:E$505)</f>
        <v/>
      </c>
      <c r="F2155" s="65">
        <f>SUMIF(Inventario!$M$5:$M$505,"#"&amp;$A2154,Inventario!F$5:F$505)</f>
        <v/>
      </c>
      <c r="G2155" s="65">
        <f>SUMIF(Inventario!$M$5:$M$505,"#"&amp;$A2154,Inventario!G$5:G$505)</f>
        <v/>
      </c>
      <c r="H2155" s="65">
        <f>SUMIF(Inventario!$M$5:$M$505,"#"&amp;$A2154,Inventario!H$5:H$505)</f>
        <v/>
      </c>
      <c r="I2155" s="65">
        <f>SUMIF(Inventario!$M$5:$M$505,"#"&amp;$A2154,Inventario!I$5:I$505)</f>
        <v/>
      </c>
      <c r="J2155" s="65">
        <f>SUMIF(Inventario!$M$5:$M$505,"#"&amp;$A2154,Inventario!J$5:J$505)</f>
        <v/>
      </c>
      <c r="K2155" s="65">
        <f>SUMIF(Inventario!$M$5:$M$505,"#"&amp;$A2154,Inventario!K$5:K$505)</f>
        <v/>
      </c>
      <c r="L2155" s="65">
        <f>SUMIF(Inventario!$M$5:$M$505,"#"&amp;$A2154,Inventario!L$5:L$505)</f>
        <v/>
      </c>
      <c r="M2155" s="66" t="n"/>
    </row>
    <row r="2156">
      <c r="C2156" s="63" t="inlineStr">
        <is>
          <t>Stock proyectado disponible</t>
        </is>
      </c>
      <c r="D2156" s="67">
        <f>SUMIF(Inventario!$M$5:$M$505,"#"&amp;$A2154,Inventario!$C$5:$C$505)</f>
        <v/>
      </c>
      <c r="E2156" s="68">
        <f>D2156+E2155+E2158-E2154</f>
        <v/>
      </c>
      <c r="F2156" s="68">
        <f>E2156+F2155+F2158-F2154</f>
        <v/>
      </c>
      <c r="G2156" s="68">
        <f>F2156+G2155+G2158-G2154</f>
        <v/>
      </c>
      <c r="H2156" s="68">
        <f>G2156+H2155+H2158-H2154</f>
        <v/>
      </c>
      <c r="I2156" s="68">
        <f>H2156+I2155+I2158-I2154</f>
        <v/>
      </c>
      <c r="J2156" s="68">
        <f>I2156+J2155+J2158-J2154</f>
        <v/>
      </c>
      <c r="K2156" s="68">
        <f>J2156+K2155+K2158-K2154</f>
        <v/>
      </c>
      <c r="L2156" s="68">
        <f>K2156+L2155+L2158-L2154</f>
        <v/>
      </c>
      <c r="M2156" s="66" t="n"/>
    </row>
    <row r="2157">
      <c r="C2157" s="63" t="inlineStr">
        <is>
          <t>Necesidad neta</t>
        </is>
      </c>
      <c r="D2157" s="64" t="n"/>
      <c r="E2157" s="69">
        <f>MAX(0,ROUND(E2154+Materiales!$H$311-D2156-E2155,4))</f>
        <v/>
      </c>
      <c r="F2157" s="69">
        <f>MAX(0,ROUND(F2154+Materiales!$H$311-E2156-F2155,4))</f>
        <v/>
      </c>
      <c r="G2157" s="69">
        <f>MAX(0,ROUND(G2154+Materiales!$H$311-F2156-G2155,4))</f>
        <v/>
      </c>
      <c r="H2157" s="69">
        <f>MAX(0,ROUND(H2154+Materiales!$H$311-G2156-H2155,4))</f>
        <v/>
      </c>
      <c r="I2157" s="69">
        <f>MAX(0,ROUND(I2154+Materiales!$H$311-H2156-I2155,4))</f>
        <v/>
      </c>
      <c r="J2157" s="69">
        <f>MAX(0,ROUND(J2154+Materiales!$H$311-I2156-J2155,4))</f>
        <v/>
      </c>
      <c r="K2157" s="69">
        <f>MAX(0,ROUND(K2154+Materiales!$H$311-J2156-K2155,4))</f>
        <v/>
      </c>
      <c r="L2157" s="69">
        <f>MAX(0,ROUND(L2154+Materiales!$H$311-K2156-L2155,4))</f>
        <v/>
      </c>
      <c r="M2157" s="66" t="n"/>
    </row>
    <row r="2158">
      <c r="C2158" s="63" t="inlineStr">
        <is>
          <t>Recepcion de orden planificada</t>
        </is>
      </c>
      <c r="D2158" s="64" t="n"/>
      <c r="E2158" s="65">
        <f>IF(E2157&lt;=0,0,IF(Materiales!$G$311&lt;=0,E2157,ROUNDUP(E2157/Materiales!$G$311,0)*Materiales!$G$311))</f>
        <v/>
      </c>
      <c r="F2158" s="65">
        <f>IF(F2157&lt;=0,0,IF(Materiales!$G$311&lt;=0,F2157,ROUNDUP(F2157/Materiales!$G$311,0)*Materiales!$G$311))</f>
        <v/>
      </c>
      <c r="G2158" s="65">
        <f>IF(G2157&lt;=0,0,IF(Materiales!$G$311&lt;=0,G2157,ROUNDUP(G2157/Materiales!$G$311,0)*Materiales!$G$311))</f>
        <v/>
      </c>
      <c r="H2158" s="65">
        <f>IF(H2157&lt;=0,0,IF(Materiales!$G$311&lt;=0,H2157,ROUNDUP(H2157/Materiales!$G$311,0)*Materiales!$G$311))</f>
        <v/>
      </c>
      <c r="I2158" s="65">
        <f>IF(I2157&lt;=0,0,IF(Materiales!$G$311&lt;=0,I2157,ROUNDUP(I2157/Materiales!$G$311,0)*Materiales!$G$311))</f>
        <v/>
      </c>
      <c r="J2158" s="65">
        <f>IF(J2157&lt;=0,0,IF(Materiales!$G$311&lt;=0,J2157,ROUNDUP(J2157/Materiales!$G$311,0)*Materiales!$G$311))</f>
        <v/>
      </c>
      <c r="K2158" s="65">
        <f>IF(K2157&lt;=0,0,IF(Materiales!$G$311&lt;=0,K2157,ROUNDUP(K2157/Materiales!$G$311,0)*Materiales!$G$311))</f>
        <v/>
      </c>
      <c r="L2158" s="65">
        <f>IF(L2157&lt;=0,0,IF(Materiales!$G$311&lt;=0,L2157,ROUNDUP(L2157/Materiales!$G$311,0)*Materiales!$G$311))</f>
        <v/>
      </c>
      <c r="M2158" s="66" t="n"/>
    </row>
    <row r="2159">
      <c r="C2159" s="70" t="inlineStr">
        <is>
          <t>LANZAMIENTO DE ORDEN — pedir esta semana</t>
        </is>
      </c>
      <c r="D2159" s="64" t="n"/>
      <c r="E2159" s="71">
        <f>IF(1+Materiales!$F$311&gt;8,0,INDEX($E$2158:$L$2158,1,1+Materiales!$F$311))</f>
        <v/>
      </c>
      <c r="F2159" s="71">
        <f>IF(2+Materiales!$F$311&gt;8,0,INDEX($E$2158:$L$2158,1,2+Materiales!$F$311))</f>
        <v/>
      </c>
      <c r="G2159" s="71">
        <f>IF(3+Materiales!$F$311&gt;8,0,INDEX($E$2158:$L$2158,1,3+Materiales!$F$311))</f>
        <v/>
      </c>
      <c r="H2159" s="71">
        <f>IF(4+Materiales!$F$311&gt;8,0,INDEX($E$2158:$L$2158,1,4+Materiales!$F$311))</f>
        <v/>
      </c>
      <c r="I2159" s="71">
        <f>IF(5+Materiales!$F$311&gt;8,0,INDEX($E$2158:$L$2158,1,5+Materiales!$F$311))</f>
        <v/>
      </c>
      <c r="J2159" s="71">
        <f>IF(6+Materiales!$F$311&gt;8,0,INDEX($E$2158:$L$2158,1,6+Materiales!$F$311))</f>
        <v/>
      </c>
      <c r="K2159" s="71">
        <f>IF(7+Materiales!$F$311&gt;8,0,INDEX($E$2158:$L$2158,1,7+Materiales!$F$311))</f>
        <v/>
      </c>
      <c r="L2159" s="71">
        <f>IF(8+Materiales!$F$311&gt;8,0,INDEX($E$2158:$L$2158,1,8+Materiales!$F$311))</f>
        <v/>
      </c>
      <c r="M2159" s="72">
        <f>IF($A2154="","",IF(SUMPRODUCT((COLUMN($E$2158:$L$2158)-4&lt;=Materiales!$F$311)*$E$2158:$L$2158)&gt;0,"PEDIR YA (atrasado)","OK"))</f>
        <v/>
      </c>
    </row>
    <row r="2160" ht="6" customHeight="1"/>
    <row r="2161">
      <c r="A2161" s="62">
        <f>IF(Materiales!$A$312="","",Materiales!$A$312)</f>
        <v/>
      </c>
      <c r="B2161" s="62">
        <f>IF(Materiales!$B$312="","",Materiales!$B$312)</f>
        <v/>
      </c>
      <c r="C2161" s="63" t="inlineStr">
        <is>
          <t>Necesidad bruta</t>
        </is>
      </c>
      <c r="D2161" s="64" t="n"/>
      <c r="E2161" s="65">
        <f>ROUND(SUMIF(Consumo!$P$4:$P$189,"#"&amp;$A2161,Consumo!H$4:H$189),4)</f>
        <v/>
      </c>
      <c r="F2161" s="65">
        <f>ROUND(SUMIF(Consumo!$P$4:$P$189,"#"&amp;$A2161,Consumo!I$4:I$189),4)</f>
        <v/>
      </c>
      <c r="G2161" s="65">
        <f>ROUND(SUMIF(Consumo!$P$4:$P$189,"#"&amp;$A2161,Consumo!J$4:J$189),4)</f>
        <v/>
      </c>
      <c r="H2161" s="65">
        <f>ROUND(SUMIF(Consumo!$P$4:$P$189,"#"&amp;$A2161,Consumo!K$4:K$189),4)</f>
        <v/>
      </c>
      <c r="I2161" s="65">
        <f>ROUND(SUMIF(Consumo!$P$4:$P$189,"#"&amp;$A2161,Consumo!L$4:L$189),4)</f>
        <v/>
      </c>
      <c r="J2161" s="65">
        <f>ROUND(SUMIF(Consumo!$P$4:$P$189,"#"&amp;$A2161,Consumo!M$4:M$189),4)</f>
        <v/>
      </c>
      <c r="K2161" s="65">
        <f>ROUND(SUMIF(Consumo!$P$4:$P$189,"#"&amp;$A2161,Consumo!N$4:N$189),4)</f>
        <v/>
      </c>
      <c r="L2161" s="65">
        <f>ROUND(SUMIF(Consumo!$P$4:$P$189,"#"&amp;$A2161,Consumo!O$4:O$189),4)</f>
        <v/>
      </c>
      <c r="M2161" s="66" t="n"/>
    </row>
    <row r="2162">
      <c r="C2162" s="63" t="inlineStr">
        <is>
          <t>Recepciones programadas (ya pedido)</t>
        </is>
      </c>
      <c r="D2162" s="64" t="n"/>
      <c r="E2162" s="65">
        <f>SUMIF(Inventario!$M$5:$M$505,"#"&amp;$A2161,Inventario!E$5:E$505)</f>
        <v/>
      </c>
      <c r="F2162" s="65">
        <f>SUMIF(Inventario!$M$5:$M$505,"#"&amp;$A2161,Inventario!F$5:F$505)</f>
        <v/>
      </c>
      <c r="G2162" s="65">
        <f>SUMIF(Inventario!$M$5:$M$505,"#"&amp;$A2161,Inventario!G$5:G$505)</f>
        <v/>
      </c>
      <c r="H2162" s="65">
        <f>SUMIF(Inventario!$M$5:$M$505,"#"&amp;$A2161,Inventario!H$5:H$505)</f>
        <v/>
      </c>
      <c r="I2162" s="65">
        <f>SUMIF(Inventario!$M$5:$M$505,"#"&amp;$A2161,Inventario!I$5:I$505)</f>
        <v/>
      </c>
      <c r="J2162" s="65">
        <f>SUMIF(Inventario!$M$5:$M$505,"#"&amp;$A2161,Inventario!J$5:J$505)</f>
        <v/>
      </c>
      <c r="K2162" s="65">
        <f>SUMIF(Inventario!$M$5:$M$505,"#"&amp;$A2161,Inventario!K$5:K$505)</f>
        <v/>
      </c>
      <c r="L2162" s="65">
        <f>SUMIF(Inventario!$M$5:$M$505,"#"&amp;$A2161,Inventario!L$5:L$505)</f>
        <v/>
      </c>
      <c r="M2162" s="66" t="n"/>
    </row>
    <row r="2163">
      <c r="C2163" s="63" t="inlineStr">
        <is>
          <t>Stock proyectado disponible</t>
        </is>
      </c>
      <c r="D2163" s="67">
        <f>SUMIF(Inventario!$M$5:$M$505,"#"&amp;$A2161,Inventario!$C$5:$C$505)</f>
        <v/>
      </c>
      <c r="E2163" s="68">
        <f>D2163+E2162+E2165-E2161</f>
        <v/>
      </c>
      <c r="F2163" s="68">
        <f>E2163+F2162+F2165-F2161</f>
        <v/>
      </c>
      <c r="G2163" s="68">
        <f>F2163+G2162+G2165-G2161</f>
        <v/>
      </c>
      <c r="H2163" s="68">
        <f>G2163+H2162+H2165-H2161</f>
        <v/>
      </c>
      <c r="I2163" s="68">
        <f>H2163+I2162+I2165-I2161</f>
        <v/>
      </c>
      <c r="J2163" s="68">
        <f>I2163+J2162+J2165-J2161</f>
        <v/>
      </c>
      <c r="K2163" s="68">
        <f>J2163+K2162+K2165-K2161</f>
        <v/>
      </c>
      <c r="L2163" s="68">
        <f>K2163+L2162+L2165-L2161</f>
        <v/>
      </c>
      <c r="M2163" s="66" t="n"/>
    </row>
    <row r="2164">
      <c r="C2164" s="63" t="inlineStr">
        <is>
          <t>Necesidad neta</t>
        </is>
      </c>
      <c r="D2164" s="64" t="n"/>
      <c r="E2164" s="69">
        <f>MAX(0,ROUND(E2161+Materiales!$H$312-D2163-E2162,4))</f>
        <v/>
      </c>
      <c r="F2164" s="69">
        <f>MAX(0,ROUND(F2161+Materiales!$H$312-E2163-F2162,4))</f>
        <v/>
      </c>
      <c r="G2164" s="69">
        <f>MAX(0,ROUND(G2161+Materiales!$H$312-F2163-G2162,4))</f>
        <v/>
      </c>
      <c r="H2164" s="69">
        <f>MAX(0,ROUND(H2161+Materiales!$H$312-G2163-H2162,4))</f>
        <v/>
      </c>
      <c r="I2164" s="69">
        <f>MAX(0,ROUND(I2161+Materiales!$H$312-H2163-I2162,4))</f>
        <v/>
      </c>
      <c r="J2164" s="69">
        <f>MAX(0,ROUND(J2161+Materiales!$H$312-I2163-J2162,4))</f>
        <v/>
      </c>
      <c r="K2164" s="69">
        <f>MAX(0,ROUND(K2161+Materiales!$H$312-J2163-K2162,4))</f>
        <v/>
      </c>
      <c r="L2164" s="69">
        <f>MAX(0,ROUND(L2161+Materiales!$H$312-K2163-L2162,4))</f>
        <v/>
      </c>
      <c r="M2164" s="66" t="n"/>
    </row>
    <row r="2165">
      <c r="C2165" s="63" t="inlineStr">
        <is>
          <t>Recepcion de orden planificada</t>
        </is>
      </c>
      <c r="D2165" s="64" t="n"/>
      <c r="E2165" s="65">
        <f>IF(E2164&lt;=0,0,IF(Materiales!$G$312&lt;=0,E2164,ROUNDUP(E2164/Materiales!$G$312,0)*Materiales!$G$312))</f>
        <v/>
      </c>
      <c r="F2165" s="65">
        <f>IF(F2164&lt;=0,0,IF(Materiales!$G$312&lt;=0,F2164,ROUNDUP(F2164/Materiales!$G$312,0)*Materiales!$G$312))</f>
        <v/>
      </c>
      <c r="G2165" s="65">
        <f>IF(G2164&lt;=0,0,IF(Materiales!$G$312&lt;=0,G2164,ROUNDUP(G2164/Materiales!$G$312,0)*Materiales!$G$312))</f>
        <v/>
      </c>
      <c r="H2165" s="65">
        <f>IF(H2164&lt;=0,0,IF(Materiales!$G$312&lt;=0,H2164,ROUNDUP(H2164/Materiales!$G$312,0)*Materiales!$G$312))</f>
        <v/>
      </c>
      <c r="I2165" s="65">
        <f>IF(I2164&lt;=0,0,IF(Materiales!$G$312&lt;=0,I2164,ROUNDUP(I2164/Materiales!$G$312,0)*Materiales!$G$312))</f>
        <v/>
      </c>
      <c r="J2165" s="65">
        <f>IF(J2164&lt;=0,0,IF(Materiales!$G$312&lt;=0,J2164,ROUNDUP(J2164/Materiales!$G$312,0)*Materiales!$G$312))</f>
        <v/>
      </c>
      <c r="K2165" s="65">
        <f>IF(K2164&lt;=0,0,IF(Materiales!$G$312&lt;=0,K2164,ROUNDUP(K2164/Materiales!$G$312,0)*Materiales!$G$312))</f>
        <v/>
      </c>
      <c r="L2165" s="65">
        <f>IF(L2164&lt;=0,0,IF(Materiales!$G$312&lt;=0,L2164,ROUNDUP(L2164/Materiales!$G$312,0)*Materiales!$G$312))</f>
        <v/>
      </c>
      <c r="M2165" s="66" t="n"/>
    </row>
    <row r="2166">
      <c r="C2166" s="70" t="inlineStr">
        <is>
          <t>LANZAMIENTO DE ORDEN — pedir esta semana</t>
        </is>
      </c>
      <c r="D2166" s="64" t="n"/>
      <c r="E2166" s="71">
        <f>IF(1+Materiales!$F$312&gt;8,0,INDEX($E$2165:$L$2165,1,1+Materiales!$F$312))</f>
        <v/>
      </c>
      <c r="F2166" s="71">
        <f>IF(2+Materiales!$F$312&gt;8,0,INDEX($E$2165:$L$2165,1,2+Materiales!$F$312))</f>
        <v/>
      </c>
      <c r="G2166" s="71">
        <f>IF(3+Materiales!$F$312&gt;8,0,INDEX($E$2165:$L$2165,1,3+Materiales!$F$312))</f>
        <v/>
      </c>
      <c r="H2166" s="71">
        <f>IF(4+Materiales!$F$312&gt;8,0,INDEX($E$2165:$L$2165,1,4+Materiales!$F$312))</f>
        <v/>
      </c>
      <c r="I2166" s="71">
        <f>IF(5+Materiales!$F$312&gt;8,0,INDEX($E$2165:$L$2165,1,5+Materiales!$F$312))</f>
        <v/>
      </c>
      <c r="J2166" s="71">
        <f>IF(6+Materiales!$F$312&gt;8,0,INDEX($E$2165:$L$2165,1,6+Materiales!$F$312))</f>
        <v/>
      </c>
      <c r="K2166" s="71">
        <f>IF(7+Materiales!$F$312&gt;8,0,INDEX($E$2165:$L$2165,1,7+Materiales!$F$312))</f>
        <v/>
      </c>
      <c r="L2166" s="71">
        <f>IF(8+Materiales!$F$312&gt;8,0,INDEX($E$2165:$L$2165,1,8+Materiales!$F$312))</f>
        <v/>
      </c>
      <c r="M2166" s="72">
        <f>IF($A2161="","",IF(SUMPRODUCT((COLUMN($E$2165:$L$2165)-4&lt;=Materiales!$F$312)*$E$2165:$L$2165)&gt;0,"PEDIR YA (atrasado)","OK"))</f>
        <v/>
      </c>
    </row>
    <row r="2167" ht="6" customHeight="1"/>
    <row r="2168">
      <c r="A2168" s="62">
        <f>IF(Materiales!$A$313="","",Materiales!$A$313)</f>
        <v/>
      </c>
      <c r="B2168" s="62">
        <f>IF(Materiales!$B$313="","",Materiales!$B$313)</f>
        <v/>
      </c>
      <c r="C2168" s="63" t="inlineStr">
        <is>
          <t>Necesidad bruta</t>
        </is>
      </c>
      <c r="D2168" s="64" t="n"/>
      <c r="E2168" s="65">
        <f>ROUND(SUMIF(Consumo!$P$4:$P$189,"#"&amp;$A2168,Consumo!H$4:H$189),4)</f>
        <v/>
      </c>
      <c r="F2168" s="65">
        <f>ROUND(SUMIF(Consumo!$P$4:$P$189,"#"&amp;$A2168,Consumo!I$4:I$189),4)</f>
        <v/>
      </c>
      <c r="G2168" s="65">
        <f>ROUND(SUMIF(Consumo!$P$4:$P$189,"#"&amp;$A2168,Consumo!J$4:J$189),4)</f>
        <v/>
      </c>
      <c r="H2168" s="65">
        <f>ROUND(SUMIF(Consumo!$P$4:$P$189,"#"&amp;$A2168,Consumo!K$4:K$189),4)</f>
        <v/>
      </c>
      <c r="I2168" s="65">
        <f>ROUND(SUMIF(Consumo!$P$4:$P$189,"#"&amp;$A2168,Consumo!L$4:L$189),4)</f>
        <v/>
      </c>
      <c r="J2168" s="65">
        <f>ROUND(SUMIF(Consumo!$P$4:$P$189,"#"&amp;$A2168,Consumo!M$4:M$189),4)</f>
        <v/>
      </c>
      <c r="K2168" s="65">
        <f>ROUND(SUMIF(Consumo!$P$4:$P$189,"#"&amp;$A2168,Consumo!N$4:N$189),4)</f>
        <v/>
      </c>
      <c r="L2168" s="65">
        <f>ROUND(SUMIF(Consumo!$P$4:$P$189,"#"&amp;$A2168,Consumo!O$4:O$189),4)</f>
        <v/>
      </c>
      <c r="M2168" s="66" t="n"/>
    </row>
    <row r="2169">
      <c r="C2169" s="63" t="inlineStr">
        <is>
          <t>Recepciones programadas (ya pedido)</t>
        </is>
      </c>
      <c r="D2169" s="64" t="n"/>
      <c r="E2169" s="65">
        <f>SUMIF(Inventario!$M$5:$M$505,"#"&amp;$A2168,Inventario!E$5:E$505)</f>
        <v/>
      </c>
      <c r="F2169" s="65">
        <f>SUMIF(Inventario!$M$5:$M$505,"#"&amp;$A2168,Inventario!F$5:F$505)</f>
        <v/>
      </c>
      <c r="G2169" s="65">
        <f>SUMIF(Inventario!$M$5:$M$505,"#"&amp;$A2168,Inventario!G$5:G$505)</f>
        <v/>
      </c>
      <c r="H2169" s="65">
        <f>SUMIF(Inventario!$M$5:$M$505,"#"&amp;$A2168,Inventario!H$5:H$505)</f>
        <v/>
      </c>
      <c r="I2169" s="65">
        <f>SUMIF(Inventario!$M$5:$M$505,"#"&amp;$A2168,Inventario!I$5:I$505)</f>
        <v/>
      </c>
      <c r="J2169" s="65">
        <f>SUMIF(Inventario!$M$5:$M$505,"#"&amp;$A2168,Inventario!J$5:J$505)</f>
        <v/>
      </c>
      <c r="K2169" s="65">
        <f>SUMIF(Inventario!$M$5:$M$505,"#"&amp;$A2168,Inventario!K$5:K$505)</f>
        <v/>
      </c>
      <c r="L2169" s="65">
        <f>SUMIF(Inventario!$M$5:$M$505,"#"&amp;$A2168,Inventario!L$5:L$505)</f>
        <v/>
      </c>
      <c r="M2169" s="66" t="n"/>
    </row>
    <row r="2170">
      <c r="C2170" s="63" t="inlineStr">
        <is>
          <t>Stock proyectado disponible</t>
        </is>
      </c>
      <c r="D2170" s="67">
        <f>SUMIF(Inventario!$M$5:$M$505,"#"&amp;$A2168,Inventario!$C$5:$C$505)</f>
        <v/>
      </c>
      <c r="E2170" s="68">
        <f>D2170+E2169+E2172-E2168</f>
        <v/>
      </c>
      <c r="F2170" s="68">
        <f>E2170+F2169+F2172-F2168</f>
        <v/>
      </c>
      <c r="G2170" s="68">
        <f>F2170+G2169+G2172-G2168</f>
        <v/>
      </c>
      <c r="H2170" s="68">
        <f>G2170+H2169+H2172-H2168</f>
        <v/>
      </c>
      <c r="I2170" s="68">
        <f>H2170+I2169+I2172-I2168</f>
        <v/>
      </c>
      <c r="J2170" s="68">
        <f>I2170+J2169+J2172-J2168</f>
        <v/>
      </c>
      <c r="K2170" s="68">
        <f>J2170+K2169+K2172-K2168</f>
        <v/>
      </c>
      <c r="L2170" s="68">
        <f>K2170+L2169+L2172-L2168</f>
        <v/>
      </c>
      <c r="M2170" s="66" t="n"/>
    </row>
    <row r="2171">
      <c r="C2171" s="63" t="inlineStr">
        <is>
          <t>Necesidad neta</t>
        </is>
      </c>
      <c r="D2171" s="64" t="n"/>
      <c r="E2171" s="69">
        <f>MAX(0,ROUND(E2168+Materiales!$H$313-D2170-E2169,4))</f>
        <v/>
      </c>
      <c r="F2171" s="69">
        <f>MAX(0,ROUND(F2168+Materiales!$H$313-E2170-F2169,4))</f>
        <v/>
      </c>
      <c r="G2171" s="69">
        <f>MAX(0,ROUND(G2168+Materiales!$H$313-F2170-G2169,4))</f>
        <v/>
      </c>
      <c r="H2171" s="69">
        <f>MAX(0,ROUND(H2168+Materiales!$H$313-G2170-H2169,4))</f>
        <v/>
      </c>
      <c r="I2171" s="69">
        <f>MAX(0,ROUND(I2168+Materiales!$H$313-H2170-I2169,4))</f>
        <v/>
      </c>
      <c r="J2171" s="69">
        <f>MAX(0,ROUND(J2168+Materiales!$H$313-I2170-J2169,4))</f>
        <v/>
      </c>
      <c r="K2171" s="69">
        <f>MAX(0,ROUND(K2168+Materiales!$H$313-J2170-K2169,4))</f>
        <v/>
      </c>
      <c r="L2171" s="69">
        <f>MAX(0,ROUND(L2168+Materiales!$H$313-K2170-L2169,4))</f>
        <v/>
      </c>
      <c r="M2171" s="66" t="n"/>
    </row>
    <row r="2172">
      <c r="C2172" s="63" t="inlineStr">
        <is>
          <t>Recepcion de orden planificada</t>
        </is>
      </c>
      <c r="D2172" s="64" t="n"/>
      <c r="E2172" s="65">
        <f>IF(E2171&lt;=0,0,IF(Materiales!$G$313&lt;=0,E2171,ROUNDUP(E2171/Materiales!$G$313,0)*Materiales!$G$313))</f>
        <v/>
      </c>
      <c r="F2172" s="65">
        <f>IF(F2171&lt;=0,0,IF(Materiales!$G$313&lt;=0,F2171,ROUNDUP(F2171/Materiales!$G$313,0)*Materiales!$G$313))</f>
        <v/>
      </c>
      <c r="G2172" s="65">
        <f>IF(G2171&lt;=0,0,IF(Materiales!$G$313&lt;=0,G2171,ROUNDUP(G2171/Materiales!$G$313,0)*Materiales!$G$313))</f>
        <v/>
      </c>
      <c r="H2172" s="65">
        <f>IF(H2171&lt;=0,0,IF(Materiales!$G$313&lt;=0,H2171,ROUNDUP(H2171/Materiales!$G$313,0)*Materiales!$G$313))</f>
        <v/>
      </c>
      <c r="I2172" s="65">
        <f>IF(I2171&lt;=0,0,IF(Materiales!$G$313&lt;=0,I2171,ROUNDUP(I2171/Materiales!$G$313,0)*Materiales!$G$313))</f>
        <v/>
      </c>
      <c r="J2172" s="65">
        <f>IF(J2171&lt;=0,0,IF(Materiales!$G$313&lt;=0,J2171,ROUNDUP(J2171/Materiales!$G$313,0)*Materiales!$G$313))</f>
        <v/>
      </c>
      <c r="K2172" s="65">
        <f>IF(K2171&lt;=0,0,IF(Materiales!$G$313&lt;=0,K2171,ROUNDUP(K2171/Materiales!$G$313,0)*Materiales!$G$313))</f>
        <v/>
      </c>
      <c r="L2172" s="65">
        <f>IF(L2171&lt;=0,0,IF(Materiales!$G$313&lt;=0,L2171,ROUNDUP(L2171/Materiales!$G$313,0)*Materiales!$G$313))</f>
        <v/>
      </c>
      <c r="M2172" s="66" t="n"/>
    </row>
    <row r="2173">
      <c r="C2173" s="70" t="inlineStr">
        <is>
          <t>LANZAMIENTO DE ORDEN — pedir esta semana</t>
        </is>
      </c>
      <c r="D2173" s="64" t="n"/>
      <c r="E2173" s="71">
        <f>IF(1+Materiales!$F$313&gt;8,0,INDEX($E$2172:$L$2172,1,1+Materiales!$F$313))</f>
        <v/>
      </c>
      <c r="F2173" s="71">
        <f>IF(2+Materiales!$F$313&gt;8,0,INDEX($E$2172:$L$2172,1,2+Materiales!$F$313))</f>
        <v/>
      </c>
      <c r="G2173" s="71">
        <f>IF(3+Materiales!$F$313&gt;8,0,INDEX($E$2172:$L$2172,1,3+Materiales!$F$313))</f>
        <v/>
      </c>
      <c r="H2173" s="71">
        <f>IF(4+Materiales!$F$313&gt;8,0,INDEX($E$2172:$L$2172,1,4+Materiales!$F$313))</f>
        <v/>
      </c>
      <c r="I2173" s="71">
        <f>IF(5+Materiales!$F$313&gt;8,0,INDEX($E$2172:$L$2172,1,5+Materiales!$F$313))</f>
        <v/>
      </c>
      <c r="J2173" s="71">
        <f>IF(6+Materiales!$F$313&gt;8,0,INDEX($E$2172:$L$2172,1,6+Materiales!$F$313))</f>
        <v/>
      </c>
      <c r="K2173" s="71">
        <f>IF(7+Materiales!$F$313&gt;8,0,INDEX($E$2172:$L$2172,1,7+Materiales!$F$313))</f>
        <v/>
      </c>
      <c r="L2173" s="71">
        <f>IF(8+Materiales!$F$313&gt;8,0,INDEX($E$2172:$L$2172,1,8+Materiales!$F$313))</f>
        <v/>
      </c>
      <c r="M2173" s="72">
        <f>IF($A2168="","",IF(SUMPRODUCT((COLUMN($E$2172:$L$2172)-4&lt;=Materiales!$F$313)*$E$2172:$L$2172)&gt;0,"PEDIR YA (atrasado)","OK"))</f>
        <v/>
      </c>
    </row>
    <row r="2174" ht="6" customHeight="1"/>
    <row r="2175">
      <c r="A2175" s="62">
        <f>IF(Materiales!$A$314="","",Materiales!$A$314)</f>
        <v/>
      </c>
      <c r="B2175" s="62">
        <f>IF(Materiales!$B$314="","",Materiales!$B$314)</f>
        <v/>
      </c>
      <c r="C2175" s="63" t="inlineStr">
        <is>
          <t>Necesidad bruta</t>
        </is>
      </c>
      <c r="D2175" s="64" t="n"/>
      <c r="E2175" s="65">
        <f>ROUND(SUMIF(Consumo!$P$4:$P$189,"#"&amp;$A2175,Consumo!H$4:H$189),4)</f>
        <v/>
      </c>
      <c r="F2175" s="65">
        <f>ROUND(SUMIF(Consumo!$P$4:$P$189,"#"&amp;$A2175,Consumo!I$4:I$189),4)</f>
        <v/>
      </c>
      <c r="G2175" s="65">
        <f>ROUND(SUMIF(Consumo!$P$4:$P$189,"#"&amp;$A2175,Consumo!J$4:J$189),4)</f>
        <v/>
      </c>
      <c r="H2175" s="65">
        <f>ROUND(SUMIF(Consumo!$P$4:$P$189,"#"&amp;$A2175,Consumo!K$4:K$189),4)</f>
        <v/>
      </c>
      <c r="I2175" s="65">
        <f>ROUND(SUMIF(Consumo!$P$4:$P$189,"#"&amp;$A2175,Consumo!L$4:L$189),4)</f>
        <v/>
      </c>
      <c r="J2175" s="65">
        <f>ROUND(SUMIF(Consumo!$P$4:$P$189,"#"&amp;$A2175,Consumo!M$4:M$189),4)</f>
        <v/>
      </c>
      <c r="K2175" s="65">
        <f>ROUND(SUMIF(Consumo!$P$4:$P$189,"#"&amp;$A2175,Consumo!N$4:N$189),4)</f>
        <v/>
      </c>
      <c r="L2175" s="65">
        <f>ROUND(SUMIF(Consumo!$P$4:$P$189,"#"&amp;$A2175,Consumo!O$4:O$189),4)</f>
        <v/>
      </c>
      <c r="M2175" s="66" t="n"/>
    </row>
    <row r="2176">
      <c r="C2176" s="63" t="inlineStr">
        <is>
          <t>Recepciones programadas (ya pedido)</t>
        </is>
      </c>
      <c r="D2176" s="64" t="n"/>
      <c r="E2176" s="65">
        <f>SUMIF(Inventario!$M$5:$M$505,"#"&amp;$A2175,Inventario!E$5:E$505)</f>
        <v/>
      </c>
      <c r="F2176" s="65">
        <f>SUMIF(Inventario!$M$5:$M$505,"#"&amp;$A2175,Inventario!F$5:F$505)</f>
        <v/>
      </c>
      <c r="G2176" s="65">
        <f>SUMIF(Inventario!$M$5:$M$505,"#"&amp;$A2175,Inventario!G$5:G$505)</f>
        <v/>
      </c>
      <c r="H2176" s="65">
        <f>SUMIF(Inventario!$M$5:$M$505,"#"&amp;$A2175,Inventario!H$5:H$505)</f>
        <v/>
      </c>
      <c r="I2176" s="65">
        <f>SUMIF(Inventario!$M$5:$M$505,"#"&amp;$A2175,Inventario!I$5:I$505)</f>
        <v/>
      </c>
      <c r="J2176" s="65">
        <f>SUMIF(Inventario!$M$5:$M$505,"#"&amp;$A2175,Inventario!J$5:J$505)</f>
        <v/>
      </c>
      <c r="K2176" s="65">
        <f>SUMIF(Inventario!$M$5:$M$505,"#"&amp;$A2175,Inventario!K$5:K$505)</f>
        <v/>
      </c>
      <c r="L2176" s="65">
        <f>SUMIF(Inventario!$M$5:$M$505,"#"&amp;$A2175,Inventario!L$5:L$505)</f>
        <v/>
      </c>
      <c r="M2176" s="66" t="n"/>
    </row>
    <row r="2177">
      <c r="C2177" s="63" t="inlineStr">
        <is>
          <t>Stock proyectado disponible</t>
        </is>
      </c>
      <c r="D2177" s="67">
        <f>SUMIF(Inventario!$M$5:$M$505,"#"&amp;$A2175,Inventario!$C$5:$C$505)</f>
        <v/>
      </c>
      <c r="E2177" s="68">
        <f>D2177+E2176+E2179-E2175</f>
        <v/>
      </c>
      <c r="F2177" s="68">
        <f>E2177+F2176+F2179-F2175</f>
        <v/>
      </c>
      <c r="G2177" s="68">
        <f>F2177+G2176+G2179-G2175</f>
        <v/>
      </c>
      <c r="H2177" s="68">
        <f>G2177+H2176+H2179-H2175</f>
        <v/>
      </c>
      <c r="I2177" s="68">
        <f>H2177+I2176+I2179-I2175</f>
        <v/>
      </c>
      <c r="J2177" s="68">
        <f>I2177+J2176+J2179-J2175</f>
        <v/>
      </c>
      <c r="K2177" s="68">
        <f>J2177+K2176+K2179-K2175</f>
        <v/>
      </c>
      <c r="L2177" s="68">
        <f>K2177+L2176+L2179-L2175</f>
        <v/>
      </c>
      <c r="M2177" s="66" t="n"/>
    </row>
    <row r="2178">
      <c r="C2178" s="63" t="inlineStr">
        <is>
          <t>Necesidad neta</t>
        </is>
      </c>
      <c r="D2178" s="64" t="n"/>
      <c r="E2178" s="69">
        <f>MAX(0,ROUND(E2175+Materiales!$H$314-D2177-E2176,4))</f>
        <v/>
      </c>
      <c r="F2178" s="69">
        <f>MAX(0,ROUND(F2175+Materiales!$H$314-E2177-F2176,4))</f>
        <v/>
      </c>
      <c r="G2178" s="69">
        <f>MAX(0,ROUND(G2175+Materiales!$H$314-F2177-G2176,4))</f>
        <v/>
      </c>
      <c r="H2178" s="69">
        <f>MAX(0,ROUND(H2175+Materiales!$H$314-G2177-H2176,4))</f>
        <v/>
      </c>
      <c r="I2178" s="69">
        <f>MAX(0,ROUND(I2175+Materiales!$H$314-H2177-I2176,4))</f>
        <v/>
      </c>
      <c r="J2178" s="69">
        <f>MAX(0,ROUND(J2175+Materiales!$H$314-I2177-J2176,4))</f>
        <v/>
      </c>
      <c r="K2178" s="69">
        <f>MAX(0,ROUND(K2175+Materiales!$H$314-J2177-K2176,4))</f>
        <v/>
      </c>
      <c r="L2178" s="69">
        <f>MAX(0,ROUND(L2175+Materiales!$H$314-K2177-L2176,4))</f>
        <v/>
      </c>
      <c r="M2178" s="66" t="n"/>
    </row>
    <row r="2179">
      <c r="C2179" s="63" t="inlineStr">
        <is>
          <t>Recepcion de orden planificada</t>
        </is>
      </c>
      <c r="D2179" s="64" t="n"/>
      <c r="E2179" s="65">
        <f>IF(E2178&lt;=0,0,IF(Materiales!$G$314&lt;=0,E2178,ROUNDUP(E2178/Materiales!$G$314,0)*Materiales!$G$314))</f>
        <v/>
      </c>
      <c r="F2179" s="65">
        <f>IF(F2178&lt;=0,0,IF(Materiales!$G$314&lt;=0,F2178,ROUNDUP(F2178/Materiales!$G$314,0)*Materiales!$G$314))</f>
        <v/>
      </c>
      <c r="G2179" s="65">
        <f>IF(G2178&lt;=0,0,IF(Materiales!$G$314&lt;=0,G2178,ROUNDUP(G2178/Materiales!$G$314,0)*Materiales!$G$314))</f>
        <v/>
      </c>
      <c r="H2179" s="65">
        <f>IF(H2178&lt;=0,0,IF(Materiales!$G$314&lt;=0,H2178,ROUNDUP(H2178/Materiales!$G$314,0)*Materiales!$G$314))</f>
        <v/>
      </c>
      <c r="I2179" s="65">
        <f>IF(I2178&lt;=0,0,IF(Materiales!$G$314&lt;=0,I2178,ROUNDUP(I2178/Materiales!$G$314,0)*Materiales!$G$314))</f>
        <v/>
      </c>
      <c r="J2179" s="65">
        <f>IF(J2178&lt;=0,0,IF(Materiales!$G$314&lt;=0,J2178,ROUNDUP(J2178/Materiales!$G$314,0)*Materiales!$G$314))</f>
        <v/>
      </c>
      <c r="K2179" s="65">
        <f>IF(K2178&lt;=0,0,IF(Materiales!$G$314&lt;=0,K2178,ROUNDUP(K2178/Materiales!$G$314,0)*Materiales!$G$314))</f>
        <v/>
      </c>
      <c r="L2179" s="65">
        <f>IF(L2178&lt;=0,0,IF(Materiales!$G$314&lt;=0,L2178,ROUNDUP(L2178/Materiales!$G$314,0)*Materiales!$G$314))</f>
        <v/>
      </c>
      <c r="M2179" s="66" t="n"/>
    </row>
    <row r="2180">
      <c r="C2180" s="70" t="inlineStr">
        <is>
          <t>LANZAMIENTO DE ORDEN — pedir esta semana</t>
        </is>
      </c>
      <c r="D2180" s="64" t="n"/>
      <c r="E2180" s="71">
        <f>IF(1+Materiales!$F$314&gt;8,0,INDEX($E$2179:$L$2179,1,1+Materiales!$F$314))</f>
        <v/>
      </c>
      <c r="F2180" s="71">
        <f>IF(2+Materiales!$F$314&gt;8,0,INDEX($E$2179:$L$2179,1,2+Materiales!$F$314))</f>
        <v/>
      </c>
      <c r="G2180" s="71">
        <f>IF(3+Materiales!$F$314&gt;8,0,INDEX($E$2179:$L$2179,1,3+Materiales!$F$314))</f>
        <v/>
      </c>
      <c r="H2180" s="71">
        <f>IF(4+Materiales!$F$314&gt;8,0,INDEX($E$2179:$L$2179,1,4+Materiales!$F$314))</f>
        <v/>
      </c>
      <c r="I2180" s="71">
        <f>IF(5+Materiales!$F$314&gt;8,0,INDEX($E$2179:$L$2179,1,5+Materiales!$F$314))</f>
        <v/>
      </c>
      <c r="J2180" s="71">
        <f>IF(6+Materiales!$F$314&gt;8,0,INDEX($E$2179:$L$2179,1,6+Materiales!$F$314))</f>
        <v/>
      </c>
      <c r="K2180" s="71">
        <f>IF(7+Materiales!$F$314&gt;8,0,INDEX($E$2179:$L$2179,1,7+Materiales!$F$314))</f>
        <v/>
      </c>
      <c r="L2180" s="71">
        <f>IF(8+Materiales!$F$314&gt;8,0,INDEX($E$2179:$L$2179,1,8+Materiales!$F$314))</f>
        <v/>
      </c>
      <c r="M2180" s="72">
        <f>IF($A2175="","",IF(SUMPRODUCT((COLUMN($E$2179:$L$2179)-4&lt;=Materiales!$F$314)*$E$2179:$L$2179)&gt;0,"PEDIR YA (atrasado)","OK"))</f>
        <v/>
      </c>
    </row>
    <row r="2181" ht="6" customHeight="1"/>
    <row r="2182">
      <c r="A2182" s="62">
        <f>IF(Materiales!$A$315="","",Materiales!$A$315)</f>
        <v/>
      </c>
      <c r="B2182" s="62">
        <f>IF(Materiales!$B$315="","",Materiales!$B$315)</f>
        <v/>
      </c>
      <c r="C2182" s="63" t="inlineStr">
        <is>
          <t>Necesidad bruta</t>
        </is>
      </c>
      <c r="D2182" s="64" t="n"/>
      <c r="E2182" s="65">
        <f>ROUND(SUMIF(Consumo!$P$4:$P$189,"#"&amp;$A2182,Consumo!H$4:H$189),4)</f>
        <v/>
      </c>
      <c r="F2182" s="65">
        <f>ROUND(SUMIF(Consumo!$P$4:$P$189,"#"&amp;$A2182,Consumo!I$4:I$189),4)</f>
        <v/>
      </c>
      <c r="G2182" s="65">
        <f>ROUND(SUMIF(Consumo!$P$4:$P$189,"#"&amp;$A2182,Consumo!J$4:J$189),4)</f>
        <v/>
      </c>
      <c r="H2182" s="65">
        <f>ROUND(SUMIF(Consumo!$P$4:$P$189,"#"&amp;$A2182,Consumo!K$4:K$189),4)</f>
        <v/>
      </c>
      <c r="I2182" s="65">
        <f>ROUND(SUMIF(Consumo!$P$4:$P$189,"#"&amp;$A2182,Consumo!L$4:L$189),4)</f>
        <v/>
      </c>
      <c r="J2182" s="65">
        <f>ROUND(SUMIF(Consumo!$P$4:$P$189,"#"&amp;$A2182,Consumo!M$4:M$189),4)</f>
        <v/>
      </c>
      <c r="K2182" s="65">
        <f>ROUND(SUMIF(Consumo!$P$4:$P$189,"#"&amp;$A2182,Consumo!N$4:N$189),4)</f>
        <v/>
      </c>
      <c r="L2182" s="65">
        <f>ROUND(SUMIF(Consumo!$P$4:$P$189,"#"&amp;$A2182,Consumo!O$4:O$189),4)</f>
        <v/>
      </c>
      <c r="M2182" s="66" t="n"/>
    </row>
    <row r="2183">
      <c r="C2183" s="63" t="inlineStr">
        <is>
          <t>Recepciones programadas (ya pedido)</t>
        </is>
      </c>
      <c r="D2183" s="64" t="n"/>
      <c r="E2183" s="65">
        <f>SUMIF(Inventario!$M$5:$M$505,"#"&amp;$A2182,Inventario!E$5:E$505)</f>
        <v/>
      </c>
      <c r="F2183" s="65">
        <f>SUMIF(Inventario!$M$5:$M$505,"#"&amp;$A2182,Inventario!F$5:F$505)</f>
        <v/>
      </c>
      <c r="G2183" s="65">
        <f>SUMIF(Inventario!$M$5:$M$505,"#"&amp;$A2182,Inventario!G$5:G$505)</f>
        <v/>
      </c>
      <c r="H2183" s="65">
        <f>SUMIF(Inventario!$M$5:$M$505,"#"&amp;$A2182,Inventario!H$5:H$505)</f>
        <v/>
      </c>
      <c r="I2183" s="65">
        <f>SUMIF(Inventario!$M$5:$M$505,"#"&amp;$A2182,Inventario!I$5:I$505)</f>
        <v/>
      </c>
      <c r="J2183" s="65">
        <f>SUMIF(Inventario!$M$5:$M$505,"#"&amp;$A2182,Inventario!J$5:J$505)</f>
        <v/>
      </c>
      <c r="K2183" s="65">
        <f>SUMIF(Inventario!$M$5:$M$505,"#"&amp;$A2182,Inventario!K$5:K$505)</f>
        <v/>
      </c>
      <c r="L2183" s="65">
        <f>SUMIF(Inventario!$M$5:$M$505,"#"&amp;$A2182,Inventario!L$5:L$505)</f>
        <v/>
      </c>
      <c r="M2183" s="66" t="n"/>
    </row>
    <row r="2184">
      <c r="C2184" s="63" t="inlineStr">
        <is>
          <t>Stock proyectado disponible</t>
        </is>
      </c>
      <c r="D2184" s="67">
        <f>SUMIF(Inventario!$M$5:$M$505,"#"&amp;$A2182,Inventario!$C$5:$C$505)</f>
        <v/>
      </c>
      <c r="E2184" s="68">
        <f>D2184+E2183+E2186-E2182</f>
        <v/>
      </c>
      <c r="F2184" s="68">
        <f>E2184+F2183+F2186-F2182</f>
        <v/>
      </c>
      <c r="G2184" s="68">
        <f>F2184+G2183+G2186-G2182</f>
        <v/>
      </c>
      <c r="H2184" s="68">
        <f>G2184+H2183+H2186-H2182</f>
        <v/>
      </c>
      <c r="I2184" s="68">
        <f>H2184+I2183+I2186-I2182</f>
        <v/>
      </c>
      <c r="J2184" s="68">
        <f>I2184+J2183+J2186-J2182</f>
        <v/>
      </c>
      <c r="K2184" s="68">
        <f>J2184+K2183+K2186-K2182</f>
        <v/>
      </c>
      <c r="L2184" s="68">
        <f>K2184+L2183+L2186-L2182</f>
        <v/>
      </c>
      <c r="M2184" s="66" t="n"/>
    </row>
    <row r="2185">
      <c r="C2185" s="63" t="inlineStr">
        <is>
          <t>Necesidad neta</t>
        </is>
      </c>
      <c r="D2185" s="64" t="n"/>
      <c r="E2185" s="69">
        <f>MAX(0,ROUND(E2182+Materiales!$H$315-D2184-E2183,4))</f>
        <v/>
      </c>
      <c r="F2185" s="69">
        <f>MAX(0,ROUND(F2182+Materiales!$H$315-E2184-F2183,4))</f>
        <v/>
      </c>
      <c r="G2185" s="69">
        <f>MAX(0,ROUND(G2182+Materiales!$H$315-F2184-G2183,4))</f>
        <v/>
      </c>
      <c r="H2185" s="69">
        <f>MAX(0,ROUND(H2182+Materiales!$H$315-G2184-H2183,4))</f>
        <v/>
      </c>
      <c r="I2185" s="69">
        <f>MAX(0,ROUND(I2182+Materiales!$H$315-H2184-I2183,4))</f>
        <v/>
      </c>
      <c r="J2185" s="69">
        <f>MAX(0,ROUND(J2182+Materiales!$H$315-I2184-J2183,4))</f>
        <v/>
      </c>
      <c r="K2185" s="69">
        <f>MAX(0,ROUND(K2182+Materiales!$H$315-J2184-K2183,4))</f>
        <v/>
      </c>
      <c r="L2185" s="69">
        <f>MAX(0,ROUND(L2182+Materiales!$H$315-K2184-L2183,4))</f>
        <v/>
      </c>
      <c r="M2185" s="66" t="n"/>
    </row>
    <row r="2186">
      <c r="C2186" s="63" t="inlineStr">
        <is>
          <t>Recepcion de orden planificada</t>
        </is>
      </c>
      <c r="D2186" s="64" t="n"/>
      <c r="E2186" s="65">
        <f>IF(E2185&lt;=0,0,IF(Materiales!$G$315&lt;=0,E2185,ROUNDUP(E2185/Materiales!$G$315,0)*Materiales!$G$315))</f>
        <v/>
      </c>
      <c r="F2186" s="65">
        <f>IF(F2185&lt;=0,0,IF(Materiales!$G$315&lt;=0,F2185,ROUNDUP(F2185/Materiales!$G$315,0)*Materiales!$G$315))</f>
        <v/>
      </c>
      <c r="G2186" s="65">
        <f>IF(G2185&lt;=0,0,IF(Materiales!$G$315&lt;=0,G2185,ROUNDUP(G2185/Materiales!$G$315,0)*Materiales!$G$315))</f>
        <v/>
      </c>
      <c r="H2186" s="65">
        <f>IF(H2185&lt;=0,0,IF(Materiales!$G$315&lt;=0,H2185,ROUNDUP(H2185/Materiales!$G$315,0)*Materiales!$G$315))</f>
        <v/>
      </c>
      <c r="I2186" s="65">
        <f>IF(I2185&lt;=0,0,IF(Materiales!$G$315&lt;=0,I2185,ROUNDUP(I2185/Materiales!$G$315,0)*Materiales!$G$315))</f>
        <v/>
      </c>
      <c r="J2186" s="65">
        <f>IF(J2185&lt;=0,0,IF(Materiales!$G$315&lt;=0,J2185,ROUNDUP(J2185/Materiales!$G$315,0)*Materiales!$G$315))</f>
        <v/>
      </c>
      <c r="K2186" s="65">
        <f>IF(K2185&lt;=0,0,IF(Materiales!$G$315&lt;=0,K2185,ROUNDUP(K2185/Materiales!$G$315,0)*Materiales!$G$315))</f>
        <v/>
      </c>
      <c r="L2186" s="65">
        <f>IF(L2185&lt;=0,0,IF(Materiales!$G$315&lt;=0,L2185,ROUNDUP(L2185/Materiales!$G$315,0)*Materiales!$G$315))</f>
        <v/>
      </c>
      <c r="M2186" s="66" t="n"/>
    </row>
    <row r="2187">
      <c r="C2187" s="70" t="inlineStr">
        <is>
          <t>LANZAMIENTO DE ORDEN — pedir esta semana</t>
        </is>
      </c>
      <c r="D2187" s="64" t="n"/>
      <c r="E2187" s="71">
        <f>IF(1+Materiales!$F$315&gt;8,0,INDEX($E$2186:$L$2186,1,1+Materiales!$F$315))</f>
        <v/>
      </c>
      <c r="F2187" s="71">
        <f>IF(2+Materiales!$F$315&gt;8,0,INDEX($E$2186:$L$2186,1,2+Materiales!$F$315))</f>
        <v/>
      </c>
      <c r="G2187" s="71">
        <f>IF(3+Materiales!$F$315&gt;8,0,INDEX($E$2186:$L$2186,1,3+Materiales!$F$315))</f>
        <v/>
      </c>
      <c r="H2187" s="71">
        <f>IF(4+Materiales!$F$315&gt;8,0,INDEX($E$2186:$L$2186,1,4+Materiales!$F$315))</f>
        <v/>
      </c>
      <c r="I2187" s="71">
        <f>IF(5+Materiales!$F$315&gt;8,0,INDEX($E$2186:$L$2186,1,5+Materiales!$F$315))</f>
        <v/>
      </c>
      <c r="J2187" s="71">
        <f>IF(6+Materiales!$F$315&gt;8,0,INDEX($E$2186:$L$2186,1,6+Materiales!$F$315))</f>
        <v/>
      </c>
      <c r="K2187" s="71">
        <f>IF(7+Materiales!$F$315&gt;8,0,INDEX($E$2186:$L$2186,1,7+Materiales!$F$315))</f>
        <v/>
      </c>
      <c r="L2187" s="71">
        <f>IF(8+Materiales!$F$315&gt;8,0,INDEX($E$2186:$L$2186,1,8+Materiales!$F$315))</f>
        <v/>
      </c>
      <c r="M2187" s="72">
        <f>IF($A2182="","",IF(SUMPRODUCT((COLUMN($E$2186:$L$2186)-4&lt;=Materiales!$F$315)*$E$2186:$L$2186)&gt;0,"PEDIR YA (atrasado)","OK"))</f>
        <v/>
      </c>
    </row>
    <row r="2188" ht="6" customHeight="1"/>
    <row r="2189">
      <c r="A2189" s="62">
        <f>IF(Materiales!$A$316="","",Materiales!$A$316)</f>
        <v/>
      </c>
      <c r="B2189" s="62">
        <f>IF(Materiales!$B$316="","",Materiales!$B$316)</f>
        <v/>
      </c>
      <c r="C2189" s="63" t="inlineStr">
        <is>
          <t>Necesidad bruta</t>
        </is>
      </c>
      <c r="D2189" s="64" t="n"/>
      <c r="E2189" s="65">
        <f>ROUND(SUMIF(Consumo!$P$4:$P$189,"#"&amp;$A2189,Consumo!H$4:H$189),4)</f>
        <v/>
      </c>
      <c r="F2189" s="65">
        <f>ROUND(SUMIF(Consumo!$P$4:$P$189,"#"&amp;$A2189,Consumo!I$4:I$189),4)</f>
        <v/>
      </c>
      <c r="G2189" s="65">
        <f>ROUND(SUMIF(Consumo!$P$4:$P$189,"#"&amp;$A2189,Consumo!J$4:J$189),4)</f>
        <v/>
      </c>
      <c r="H2189" s="65">
        <f>ROUND(SUMIF(Consumo!$P$4:$P$189,"#"&amp;$A2189,Consumo!K$4:K$189),4)</f>
        <v/>
      </c>
      <c r="I2189" s="65">
        <f>ROUND(SUMIF(Consumo!$P$4:$P$189,"#"&amp;$A2189,Consumo!L$4:L$189),4)</f>
        <v/>
      </c>
      <c r="J2189" s="65">
        <f>ROUND(SUMIF(Consumo!$P$4:$P$189,"#"&amp;$A2189,Consumo!M$4:M$189),4)</f>
        <v/>
      </c>
      <c r="K2189" s="65">
        <f>ROUND(SUMIF(Consumo!$P$4:$P$189,"#"&amp;$A2189,Consumo!N$4:N$189),4)</f>
        <v/>
      </c>
      <c r="L2189" s="65">
        <f>ROUND(SUMIF(Consumo!$P$4:$P$189,"#"&amp;$A2189,Consumo!O$4:O$189),4)</f>
        <v/>
      </c>
      <c r="M2189" s="66" t="n"/>
    </row>
    <row r="2190">
      <c r="C2190" s="63" t="inlineStr">
        <is>
          <t>Recepciones programadas (ya pedido)</t>
        </is>
      </c>
      <c r="D2190" s="64" t="n"/>
      <c r="E2190" s="65">
        <f>SUMIF(Inventario!$M$5:$M$505,"#"&amp;$A2189,Inventario!E$5:E$505)</f>
        <v/>
      </c>
      <c r="F2190" s="65">
        <f>SUMIF(Inventario!$M$5:$M$505,"#"&amp;$A2189,Inventario!F$5:F$505)</f>
        <v/>
      </c>
      <c r="G2190" s="65">
        <f>SUMIF(Inventario!$M$5:$M$505,"#"&amp;$A2189,Inventario!G$5:G$505)</f>
        <v/>
      </c>
      <c r="H2190" s="65">
        <f>SUMIF(Inventario!$M$5:$M$505,"#"&amp;$A2189,Inventario!H$5:H$505)</f>
        <v/>
      </c>
      <c r="I2190" s="65">
        <f>SUMIF(Inventario!$M$5:$M$505,"#"&amp;$A2189,Inventario!I$5:I$505)</f>
        <v/>
      </c>
      <c r="J2190" s="65">
        <f>SUMIF(Inventario!$M$5:$M$505,"#"&amp;$A2189,Inventario!J$5:J$505)</f>
        <v/>
      </c>
      <c r="K2190" s="65">
        <f>SUMIF(Inventario!$M$5:$M$505,"#"&amp;$A2189,Inventario!K$5:K$505)</f>
        <v/>
      </c>
      <c r="L2190" s="65">
        <f>SUMIF(Inventario!$M$5:$M$505,"#"&amp;$A2189,Inventario!L$5:L$505)</f>
        <v/>
      </c>
      <c r="M2190" s="66" t="n"/>
    </row>
    <row r="2191">
      <c r="C2191" s="63" t="inlineStr">
        <is>
          <t>Stock proyectado disponible</t>
        </is>
      </c>
      <c r="D2191" s="67">
        <f>SUMIF(Inventario!$M$5:$M$505,"#"&amp;$A2189,Inventario!$C$5:$C$505)</f>
        <v/>
      </c>
      <c r="E2191" s="68">
        <f>D2191+E2190+E2193-E2189</f>
        <v/>
      </c>
      <c r="F2191" s="68">
        <f>E2191+F2190+F2193-F2189</f>
        <v/>
      </c>
      <c r="G2191" s="68">
        <f>F2191+G2190+G2193-G2189</f>
        <v/>
      </c>
      <c r="H2191" s="68">
        <f>G2191+H2190+H2193-H2189</f>
        <v/>
      </c>
      <c r="I2191" s="68">
        <f>H2191+I2190+I2193-I2189</f>
        <v/>
      </c>
      <c r="J2191" s="68">
        <f>I2191+J2190+J2193-J2189</f>
        <v/>
      </c>
      <c r="K2191" s="68">
        <f>J2191+K2190+K2193-K2189</f>
        <v/>
      </c>
      <c r="L2191" s="68">
        <f>K2191+L2190+L2193-L2189</f>
        <v/>
      </c>
      <c r="M2191" s="66" t="n"/>
    </row>
    <row r="2192">
      <c r="C2192" s="63" t="inlineStr">
        <is>
          <t>Necesidad neta</t>
        </is>
      </c>
      <c r="D2192" s="64" t="n"/>
      <c r="E2192" s="69">
        <f>MAX(0,ROUND(E2189+Materiales!$H$316-D2191-E2190,4))</f>
        <v/>
      </c>
      <c r="F2192" s="69">
        <f>MAX(0,ROUND(F2189+Materiales!$H$316-E2191-F2190,4))</f>
        <v/>
      </c>
      <c r="G2192" s="69">
        <f>MAX(0,ROUND(G2189+Materiales!$H$316-F2191-G2190,4))</f>
        <v/>
      </c>
      <c r="H2192" s="69">
        <f>MAX(0,ROUND(H2189+Materiales!$H$316-G2191-H2190,4))</f>
        <v/>
      </c>
      <c r="I2192" s="69">
        <f>MAX(0,ROUND(I2189+Materiales!$H$316-H2191-I2190,4))</f>
        <v/>
      </c>
      <c r="J2192" s="69">
        <f>MAX(0,ROUND(J2189+Materiales!$H$316-I2191-J2190,4))</f>
        <v/>
      </c>
      <c r="K2192" s="69">
        <f>MAX(0,ROUND(K2189+Materiales!$H$316-J2191-K2190,4))</f>
        <v/>
      </c>
      <c r="L2192" s="69">
        <f>MAX(0,ROUND(L2189+Materiales!$H$316-K2191-L2190,4))</f>
        <v/>
      </c>
      <c r="M2192" s="66" t="n"/>
    </row>
    <row r="2193">
      <c r="C2193" s="63" t="inlineStr">
        <is>
          <t>Recepcion de orden planificada</t>
        </is>
      </c>
      <c r="D2193" s="64" t="n"/>
      <c r="E2193" s="65">
        <f>IF(E2192&lt;=0,0,IF(Materiales!$G$316&lt;=0,E2192,ROUNDUP(E2192/Materiales!$G$316,0)*Materiales!$G$316))</f>
        <v/>
      </c>
      <c r="F2193" s="65">
        <f>IF(F2192&lt;=0,0,IF(Materiales!$G$316&lt;=0,F2192,ROUNDUP(F2192/Materiales!$G$316,0)*Materiales!$G$316))</f>
        <v/>
      </c>
      <c r="G2193" s="65">
        <f>IF(G2192&lt;=0,0,IF(Materiales!$G$316&lt;=0,G2192,ROUNDUP(G2192/Materiales!$G$316,0)*Materiales!$G$316))</f>
        <v/>
      </c>
      <c r="H2193" s="65">
        <f>IF(H2192&lt;=0,0,IF(Materiales!$G$316&lt;=0,H2192,ROUNDUP(H2192/Materiales!$G$316,0)*Materiales!$G$316))</f>
        <v/>
      </c>
      <c r="I2193" s="65">
        <f>IF(I2192&lt;=0,0,IF(Materiales!$G$316&lt;=0,I2192,ROUNDUP(I2192/Materiales!$G$316,0)*Materiales!$G$316))</f>
        <v/>
      </c>
      <c r="J2193" s="65">
        <f>IF(J2192&lt;=0,0,IF(Materiales!$G$316&lt;=0,J2192,ROUNDUP(J2192/Materiales!$G$316,0)*Materiales!$G$316))</f>
        <v/>
      </c>
      <c r="K2193" s="65">
        <f>IF(K2192&lt;=0,0,IF(Materiales!$G$316&lt;=0,K2192,ROUNDUP(K2192/Materiales!$G$316,0)*Materiales!$G$316))</f>
        <v/>
      </c>
      <c r="L2193" s="65">
        <f>IF(L2192&lt;=0,0,IF(Materiales!$G$316&lt;=0,L2192,ROUNDUP(L2192/Materiales!$G$316,0)*Materiales!$G$316))</f>
        <v/>
      </c>
      <c r="M2193" s="66" t="n"/>
    </row>
    <row r="2194">
      <c r="C2194" s="70" t="inlineStr">
        <is>
          <t>LANZAMIENTO DE ORDEN — pedir esta semana</t>
        </is>
      </c>
      <c r="D2194" s="64" t="n"/>
      <c r="E2194" s="71">
        <f>IF(1+Materiales!$F$316&gt;8,0,INDEX($E$2193:$L$2193,1,1+Materiales!$F$316))</f>
        <v/>
      </c>
      <c r="F2194" s="71">
        <f>IF(2+Materiales!$F$316&gt;8,0,INDEX($E$2193:$L$2193,1,2+Materiales!$F$316))</f>
        <v/>
      </c>
      <c r="G2194" s="71">
        <f>IF(3+Materiales!$F$316&gt;8,0,INDEX($E$2193:$L$2193,1,3+Materiales!$F$316))</f>
        <v/>
      </c>
      <c r="H2194" s="71">
        <f>IF(4+Materiales!$F$316&gt;8,0,INDEX($E$2193:$L$2193,1,4+Materiales!$F$316))</f>
        <v/>
      </c>
      <c r="I2194" s="71">
        <f>IF(5+Materiales!$F$316&gt;8,0,INDEX($E$2193:$L$2193,1,5+Materiales!$F$316))</f>
        <v/>
      </c>
      <c r="J2194" s="71">
        <f>IF(6+Materiales!$F$316&gt;8,0,INDEX($E$2193:$L$2193,1,6+Materiales!$F$316))</f>
        <v/>
      </c>
      <c r="K2194" s="71">
        <f>IF(7+Materiales!$F$316&gt;8,0,INDEX($E$2193:$L$2193,1,7+Materiales!$F$316))</f>
        <v/>
      </c>
      <c r="L2194" s="71">
        <f>IF(8+Materiales!$F$316&gt;8,0,INDEX($E$2193:$L$2193,1,8+Materiales!$F$316))</f>
        <v/>
      </c>
      <c r="M2194" s="72">
        <f>IF($A2189="","",IF(SUMPRODUCT((COLUMN($E$2193:$L$2193)-4&lt;=Materiales!$F$316)*$E$2193:$L$2193)&gt;0,"PEDIR YA (atrasado)","OK"))</f>
        <v/>
      </c>
    </row>
    <row r="2195" ht="6" customHeight="1"/>
    <row r="2196">
      <c r="A2196" s="62">
        <f>IF(Materiales!$A$317="","",Materiales!$A$317)</f>
        <v/>
      </c>
      <c r="B2196" s="62">
        <f>IF(Materiales!$B$317="","",Materiales!$B$317)</f>
        <v/>
      </c>
      <c r="C2196" s="63" t="inlineStr">
        <is>
          <t>Necesidad bruta</t>
        </is>
      </c>
      <c r="D2196" s="64" t="n"/>
      <c r="E2196" s="65">
        <f>ROUND(SUMIF(Consumo!$P$4:$P$189,"#"&amp;$A2196,Consumo!H$4:H$189),4)</f>
        <v/>
      </c>
      <c r="F2196" s="65">
        <f>ROUND(SUMIF(Consumo!$P$4:$P$189,"#"&amp;$A2196,Consumo!I$4:I$189),4)</f>
        <v/>
      </c>
      <c r="G2196" s="65">
        <f>ROUND(SUMIF(Consumo!$P$4:$P$189,"#"&amp;$A2196,Consumo!J$4:J$189),4)</f>
        <v/>
      </c>
      <c r="H2196" s="65">
        <f>ROUND(SUMIF(Consumo!$P$4:$P$189,"#"&amp;$A2196,Consumo!K$4:K$189),4)</f>
        <v/>
      </c>
      <c r="I2196" s="65">
        <f>ROUND(SUMIF(Consumo!$P$4:$P$189,"#"&amp;$A2196,Consumo!L$4:L$189),4)</f>
        <v/>
      </c>
      <c r="J2196" s="65">
        <f>ROUND(SUMIF(Consumo!$P$4:$P$189,"#"&amp;$A2196,Consumo!M$4:M$189),4)</f>
        <v/>
      </c>
      <c r="K2196" s="65">
        <f>ROUND(SUMIF(Consumo!$P$4:$P$189,"#"&amp;$A2196,Consumo!N$4:N$189),4)</f>
        <v/>
      </c>
      <c r="L2196" s="65">
        <f>ROUND(SUMIF(Consumo!$P$4:$P$189,"#"&amp;$A2196,Consumo!O$4:O$189),4)</f>
        <v/>
      </c>
      <c r="M2196" s="66" t="n"/>
    </row>
    <row r="2197">
      <c r="C2197" s="63" t="inlineStr">
        <is>
          <t>Recepciones programadas (ya pedido)</t>
        </is>
      </c>
      <c r="D2197" s="64" t="n"/>
      <c r="E2197" s="65">
        <f>SUMIF(Inventario!$M$5:$M$505,"#"&amp;$A2196,Inventario!E$5:E$505)</f>
        <v/>
      </c>
      <c r="F2197" s="65">
        <f>SUMIF(Inventario!$M$5:$M$505,"#"&amp;$A2196,Inventario!F$5:F$505)</f>
        <v/>
      </c>
      <c r="G2197" s="65">
        <f>SUMIF(Inventario!$M$5:$M$505,"#"&amp;$A2196,Inventario!G$5:G$505)</f>
        <v/>
      </c>
      <c r="H2197" s="65">
        <f>SUMIF(Inventario!$M$5:$M$505,"#"&amp;$A2196,Inventario!H$5:H$505)</f>
        <v/>
      </c>
      <c r="I2197" s="65">
        <f>SUMIF(Inventario!$M$5:$M$505,"#"&amp;$A2196,Inventario!I$5:I$505)</f>
        <v/>
      </c>
      <c r="J2197" s="65">
        <f>SUMIF(Inventario!$M$5:$M$505,"#"&amp;$A2196,Inventario!J$5:J$505)</f>
        <v/>
      </c>
      <c r="K2197" s="65">
        <f>SUMIF(Inventario!$M$5:$M$505,"#"&amp;$A2196,Inventario!K$5:K$505)</f>
        <v/>
      </c>
      <c r="L2197" s="65">
        <f>SUMIF(Inventario!$M$5:$M$505,"#"&amp;$A2196,Inventario!L$5:L$505)</f>
        <v/>
      </c>
      <c r="M2197" s="66" t="n"/>
    </row>
    <row r="2198">
      <c r="C2198" s="63" t="inlineStr">
        <is>
          <t>Stock proyectado disponible</t>
        </is>
      </c>
      <c r="D2198" s="67">
        <f>SUMIF(Inventario!$M$5:$M$505,"#"&amp;$A2196,Inventario!$C$5:$C$505)</f>
        <v/>
      </c>
      <c r="E2198" s="68">
        <f>D2198+E2197+E2200-E2196</f>
        <v/>
      </c>
      <c r="F2198" s="68">
        <f>E2198+F2197+F2200-F2196</f>
        <v/>
      </c>
      <c r="G2198" s="68">
        <f>F2198+G2197+G2200-G2196</f>
        <v/>
      </c>
      <c r="H2198" s="68">
        <f>G2198+H2197+H2200-H2196</f>
        <v/>
      </c>
      <c r="I2198" s="68">
        <f>H2198+I2197+I2200-I2196</f>
        <v/>
      </c>
      <c r="J2198" s="68">
        <f>I2198+J2197+J2200-J2196</f>
        <v/>
      </c>
      <c r="K2198" s="68">
        <f>J2198+K2197+K2200-K2196</f>
        <v/>
      </c>
      <c r="L2198" s="68">
        <f>K2198+L2197+L2200-L2196</f>
        <v/>
      </c>
      <c r="M2198" s="66" t="n"/>
    </row>
    <row r="2199">
      <c r="C2199" s="63" t="inlineStr">
        <is>
          <t>Necesidad neta</t>
        </is>
      </c>
      <c r="D2199" s="64" t="n"/>
      <c r="E2199" s="69">
        <f>MAX(0,ROUND(E2196+Materiales!$H$317-D2198-E2197,4))</f>
        <v/>
      </c>
      <c r="F2199" s="69">
        <f>MAX(0,ROUND(F2196+Materiales!$H$317-E2198-F2197,4))</f>
        <v/>
      </c>
      <c r="G2199" s="69">
        <f>MAX(0,ROUND(G2196+Materiales!$H$317-F2198-G2197,4))</f>
        <v/>
      </c>
      <c r="H2199" s="69">
        <f>MAX(0,ROUND(H2196+Materiales!$H$317-G2198-H2197,4))</f>
        <v/>
      </c>
      <c r="I2199" s="69">
        <f>MAX(0,ROUND(I2196+Materiales!$H$317-H2198-I2197,4))</f>
        <v/>
      </c>
      <c r="J2199" s="69">
        <f>MAX(0,ROUND(J2196+Materiales!$H$317-I2198-J2197,4))</f>
        <v/>
      </c>
      <c r="K2199" s="69">
        <f>MAX(0,ROUND(K2196+Materiales!$H$317-J2198-K2197,4))</f>
        <v/>
      </c>
      <c r="L2199" s="69">
        <f>MAX(0,ROUND(L2196+Materiales!$H$317-K2198-L2197,4))</f>
        <v/>
      </c>
      <c r="M2199" s="66" t="n"/>
    </row>
    <row r="2200">
      <c r="C2200" s="63" t="inlineStr">
        <is>
          <t>Recepcion de orden planificada</t>
        </is>
      </c>
      <c r="D2200" s="64" t="n"/>
      <c r="E2200" s="65">
        <f>IF(E2199&lt;=0,0,IF(Materiales!$G$317&lt;=0,E2199,ROUNDUP(E2199/Materiales!$G$317,0)*Materiales!$G$317))</f>
        <v/>
      </c>
      <c r="F2200" s="65">
        <f>IF(F2199&lt;=0,0,IF(Materiales!$G$317&lt;=0,F2199,ROUNDUP(F2199/Materiales!$G$317,0)*Materiales!$G$317))</f>
        <v/>
      </c>
      <c r="G2200" s="65">
        <f>IF(G2199&lt;=0,0,IF(Materiales!$G$317&lt;=0,G2199,ROUNDUP(G2199/Materiales!$G$317,0)*Materiales!$G$317))</f>
        <v/>
      </c>
      <c r="H2200" s="65">
        <f>IF(H2199&lt;=0,0,IF(Materiales!$G$317&lt;=0,H2199,ROUNDUP(H2199/Materiales!$G$317,0)*Materiales!$G$317))</f>
        <v/>
      </c>
      <c r="I2200" s="65">
        <f>IF(I2199&lt;=0,0,IF(Materiales!$G$317&lt;=0,I2199,ROUNDUP(I2199/Materiales!$G$317,0)*Materiales!$G$317))</f>
        <v/>
      </c>
      <c r="J2200" s="65">
        <f>IF(J2199&lt;=0,0,IF(Materiales!$G$317&lt;=0,J2199,ROUNDUP(J2199/Materiales!$G$317,0)*Materiales!$G$317))</f>
        <v/>
      </c>
      <c r="K2200" s="65">
        <f>IF(K2199&lt;=0,0,IF(Materiales!$G$317&lt;=0,K2199,ROUNDUP(K2199/Materiales!$G$317,0)*Materiales!$G$317))</f>
        <v/>
      </c>
      <c r="L2200" s="65">
        <f>IF(L2199&lt;=0,0,IF(Materiales!$G$317&lt;=0,L2199,ROUNDUP(L2199/Materiales!$G$317,0)*Materiales!$G$317))</f>
        <v/>
      </c>
      <c r="M2200" s="66" t="n"/>
    </row>
    <row r="2201">
      <c r="C2201" s="70" t="inlineStr">
        <is>
          <t>LANZAMIENTO DE ORDEN — pedir esta semana</t>
        </is>
      </c>
      <c r="D2201" s="64" t="n"/>
      <c r="E2201" s="71">
        <f>IF(1+Materiales!$F$317&gt;8,0,INDEX($E$2200:$L$2200,1,1+Materiales!$F$317))</f>
        <v/>
      </c>
      <c r="F2201" s="71">
        <f>IF(2+Materiales!$F$317&gt;8,0,INDEX($E$2200:$L$2200,1,2+Materiales!$F$317))</f>
        <v/>
      </c>
      <c r="G2201" s="71">
        <f>IF(3+Materiales!$F$317&gt;8,0,INDEX($E$2200:$L$2200,1,3+Materiales!$F$317))</f>
        <v/>
      </c>
      <c r="H2201" s="71">
        <f>IF(4+Materiales!$F$317&gt;8,0,INDEX($E$2200:$L$2200,1,4+Materiales!$F$317))</f>
        <v/>
      </c>
      <c r="I2201" s="71">
        <f>IF(5+Materiales!$F$317&gt;8,0,INDEX($E$2200:$L$2200,1,5+Materiales!$F$317))</f>
        <v/>
      </c>
      <c r="J2201" s="71">
        <f>IF(6+Materiales!$F$317&gt;8,0,INDEX($E$2200:$L$2200,1,6+Materiales!$F$317))</f>
        <v/>
      </c>
      <c r="K2201" s="71">
        <f>IF(7+Materiales!$F$317&gt;8,0,INDEX($E$2200:$L$2200,1,7+Materiales!$F$317))</f>
        <v/>
      </c>
      <c r="L2201" s="71">
        <f>IF(8+Materiales!$F$317&gt;8,0,INDEX($E$2200:$L$2200,1,8+Materiales!$F$317))</f>
        <v/>
      </c>
      <c r="M2201" s="72">
        <f>IF($A2196="","",IF(SUMPRODUCT((COLUMN($E$2200:$L$2200)-4&lt;=Materiales!$F$317)*$E$2200:$L$2200)&gt;0,"PEDIR YA (atrasado)","OK"))</f>
        <v/>
      </c>
    </row>
    <row r="2202" ht="6" customHeight="1"/>
    <row r="2203">
      <c r="A2203" s="62">
        <f>IF(Materiales!$A$318="","",Materiales!$A$318)</f>
        <v/>
      </c>
      <c r="B2203" s="62">
        <f>IF(Materiales!$B$318="","",Materiales!$B$318)</f>
        <v/>
      </c>
      <c r="C2203" s="63" t="inlineStr">
        <is>
          <t>Necesidad bruta</t>
        </is>
      </c>
      <c r="D2203" s="64" t="n"/>
      <c r="E2203" s="65">
        <f>ROUND(SUMIF(Consumo!$P$4:$P$189,"#"&amp;$A2203,Consumo!H$4:H$189),4)</f>
        <v/>
      </c>
      <c r="F2203" s="65">
        <f>ROUND(SUMIF(Consumo!$P$4:$P$189,"#"&amp;$A2203,Consumo!I$4:I$189),4)</f>
        <v/>
      </c>
      <c r="G2203" s="65">
        <f>ROUND(SUMIF(Consumo!$P$4:$P$189,"#"&amp;$A2203,Consumo!J$4:J$189),4)</f>
        <v/>
      </c>
      <c r="H2203" s="65">
        <f>ROUND(SUMIF(Consumo!$P$4:$P$189,"#"&amp;$A2203,Consumo!K$4:K$189),4)</f>
        <v/>
      </c>
      <c r="I2203" s="65">
        <f>ROUND(SUMIF(Consumo!$P$4:$P$189,"#"&amp;$A2203,Consumo!L$4:L$189),4)</f>
        <v/>
      </c>
      <c r="J2203" s="65">
        <f>ROUND(SUMIF(Consumo!$P$4:$P$189,"#"&amp;$A2203,Consumo!M$4:M$189),4)</f>
        <v/>
      </c>
      <c r="K2203" s="65">
        <f>ROUND(SUMIF(Consumo!$P$4:$P$189,"#"&amp;$A2203,Consumo!N$4:N$189),4)</f>
        <v/>
      </c>
      <c r="L2203" s="65">
        <f>ROUND(SUMIF(Consumo!$P$4:$P$189,"#"&amp;$A2203,Consumo!O$4:O$189),4)</f>
        <v/>
      </c>
      <c r="M2203" s="66" t="n"/>
    </row>
    <row r="2204">
      <c r="C2204" s="63" t="inlineStr">
        <is>
          <t>Recepciones programadas (ya pedido)</t>
        </is>
      </c>
      <c r="D2204" s="64" t="n"/>
      <c r="E2204" s="65">
        <f>SUMIF(Inventario!$M$5:$M$505,"#"&amp;$A2203,Inventario!E$5:E$505)</f>
        <v/>
      </c>
      <c r="F2204" s="65">
        <f>SUMIF(Inventario!$M$5:$M$505,"#"&amp;$A2203,Inventario!F$5:F$505)</f>
        <v/>
      </c>
      <c r="G2204" s="65">
        <f>SUMIF(Inventario!$M$5:$M$505,"#"&amp;$A2203,Inventario!G$5:G$505)</f>
        <v/>
      </c>
      <c r="H2204" s="65">
        <f>SUMIF(Inventario!$M$5:$M$505,"#"&amp;$A2203,Inventario!H$5:H$505)</f>
        <v/>
      </c>
      <c r="I2204" s="65">
        <f>SUMIF(Inventario!$M$5:$M$505,"#"&amp;$A2203,Inventario!I$5:I$505)</f>
        <v/>
      </c>
      <c r="J2204" s="65">
        <f>SUMIF(Inventario!$M$5:$M$505,"#"&amp;$A2203,Inventario!J$5:J$505)</f>
        <v/>
      </c>
      <c r="K2204" s="65">
        <f>SUMIF(Inventario!$M$5:$M$505,"#"&amp;$A2203,Inventario!K$5:K$505)</f>
        <v/>
      </c>
      <c r="L2204" s="65">
        <f>SUMIF(Inventario!$M$5:$M$505,"#"&amp;$A2203,Inventario!L$5:L$505)</f>
        <v/>
      </c>
      <c r="M2204" s="66" t="n"/>
    </row>
    <row r="2205">
      <c r="C2205" s="63" t="inlineStr">
        <is>
          <t>Stock proyectado disponible</t>
        </is>
      </c>
      <c r="D2205" s="67">
        <f>SUMIF(Inventario!$M$5:$M$505,"#"&amp;$A2203,Inventario!$C$5:$C$505)</f>
        <v/>
      </c>
      <c r="E2205" s="68">
        <f>D2205+E2204+E2207-E2203</f>
        <v/>
      </c>
      <c r="F2205" s="68">
        <f>E2205+F2204+F2207-F2203</f>
        <v/>
      </c>
      <c r="G2205" s="68">
        <f>F2205+G2204+G2207-G2203</f>
        <v/>
      </c>
      <c r="H2205" s="68">
        <f>G2205+H2204+H2207-H2203</f>
        <v/>
      </c>
      <c r="I2205" s="68">
        <f>H2205+I2204+I2207-I2203</f>
        <v/>
      </c>
      <c r="J2205" s="68">
        <f>I2205+J2204+J2207-J2203</f>
        <v/>
      </c>
      <c r="K2205" s="68">
        <f>J2205+K2204+K2207-K2203</f>
        <v/>
      </c>
      <c r="L2205" s="68">
        <f>K2205+L2204+L2207-L2203</f>
        <v/>
      </c>
      <c r="M2205" s="66" t="n"/>
    </row>
    <row r="2206">
      <c r="C2206" s="63" t="inlineStr">
        <is>
          <t>Necesidad neta</t>
        </is>
      </c>
      <c r="D2206" s="64" t="n"/>
      <c r="E2206" s="69">
        <f>MAX(0,ROUND(E2203+Materiales!$H$318-D2205-E2204,4))</f>
        <v/>
      </c>
      <c r="F2206" s="69">
        <f>MAX(0,ROUND(F2203+Materiales!$H$318-E2205-F2204,4))</f>
        <v/>
      </c>
      <c r="G2206" s="69">
        <f>MAX(0,ROUND(G2203+Materiales!$H$318-F2205-G2204,4))</f>
        <v/>
      </c>
      <c r="H2206" s="69">
        <f>MAX(0,ROUND(H2203+Materiales!$H$318-G2205-H2204,4))</f>
        <v/>
      </c>
      <c r="I2206" s="69">
        <f>MAX(0,ROUND(I2203+Materiales!$H$318-H2205-I2204,4))</f>
        <v/>
      </c>
      <c r="J2206" s="69">
        <f>MAX(0,ROUND(J2203+Materiales!$H$318-I2205-J2204,4))</f>
        <v/>
      </c>
      <c r="K2206" s="69">
        <f>MAX(0,ROUND(K2203+Materiales!$H$318-J2205-K2204,4))</f>
        <v/>
      </c>
      <c r="L2206" s="69">
        <f>MAX(0,ROUND(L2203+Materiales!$H$318-K2205-L2204,4))</f>
        <v/>
      </c>
      <c r="M2206" s="66" t="n"/>
    </row>
    <row r="2207">
      <c r="C2207" s="63" t="inlineStr">
        <is>
          <t>Recepcion de orden planificada</t>
        </is>
      </c>
      <c r="D2207" s="64" t="n"/>
      <c r="E2207" s="65">
        <f>IF(E2206&lt;=0,0,IF(Materiales!$G$318&lt;=0,E2206,ROUNDUP(E2206/Materiales!$G$318,0)*Materiales!$G$318))</f>
        <v/>
      </c>
      <c r="F2207" s="65">
        <f>IF(F2206&lt;=0,0,IF(Materiales!$G$318&lt;=0,F2206,ROUNDUP(F2206/Materiales!$G$318,0)*Materiales!$G$318))</f>
        <v/>
      </c>
      <c r="G2207" s="65">
        <f>IF(G2206&lt;=0,0,IF(Materiales!$G$318&lt;=0,G2206,ROUNDUP(G2206/Materiales!$G$318,0)*Materiales!$G$318))</f>
        <v/>
      </c>
      <c r="H2207" s="65">
        <f>IF(H2206&lt;=0,0,IF(Materiales!$G$318&lt;=0,H2206,ROUNDUP(H2206/Materiales!$G$318,0)*Materiales!$G$318))</f>
        <v/>
      </c>
      <c r="I2207" s="65">
        <f>IF(I2206&lt;=0,0,IF(Materiales!$G$318&lt;=0,I2206,ROUNDUP(I2206/Materiales!$G$318,0)*Materiales!$G$318))</f>
        <v/>
      </c>
      <c r="J2207" s="65">
        <f>IF(J2206&lt;=0,0,IF(Materiales!$G$318&lt;=0,J2206,ROUNDUP(J2206/Materiales!$G$318,0)*Materiales!$G$318))</f>
        <v/>
      </c>
      <c r="K2207" s="65">
        <f>IF(K2206&lt;=0,0,IF(Materiales!$G$318&lt;=0,K2206,ROUNDUP(K2206/Materiales!$G$318,0)*Materiales!$G$318))</f>
        <v/>
      </c>
      <c r="L2207" s="65">
        <f>IF(L2206&lt;=0,0,IF(Materiales!$G$318&lt;=0,L2206,ROUNDUP(L2206/Materiales!$G$318,0)*Materiales!$G$318))</f>
        <v/>
      </c>
      <c r="M2207" s="66" t="n"/>
    </row>
    <row r="2208">
      <c r="C2208" s="70" t="inlineStr">
        <is>
          <t>LANZAMIENTO DE ORDEN — pedir esta semana</t>
        </is>
      </c>
      <c r="D2208" s="64" t="n"/>
      <c r="E2208" s="71">
        <f>IF(1+Materiales!$F$318&gt;8,0,INDEX($E$2207:$L$2207,1,1+Materiales!$F$318))</f>
        <v/>
      </c>
      <c r="F2208" s="71">
        <f>IF(2+Materiales!$F$318&gt;8,0,INDEX($E$2207:$L$2207,1,2+Materiales!$F$318))</f>
        <v/>
      </c>
      <c r="G2208" s="71">
        <f>IF(3+Materiales!$F$318&gt;8,0,INDEX($E$2207:$L$2207,1,3+Materiales!$F$318))</f>
        <v/>
      </c>
      <c r="H2208" s="71">
        <f>IF(4+Materiales!$F$318&gt;8,0,INDEX($E$2207:$L$2207,1,4+Materiales!$F$318))</f>
        <v/>
      </c>
      <c r="I2208" s="71">
        <f>IF(5+Materiales!$F$318&gt;8,0,INDEX($E$2207:$L$2207,1,5+Materiales!$F$318))</f>
        <v/>
      </c>
      <c r="J2208" s="71">
        <f>IF(6+Materiales!$F$318&gt;8,0,INDEX($E$2207:$L$2207,1,6+Materiales!$F$318))</f>
        <v/>
      </c>
      <c r="K2208" s="71">
        <f>IF(7+Materiales!$F$318&gt;8,0,INDEX($E$2207:$L$2207,1,7+Materiales!$F$318))</f>
        <v/>
      </c>
      <c r="L2208" s="71">
        <f>IF(8+Materiales!$F$318&gt;8,0,INDEX($E$2207:$L$2207,1,8+Materiales!$F$318))</f>
        <v/>
      </c>
      <c r="M2208" s="72">
        <f>IF($A2203="","",IF(SUMPRODUCT((COLUMN($E$2207:$L$2207)-4&lt;=Materiales!$F$318)*$E$2207:$L$2207)&gt;0,"PEDIR YA (atrasado)","OK"))</f>
        <v/>
      </c>
    </row>
    <row r="2209" ht="6" customHeight="1"/>
    <row r="2210">
      <c r="A2210" s="62">
        <f>IF(Materiales!$A$319="","",Materiales!$A$319)</f>
        <v/>
      </c>
      <c r="B2210" s="62">
        <f>IF(Materiales!$B$319="","",Materiales!$B$319)</f>
        <v/>
      </c>
      <c r="C2210" s="63" t="inlineStr">
        <is>
          <t>Necesidad bruta</t>
        </is>
      </c>
      <c r="D2210" s="64" t="n"/>
      <c r="E2210" s="65">
        <f>ROUND(SUMIF(Consumo!$P$4:$P$189,"#"&amp;$A2210,Consumo!H$4:H$189),4)</f>
        <v/>
      </c>
      <c r="F2210" s="65">
        <f>ROUND(SUMIF(Consumo!$P$4:$P$189,"#"&amp;$A2210,Consumo!I$4:I$189),4)</f>
        <v/>
      </c>
      <c r="G2210" s="65">
        <f>ROUND(SUMIF(Consumo!$P$4:$P$189,"#"&amp;$A2210,Consumo!J$4:J$189),4)</f>
        <v/>
      </c>
      <c r="H2210" s="65">
        <f>ROUND(SUMIF(Consumo!$P$4:$P$189,"#"&amp;$A2210,Consumo!K$4:K$189),4)</f>
        <v/>
      </c>
      <c r="I2210" s="65">
        <f>ROUND(SUMIF(Consumo!$P$4:$P$189,"#"&amp;$A2210,Consumo!L$4:L$189),4)</f>
        <v/>
      </c>
      <c r="J2210" s="65">
        <f>ROUND(SUMIF(Consumo!$P$4:$P$189,"#"&amp;$A2210,Consumo!M$4:M$189),4)</f>
        <v/>
      </c>
      <c r="K2210" s="65">
        <f>ROUND(SUMIF(Consumo!$P$4:$P$189,"#"&amp;$A2210,Consumo!N$4:N$189),4)</f>
        <v/>
      </c>
      <c r="L2210" s="65">
        <f>ROUND(SUMIF(Consumo!$P$4:$P$189,"#"&amp;$A2210,Consumo!O$4:O$189),4)</f>
        <v/>
      </c>
      <c r="M2210" s="66" t="n"/>
    </row>
    <row r="2211">
      <c r="C2211" s="63" t="inlineStr">
        <is>
          <t>Recepciones programadas (ya pedido)</t>
        </is>
      </c>
      <c r="D2211" s="64" t="n"/>
      <c r="E2211" s="65">
        <f>SUMIF(Inventario!$M$5:$M$505,"#"&amp;$A2210,Inventario!E$5:E$505)</f>
        <v/>
      </c>
      <c r="F2211" s="65">
        <f>SUMIF(Inventario!$M$5:$M$505,"#"&amp;$A2210,Inventario!F$5:F$505)</f>
        <v/>
      </c>
      <c r="G2211" s="65">
        <f>SUMIF(Inventario!$M$5:$M$505,"#"&amp;$A2210,Inventario!G$5:G$505)</f>
        <v/>
      </c>
      <c r="H2211" s="65">
        <f>SUMIF(Inventario!$M$5:$M$505,"#"&amp;$A2210,Inventario!H$5:H$505)</f>
        <v/>
      </c>
      <c r="I2211" s="65">
        <f>SUMIF(Inventario!$M$5:$M$505,"#"&amp;$A2210,Inventario!I$5:I$505)</f>
        <v/>
      </c>
      <c r="J2211" s="65">
        <f>SUMIF(Inventario!$M$5:$M$505,"#"&amp;$A2210,Inventario!J$5:J$505)</f>
        <v/>
      </c>
      <c r="K2211" s="65">
        <f>SUMIF(Inventario!$M$5:$M$505,"#"&amp;$A2210,Inventario!K$5:K$505)</f>
        <v/>
      </c>
      <c r="L2211" s="65">
        <f>SUMIF(Inventario!$M$5:$M$505,"#"&amp;$A2210,Inventario!L$5:L$505)</f>
        <v/>
      </c>
      <c r="M2211" s="66" t="n"/>
    </row>
    <row r="2212">
      <c r="C2212" s="63" t="inlineStr">
        <is>
          <t>Stock proyectado disponible</t>
        </is>
      </c>
      <c r="D2212" s="67">
        <f>SUMIF(Inventario!$M$5:$M$505,"#"&amp;$A2210,Inventario!$C$5:$C$505)</f>
        <v/>
      </c>
      <c r="E2212" s="68">
        <f>D2212+E2211+E2214-E2210</f>
        <v/>
      </c>
      <c r="F2212" s="68">
        <f>E2212+F2211+F2214-F2210</f>
        <v/>
      </c>
      <c r="G2212" s="68">
        <f>F2212+G2211+G2214-G2210</f>
        <v/>
      </c>
      <c r="H2212" s="68">
        <f>G2212+H2211+H2214-H2210</f>
        <v/>
      </c>
      <c r="I2212" s="68">
        <f>H2212+I2211+I2214-I2210</f>
        <v/>
      </c>
      <c r="J2212" s="68">
        <f>I2212+J2211+J2214-J2210</f>
        <v/>
      </c>
      <c r="K2212" s="68">
        <f>J2212+K2211+K2214-K2210</f>
        <v/>
      </c>
      <c r="L2212" s="68">
        <f>K2212+L2211+L2214-L2210</f>
        <v/>
      </c>
      <c r="M2212" s="66" t="n"/>
    </row>
    <row r="2213">
      <c r="C2213" s="63" t="inlineStr">
        <is>
          <t>Necesidad neta</t>
        </is>
      </c>
      <c r="D2213" s="64" t="n"/>
      <c r="E2213" s="69">
        <f>MAX(0,ROUND(E2210+Materiales!$H$319-D2212-E2211,4))</f>
        <v/>
      </c>
      <c r="F2213" s="69">
        <f>MAX(0,ROUND(F2210+Materiales!$H$319-E2212-F2211,4))</f>
        <v/>
      </c>
      <c r="G2213" s="69">
        <f>MAX(0,ROUND(G2210+Materiales!$H$319-F2212-G2211,4))</f>
        <v/>
      </c>
      <c r="H2213" s="69">
        <f>MAX(0,ROUND(H2210+Materiales!$H$319-G2212-H2211,4))</f>
        <v/>
      </c>
      <c r="I2213" s="69">
        <f>MAX(0,ROUND(I2210+Materiales!$H$319-H2212-I2211,4))</f>
        <v/>
      </c>
      <c r="J2213" s="69">
        <f>MAX(0,ROUND(J2210+Materiales!$H$319-I2212-J2211,4))</f>
        <v/>
      </c>
      <c r="K2213" s="69">
        <f>MAX(0,ROUND(K2210+Materiales!$H$319-J2212-K2211,4))</f>
        <v/>
      </c>
      <c r="L2213" s="69">
        <f>MAX(0,ROUND(L2210+Materiales!$H$319-K2212-L2211,4))</f>
        <v/>
      </c>
      <c r="M2213" s="66" t="n"/>
    </row>
    <row r="2214">
      <c r="C2214" s="63" t="inlineStr">
        <is>
          <t>Recepcion de orden planificada</t>
        </is>
      </c>
      <c r="D2214" s="64" t="n"/>
      <c r="E2214" s="65">
        <f>IF(E2213&lt;=0,0,IF(Materiales!$G$319&lt;=0,E2213,ROUNDUP(E2213/Materiales!$G$319,0)*Materiales!$G$319))</f>
        <v/>
      </c>
      <c r="F2214" s="65">
        <f>IF(F2213&lt;=0,0,IF(Materiales!$G$319&lt;=0,F2213,ROUNDUP(F2213/Materiales!$G$319,0)*Materiales!$G$319))</f>
        <v/>
      </c>
      <c r="G2214" s="65">
        <f>IF(G2213&lt;=0,0,IF(Materiales!$G$319&lt;=0,G2213,ROUNDUP(G2213/Materiales!$G$319,0)*Materiales!$G$319))</f>
        <v/>
      </c>
      <c r="H2214" s="65">
        <f>IF(H2213&lt;=0,0,IF(Materiales!$G$319&lt;=0,H2213,ROUNDUP(H2213/Materiales!$G$319,0)*Materiales!$G$319))</f>
        <v/>
      </c>
      <c r="I2214" s="65">
        <f>IF(I2213&lt;=0,0,IF(Materiales!$G$319&lt;=0,I2213,ROUNDUP(I2213/Materiales!$G$319,0)*Materiales!$G$319))</f>
        <v/>
      </c>
      <c r="J2214" s="65">
        <f>IF(J2213&lt;=0,0,IF(Materiales!$G$319&lt;=0,J2213,ROUNDUP(J2213/Materiales!$G$319,0)*Materiales!$G$319))</f>
        <v/>
      </c>
      <c r="K2214" s="65">
        <f>IF(K2213&lt;=0,0,IF(Materiales!$G$319&lt;=0,K2213,ROUNDUP(K2213/Materiales!$G$319,0)*Materiales!$G$319))</f>
        <v/>
      </c>
      <c r="L2214" s="65">
        <f>IF(L2213&lt;=0,0,IF(Materiales!$G$319&lt;=0,L2213,ROUNDUP(L2213/Materiales!$G$319,0)*Materiales!$G$319))</f>
        <v/>
      </c>
      <c r="M2214" s="66" t="n"/>
    </row>
    <row r="2215">
      <c r="C2215" s="70" t="inlineStr">
        <is>
          <t>LANZAMIENTO DE ORDEN — pedir esta semana</t>
        </is>
      </c>
      <c r="D2215" s="64" t="n"/>
      <c r="E2215" s="71">
        <f>IF(1+Materiales!$F$319&gt;8,0,INDEX($E$2214:$L$2214,1,1+Materiales!$F$319))</f>
        <v/>
      </c>
      <c r="F2215" s="71">
        <f>IF(2+Materiales!$F$319&gt;8,0,INDEX($E$2214:$L$2214,1,2+Materiales!$F$319))</f>
        <v/>
      </c>
      <c r="G2215" s="71">
        <f>IF(3+Materiales!$F$319&gt;8,0,INDEX($E$2214:$L$2214,1,3+Materiales!$F$319))</f>
        <v/>
      </c>
      <c r="H2215" s="71">
        <f>IF(4+Materiales!$F$319&gt;8,0,INDEX($E$2214:$L$2214,1,4+Materiales!$F$319))</f>
        <v/>
      </c>
      <c r="I2215" s="71">
        <f>IF(5+Materiales!$F$319&gt;8,0,INDEX($E$2214:$L$2214,1,5+Materiales!$F$319))</f>
        <v/>
      </c>
      <c r="J2215" s="71">
        <f>IF(6+Materiales!$F$319&gt;8,0,INDEX($E$2214:$L$2214,1,6+Materiales!$F$319))</f>
        <v/>
      </c>
      <c r="K2215" s="71">
        <f>IF(7+Materiales!$F$319&gt;8,0,INDEX($E$2214:$L$2214,1,7+Materiales!$F$319))</f>
        <v/>
      </c>
      <c r="L2215" s="71">
        <f>IF(8+Materiales!$F$319&gt;8,0,INDEX($E$2214:$L$2214,1,8+Materiales!$F$319))</f>
        <v/>
      </c>
      <c r="M2215" s="72">
        <f>IF($A2210="","",IF(SUMPRODUCT((COLUMN($E$2214:$L$2214)-4&lt;=Materiales!$F$319)*$E$2214:$L$2214)&gt;0,"PEDIR YA (atrasado)","OK"))</f>
        <v/>
      </c>
    </row>
    <row r="2216" ht="6" customHeight="1"/>
    <row r="2217">
      <c r="A2217" s="62">
        <f>IF(Materiales!$A$320="","",Materiales!$A$320)</f>
        <v/>
      </c>
      <c r="B2217" s="62">
        <f>IF(Materiales!$B$320="","",Materiales!$B$320)</f>
        <v/>
      </c>
      <c r="C2217" s="63" t="inlineStr">
        <is>
          <t>Necesidad bruta</t>
        </is>
      </c>
      <c r="D2217" s="64" t="n"/>
      <c r="E2217" s="65">
        <f>ROUND(SUMIF(Consumo!$P$4:$P$189,"#"&amp;$A2217,Consumo!H$4:H$189),4)</f>
        <v/>
      </c>
      <c r="F2217" s="65">
        <f>ROUND(SUMIF(Consumo!$P$4:$P$189,"#"&amp;$A2217,Consumo!I$4:I$189),4)</f>
        <v/>
      </c>
      <c r="G2217" s="65">
        <f>ROUND(SUMIF(Consumo!$P$4:$P$189,"#"&amp;$A2217,Consumo!J$4:J$189),4)</f>
        <v/>
      </c>
      <c r="H2217" s="65">
        <f>ROUND(SUMIF(Consumo!$P$4:$P$189,"#"&amp;$A2217,Consumo!K$4:K$189),4)</f>
        <v/>
      </c>
      <c r="I2217" s="65">
        <f>ROUND(SUMIF(Consumo!$P$4:$P$189,"#"&amp;$A2217,Consumo!L$4:L$189),4)</f>
        <v/>
      </c>
      <c r="J2217" s="65">
        <f>ROUND(SUMIF(Consumo!$P$4:$P$189,"#"&amp;$A2217,Consumo!M$4:M$189),4)</f>
        <v/>
      </c>
      <c r="K2217" s="65">
        <f>ROUND(SUMIF(Consumo!$P$4:$P$189,"#"&amp;$A2217,Consumo!N$4:N$189),4)</f>
        <v/>
      </c>
      <c r="L2217" s="65">
        <f>ROUND(SUMIF(Consumo!$P$4:$P$189,"#"&amp;$A2217,Consumo!O$4:O$189),4)</f>
        <v/>
      </c>
      <c r="M2217" s="66" t="n"/>
    </row>
    <row r="2218">
      <c r="C2218" s="63" t="inlineStr">
        <is>
          <t>Recepciones programadas (ya pedido)</t>
        </is>
      </c>
      <c r="D2218" s="64" t="n"/>
      <c r="E2218" s="65">
        <f>SUMIF(Inventario!$M$5:$M$505,"#"&amp;$A2217,Inventario!E$5:E$505)</f>
        <v/>
      </c>
      <c r="F2218" s="65">
        <f>SUMIF(Inventario!$M$5:$M$505,"#"&amp;$A2217,Inventario!F$5:F$505)</f>
        <v/>
      </c>
      <c r="G2218" s="65">
        <f>SUMIF(Inventario!$M$5:$M$505,"#"&amp;$A2217,Inventario!G$5:G$505)</f>
        <v/>
      </c>
      <c r="H2218" s="65">
        <f>SUMIF(Inventario!$M$5:$M$505,"#"&amp;$A2217,Inventario!H$5:H$505)</f>
        <v/>
      </c>
      <c r="I2218" s="65">
        <f>SUMIF(Inventario!$M$5:$M$505,"#"&amp;$A2217,Inventario!I$5:I$505)</f>
        <v/>
      </c>
      <c r="J2218" s="65">
        <f>SUMIF(Inventario!$M$5:$M$505,"#"&amp;$A2217,Inventario!J$5:J$505)</f>
        <v/>
      </c>
      <c r="K2218" s="65">
        <f>SUMIF(Inventario!$M$5:$M$505,"#"&amp;$A2217,Inventario!K$5:K$505)</f>
        <v/>
      </c>
      <c r="L2218" s="65">
        <f>SUMIF(Inventario!$M$5:$M$505,"#"&amp;$A2217,Inventario!L$5:L$505)</f>
        <v/>
      </c>
      <c r="M2218" s="66" t="n"/>
    </row>
    <row r="2219">
      <c r="C2219" s="63" t="inlineStr">
        <is>
          <t>Stock proyectado disponible</t>
        </is>
      </c>
      <c r="D2219" s="67">
        <f>SUMIF(Inventario!$M$5:$M$505,"#"&amp;$A2217,Inventario!$C$5:$C$505)</f>
        <v/>
      </c>
      <c r="E2219" s="68">
        <f>D2219+E2218+E2221-E2217</f>
        <v/>
      </c>
      <c r="F2219" s="68">
        <f>E2219+F2218+F2221-F2217</f>
        <v/>
      </c>
      <c r="G2219" s="68">
        <f>F2219+G2218+G2221-G2217</f>
        <v/>
      </c>
      <c r="H2219" s="68">
        <f>G2219+H2218+H2221-H2217</f>
        <v/>
      </c>
      <c r="I2219" s="68">
        <f>H2219+I2218+I2221-I2217</f>
        <v/>
      </c>
      <c r="J2219" s="68">
        <f>I2219+J2218+J2221-J2217</f>
        <v/>
      </c>
      <c r="K2219" s="68">
        <f>J2219+K2218+K2221-K2217</f>
        <v/>
      </c>
      <c r="L2219" s="68">
        <f>K2219+L2218+L2221-L2217</f>
        <v/>
      </c>
      <c r="M2219" s="66" t="n"/>
    </row>
    <row r="2220">
      <c r="C2220" s="63" t="inlineStr">
        <is>
          <t>Necesidad neta</t>
        </is>
      </c>
      <c r="D2220" s="64" t="n"/>
      <c r="E2220" s="69">
        <f>MAX(0,ROUND(E2217+Materiales!$H$320-D2219-E2218,4))</f>
        <v/>
      </c>
      <c r="F2220" s="69">
        <f>MAX(0,ROUND(F2217+Materiales!$H$320-E2219-F2218,4))</f>
        <v/>
      </c>
      <c r="G2220" s="69">
        <f>MAX(0,ROUND(G2217+Materiales!$H$320-F2219-G2218,4))</f>
        <v/>
      </c>
      <c r="H2220" s="69">
        <f>MAX(0,ROUND(H2217+Materiales!$H$320-G2219-H2218,4))</f>
        <v/>
      </c>
      <c r="I2220" s="69">
        <f>MAX(0,ROUND(I2217+Materiales!$H$320-H2219-I2218,4))</f>
        <v/>
      </c>
      <c r="J2220" s="69">
        <f>MAX(0,ROUND(J2217+Materiales!$H$320-I2219-J2218,4))</f>
        <v/>
      </c>
      <c r="K2220" s="69">
        <f>MAX(0,ROUND(K2217+Materiales!$H$320-J2219-K2218,4))</f>
        <v/>
      </c>
      <c r="L2220" s="69">
        <f>MAX(0,ROUND(L2217+Materiales!$H$320-K2219-L2218,4))</f>
        <v/>
      </c>
      <c r="M2220" s="66" t="n"/>
    </row>
    <row r="2221">
      <c r="C2221" s="63" t="inlineStr">
        <is>
          <t>Recepcion de orden planificada</t>
        </is>
      </c>
      <c r="D2221" s="64" t="n"/>
      <c r="E2221" s="65">
        <f>IF(E2220&lt;=0,0,IF(Materiales!$G$320&lt;=0,E2220,ROUNDUP(E2220/Materiales!$G$320,0)*Materiales!$G$320))</f>
        <v/>
      </c>
      <c r="F2221" s="65">
        <f>IF(F2220&lt;=0,0,IF(Materiales!$G$320&lt;=0,F2220,ROUNDUP(F2220/Materiales!$G$320,0)*Materiales!$G$320))</f>
        <v/>
      </c>
      <c r="G2221" s="65">
        <f>IF(G2220&lt;=0,0,IF(Materiales!$G$320&lt;=0,G2220,ROUNDUP(G2220/Materiales!$G$320,0)*Materiales!$G$320))</f>
        <v/>
      </c>
      <c r="H2221" s="65">
        <f>IF(H2220&lt;=0,0,IF(Materiales!$G$320&lt;=0,H2220,ROUNDUP(H2220/Materiales!$G$320,0)*Materiales!$G$320))</f>
        <v/>
      </c>
      <c r="I2221" s="65">
        <f>IF(I2220&lt;=0,0,IF(Materiales!$G$320&lt;=0,I2220,ROUNDUP(I2220/Materiales!$G$320,0)*Materiales!$G$320))</f>
        <v/>
      </c>
      <c r="J2221" s="65">
        <f>IF(J2220&lt;=0,0,IF(Materiales!$G$320&lt;=0,J2220,ROUNDUP(J2220/Materiales!$G$320,0)*Materiales!$G$320))</f>
        <v/>
      </c>
      <c r="K2221" s="65">
        <f>IF(K2220&lt;=0,0,IF(Materiales!$G$320&lt;=0,K2220,ROUNDUP(K2220/Materiales!$G$320,0)*Materiales!$G$320))</f>
        <v/>
      </c>
      <c r="L2221" s="65">
        <f>IF(L2220&lt;=0,0,IF(Materiales!$G$320&lt;=0,L2220,ROUNDUP(L2220/Materiales!$G$320,0)*Materiales!$G$320))</f>
        <v/>
      </c>
      <c r="M2221" s="66" t="n"/>
    </row>
    <row r="2222">
      <c r="C2222" s="70" t="inlineStr">
        <is>
          <t>LANZAMIENTO DE ORDEN — pedir esta semana</t>
        </is>
      </c>
      <c r="D2222" s="64" t="n"/>
      <c r="E2222" s="71">
        <f>IF(1+Materiales!$F$320&gt;8,0,INDEX($E$2221:$L$2221,1,1+Materiales!$F$320))</f>
        <v/>
      </c>
      <c r="F2222" s="71">
        <f>IF(2+Materiales!$F$320&gt;8,0,INDEX($E$2221:$L$2221,1,2+Materiales!$F$320))</f>
        <v/>
      </c>
      <c r="G2222" s="71">
        <f>IF(3+Materiales!$F$320&gt;8,0,INDEX($E$2221:$L$2221,1,3+Materiales!$F$320))</f>
        <v/>
      </c>
      <c r="H2222" s="71">
        <f>IF(4+Materiales!$F$320&gt;8,0,INDEX($E$2221:$L$2221,1,4+Materiales!$F$320))</f>
        <v/>
      </c>
      <c r="I2222" s="71">
        <f>IF(5+Materiales!$F$320&gt;8,0,INDEX($E$2221:$L$2221,1,5+Materiales!$F$320))</f>
        <v/>
      </c>
      <c r="J2222" s="71">
        <f>IF(6+Materiales!$F$320&gt;8,0,INDEX($E$2221:$L$2221,1,6+Materiales!$F$320))</f>
        <v/>
      </c>
      <c r="K2222" s="71">
        <f>IF(7+Materiales!$F$320&gt;8,0,INDEX($E$2221:$L$2221,1,7+Materiales!$F$320))</f>
        <v/>
      </c>
      <c r="L2222" s="71">
        <f>IF(8+Materiales!$F$320&gt;8,0,INDEX($E$2221:$L$2221,1,8+Materiales!$F$320))</f>
        <v/>
      </c>
      <c r="M2222" s="72">
        <f>IF($A2217="","",IF(SUMPRODUCT((COLUMN($E$2221:$L$2221)-4&lt;=Materiales!$F$320)*$E$2221:$L$2221)&gt;0,"PEDIR YA (atrasado)","OK"))</f>
        <v/>
      </c>
    </row>
    <row r="2223" ht="6" customHeight="1"/>
    <row r="2224">
      <c r="A2224" s="62">
        <f>IF(Materiales!$A$321="","",Materiales!$A$321)</f>
        <v/>
      </c>
      <c r="B2224" s="62">
        <f>IF(Materiales!$B$321="","",Materiales!$B$321)</f>
        <v/>
      </c>
      <c r="C2224" s="63" t="inlineStr">
        <is>
          <t>Necesidad bruta</t>
        </is>
      </c>
      <c r="D2224" s="64" t="n"/>
      <c r="E2224" s="65">
        <f>ROUND(SUMIF(Consumo!$P$4:$P$189,"#"&amp;$A2224,Consumo!H$4:H$189),4)</f>
        <v/>
      </c>
      <c r="F2224" s="65">
        <f>ROUND(SUMIF(Consumo!$P$4:$P$189,"#"&amp;$A2224,Consumo!I$4:I$189),4)</f>
        <v/>
      </c>
      <c r="G2224" s="65">
        <f>ROUND(SUMIF(Consumo!$P$4:$P$189,"#"&amp;$A2224,Consumo!J$4:J$189),4)</f>
        <v/>
      </c>
      <c r="H2224" s="65">
        <f>ROUND(SUMIF(Consumo!$P$4:$P$189,"#"&amp;$A2224,Consumo!K$4:K$189),4)</f>
        <v/>
      </c>
      <c r="I2224" s="65">
        <f>ROUND(SUMIF(Consumo!$P$4:$P$189,"#"&amp;$A2224,Consumo!L$4:L$189),4)</f>
        <v/>
      </c>
      <c r="J2224" s="65">
        <f>ROUND(SUMIF(Consumo!$P$4:$P$189,"#"&amp;$A2224,Consumo!M$4:M$189),4)</f>
        <v/>
      </c>
      <c r="K2224" s="65">
        <f>ROUND(SUMIF(Consumo!$P$4:$P$189,"#"&amp;$A2224,Consumo!N$4:N$189),4)</f>
        <v/>
      </c>
      <c r="L2224" s="65">
        <f>ROUND(SUMIF(Consumo!$P$4:$P$189,"#"&amp;$A2224,Consumo!O$4:O$189),4)</f>
        <v/>
      </c>
      <c r="M2224" s="66" t="n"/>
    </row>
    <row r="2225">
      <c r="C2225" s="63" t="inlineStr">
        <is>
          <t>Recepciones programadas (ya pedido)</t>
        </is>
      </c>
      <c r="D2225" s="64" t="n"/>
      <c r="E2225" s="65">
        <f>SUMIF(Inventario!$M$5:$M$505,"#"&amp;$A2224,Inventario!E$5:E$505)</f>
        <v/>
      </c>
      <c r="F2225" s="65">
        <f>SUMIF(Inventario!$M$5:$M$505,"#"&amp;$A2224,Inventario!F$5:F$505)</f>
        <v/>
      </c>
      <c r="G2225" s="65">
        <f>SUMIF(Inventario!$M$5:$M$505,"#"&amp;$A2224,Inventario!G$5:G$505)</f>
        <v/>
      </c>
      <c r="H2225" s="65">
        <f>SUMIF(Inventario!$M$5:$M$505,"#"&amp;$A2224,Inventario!H$5:H$505)</f>
        <v/>
      </c>
      <c r="I2225" s="65">
        <f>SUMIF(Inventario!$M$5:$M$505,"#"&amp;$A2224,Inventario!I$5:I$505)</f>
        <v/>
      </c>
      <c r="J2225" s="65">
        <f>SUMIF(Inventario!$M$5:$M$505,"#"&amp;$A2224,Inventario!J$5:J$505)</f>
        <v/>
      </c>
      <c r="K2225" s="65">
        <f>SUMIF(Inventario!$M$5:$M$505,"#"&amp;$A2224,Inventario!K$5:K$505)</f>
        <v/>
      </c>
      <c r="L2225" s="65">
        <f>SUMIF(Inventario!$M$5:$M$505,"#"&amp;$A2224,Inventario!L$5:L$505)</f>
        <v/>
      </c>
      <c r="M2225" s="66" t="n"/>
    </row>
    <row r="2226">
      <c r="C2226" s="63" t="inlineStr">
        <is>
          <t>Stock proyectado disponible</t>
        </is>
      </c>
      <c r="D2226" s="67">
        <f>SUMIF(Inventario!$M$5:$M$505,"#"&amp;$A2224,Inventario!$C$5:$C$505)</f>
        <v/>
      </c>
      <c r="E2226" s="68">
        <f>D2226+E2225+E2228-E2224</f>
        <v/>
      </c>
      <c r="F2226" s="68">
        <f>E2226+F2225+F2228-F2224</f>
        <v/>
      </c>
      <c r="G2226" s="68">
        <f>F2226+G2225+G2228-G2224</f>
        <v/>
      </c>
      <c r="H2226" s="68">
        <f>G2226+H2225+H2228-H2224</f>
        <v/>
      </c>
      <c r="I2226" s="68">
        <f>H2226+I2225+I2228-I2224</f>
        <v/>
      </c>
      <c r="J2226" s="68">
        <f>I2226+J2225+J2228-J2224</f>
        <v/>
      </c>
      <c r="K2226" s="68">
        <f>J2226+K2225+K2228-K2224</f>
        <v/>
      </c>
      <c r="L2226" s="68">
        <f>K2226+L2225+L2228-L2224</f>
        <v/>
      </c>
      <c r="M2226" s="66" t="n"/>
    </row>
    <row r="2227">
      <c r="C2227" s="63" t="inlineStr">
        <is>
          <t>Necesidad neta</t>
        </is>
      </c>
      <c r="D2227" s="64" t="n"/>
      <c r="E2227" s="69">
        <f>MAX(0,ROUND(E2224+Materiales!$H$321-D2226-E2225,4))</f>
        <v/>
      </c>
      <c r="F2227" s="69">
        <f>MAX(0,ROUND(F2224+Materiales!$H$321-E2226-F2225,4))</f>
        <v/>
      </c>
      <c r="G2227" s="69">
        <f>MAX(0,ROUND(G2224+Materiales!$H$321-F2226-G2225,4))</f>
        <v/>
      </c>
      <c r="H2227" s="69">
        <f>MAX(0,ROUND(H2224+Materiales!$H$321-G2226-H2225,4))</f>
        <v/>
      </c>
      <c r="I2227" s="69">
        <f>MAX(0,ROUND(I2224+Materiales!$H$321-H2226-I2225,4))</f>
        <v/>
      </c>
      <c r="J2227" s="69">
        <f>MAX(0,ROUND(J2224+Materiales!$H$321-I2226-J2225,4))</f>
        <v/>
      </c>
      <c r="K2227" s="69">
        <f>MAX(0,ROUND(K2224+Materiales!$H$321-J2226-K2225,4))</f>
        <v/>
      </c>
      <c r="L2227" s="69">
        <f>MAX(0,ROUND(L2224+Materiales!$H$321-K2226-L2225,4))</f>
        <v/>
      </c>
      <c r="M2227" s="66" t="n"/>
    </row>
    <row r="2228">
      <c r="C2228" s="63" t="inlineStr">
        <is>
          <t>Recepcion de orden planificada</t>
        </is>
      </c>
      <c r="D2228" s="64" t="n"/>
      <c r="E2228" s="65">
        <f>IF(E2227&lt;=0,0,IF(Materiales!$G$321&lt;=0,E2227,ROUNDUP(E2227/Materiales!$G$321,0)*Materiales!$G$321))</f>
        <v/>
      </c>
      <c r="F2228" s="65">
        <f>IF(F2227&lt;=0,0,IF(Materiales!$G$321&lt;=0,F2227,ROUNDUP(F2227/Materiales!$G$321,0)*Materiales!$G$321))</f>
        <v/>
      </c>
      <c r="G2228" s="65">
        <f>IF(G2227&lt;=0,0,IF(Materiales!$G$321&lt;=0,G2227,ROUNDUP(G2227/Materiales!$G$321,0)*Materiales!$G$321))</f>
        <v/>
      </c>
      <c r="H2228" s="65">
        <f>IF(H2227&lt;=0,0,IF(Materiales!$G$321&lt;=0,H2227,ROUNDUP(H2227/Materiales!$G$321,0)*Materiales!$G$321))</f>
        <v/>
      </c>
      <c r="I2228" s="65">
        <f>IF(I2227&lt;=0,0,IF(Materiales!$G$321&lt;=0,I2227,ROUNDUP(I2227/Materiales!$G$321,0)*Materiales!$G$321))</f>
        <v/>
      </c>
      <c r="J2228" s="65">
        <f>IF(J2227&lt;=0,0,IF(Materiales!$G$321&lt;=0,J2227,ROUNDUP(J2227/Materiales!$G$321,0)*Materiales!$G$321))</f>
        <v/>
      </c>
      <c r="K2228" s="65">
        <f>IF(K2227&lt;=0,0,IF(Materiales!$G$321&lt;=0,K2227,ROUNDUP(K2227/Materiales!$G$321,0)*Materiales!$G$321))</f>
        <v/>
      </c>
      <c r="L2228" s="65">
        <f>IF(L2227&lt;=0,0,IF(Materiales!$G$321&lt;=0,L2227,ROUNDUP(L2227/Materiales!$G$321,0)*Materiales!$G$321))</f>
        <v/>
      </c>
      <c r="M2228" s="66" t="n"/>
    </row>
    <row r="2229">
      <c r="C2229" s="70" t="inlineStr">
        <is>
          <t>LANZAMIENTO DE ORDEN — pedir esta semana</t>
        </is>
      </c>
      <c r="D2229" s="64" t="n"/>
      <c r="E2229" s="71">
        <f>IF(1+Materiales!$F$321&gt;8,0,INDEX($E$2228:$L$2228,1,1+Materiales!$F$321))</f>
        <v/>
      </c>
      <c r="F2229" s="71">
        <f>IF(2+Materiales!$F$321&gt;8,0,INDEX($E$2228:$L$2228,1,2+Materiales!$F$321))</f>
        <v/>
      </c>
      <c r="G2229" s="71">
        <f>IF(3+Materiales!$F$321&gt;8,0,INDEX($E$2228:$L$2228,1,3+Materiales!$F$321))</f>
        <v/>
      </c>
      <c r="H2229" s="71">
        <f>IF(4+Materiales!$F$321&gt;8,0,INDEX($E$2228:$L$2228,1,4+Materiales!$F$321))</f>
        <v/>
      </c>
      <c r="I2229" s="71">
        <f>IF(5+Materiales!$F$321&gt;8,0,INDEX($E$2228:$L$2228,1,5+Materiales!$F$321))</f>
        <v/>
      </c>
      <c r="J2229" s="71">
        <f>IF(6+Materiales!$F$321&gt;8,0,INDEX($E$2228:$L$2228,1,6+Materiales!$F$321))</f>
        <v/>
      </c>
      <c r="K2229" s="71">
        <f>IF(7+Materiales!$F$321&gt;8,0,INDEX($E$2228:$L$2228,1,7+Materiales!$F$321))</f>
        <v/>
      </c>
      <c r="L2229" s="71">
        <f>IF(8+Materiales!$F$321&gt;8,0,INDEX($E$2228:$L$2228,1,8+Materiales!$F$321))</f>
        <v/>
      </c>
      <c r="M2229" s="72">
        <f>IF($A2224="","",IF(SUMPRODUCT((COLUMN($E$2228:$L$2228)-4&lt;=Materiales!$F$321)*$E$2228:$L$2228)&gt;0,"PEDIR YA (atrasado)","OK"))</f>
        <v/>
      </c>
    </row>
    <row r="2230" ht="6" customHeight="1"/>
    <row r="2231">
      <c r="A2231" s="62">
        <f>IF(Materiales!$A$322="","",Materiales!$A$322)</f>
        <v/>
      </c>
      <c r="B2231" s="62">
        <f>IF(Materiales!$B$322="","",Materiales!$B$322)</f>
        <v/>
      </c>
      <c r="C2231" s="63" t="inlineStr">
        <is>
          <t>Necesidad bruta</t>
        </is>
      </c>
      <c r="D2231" s="64" t="n"/>
      <c r="E2231" s="65">
        <f>ROUND(SUMIF(Consumo!$P$4:$P$189,"#"&amp;$A2231,Consumo!H$4:H$189),4)</f>
        <v/>
      </c>
      <c r="F2231" s="65">
        <f>ROUND(SUMIF(Consumo!$P$4:$P$189,"#"&amp;$A2231,Consumo!I$4:I$189),4)</f>
        <v/>
      </c>
      <c r="G2231" s="65">
        <f>ROUND(SUMIF(Consumo!$P$4:$P$189,"#"&amp;$A2231,Consumo!J$4:J$189),4)</f>
        <v/>
      </c>
      <c r="H2231" s="65">
        <f>ROUND(SUMIF(Consumo!$P$4:$P$189,"#"&amp;$A2231,Consumo!K$4:K$189),4)</f>
        <v/>
      </c>
      <c r="I2231" s="65">
        <f>ROUND(SUMIF(Consumo!$P$4:$P$189,"#"&amp;$A2231,Consumo!L$4:L$189),4)</f>
        <v/>
      </c>
      <c r="J2231" s="65">
        <f>ROUND(SUMIF(Consumo!$P$4:$P$189,"#"&amp;$A2231,Consumo!M$4:M$189),4)</f>
        <v/>
      </c>
      <c r="K2231" s="65">
        <f>ROUND(SUMIF(Consumo!$P$4:$P$189,"#"&amp;$A2231,Consumo!N$4:N$189),4)</f>
        <v/>
      </c>
      <c r="L2231" s="65">
        <f>ROUND(SUMIF(Consumo!$P$4:$P$189,"#"&amp;$A2231,Consumo!O$4:O$189),4)</f>
        <v/>
      </c>
      <c r="M2231" s="66" t="n"/>
    </row>
    <row r="2232">
      <c r="C2232" s="63" t="inlineStr">
        <is>
          <t>Recepciones programadas (ya pedido)</t>
        </is>
      </c>
      <c r="D2232" s="64" t="n"/>
      <c r="E2232" s="65">
        <f>SUMIF(Inventario!$M$5:$M$505,"#"&amp;$A2231,Inventario!E$5:E$505)</f>
        <v/>
      </c>
      <c r="F2232" s="65">
        <f>SUMIF(Inventario!$M$5:$M$505,"#"&amp;$A2231,Inventario!F$5:F$505)</f>
        <v/>
      </c>
      <c r="G2232" s="65">
        <f>SUMIF(Inventario!$M$5:$M$505,"#"&amp;$A2231,Inventario!G$5:G$505)</f>
        <v/>
      </c>
      <c r="H2232" s="65">
        <f>SUMIF(Inventario!$M$5:$M$505,"#"&amp;$A2231,Inventario!H$5:H$505)</f>
        <v/>
      </c>
      <c r="I2232" s="65">
        <f>SUMIF(Inventario!$M$5:$M$505,"#"&amp;$A2231,Inventario!I$5:I$505)</f>
        <v/>
      </c>
      <c r="J2232" s="65">
        <f>SUMIF(Inventario!$M$5:$M$505,"#"&amp;$A2231,Inventario!J$5:J$505)</f>
        <v/>
      </c>
      <c r="K2232" s="65">
        <f>SUMIF(Inventario!$M$5:$M$505,"#"&amp;$A2231,Inventario!K$5:K$505)</f>
        <v/>
      </c>
      <c r="L2232" s="65">
        <f>SUMIF(Inventario!$M$5:$M$505,"#"&amp;$A2231,Inventario!L$5:L$505)</f>
        <v/>
      </c>
      <c r="M2232" s="66" t="n"/>
    </row>
    <row r="2233">
      <c r="C2233" s="63" t="inlineStr">
        <is>
          <t>Stock proyectado disponible</t>
        </is>
      </c>
      <c r="D2233" s="67">
        <f>SUMIF(Inventario!$M$5:$M$505,"#"&amp;$A2231,Inventario!$C$5:$C$505)</f>
        <v/>
      </c>
      <c r="E2233" s="68">
        <f>D2233+E2232+E2235-E2231</f>
        <v/>
      </c>
      <c r="F2233" s="68">
        <f>E2233+F2232+F2235-F2231</f>
        <v/>
      </c>
      <c r="G2233" s="68">
        <f>F2233+G2232+G2235-G2231</f>
        <v/>
      </c>
      <c r="H2233" s="68">
        <f>G2233+H2232+H2235-H2231</f>
        <v/>
      </c>
      <c r="I2233" s="68">
        <f>H2233+I2232+I2235-I2231</f>
        <v/>
      </c>
      <c r="J2233" s="68">
        <f>I2233+J2232+J2235-J2231</f>
        <v/>
      </c>
      <c r="K2233" s="68">
        <f>J2233+K2232+K2235-K2231</f>
        <v/>
      </c>
      <c r="L2233" s="68">
        <f>K2233+L2232+L2235-L2231</f>
        <v/>
      </c>
      <c r="M2233" s="66" t="n"/>
    </row>
    <row r="2234">
      <c r="C2234" s="63" t="inlineStr">
        <is>
          <t>Necesidad neta</t>
        </is>
      </c>
      <c r="D2234" s="64" t="n"/>
      <c r="E2234" s="69">
        <f>MAX(0,ROUND(E2231+Materiales!$H$322-D2233-E2232,4))</f>
        <v/>
      </c>
      <c r="F2234" s="69">
        <f>MAX(0,ROUND(F2231+Materiales!$H$322-E2233-F2232,4))</f>
        <v/>
      </c>
      <c r="G2234" s="69">
        <f>MAX(0,ROUND(G2231+Materiales!$H$322-F2233-G2232,4))</f>
        <v/>
      </c>
      <c r="H2234" s="69">
        <f>MAX(0,ROUND(H2231+Materiales!$H$322-G2233-H2232,4))</f>
        <v/>
      </c>
      <c r="I2234" s="69">
        <f>MAX(0,ROUND(I2231+Materiales!$H$322-H2233-I2232,4))</f>
        <v/>
      </c>
      <c r="J2234" s="69">
        <f>MAX(0,ROUND(J2231+Materiales!$H$322-I2233-J2232,4))</f>
        <v/>
      </c>
      <c r="K2234" s="69">
        <f>MAX(0,ROUND(K2231+Materiales!$H$322-J2233-K2232,4))</f>
        <v/>
      </c>
      <c r="L2234" s="69">
        <f>MAX(0,ROUND(L2231+Materiales!$H$322-K2233-L2232,4))</f>
        <v/>
      </c>
      <c r="M2234" s="66" t="n"/>
    </row>
    <row r="2235">
      <c r="C2235" s="63" t="inlineStr">
        <is>
          <t>Recepcion de orden planificada</t>
        </is>
      </c>
      <c r="D2235" s="64" t="n"/>
      <c r="E2235" s="65">
        <f>IF(E2234&lt;=0,0,IF(Materiales!$G$322&lt;=0,E2234,ROUNDUP(E2234/Materiales!$G$322,0)*Materiales!$G$322))</f>
        <v/>
      </c>
      <c r="F2235" s="65">
        <f>IF(F2234&lt;=0,0,IF(Materiales!$G$322&lt;=0,F2234,ROUNDUP(F2234/Materiales!$G$322,0)*Materiales!$G$322))</f>
        <v/>
      </c>
      <c r="G2235" s="65">
        <f>IF(G2234&lt;=0,0,IF(Materiales!$G$322&lt;=0,G2234,ROUNDUP(G2234/Materiales!$G$322,0)*Materiales!$G$322))</f>
        <v/>
      </c>
      <c r="H2235" s="65">
        <f>IF(H2234&lt;=0,0,IF(Materiales!$G$322&lt;=0,H2234,ROUNDUP(H2234/Materiales!$G$322,0)*Materiales!$G$322))</f>
        <v/>
      </c>
      <c r="I2235" s="65">
        <f>IF(I2234&lt;=0,0,IF(Materiales!$G$322&lt;=0,I2234,ROUNDUP(I2234/Materiales!$G$322,0)*Materiales!$G$322))</f>
        <v/>
      </c>
      <c r="J2235" s="65">
        <f>IF(J2234&lt;=0,0,IF(Materiales!$G$322&lt;=0,J2234,ROUNDUP(J2234/Materiales!$G$322,0)*Materiales!$G$322))</f>
        <v/>
      </c>
      <c r="K2235" s="65">
        <f>IF(K2234&lt;=0,0,IF(Materiales!$G$322&lt;=0,K2234,ROUNDUP(K2234/Materiales!$G$322,0)*Materiales!$G$322))</f>
        <v/>
      </c>
      <c r="L2235" s="65">
        <f>IF(L2234&lt;=0,0,IF(Materiales!$G$322&lt;=0,L2234,ROUNDUP(L2234/Materiales!$G$322,0)*Materiales!$G$322))</f>
        <v/>
      </c>
      <c r="M2235" s="66" t="n"/>
    </row>
    <row r="2236">
      <c r="C2236" s="70" t="inlineStr">
        <is>
          <t>LANZAMIENTO DE ORDEN — pedir esta semana</t>
        </is>
      </c>
      <c r="D2236" s="64" t="n"/>
      <c r="E2236" s="71">
        <f>IF(1+Materiales!$F$322&gt;8,0,INDEX($E$2235:$L$2235,1,1+Materiales!$F$322))</f>
        <v/>
      </c>
      <c r="F2236" s="71">
        <f>IF(2+Materiales!$F$322&gt;8,0,INDEX($E$2235:$L$2235,1,2+Materiales!$F$322))</f>
        <v/>
      </c>
      <c r="G2236" s="71">
        <f>IF(3+Materiales!$F$322&gt;8,0,INDEX($E$2235:$L$2235,1,3+Materiales!$F$322))</f>
        <v/>
      </c>
      <c r="H2236" s="71">
        <f>IF(4+Materiales!$F$322&gt;8,0,INDEX($E$2235:$L$2235,1,4+Materiales!$F$322))</f>
        <v/>
      </c>
      <c r="I2236" s="71">
        <f>IF(5+Materiales!$F$322&gt;8,0,INDEX($E$2235:$L$2235,1,5+Materiales!$F$322))</f>
        <v/>
      </c>
      <c r="J2236" s="71">
        <f>IF(6+Materiales!$F$322&gt;8,0,INDEX($E$2235:$L$2235,1,6+Materiales!$F$322))</f>
        <v/>
      </c>
      <c r="K2236" s="71">
        <f>IF(7+Materiales!$F$322&gt;8,0,INDEX($E$2235:$L$2235,1,7+Materiales!$F$322))</f>
        <v/>
      </c>
      <c r="L2236" s="71">
        <f>IF(8+Materiales!$F$322&gt;8,0,INDEX($E$2235:$L$2235,1,8+Materiales!$F$322))</f>
        <v/>
      </c>
      <c r="M2236" s="72">
        <f>IF($A2231="","",IF(SUMPRODUCT((COLUMN($E$2235:$L$2235)-4&lt;=Materiales!$F$322)*$E$2235:$L$2235)&gt;0,"PEDIR YA (atrasado)","OK"))</f>
        <v/>
      </c>
    </row>
    <row r="2237" ht="6" customHeight="1"/>
    <row r="2238">
      <c r="A2238" s="62">
        <f>IF(Materiales!$A$323="","",Materiales!$A$323)</f>
        <v/>
      </c>
      <c r="B2238" s="62">
        <f>IF(Materiales!$B$323="","",Materiales!$B$323)</f>
        <v/>
      </c>
      <c r="C2238" s="63" t="inlineStr">
        <is>
          <t>Necesidad bruta</t>
        </is>
      </c>
      <c r="D2238" s="64" t="n"/>
      <c r="E2238" s="65">
        <f>ROUND(SUMIF(Consumo!$P$4:$P$189,"#"&amp;$A2238,Consumo!H$4:H$189),4)</f>
        <v/>
      </c>
      <c r="F2238" s="65">
        <f>ROUND(SUMIF(Consumo!$P$4:$P$189,"#"&amp;$A2238,Consumo!I$4:I$189),4)</f>
        <v/>
      </c>
      <c r="G2238" s="65">
        <f>ROUND(SUMIF(Consumo!$P$4:$P$189,"#"&amp;$A2238,Consumo!J$4:J$189),4)</f>
        <v/>
      </c>
      <c r="H2238" s="65">
        <f>ROUND(SUMIF(Consumo!$P$4:$P$189,"#"&amp;$A2238,Consumo!K$4:K$189),4)</f>
        <v/>
      </c>
      <c r="I2238" s="65">
        <f>ROUND(SUMIF(Consumo!$P$4:$P$189,"#"&amp;$A2238,Consumo!L$4:L$189),4)</f>
        <v/>
      </c>
      <c r="J2238" s="65">
        <f>ROUND(SUMIF(Consumo!$P$4:$P$189,"#"&amp;$A2238,Consumo!M$4:M$189),4)</f>
        <v/>
      </c>
      <c r="K2238" s="65">
        <f>ROUND(SUMIF(Consumo!$P$4:$P$189,"#"&amp;$A2238,Consumo!N$4:N$189),4)</f>
        <v/>
      </c>
      <c r="L2238" s="65">
        <f>ROUND(SUMIF(Consumo!$P$4:$P$189,"#"&amp;$A2238,Consumo!O$4:O$189),4)</f>
        <v/>
      </c>
      <c r="M2238" s="66" t="n"/>
    </row>
    <row r="2239">
      <c r="C2239" s="63" t="inlineStr">
        <is>
          <t>Recepciones programadas (ya pedido)</t>
        </is>
      </c>
      <c r="D2239" s="64" t="n"/>
      <c r="E2239" s="65">
        <f>SUMIF(Inventario!$M$5:$M$505,"#"&amp;$A2238,Inventario!E$5:E$505)</f>
        <v/>
      </c>
      <c r="F2239" s="65">
        <f>SUMIF(Inventario!$M$5:$M$505,"#"&amp;$A2238,Inventario!F$5:F$505)</f>
        <v/>
      </c>
      <c r="G2239" s="65">
        <f>SUMIF(Inventario!$M$5:$M$505,"#"&amp;$A2238,Inventario!G$5:G$505)</f>
        <v/>
      </c>
      <c r="H2239" s="65">
        <f>SUMIF(Inventario!$M$5:$M$505,"#"&amp;$A2238,Inventario!H$5:H$505)</f>
        <v/>
      </c>
      <c r="I2239" s="65">
        <f>SUMIF(Inventario!$M$5:$M$505,"#"&amp;$A2238,Inventario!I$5:I$505)</f>
        <v/>
      </c>
      <c r="J2239" s="65">
        <f>SUMIF(Inventario!$M$5:$M$505,"#"&amp;$A2238,Inventario!J$5:J$505)</f>
        <v/>
      </c>
      <c r="K2239" s="65">
        <f>SUMIF(Inventario!$M$5:$M$505,"#"&amp;$A2238,Inventario!K$5:K$505)</f>
        <v/>
      </c>
      <c r="L2239" s="65">
        <f>SUMIF(Inventario!$M$5:$M$505,"#"&amp;$A2238,Inventario!L$5:L$505)</f>
        <v/>
      </c>
      <c r="M2239" s="66" t="n"/>
    </row>
    <row r="2240">
      <c r="C2240" s="63" t="inlineStr">
        <is>
          <t>Stock proyectado disponible</t>
        </is>
      </c>
      <c r="D2240" s="67">
        <f>SUMIF(Inventario!$M$5:$M$505,"#"&amp;$A2238,Inventario!$C$5:$C$505)</f>
        <v/>
      </c>
      <c r="E2240" s="68">
        <f>D2240+E2239+E2242-E2238</f>
        <v/>
      </c>
      <c r="F2240" s="68">
        <f>E2240+F2239+F2242-F2238</f>
        <v/>
      </c>
      <c r="G2240" s="68">
        <f>F2240+G2239+G2242-G2238</f>
        <v/>
      </c>
      <c r="H2240" s="68">
        <f>G2240+H2239+H2242-H2238</f>
        <v/>
      </c>
      <c r="I2240" s="68">
        <f>H2240+I2239+I2242-I2238</f>
        <v/>
      </c>
      <c r="J2240" s="68">
        <f>I2240+J2239+J2242-J2238</f>
        <v/>
      </c>
      <c r="K2240" s="68">
        <f>J2240+K2239+K2242-K2238</f>
        <v/>
      </c>
      <c r="L2240" s="68">
        <f>K2240+L2239+L2242-L2238</f>
        <v/>
      </c>
      <c r="M2240" s="66" t="n"/>
    </row>
    <row r="2241">
      <c r="C2241" s="63" t="inlineStr">
        <is>
          <t>Necesidad neta</t>
        </is>
      </c>
      <c r="D2241" s="64" t="n"/>
      <c r="E2241" s="69">
        <f>MAX(0,ROUND(E2238+Materiales!$H$323-D2240-E2239,4))</f>
        <v/>
      </c>
      <c r="F2241" s="69">
        <f>MAX(0,ROUND(F2238+Materiales!$H$323-E2240-F2239,4))</f>
        <v/>
      </c>
      <c r="G2241" s="69">
        <f>MAX(0,ROUND(G2238+Materiales!$H$323-F2240-G2239,4))</f>
        <v/>
      </c>
      <c r="H2241" s="69">
        <f>MAX(0,ROUND(H2238+Materiales!$H$323-G2240-H2239,4))</f>
        <v/>
      </c>
      <c r="I2241" s="69">
        <f>MAX(0,ROUND(I2238+Materiales!$H$323-H2240-I2239,4))</f>
        <v/>
      </c>
      <c r="J2241" s="69">
        <f>MAX(0,ROUND(J2238+Materiales!$H$323-I2240-J2239,4))</f>
        <v/>
      </c>
      <c r="K2241" s="69">
        <f>MAX(0,ROUND(K2238+Materiales!$H$323-J2240-K2239,4))</f>
        <v/>
      </c>
      <c r="L2241" s="69">
        <f>MAX(0,ROUND(L2238+Materiales!$H$323-K2240-L2239,4))</f>
        <v/>
      </c>
      <c r="M2241" s="66" t="n"/>
    </row>
    <row r="2242">
      <c r="C2242" s="63" t="inlineStr">
        <is>
          <t>Recepcion de orden planificada</t>
        </is>
      </c>
      <c r="D2242" s="64" t="n"/>
      <c r="E2242" s="65">
        <f>IF(E2241&lt;=0,0,IF(Materiales!$G$323&lt;=0,E2241,ROUNDUP(E2241/Materiales!$G$323,0)*Materiales!$G$323))</f>
        <v/>
      </c>
      <c r="F2242" s="65">
        <f>IF(F2241&lt;=0,0,IF(Materiales!$G$323&lt;=0,F2241,ROUNDUP(F2241/Materiales!$G$323,0)*Materiales!$G$323))</f>
        <v/>
      </c>
      <c r="G2242" s="65">
        <f>IF(G2241&lt;=0,0,IF(Materiales!$G$323&lt;=0,G2241,ROUNDUP(G2241/Materiales!$G$323,0)*Materiales!$G$323))</f>
        <v/>
      </c>
      <c r="H2242" s="65">
        <f>IF(H2241&lt;=0,0,IF(Materiales!$G$323&lt;=0,H2241,ROUNDUP(H2241/Materiales!$G$323,0)*Materiales!$G$323))</f>
        <v/>
      </c>
      <c r="I2242" s="65">
        <f>IF(I2241&lt;=0,0,IF(Materiales!$G$323&lt;=0,I2241,ROUNDUP(I2241/Materiales!$G$323,0)*Materiales!$G$323))</f>
        <v/>
      </c>
      <c r="J2242" s="65">
        <f>IF(J2241&lt;=0,0,IF(Materiales!$G$323&lt;=0,J2241,ROUNDUP(J2241/Materiales!$G$323,0)*Materiales!$G$323))</f>
        <v/>
      </c>
      <c r="K2242" s="65">
        <f>IF(K2241&lt;=0,0,IF(Materiales!$G$323&lt;=0,K2241,ROUNDUP(K2241/Materiales!$G$323,0)*Materiales!$G$323))</f>
        <v/>
      </c>
      <c r="L2242" s="65">
        <f>IF(L2241&lt;=0,0,IF(Materiales!$G$323&lt;=0,L2241,ROUNDUP(L2241/Materiales!$G$323,0)*Materiales!$G$323))</f>
        <v/>
      </c>
      <c r="M2242" s="66" t="n"/>
    </row>
    <row r="2243">
      <c r="C2243" s="70" t="inlineStr">
        <is>
          <t>LANZAMIENTO DE ORDEN — pedir esta semana</t>
        </is>
      </c>
      <c r="D2243" s="64" t="n"/>
      <c r="E2243" s="71">
        <f>IF(1+Materiales!$F$323&gt;8,0,INDEX($E$2242:$L$2242,1,1+Materiales!$F$323))</f>
        <v/>
      </c>
      <c r="F2243" s="71">
        <f>IF(2+Materiales!$F$323&gt;8,0,INDEX($E$2242:$L$2242,1,2+Materiales!$F$323))</f>
        <v/>
      </c>
      <c r="G2243" s="71">
        <f>IF(3+Materiales!$F$323&gt;8,0,INDEX($E$2242:$L$2242,1,3+Materiales!$F$323))</f>
        <v/>
      </c>
      <c r="H2243" s="71">
        <f>IF(4+Materiales!$F$323&gt;8,0,INDEX($E$2242:$L$2242,1,4+Materiales!$F$323))</f>
        <v/>
      </c>
      <c r="I2243" s="71">
        <f>IF(5+Materiales!$F$323&gt;8,0,INDEX($E$2242:$L$2242,1,5+Materiales!$F$323))</f>
        <v/>
      </c>
      <c r="J2243" s="71">
        <f>IF(6+Materiales!$F$323&gt;8,0,INDEX($E$2242:$L$2242,1,6+Materiales!$F$323))</f>
        <v/>
      </c>
      <c r="K2243" s="71">
        <f>IF(7+Materiales!$F$323&gt;8,0,INDEX($E$2242:$L$2242,1,7+Materiales!$F$323))</f>
        <v/>
      </c>
      <c r="L2243" s="71">
        <f>IF(8+Materiales!$F$323&gt;8,0,INDEX($E$2242:$L$2242,1,8+Materiales!$F$323))</f>
        <v/>
      </c>
      <c r="M2243" s="72">
        <f>IF($A2238="","",IF(SUMPRODUCT((COLUMN($E$2242:$L$2242)-4&lt;=Materiales!$F$323)*$E$2242:$L$2242)&gt;0,"PEDIR YA (atrasado)","OK"))</f>
        <v/>
      </c>
    </row>
    <row r="2244" ht="6" customHeight="1"/>
    <row r="2245">
      <c r="A2245" s="62">
        <f>IF(Materiales!$A$324="","",Materiales!$A$324)</f>
        <v/>
      </c>
      <c r="B2245" s="62">
        <f>IF(Materiales!$B$324="","",Materiales!$B$324)</f>
        <v/>
      </c>
      <c r="C2245" s="63" t="inlineStr">
        <is>
          <t>Necesidad bruta</t>
        </is>
      </c>
      <c r="D2245" s="64" t="n"/>
      <c r="E2245" s="65">
        <f>ROUND(SUMIF(Consumo!$P$4:$P$189,"#"&amp;$A2245,Consumo!H$4:H$189),4)</f>
        <v/>
      </c>
      <c r="F2245" s="65">
        <f>ROUND(SUMIF(Consumo!$P$4:$P$189,"#"&amp;$A2245,Consumo!I$4:I$189),4)</f>
        <v/>
      </c>
      <c r="G2245" s="65">
        <f>ROUND(SUMIF(Consumo!$P$4:$P$189,"#"&amp;$A2245,Consumo!J$4:J$189),4)</f>
        <v/>
      </c>
      <c r="H2245" s="65">
        <f>ROUND(SUMIF(Consumo!$P$4:$P$189,"#"&amp;$A2245,Consumo!K$4:K$189),4)</f>
        <v/>
      </c>
      <c r="I2245" s="65">
        <f>ROUND(SUMIF(Consumo!$P$4:$P$189,"#"&amp;$A2245,Consumo!L$4:L$189),4)</f>
        <v/>
      </c>
      <c r="J2245" s="65">
        <f>ROUND(SUMIF(Consumo!$P$4:$P$189,"#"&amp;$A2245,Consumo!M$4:M$189),4)</f>
        <v/>
      </c>
      <c r="K2245" s="65">
        <f>ROUND(SUMIF(Consumo!$P$4:$P$189,"#"&amp;$A2245,Consumo!N$4:N$189),4)</f>
        <v/>
      </c>
      <c r="L2245" s="65">
        <f>ROUND(SUMIF(Consumo!$P$4:$P$189,"#"&amp;$A2245,Consumo!O$4:O$189),4)</f>
        <v/>
      </c>
      <c r="M2245" s="66" t="n"/>
    </row>
    <row r="2246">
      <c r="C2246" s="63" t="inlineStr">
        <is>
          <t>Recepciones programadas (ya pedido)</t>
        </is>
      </c>
      <c r="D2246" s="64" t="n"/>
      <c r="E2246" s="65">
        <f>SUMIF(Inventario!$M$5:$M$505,"#"&amp;$A2245,Inventario!E$5:E$505)</f>
        <v/>
      </c>
      <c r="F2246" s="65">
        <f>SUMIF(Inventario!$M$5:$M$505,"#"&amp;$A2245,Inventario!F$5:F$505)</f>
        <v/>
      </c>
      <c r="G2246" s="65">
        <f>SUMIF(Inventario!$M$5:$M$505,"#"&amp;$A2245,Inventario!G$5:G$505)</f>
        <v/>
      </c>
      <c r="H2246" s="65">
        <f>SUMIF(Inventario!$M$5:$M$505,"#"&amp;$A2245,Inventario!H$5:H$505)</f>
        <v/>
      </c>
      <c r="I2246" s="65">
        <f>SUMIF(Inventario!$M$5:$M$505,"#"&amp;$A2245,Inventario!I$5:I$505)</f>
        <v/>
      </c>
      <c r="J2246" s="65">
        <f>SUMIF(Inventario!$M$5:$M$505,"#"&amp;$A2245,Inventario!J$5:J$505)</f>
        <v/>
      </c>
      <c r="K2246" s="65">
        <f>SUMIF(Inventario!$M$5:$M$505,"#"&amp;$A2245,Inventario!K$5:K$505)</f>
        <v/>
      </c>
      <c r="L2246" s="65">
        <f>SUMIF(Inventario!$M$5:$M$505,"#"&amp;$A2245,Inventario!L$5:L$505)</f>
        <v/>
      </c>
      <c r="M2246" s="66" t="n"/>
    </row>
    <row r="2247">
      <c r="C2247" s="63" t="inlineStr">
        <is>
          <t>Stock proyectado disponible</t>
        </is>
      </c>
      <c r="D2247" s="67">
        <f>SUMIF(Inventario!$M$5:$M$505,"#"&amp;$A2245,Inventario!$C$5:$C$505)</f>
        <v/>
      </c>
      <c r="E2247" s="68">
        <f>D2247+E2246+E2249-E2245</f>
        <v/>
      </c>
      <c r="F2247" s="68">
        <f>E2247+F2246+F2249-F2245</f>
        <v/>
      </c>
      <c r="G2247" s="68">
        <f>F2247+G2246+G2249-G2245</f>
        <v/>
      </c>
      <c r="H2247" s="68">
        <f>G2247+H2246+H2249-H2245</f>
        <v/>
      </c>
      <c r="I2247" s="68">
        <f>H2247+I2246+I2249-I2245</f>
        <v/>
      </c>
      <c r="J2247" s="68">
        <f>I2247+J2246+J2249-J2245</f>
        <v/>
      </c>
      <c r="K2247" s="68">
        <f>J2247+K2246+K2249-K2245</f>
        <v/>
      </c>
      <c r="L2247" s="68">
        <f>K2247+L2246+L2249-L2245</f>
        <v/>
      </c>
      <c r="M2247" s="66" t="n"/>
    </row>
    <row r="2248">
      <c r="C2248" s="63" t="inlineStr">
        <is>
          <t>Necesidad neta</t>
        </is>
      </c>
      <c r="D2248" s="64" t="n"/>
      <c r="E2248" s="69">
        <f>MAX(0,ROUND(E2245+Materiales!$H$324-D2247-E2246,4))</f>
        <v/>
      </c>
      <c r="F2248" s="69">
        <f>MAX(0,ROUND(F2245+Materiales!$H$324-E2247-F2246,4))</f>
        <v/>
      </c>
      <c r="G2248" s="69">
        <f>MAX(0,ROUND(G2245+Materiales!$H$324-F2247-G2246,4))</f>
        <v/>
      </c>
      <c r="H2248" s="69">
        <f>MAX(0,ROUND(H2245+Materiales!$H$324-G2247-H2246,4))</f>
        <v/>
      </c>
      <c r="I2248" s="69">
        <f>MAX(0,ROUND(I2245+Materiales!$H$324-H2247-I2246,4))</f>
        <v/>
      </c>
      <c r="J2248" s="69">
        <f>MAX(0,ROUND(J2245+Materiales!$H$324-I2247-J2246,4))</f>
        <v/>
      </c>
      <c r="K2248" s="69">
        <f>MAX(0,ROUND(K2245+Materiales!$H$324-J2247-K2246,4))</f>
        <v/>
      </c>
      <c r="L2248" s="69">
        <f>MAX(0,ROUND(L2245+Materiales!$H$324-K2247-L2246,4))</f>
        <v/>
      </c>
      <c r="M2248" s="66" t="n"/>
    </row>
    <row r="2249">
      <c r="C2249" s="63" t="inlineStr">
        <is>
          <t>Recepcion de orden planificada</t>
        </is>
      </c>
      <c r="D2249" s="64" t="n"/>
      <c r="E2249" s="65">
        <f>IF(E2248&lt;=0,0,IF(Materiales!$G$324&lt;=0,E2248,ROUNDUP(E2248/Materiales!$G$324,0)*Materiales!$G$324))</f>
        <v/>
      </c>
      <c r="F2249" s="65">
        <f>IF(F2248&lt;=0,0,IF(Materiales!$G$324&lt;=0,F2248,ROUNDUP(F2248/Materiales!$G$324,0)*Materiales!$G$324))</f>
        <v/>
      </c>
      <c r="G2249" s="65">
        <f>IF(G2248&lt;=0,0,IF(Materiales!$G$324&lt;=0,G2248,ROUNDUP(G2248/Materiales!$G$324,0)*Materiales!$G$324))</f>
        <v/>
      </c>
      <c r="H2249" s="65">
        <f>IF(H2248&lt;=0,0,IF(Materiales!$G$324&lt;=0,H2248,ROUNDUP(H2248/Materiales!$G$324,0)*Materiales!$G$324))</f>
        <v/>
      </c>
      <c r="I2249" s="65">
        <f>IF(I2248&lt;=0,0,IF(Materiales!$G$324&lt;=0,I2248,ROUNDUP(I2248/Materiales!$G$324,0)*Materiales!$G$324))</f>
        <v/>
      </c>
      <c r="J2249" s="65">
        <f>IF(J2248&lt;=0,0,IF(Materiales!$G$324&lt;=0,J2248,ROUNDUP(J2248/Materiales!$G$324,0)*Materiales!$G$324))</f>
        <v/>
      </c>
      <c r="K2249" s="65">
        <f>IF(K2248&lt;=0,0,IF(Materiales!$G$324&lt;=0,K2248,ROUNDUP(K2248/Materiales!$G$324,0)*Materiales!$G$324))</f>
        <v/>
      </c>
      <c r="L2249" s="65">
        <f>IF(L2248&lt;=0,0,IF(Materiales!$G$324&lt;=0,L2248,ROUNDUP(L2248/Materiales!$G$324,0)*Materiales!$G$324))</f>
        <v/>
      </c>
      <c r="M2249" s="66" t="n"/>
    </row>
    <row r="2250">
      <c r="C2250" s="70" t="inlineStr">
        <is>
          <t>LANZAMIENTO DE ORDEN — pedir esta semana</t>
        </is>
      </c>
      <c r="D2250" s="64" t="n"/>
      <c r="E2250" s="71">
        <f>IF(1+Materiales!$F$324&gt;8,0,INDEX($E$2249:$L$2249,1,1+Materiales!$F$324))</f>
        <v/>
      </c>
      <c r="F2250" s="71">
        <f>IF(2+Materiales!$F$324&gt;8,0,INDEX($E$2249:$L$2249,1,2+Materiales!$F$324))</f>
        <v/>
      </c>
      <c r="G2250" s="71">
        <f>IF(3+Materiales!$F$324&gt;8,0,INDEX($E$2249:$L$2249,1,3+Materiales!$F$324))</f>
        <v/>
      </c>
      <c r="H2250" s="71">
        <f>IF(4+Materiales!$F$324&gt;8,0,INDEX($E$2249:$L$2249,1,4+Materiales!$F$324))</f>
        <v/>
      </c>
      <c r="I2250" s="71">
        <f>IF(5+Materiales!$F$324&gt;8,0,INDEX($E$2249:$L$2249,1,5+Materiales!$F$324))</f>
        <v/>
      </c>
      <c r="J2250" s="71">
        <f>IF(6+Materiales!$F$324&gt;8,0,INDEX($E$2249:$L$2249,1,6+Materiales!$F$324))</f>
        <v/>
      </c>
      <c r="K2250" s="71">
        <f>IF(7+Materiales!$F$324&gt;8,0,INDEX($E$2249:$L$2249,1,7+Materiales!$F$324))</f>
        <v/>
      </c>
      <c r="L2250" s="71">
        <f>IF(8+Materiales!$F$324&gt;8,0,INDEX($E$2249:$L$2249,1,8+Materiales!$F$324))</f>
        <v/>
      </c>
      <c r="M2250" s="72">
        <f>IF($A2245="","",IF(SUMPRODUCT((COLUMN($E$2249:$L$2249)-4&lt;=Materiales!$F$324)*$E$2249:$L$2249)&gt;0,"PEDIR YA (atrasado)","OK"))</f>
        <v/>
      </c>
    </row>
    <row r="2251" ht="6" customHeight="1"/>
    <row r="2252">
      <c r="A2252" s="62">
        <f>IF(Materiales!$A$325="","",Materiales!$A$325)</f>
        <v/>
      </c>
      <c r="B2252" s="62">
        <f>IF(Materiales!$B$325="","",Materiales!$B$325)</f>
        <v/>
      </c>
      <c r="C2252" s="63" t="inlineStr">
        <is>
          <t>Necesidad bruta</t>
        </is>
      </c>
      <c r="D2252" s="64" t="n"/>
      <c r="E2252" s="65">
        <f>ROUND(SUMIF(Consumo!$P$4:$P$189,"#"&amp;$A2252,Consumo!H$4:H$189),4)</f>
        <v/>
      </c>
      <c r="F2252" s="65">
        <f>ROUND(SUMIF(Consumo!$P$4:$P$189,"#"&amp;$A2252,Consumo!I$4:I$189),4)</f>
        <v/>
      </c>
      <c r="G2252" s="65">
        <f>ROUND(SUMIF(Consumo!$P$4:$P$189,"#"&amp;$A2252,Consumo!J$4:J$189),4)</f>
        <v/>
      </c>
      <c r="H2252" s="65">
        <f>ROUND(SUMIF(Consumo!$P$4:$P$189,"#"&amp;$A2252,Consumo!K$4:K$189),4)</f>
        <v/>
      </c>
      <c r="I2252" s="65">
        <f>ROUND(SUMIF(Consumo!$P$4:$P$189,"#"&amp;$A2252,Consumo!L$4:L$189),4)</f>
        <v/>
      </c>
      <c r="J2252" s="65">
        <f>ROUND(SUMIF(Consumo!$P$4:$P$189,"#"&amp;$A2252,Consumo!M$4:M$189),4)</f>
        <v/>
      </c>
      <c r="K2252" s="65">
        <f>ROUND(SUMIF(Consumo!$P$4:$P$189,"#"&amp;$A2252,Consumo!N$4:N$189),4)</f>
        <v/>
      </c>
      <c r="L2252" s="65">
        <f>ROUND(SUMIF(Consumo!$P$4:$P$189,"#"&amp;$A2252,Consumo!O$4:O$189),4)</f>
        <v/>
      </c>
      <c r="M2252" s="66" t="n"/>
    </row>
    <row r="2253">
      <c r="C2253" s="63" t="inlineStr">
        <is>
          <t>Recepciones programadas (ya pedido)</t>
        </is>
      </c>
      <c r="D2253" s="64" t="n"/>
      <c r="E2253" s="65">
        <f>SUMIF(Inventario!$M$5:$M$505,"#"&amp;$A2252,Inventario!E$5:E$505)</f>
        <v/>
      </c>
      <c r="F2253" s="65">
        <f>SUMIF(Inventario!$M$5:$M$505,"#"&amp;$A2252,Inventario!F$5:F$505)</f>
        <v/>
      </c>
      <c r="G2253" s="65">
        <f>SUMIF(Inventario!$M$5:$M$505,"#"&amp;$A2252,Inventario!G$5:G$505)</f>
        <v/>
      </c>
      <c r="H2253" s="65">
        <f>SUMIF(Inventario!$M$5:$M$505,"#"&amp;$A2252,Inventario!H$5:H$505)</f>
        <v/>
      </c>
      <c r="I2253" s="65">
        <f>SUMIF(Inventario!$M$5:$M$505,"#"&amp;$A2252,Inventario!I$5:I$505)</f>
        <v/>
      </c>
      <c r="J2253" s="65">
        <f>SUMIF(Inventario!$M$5:$M$505,"#"&amp;$A2252,Inventario!J$5:J$505)</f>
        <v/>
      </c>
      <c r="K2253" s="65">
        <f>SUMIF(Inventario!$M$5:$M$505,"#"&amp;$A2252,Inventario!K$5:K$505)</f>
        <v/>
      </c>
      <c r="L2253" s="65">
        <f>SUMIF(Inventario!$M$5:$M$505,"#"&amp;$A2252,Inventario!L$5:L$505)</f>
        <v/>
      </c>
      <c r="M2253" s="66" t="n"/>
    </row>
    <row r="2254">
      <c r="C2254" s="63" t="inlineStr">
        <is>
          <t>Stock proyectado disponible</t>
        </is>
      </c>
      <c r="D2254" s="67">
        <f>SUMIF(Inventario!$M$5:$M$505,"#"&amp;$A2252,Inventario!$C$5:$C$505)</f>
        <v/>
      </c>
      <c r="E2254" s="68">
        <f>D2254+E2253+E2256-E2252</f>
        <v/>
      </c>
      <c r="F2254" s="68">
        <f>E2254+F2253+F2256-F2252</f>
        <v/>
      </c>
      <c r="G2254" s="68">
        <f>F2254+G2253+G2256-G2252</f>
        <v/>
      </c>
      <c r="H2254" s="68">
        <f>G2254+H2253+H2256-H2252</f>
        <v/>
      </c>
      <c r="I2254" s="68">
        <f>H2254+I2253+I2256-I2252</f>
        <v/>
      </c>
      <c r="J2254" s="68">
        <f>I2254+J2253+J2256-J2252</f>
        <v/>
      </c>
      <c r="K2254" s="68">
        <f>J2254+K2253+K2256-K2252</f>
        <v/>
      </c>
      <c r="L2254" s="68">
        <f>K2254+L2253+L2256-L2252</f>
        <v/>
      </c>
      <c r="M2254" s="66" t="n"/>
    </row>
    <row r="2255">
      <c r="C2255" s="63" t="inlineStr">
        <is>
          <t>Necesidad neta</t>
        </is>
      </c>
      <c r="D2255" s="64" t="n"/>
      <c r="E2255" s="69">
        <f>MAX(0,ROUND(E2252+Materiales!$H$325-D2254-E2253,4))</f>
        <v/>
      </c>
      <c r="F2255" s="69">
        <f>MAX(0,ROUND(F2252+Materiales!$H$325-E2254-F2253,4))</f>
        <v/>
      </c>
      <c r="G2255" s="69">
        <f>MAX(0,ROUND(G2252+Materiales!$H$325-F2254-G2253,4))</f>
        <v/>
      </c>
      <c r="H2255" s="69">
        <f>MAX(0,ROUND(H2252+Materiales!$H$325-G2254-H2253,4))</f>
        <v/>
      </c>
      <c r="I2255" s="69">
        <f>MAX(0,ROUND(I2252+Materiales!$H$325-H2254-I2253,4))</f>
        <v/>
      </c>
      <c r="J2255" s="69">
        <f>MAX(0,ROUND(J2252+Materiales!$H$325-I2254-J2253,4))</f>
        <v/>
      </c>
      <c r="K2255" s="69">
        <f>MAX(0,ROUND(K2252+Materiales!$H$325-J2254-K2253,4))</f>
        <v/>
      </c>
      <c r="L2255" s="69">
        <f>MAX(0,ROUND(L2252+Materiales!$H$325-K2254-L2253,4))</f>
        <v/>
      </c>
      <c r="M2255" s="66" t="n"/>
    </row>
    <row r="2256">
      <c r="C2256" s="63" t="inlineStr">
        <is>
          <t>Recepcion de orden planificada</t>
        </is>
      </c>
      <c r="D2256" s="64" t="n"/>
      <c r="E2256" s="65">
        <f>IF(E2255&lt;=0,0,IF(Materiales!$G$325&lt;=0,E2255,ROUNDUP(E2255/Materiales!$G$325,0)*Materiales!$G$325))</f>
        <v/>
      </c>
      <c r="F2256" s="65">
        <f>IF(F2255&lt;=0,0,IF(Materiales!$G$325&lt;=0,F2255,ROUNDUP(F2255/Materiales!$G$325,0)*Materiales!$G$325))</f>
        <v/>
      </c>
      <c r="G2256" s="65">
        <f>IF(G2255&lt;=0,0,IF(Materiales!$G$325&lt;=0,G2255,ROUNDUP(G2255/Materiales!$G$325,0)*Materiales!$G$325))</f>
        <v/>
      </c>
      <c r="H2256" s="65">
        <f>IF(H2255&lt;=0,0,IF(Materiales!$G$325&lt;=0,H2255,ROUNDUP(H2255/Materiales!$G$325,0)*Materiales!$G$325))</f>
        <v/>
      </c>
      <c r="I2256" s="65">
        <f>IF(I2255&lt;=0,0,IF(Materiales!$G$325&lt;=0,I2255,ROUNDUP(I2255/Materiales!$G$325,0)*Materiales!$G$325))</f>
        <v/>
      </c>
      <c r="J2256" s="65">
        <f>IF(J2255&lt;=0,0,IF(Materiales!$G$325&lt;=0,J2255,ROUNDUP(J2255/Materiales!$G$325,0)*Materiales!$G$325))</f>
        <v/>
      </c>
      <c r="K2256" s="65">
        <f>IF(K2255&lt;=0,0,IF(Materiales!$G$325&lt;=0,K2255,ROUNDUP(K2255/Materiales!$G$325,0)*Materiales!$G$325))</f>
        <v/>
      </c>
      <c r="L2256" s="65">
        <f>IF(L2255&lt;=0,0,IF(Materiales!$G$325&lt;=0,L2255,ROUNDUP(L2255/Materiales!$G$325,0)*Materiales!$G$325))</f>
        <v/>
      </c>
      <c r="M2256" s="66" t="n"/>
    </row>
    <row r="2257">
      <c r="C2257" s="70" t="inlineStr">
        <is>
          <t>LANZAMIENTO DE ORDEN — pedir esta semana</t>
        </is>
      </c>
      <c r="D2257" s="64" t="n"/>
      <c r="E2257" s="71">
        <f>IF(1+Materiales!$F$325&gt;8,0,INDEX($E$2256:$L$2256,1,1+Materiales!$F$325))</f>
        <v/>
      </c>
      <c r="F2257" s="71">
        <f>IF(2+Materiales!$F$325&gt;8,0,INDEX($E$2256:$L$2256,1,2+Materiales!$F$325))</f>
        <v/>
      </c>
      <c r="G2257" s="71">
        <f>IF(3+Materiales!$F$325&gt;8,0,INDEX($E$2256:$L$2256,1,3+Materiales!$F$325))</f>
        <v/>
      </c>
      <c r="H2257" s="71">
        <f>IF(4+Materiales!$F$325&gt;8,0,INDEX($E$2256:$L$2256,1,4+Materiales!$F$325))</f>
        <v/>
      </c>
      <c r="I2257" s="71">
        <f>IF(5+Materiales!$F$325&gt;8,0,INDEX($E$2256:$L$2256,1,5+Materiales!$F$325))</f>
        <v/>
      </c>
      <c r="J2257" s="71">
        <f>IF(6+Materiales!$F$325&gt;8,0,INDEX($E$2256:$L$2256,1,6+Materiales!$F$325))</f>
        <v/>
      </c>
      <c r="K2257" s="71">
        <f>IF(7+Materiales!$F$325&gt;8,0,INDEX($E$2256:$L$2256,1,7+Materiales!$F$325))</f>
        <v/>
      </c>
      <c r="L2257" s="71">
        <f>IF(8+Materiales!$F$325&gt;8,0,INDEX($E$2256:$L$2256,1,8+Materiales!$F$325))</f>
        <v/>
      </c>
      <c r="M2257" s="72">
        <f>IF($A2252="","",IF(SUMPRODUCT((COLUMN($E$2256:$L$2256)-4&lt;=Materiales!$F$325)*$E$2256:$L$2256)&gt;0,"PEDIR YA (atrasado)","OK"))</f>
        <v/>
      </c>
    </row>
    <row r="2258" ht="6" customHeight="1"/>
    <row r="2259">
      <c r="A2259" s="62">
        <f>IF(Materiales!$A$326="","",Materiales!$A$326)</f>
        <v/>
      </c>
      <c r="B2259" s="62">
        <f>IF(Materiales!$B$326="","",Materiales!$B$326)</f>
        <v/>
      </c>
      <c r="C2259" s="63" t="inlineStr">
        <is>
          <t>Necesidad bruta</t>
        </is>
      </c>
      <c r="D2259" s="64" t="n"/>
      <c r="E2259" s="65">
        <f>ROUND(SUMIF(Consumo!$P$4:$P$189,"#"&amp;$A2259,Consumo!H$4:H$189),4)</f>
        <v/>
      </c>
      <c r="F2259" s="65">
        <f>ROUND(SUMIF(Consumo!$P$4:$P$189,"#"&amp;$A2259,Consumo!I$4:I$189),4)</f>
        <v/>
      </c>
      <c r="G2259" s="65">
        <f>ROUND(SUMIF(Consumo!$P$4:$P$189,"#"&amp;$A2259,Consumo!J$4:J$189),4)</f>
        <v/>
      </c>
      <c r="H2259" s="65">
        <f>ROUND(SUMIF(Consumo!$P$4:$P$189,"#"&amp;$A2259,Consumo!K$4:K$189),4)</f>
        <v/>
      </c>
      <c r="I2259" s="65">
        <f>ROUND(SUMIF(Consumo!$P$4:$P$189,"#"&amp;$A2259,Consumo!L$4:L$189),4)</f>
        <v/>
      </c>
      <c r="J2259" s="65">
        <f>ROUND(SUMIF(Consumo!$P$4:$P$189,"#"&amp;$A2259,Consumo!M$4:M$189),4)</f>
        <v/>
      </c>
      <c r="K2259" s="65">
        <f>ROUND(SUMIF(Consumo!$P$4:$P$189,"#"&amp;$A2259,Consumo!N$4:N$189),4)</f>
        <v/>
      </c>
      <c r="L2259" s="65">
        <f>ROUND(SUMIF(Consumo!$P$4:$P$189,"#"&amp;$A2259,Consumo!O$4:O$189),4)</f>
        <v/>
      </c>
      <c r="M2259" s="66" t="n"/>
    </row>
    <row r="2260">
      <c r="C2260" s="63" t="inlineStr">
        <is>
          <t>Recepciones programadas (ya pedido)</t>
        </is>
      </c>
      <c r="D2260" s="64" t="n"/>
      <c r="E2260" s="65">
        <f>SUMIF(Inventario!$M$5:$M$505,"#"&amp;$A2259,Inventario!E$5:E$505)</f>
        <v/>
      </c>
      <c r="F2260" s="65">
        <f>SUMIF(Inventario!$M$5:$M$505,"#"&amp;$A2259,Inventario!F$5:F$505)</f>
        <v/>
      </c>
      <c r="G2260" s="65">
        <f>SUMIF(Inventario!$M$5:$M$505,"#"&amp;$A2259,Inventario!G$5:G$505)</f>
        <v/>
      </c>
      <c r="H2260" s="65">
        <f>SUMIF(Inventario!$M$5:$M$505,"#"&amp;$A2259,Inventario!H$5:H$505)</f>
        <v/>
      </c>
      <c r="I2260" s="65">
        <f>SUMIF(Inventario!$M$5:$M$505,"#"&amp;$A2259,Inventario!I$5:I$505)</f>
        <v/>
      </c>
      <c r="J2260" s="65">
        <f>SUMIF(Inventario!$M$5:$M$505,"#"&amp;$A2259,Inventario!J$5:J$505)</f>
        <v/>
      </c>
      <c r="K2260" s="65">
        <f>SUMIF(Inventario!$M$5:$M$505,"#"&amp;$A2259,Inventario!K$5:K$505)</f>
        <v/>
      </c>
      <c r="L2260" s="65">
        <f>SUMIF(Inventario!$M$5:$M$505,"#"&amp;$A2259,Inventario!L$5:L$505)</f>
        <v/>
      </c>
      <c r="M2260" s="66" t="n"/>
    </row>
    <row r="2261">
      <c r="C2261" s="63" t="inlineStr">
        <is>
          <t>Stock proyectado disponible</t>
        </is>
      </c>
      <c r="D2261" s="67">
        <f>SUMIF(Inventario!$M$5:$M$505,"#"&amp;$A2259,Inventario!$C$5:$C$505)</f>
        <v/>
      </c>
      <c r="E2261" s="68">
        <f>D2261+E2260+E2263-E2259</f>
        <v/>
      </c>
      <c r="F2261" s="68">
        <f>E2261+F2260+F2263-F2259</f>
        <v/>
      </c>
      <c r="G2261" s="68">
        <f>F2261+G2260+G2263-G2259</f>
        <v/>
      </c>
      <c r="H2261" s="68">
        <f>G2261+H2260+H2263-H2259</f>
        <v/>
      </c>
      <c r="I2261" s="68">
        <f>H2261+I2260+I2263-I2259</f>
        <v/>
      </c>
      <c r="J2261" s="68">
        <f>I2261+J2260+J2263-J2259</f>
        <v/>
      </c>
      <c r="K2261" s="68">
        <f>J2261+K2260+K2263-K2259</f>
        <v/>
      </c>
      <c r="L2261" s="68">
        <f>K2261+L2260+L2263-L2259</f>
        <v/>
      </c>
      <c r="M2261" s="66" t="n"/>
    </row>
    <row r="2262">
      <c r="C2262" s="63" t="inlineStr">
        <is>
          <t>Necesidad neta</t>
        </is>
      </c>
      <c r="D2262" s="64" t="n"/>
      <c r="E2262" s="69">
        <f>MAX(0,ROUND(E2259+Materiales!$H$326-D2261-E2260,4))</f>
        <v/>
      </c>
      <c r="F2262" s="69">
        <f>MAX(0,ROUND(F2259+Materiales!$H$326-E2261-F2260,4))</f>
        <v/>
      </c>
      <c r="G2262" s="69">
        <f>MAX(0,ROUND(G2259+Materiales!$H$326-F2261-G2260,4))</f>
        <v/>
      </c>
      <c r="H2262" s="69">
        <f>MAX(0,ROUND(H2259+Materiales!$H$326-G2261-H2260,4))</f>
        <v/>
      </c>
      <c r="I2262" s="69">
        <f>MAX(0,ROUND(I2259+Materiales!$H$326-H2261-I2260,4))</f>
        <v/>
      </c>
      <c r="J2262" s="69">
        <f>MAX(0,ROUND(J2259+Materiales!$H$326-I2261-J2260,4))</f>
        <v/>
      </c>
      <c r="K2262" s="69">
        <f>MAX(0,ROUND(K2259+Materiales!$H$326-J2261-K2260,4))</f>
        <v/>
      </c>
      <c r="L2262" s="69">
        <f>MAX(0,ROUND(L2259+Materiales!$H$326-K2261-L2260,4))</f>
        <v/>
      </c>
      <c r="M2262" s="66" t="n"/>
    </row>
    <row r="2263">
      <c r="C2263" s="63" t="inlineStr">
        <is>
          <t>Recepcion de orden planificada</t>
        </is>
      </c>
      <c r="D2263" s="64" t="n"/>
      <c r="E2263" s="65">
        <f>IF(E2262&lt;=0,0,IF(Materiales!$G$326&lt;=0,E2262,ROUNDUP(E2262/Materiales!$G$326,0)*Materiales!$G$326))</f>
        <v/>
      </c>
      <c r="F2263" s="65">
        <f>IF(F2262&lt;=0,0,IF(Materiales!$G$326&lt;=0,F2262,ROUNDUP(F2262/Materiales!$G$326,0)*Materiales!$G$326))</f>
        <v/>
      </c>
      <c r="G2263" s="65">
        <f>IF(G2262&lt;=0,0,IF(Materiales!$G$326&lt;=0,G2262,ROUNDUP(G2262/Materiales!$G$326,0)*Materiales!$G$326))</f>
        <v/>
      </c>
      <c r="H2263" s="65">
        <f>IF(H2262&lt;=0,0,IF(Materiales!$G$326&lt;=0,H2262,ROUNDUP(H2262/Materiales!$G$326,0)*Materiales!$G$326))</f>
        <v/>
      </c>
      <c r="I2263" s="65">
        <f>IF(I2262&lt;=0,0,IF(Materiales!$G$326&lt;=0,I2262,ROUNDUP(I2262/Materiales!$G$326,0)*Materiales!$G$326))</f>
        <v/>
      </c>
      <c r="J2263" s="65">
        <f>IF(J2262&lt;=0,0,IF(Materiales!$G$326&lt;=0,J2262,ROUNDUP(J2262/Materiales!$G$326,0)*Materiales!$G$326))</f>
        <v/>
      </c>
      <c r="K2263" s="65">
        <f>IF(K2262&lt;=0,0,IF(Materiales!$G$326&lt;=0,K2262,ROUNDUP(K2262/Materiales!$G$326,0)*Materiales!$G$326))</f>
        <v/>
      </c>
      <c r="L2263" s="65">
        <f>IF(L2262&lt;=0,0,IF(Materiales!$G$326&lt;=0,L2262,ROUNDUP(L2262/Materiales!$G$326,0)*Materiales!$G$326))</f>
        <v/>
      </c>
      <c r="M2263" s="66" t="n"/>
    </row>
    <row r="2264">
      <c r="C2264" s="70" t="inlineStr">
        <is>
          <t>LANZAMIENTO DE ORDEN — pedir esta semana</t>
        </is>
      </c>
      <c r="D2264" s="64" t="n"/>
      <c r="E2264" s="71">
        <f>IF(1+Materiales!$F$326&gt;8,0,INDEX($E$2263:$L$2263,1,1+Materiales!$F$326))</f>
        <v/>
      </c>
      <c r="F2264" s="71">
        <f>IF(2+Materiales!$F$326&gt;8,0,INDEX($E$2263:$L$2263,1,2+Materiales!$F$326))</f>
        <v/>
      </c>
      <c r="G2264" s="71">
        <f>IF(3+Materiales!$F$326&gt;8,0,INDEX($E$2263:$L$2263,1,3+Materiales!$F$326))</f>
        <v/>
      </c>
      <c r="H2264" s="71">
        <f>IF(4+Materiales!$F$326&gt;8,0,INDEX($E$2263:$L$2263,1,4+Materiales!$F$326))</f>
        <v/>
      </c>
      <c r="I2264" s="71">
        <f>IF(5+Materiales!$F$326&gt;8,0,INDEX($E$2263:$L$2263,1,5+Materiales!$F$326))</f>
        <v/>
      </c>
      <c r="J2264" s="71">
        <f>IF(6+Materiales!$F$326&gt;8,0,INDEX($E$2263:$L$2263,1,6+Materiales!$F$326))</f>
        <v/>
      </c>
      <c r="K2264" s="71">
        <f>IF(7+Materiales!$F$326&gt;8,0,INDEX($E$2263:$L$2263,1,7+Materiales!$F$326))</f>
        <v/>
      </c>
      <c r="L2264" s="71">
        <f>IF(8+Materiales!$F$326&gt;8,0,INDEX($E$2263:$L$2263,1,8+Materiales!$F$326))</f>
        <v/>
      </c>
      <c r="M2264" s="72">
        <f>IF($A2259="","",IF(SUMPRODUCT((COLUMN($E$2263:$L$2263)-4&lt;=Materiales!$F$326)*$E$2263:$L$2263)&gt;0,"PEDIR YA (atrasado)","OK"))</f>
        <v/>
      </c>
    </row>
    <row r="2265" ht="6" customHeight="1"/>
    <row r="2266">
      <c r="A2266" s="62">
        <f>IF(Materiales!$A$327="","",Materiales!$A$327)</f>
        <v/>
      </c>
      <c r="B2266" s="62">
        <f>IF(Materiales!$B$327="","",Materiales!$B$327)</f>
        <v/>
      </c>
      <c r="C2266" s="63" t="inlineStr">
        <is>
          <t>Necesidad bruta</t>
        </is>
      </c>
      <c r="D2266" s="64" t="n"/>
      <c r="E2266" s="65">
        <f>ROUND(SUMIF(Consumo!$P$4:$P$189,"#"&amp;$A2266,Consumo!H$4:H$189),4)</f>
        <v/>
      </c>
      <c r="F2266" s="65">
        <f>ROUND(SUMIF(Consumo!$P$4:$P$189,"#"&amp;$A2266,Consumo!I$4:I$189),4)</f>
        <v/>
      </c>
      <c r="G2266" s="65">
        <f>ROUND(SUMIF(Consumo!$P$4:$P$189,"#"&amp;$A2266,Consumo!J$4:J$189),4)</f>
        <v/>
      </c>
      <c r="H2266" s="65">
        <f>ROUND(SUMIF(Consumo!$P$4:$P$189,"#"&amp;$A2266,Consumo!K$4:K$189),4)</f>
        <v/>
      </c>
      <c r="I2266" s="65">
        <f>ROUND(SUMIF(Consumo!$P$4:$P$189,"#"&amp;$A2266,Consumo!L$4:L$189),4)</f>
        <v/>
      </c>
      <c r="J2266" s="65">
        <f>ROUND(SUMIF(Consumo!$P$4:$P$189,"#"&amp;$A2266,Consumo!M$4:M$189),4)</f>
        <v/>
      </c>
      <c r="K2266" s="65">
        <f>ROUND(SUMIF(Consumo!$P$4:$P$189,"#"&amp;$A2266,Consumo!N$4:N$189),4)</f>
        <v/>
      </c>
      <c r="L2266" s="65">
        <f>ROUND(SUMIF(Consumo!$P$4:$P$189,"#"&amp;$A2266,Consumo!O$4:O$189),4)</f>
        <v/>
      </c>
      <c r="M2266" s="66" t="n"/>
    </row>
    <row r="2267">
      <c r="C2267" s="63" t="inlineStr">
        <is>
          <t>Recepciones programadas (ya pedido)</t>
        </is>
      </c>
      <c r="D2267" s="64" t="n"/>
      <c r="E2267" s="65">
        <f>SUMIF(Inventario!$M$5:$M$505,"#"&amp;$A2266,Inventario!E$5:E$505)</f>
        <v/>
      </c>
      <c r="F2267" s="65">
        <f>SUMIF(Inventario!$M$5:$M$505,"#"&amp;$A2266,Inventario!F$5:F$505)</f>
        <v/>
      </c>
      <c r="G2267" s="65">
        <f>SUMIF(Inventario!$M$5:$M$505,"#"&amp;$A2266,Inventario!G$5:G$505)</f>
        <v/>
      </c>
      <c r="H2267" s="65">
        <f>SUMIF(Inventario!$M$5:$M$505,"#"&amp;$A2266,Inventario!H$5:H$505)</f>
        <v/>
      </c>
      <c r="I2267" s="65">
        <f>SUMIF(Inventario!$M$5:$M$505,"#"&amp;$A2266,Inventario!I$5:I$505)</f>
        <v/>
      </c>
      <c r="J2267" s="65">
        <f>SUMIF(Inventario!$M$5:$M$505,"#"&amp;$A2266,Inventario!J$5:J$505)</f>
        <v/>
      </c>
      <c r="K2267" s="65">
        <f>SUMIF(Inventario!$M$5:$M$505,"#"&amp;$A2266,Inventario!K$5:K$505)</f>
        <v/>
      </c>
      <c r="L2267" s="65">
        <f>SUMIF(Inventario!$M$5:$M$505,"#"&amp;$A2266,Inventario!L$5:L$505)</f>
        <v/>
      </c>
      <c r="M2267" s="66" t="n"/>
    </row>
    <row r="2268">
      <c r="C2268" s="63" t="inlineStr">
        <is>
          <t>Stock proyectado disponible</t>
        </is>
      </c>
      <c r="D2268" s="67">
        <f>SUMIF(Inventario!$M$5:$M$505,"#"&amp;$A2266,Inventario!$C$5:$C$505)</f>
        <v/>
      </c>
      <c r="E2268" s="68">
        <f>D2268+E2267+E2270-E2266</f>
        <v/>
      </c>
      <c r="F2268" s="68">
        <f>E2268+F2267+F2270-F2266</f>
        <v/>
      </c>
      <c r="G2268" s="68">
        <f>F2268+G2267+G2270-G2266</f>
        <v/>
      </c>
      <c r="H2268" s="68">
        <f>G2268+H2267+H2270-H2266</f>
        <v/>
      </c>
      <c r="I2268" s="68">
        <f>H2268+I2267+I2270-I2266</f>
        <v/>
      </c>
      <c r="J2268" s="68">
        <f>I2268+J2267+J2270-J2266</f>
        <v/>
      </c>
      <c r="K2268" s="68">
        <f>J2268+K2267+K2270-K2266</f>
        <v/>
      </c>
      <c r="L2268" s="68">
        <f>K2268+L2267+L2270-L2266</f>
        <v/>
      </c>
      <c r="M2268" s="66" t="n"/>
    </row>
    <row r="2269">
      <c r="C2269" s="63" t="inlineStr">
        <is>
          <t>Necesidad neta</t>
        </is>
      </c>
      <c r="D2269" s="64" t="n"/>
      <c r="E2269" s="69">
        <f>MAX(0,ROUND(E2266+Materiales!$H$327-D2268-E2267,4))</f>
        <v/>
      </c>
      <c r="F2269" s="69">
        <f>MAX(0,ROUND(F2266+Materiales!$H$327-E2268-F2267,4))</f>
        <v/>
      </c>
      <c r="G2269" s="69">
        <f>MAX(0,ROUND(G2266+Materiales!$H$327-F2268-G2267,4))</f>
        <v/>
      </c>
      <c r="H2269" s="69">
        <f>MAX(0,ROUND(H2266+Materiales!$H$327-G2268-H2267,4))</f>
        <v/>
      </c>
      <c r="I2269" s="69">
        <f>MAX(0,ROUND(I2266+Materiales!$H$327-H2268-I2267,4))</f>
        <v/>
      </c>
      <c r="J2269" s="69">
        <f>MAX(0,ROUND(J2266+Materiales!$H$327-I2268-J2267,4))</f>
        <v/>
      </c>
      <c r="K2269" s="69">
        <f>MAX(0,ROUND(K2266+Materiales!$H$327-J2268-K2267,4))</f>
        <v/>
      </c>
      <c r="L2269" s="69">
        <f>MAX(0,ROUND(L2266+Materiales!$H$327-K2268-L2267,4))</f>
        <v/>
      </c>
      <c r="M2269" s="66" t="n"/>
    </row>
    <row r="2270">
      <c r="C2270" s="63" t="inlineStr">
        <is>
          <t>Recepcion de orden planificada</t>
        </is>
      </c>
      <c r="D2270" s="64" t="n"/>
      <c r="E2270" s="65">
        <f>IF(E2269&lt;=0,0,IF(Materiales!$G$327&lt;=0,E2269,ROUNDUP(E2269/Materiales!$G$327,0)*Materiales!$G$327))</f>
        <v/>
      </c>
      <c r="F2270" s="65">
        <f>IF(F2269&lt;=0,0,IF(Materiales!$G$327&lt;=0,F2269,ROUNDUP(F2269/Materiales!$G$327,0)*Materiales!$G$327))</f>
        <v/>
      </c>
      <c r="G2270" s="65">
        <f>IF(G2269&lt;=0,0,IF(Materiales!$G$327&lt;=0,G2269,ROUNDUP(G2269/Materiales!$G$327,0)*Materiales!$G$327))</f>
        <v/>
      </c>
      <c r="H2270" s="65">
        <f>IF(H2269&lt;=0,0,IF(Materiales!$G$327&lt;=0,H2269,ROUNDUP(H2269/Materiales!$G$327,0)*Materiales!$G$327))</f>
        <v/>
      </c>
      <c r="I2270" s="65">
        <f>IF(I2269&lt;=0,0,IF(Materiales!$G$327&lt;=0,I2269,ROUNDUP(I2269/Materiales!$G$327,0)*Materiales!$G$327))</f>
        <v/>
      </c>
      <c r="J2270" s="65">
        <f>IF(J2269&lt;=0,0,IF(Materiales!$G$327&lt;=0,J2269,ROUNDUP(J2269/Materiales!$G$327,0)*Materiales!$G$327))</f>
        <v/>
      </c>
      <c r="K2270" s="65">
        <f>IF(K2269&lt;=0,0,IF(Materiales!$G$327&lt;=0,K2269,ROUNDUP(K2269/Materiales!$G$327,0)*Materiales!$G$327))</f>
        <v/>
      </c>
      <c r="L2270" s="65">
        <f>IF(L2269&lt;=0,0,IF(Materiales!$G$327&lt;=0,L2269,ROUNDUP(L2269/Materiales!$G$327,0)*Materiales!$G$327))</f>
        <v/>
      </c>
      <c r="M2270" s="66" t="n"/>
    </row>
    <row r="2271">
      <c r="C2271" s="70" t="inlineStr">
        <is>
          <t>LANZAMIENTO DE ORDEN — pedir esta semana</t>
        </is>
      </c>
      <c r="D2271" s="64" t="n"/>
      <c r="E2271" s="71">
        <f>IF(1+Materiales!$F$327&gt;8,0,INDEX($E$2270:$L$2270,1,1+Materiales!$F$327))</f>
        <v/>
      </c>
      <c r="F2271" s="71">
        <f>IF(2+Materiales!$F$327&gt;8,0,INDEX($E$2270:$L$2270,1,2+Materiales!$F$327))</f>
        <v/>
      </c>
      <c r="G2271" s="71">
        <f>IF(3+Materiales!$F$327&gt;8,0,INDEX($E$2270:$L$2270,1,3+Materiales!$F$327))</f>
        <v/>
      </c>
      <c r="H2271" s="71">
        <f>IF(4+Materiales!$F$327&gt;8,0,INDEX($E$2270:$L$2270,1,4+Materiales!$F$327))</f>
        <v/>
      </c>
      <c r="I2271" s="71">
        <f>IF(5+Materiales!$F$327&gt;8,0,INDEX($E$2270:$L$2270,1,5+Materiales!$F$327))</f>
        <v/>
      </c>
      <c r="J2271" s="71">
        <f>IF(6+Materiales!$F$327&gt;8,0,INDEX($E$2270:$L$2270,1,6+Materiales!$F$327))</f>
        <v/>
      </c>
      <c r="K2271" s="71">
        <f>IF(7+Materiales!$F$327&gt;8,0,INDEX($E$2270:$L$2270,1,7+Materiales!$F$327))</f>
        <v/>
      </c>
      <c r="L2271" s="71">
        <f>IF(8+Materiales!$F$327&gt;8,0,INDEX($E$2270:$L$2270,1,8+Materiales!$F$327))</f>
        <v/>
      </c>
      <c r="M2271" s="72">
        <f>IF($A2266="","",IF(SUMPRODUCT((COLUMN($E$2270:$L$2270)-4&lt;=Materiales!$F$327)*$E$2270:$L$2270)&gt;0,"PEDIR YA (atrasado)","OK"))</f>
        <v/>
      </c>
    </row>
    <row r="2272" ht="6" customHeight="1"/>
    <row r="2273">
      <c r="A2273" s="62">
        <f>IF(Materiales!$A$328="","",Materiales!$A$328)</f>
        <v/>
      </c>
      <c r="B2273" s="62">
        <f>IF(Materiales!$B$328="","",Materiales!$B$328)</f>
        <v/>
      </c>
      <c r="C2273" s="63" t="inlineStr">
        <is>
          <t>Necesidad bruta</t>
        </is>
      </c>
      <c r="D2273" s="64" t="n"/>
      <c r="E2273" s="65">
        <f>ROUND(SUMIF(Consumo!$P$4:$P$189,"#"&amp;$A2273,Consumo!H$4:H$189),4)</f>
        <v/>
      </c>
      <c r="F2273" s="65">
        <f>ROUND(SUMIF(Consumo!$P$4:$P$189,"#"&amp;$A2273,Consumo!I$4:I$189),4)</f>
        <v/>
      </c>
      <c r="G2273" s="65">
        <f>ROUND(SUMIF(Consumo!$P$4:$P$189,"#"&amp;$A2273,Consumo!J$4:J$189),4)</f>
        <v/>
      </c>
      <c r="H2273" s="65">
        <f>ROUND(SUMIF(Consumo!$P$4:$P$189,"#"&amp;$A2273,Consumo!K$4:K$189),4)</f>
        <v/>
      </c>
      <c r="I2273" s="65">
        <f>ROUND(SUMIF(Consumo!$P$4:$P$189,"#"&amp;$A2273,Consumo!L$4:L$189),4)</f>
        <v/>
      </c>
      <c r="J2273" s="65">
        <f>ROUND(SUMIF(Consumo!$P$4:$P$189,"#"&amp;$A2273,Consumo!M$4:M$189),4)</f>
        <v/>
      </c>
      <c r="K2273" s="65">
        <f>ROUND(SUMIF(Consumo!$P$4:$P$189,"#"&amp;$A2273,Consumo!N$4:N$189),4)</f>
        <v/>
      </c>
      <c r="L2273" s="65">
        <f>ROUND(SUMIF(Consumo!$P$4:$P$189,"#"&amp;$A2273,Consumo!O$4:O$189),4)</f>
        <v/>
      </c>
      <c r="M2273" s="66" t="n"/>
    </row>
    <row r="2274">
      <c r="C2274" s="63" t="inlineStr">
        <is>
          <t>Recepciones programadas (ya pedido)</t>
        </is>
      </c>
      <c r="D2274" s="64" t="n"/>
      <c r="E2274" s="65">
        <f>SUMIF(Inventario!$M$5:$M$505,"#"&amp;$A2273,Inventario!E$5:E$505)</f>
        <v/>
      </c>
      <c r="F2274" s="65">
        <f>SUMIF(Inventario!$M$5:$M$505,"#"&amp;$A2273,Inventario!F$5:F$505)</f>
        <v/>
      </c>
      <c r="G2274" s="65">
        <f>SUMIF(Inventario!$M$5:$M$505,"#"&amp;$A2273,Inventario!G$5:G$505)</f>
        <v/>
      </c>
      <c r="H2274" s="65">
        <f>SUMIF(Inventario!$M$5:$M$505,"#"&amp;$A2273,Inventario!H$5:H$505)</f>
        <v/>
      </c>
      <c r="I2274" s="65">
        <f>SUMIF(Inventario!$M$5:$M$505,"#"&amp;$A2273,Inventario!I$5:I$505)</f>
        <v/>
      </c>
      <c r="J2274" s="65">
        <f>SUMIF(Inventario!$M$5:$M$505,"#"&amp;$A2273,Inventario!J$5:J$505)</f>
        <v/>
      </c>
      <c r="K2274" s="65">
        <f>SUMIF(Inventario!$M$5:$M$505,"#"&amp;$A2273,Inventario!K$5:K$505)</f>
        <v/>
      </c>
      <c r="L2274" s="65">
        <f>SUMIF(Inventario!$M$5:$M$505,"#"&amp;$A2273,Inventario!L$5:L$505)</f>
        <v/>
      </c>
      <c r="M2274" s="66" t="n"/>
    </row>
    <row r="2275">
      <c r="C2275" s="63" t="inlineStr">
        <is>
          <t>Stock proyectado disponible</t>
        </is>
      </c>
      <c r="D2275" s="67">
        <f>SUMIF(Inventario!$M$5:$M$505,"#"&amp;$A2273,Inventario!$C$5:$C$505)</f>
        <v/>
      </c>
      <c r="E2275" s="68">
        <f>D2275+E2274+E2277-E2273</f>
        <v/>
      </c>
      <c r="F2275" s="68">
        <f>E2275+F2274+F2277-F2273</f>
        <v/>
      </c>
      <c r="G2275" s="68">
        <f>F2275+G2274+G2277-G2273</f>
        <v/>
      </c>
      <c r="H2275" s="68">
        <f>G2275+H2274+H2277-H2273</f>
        <v/>
      </c>
      <c r="I2275" s="68">
        <f>H2275+I2274+I2277-I2273</f>
        <v/>
      </c>
      <c r="J2275" s="68">
        <f>I2275+J2274+J2277-J2273</f>
        <v/>
      </c>
      <c r="K2275" s="68">
        <f>J2275+K2274+K2277-K2273</f>
        <v/>
      </c>
      <c r="L2275" s="68">
        <f>K2275+L2274+L2277-L2273</f>
        <v/>
      </c>
      <c r="M2275" s="66" t="n"/>
    </row>
    <row r="2276">
      <c r="C2276" s="63" t="inlineStr">
        <is>
          <t>Necesidad neta</t>
        </is>
      </c>
      <c r="D2276" s="64" t="n"/>
      <c r="E2276" s="69">
        <f>MAX(0,ROUND(E2273+Materiales!$H$328-D2275-E2274,4))</f>
        <v/>
      </c>
      <c r="F2276" s="69">
        <f>MAX(0,ROUND(F2273+Materiales!$H$328-E2275-F2274,4))</f>
        <v/>
      </c>
      <c r="G2276" s="69">
        <f>MAX(0,ROUND(G2273+Materiales!$H$328-F2275-G2274,4))</f>
        <v/>
      </c>
      <c r="H2276" s="69">
        <f>MAX(0,ROUND(H2273+Materiales!$H$328-G2275-H2274,4))</f>
        <v/>
      </c>
      <c r="I2276" s="69">
        <f>MAX(0,ROUND(I2273+Materiales!$H$328-H2275-I2274,4))</f>
        <v/>
      </c>
      <c r="J2276" s="69">
        <f>MAX(0,ROUND(J2273+Materiales!$H$328-I2275-J2274,4))</f>
        <v/>
      </c>
      <c r="K2276" s="69">
        <f>MAX(0,ROUND(K2273+Materiales!$H$328-J2275-K2274,4))</f>
        <v/>
      </c>
      <c r="L2276" s="69">
        <f>MAX(0,ROUND(L2273+Materiales!$H$328-K2275-L2274,4))</f>
        <v/>
      </c>
      <c r="M2276" s="66" t="n"/>
    </row>
    <row r="2277">
      <c r="C2277" s="63" t="inlineStr">
        <is>
          <t>Recepcion de orden planificada</t>
        </is>
      </c>
      <c r="D2277" s="64" t="n"/>
      <c r="E2277" s="65">
        <f>IF(E2276&lt;=0,0,IF(Materiales!$G$328&lt;=0,E2276,ROUNDUP(E2276/Materiales!$G$328,0)*Materiales!$G$328))</f>
        <v/>
      </c>
      <c r="F2277" s="65">
        <f>IF(F2276&lt;=0,0,IF(Materiales!$G$328&lt;=0,F2276,ROUNDUP(F2276/Materiales!$G$328,0)*Materiales!$G$328))</f>
        <v/>
      </c>
      <c r="G2277" s="65">
        <f>IF(G2276&lt;=0,0,IF(Materiales!$G$328&lt;=0,G2276,ROUNDUP(G2276/Materiales!$G$328,0)*Materiales!$G$328))</f>
        <v/>
      </c>
      <c r="H2277" s="65">
        <f>IF(H2276&lt;=0,0,IF(Materiales!$G$328&lt;=0,H2276,ROUNDUP(H2276/Materiales!$G$328,0)*Materiales!$G$328))</f>
        <v/>
      </c>
      <c r="I2277" s="65">
        <f>IF(I2276&lt;=0,0,IF(Materiales!$G$328&lt;=0,I2276,ROUNDUP(I2276/Materiales!$G$328,0)*Materiales!$G$328))</f>
        <v/>
      </c>
      <c r="J2277" s="65">
        <f>IF(J2276&lt;=0,0,IF(Materiales!$G$328&lt;=0,J2276,ROUNDUP(J2276/Materiales!$G$328,0)*Materiales!$G$328))</f>
        <v/>
      </c>
      <c r="K2277" s="65">
        <f>IF(K2276&lt;=0,0,IF(Materiales!$G$328&lt;=0,K2276,ROUNDUP(K2276/Materiales!$G$328,0)*Materiales!$G$328))</f>
        <v/>
      </c>
      <c r="L2277" s="65">
        <f>IF(L2276&lt;=0,0,IF(Materiales!$G$328&lt;=0,L2276,ROUNDUP(L2276/Materiales!$G$328,0)*Materiales!$G$328))</f>
        <v/>
      </c>
      <c r="M2277" s="66" t="n"/>
    </row>
    <row r="2278">
      <c r="C2278" s="70" t="inlineStr">
        <is>
          <t>LANZAMIENTO DE ORDEN — pedir esta semana</t>
        </is>
      </c>
      <c r="D2278" s="64" t="n"/>
      <c r="E2278" s="71">
        <f>IF(1+Materiales!$F$328&gt;8,0,INDEX($E$2277:$L$2277,1,1+Materiales!$F$328))</f>
        <v/>
      </c>
      <c r="F2278" s="71">
        <f>IF(2+Materiales!$F$328&gt;8,0,INDEX($E$2277:$L$2277,1,2+Materiales!$F$328))</f>
        <v/>
      </c>
      <c r="G2278" s="71">
        <f>IF(3+Materiales!$F$328&gt;8,0,INDEX($E$2277:$L$2277,1,3+Materiales!$F$328))</f>
        <v/>
      </c>
      <c r="H2278" s="71">
        <f>IF(4+Materiales!$F$328&gt;8,0,INDEX($E$2277:$L$2277,1,4+Materiales!$F$328))</f>
        <v/>
      </c>
      <c r="I2278" s="71">
        <f>IF(5+Materiales!$F$328&gt;8,0,INDEX($E$2277:$L$2277,1,5+Materiales!$F$328))</f>
        <v/>
      </c>
      <c r="J2278" s="71">
        <f>IF(6+Materiales!$F$328&gt;8,0,INDEX($E$2277:$L$2277,1,6+Materiales!$F$328))</f>
        <v/>
      </c>
      <c r="K2278" s="71">
        <f>IF(7+Materiales!$F$328&gt;8,0,INDEX($E$2277:$L$2277,1,7+Materiales!$F$328))</f>
        <v/>
      </c>
      <c r="L2278" s="71">
        <f>IF(8+Materiales!$F$328&gt;8,0,INDEX($E$2277:$L$2277,1,8+Materiales!$F$328))</f>
        <v/>
      </c>
      <c r="M2278" s="72">
        <f>IF($A2273="","",IF(SUMPRODUCT((COLUMN($E$2277:$L$2277)-4&lt;=Materiales!$F$328)*$E$2277:$L$2277)&gt;0,"PEDIR YA (atrasado)","OK"))</f>
        <v/>
      </c>
    </row>
    <row r="2279" ht="6" customHeight="1"/>
    <row r="2280">
      <c r="A2280" s="62">
        <f>IF(Materiales!$A$329="","",Materiales!$A$329)</f>
        <v/>
      </c>
      <c r="B2280" s="62">
        <f>IF(Materiales!$B$329="","",Materiales!$B$329)</f>
        <v/>
      </c>
      <c r="C2280" s="63" t="inlineStr">
        <is>
          <t>Necesidad bruta</t>
        </is>
      </c>
      <c r="D2280" s="64" t="n"/>
      <c r="E2280" s="65">
        <f>ROUND(SUMIF(Consumo!$P$4:$P$189,"#"&amp;$A2280,Consumo!H$4:H$189),4)</f>
        <v/>
      </c>
      <c r="F2280" s="65">
        <f>ROUND(SUMIF(Consumo!$P$4:$P$189,"#"&amp;$A2280,Consumo!I$4:I$189),4)</f>
        <v/>
      </c>
      <c r="G2280" s="65">
        <f>ROUND(SUMIF(Consumo!$P$4:$P$189,"#"&amp;$A2280,Consumo!J$4:J$189),4)</f>
        <v/>
      </c>
      <c r="H2280" s="65">
        <f>ROUND(SUMIF(Consumo!$P$4:$P$189,"#"&amp;$A2280,Consumo!K$4:K$189),4)</f>
        <v/>
      </c>
      <c r="I2280" s="65">
        <f>ROUND(SUMIF(Consumo!$P$4:$P$189,"#"&amp;$A2280,Consumo!L$4:L$189),4)</f>
        <v/>
      </c>
      <c r="J2280" s="65">
        <f>ROUND(SUMIF(Consumo!$P$4:$P$189,"#"&amp;$A2280,Consumo!M$4:M$189),4)</f>
        <v/>
      </c>
      <c r="K2280" s="65">
        <f>ROUND(SUMIF(Consumo!$P$4:$P$189,"#"&amp;$A2280,Consumo!N$4:N$189),4)</f>
        <v/>
      </c>
      <c r="L2280" s="65">
        <f>ROUND(SUMIF(Consumo!$P$4:$P$189,"#"&amp;$A2280,Consumo!O$4:O$189),4)</f>
        <v/>
      </c>
      <c r="M2280" s="66" t="n"/>
    </row>
    <row r="2281">
      <c r="C2281" s="63" t="inlineStr">
        <is>
          <t>Recepciones programadas (ya pedido)</t>
        </is>
      </c>
      <c r="D2281" s="64" t="n"/>
      <c r="E2281" s="65">
        <f>SUMIF(Inventario!$M$5:$M$505,"#"&amp;$A2280,Inventario!E$5:E$505)</f>
        <v/>
      </c>
      <c r="F2281" s="65">
        <f>SUMIF(Inventario!$M$5:$M$505,"#"&amp;$A2280,Inventario!F$5:F$505)</f>
        <v/>
      </c>
      <c r="G2281" s="65">
        <f>SUMIF(Inventario!$M$5:$M$505,"#"&amp;$A2280,Inventario!G$5:G$505)</f>
        <v/>
      </c>
      <c r="H2281" s="65">
        <f>SUMIF(Inventario!$M$5:$M$505,"#"&amp;$A2280,Inventario!H$5:H$505)</f>
        <v/>
      </c>
      <c r="I2281" s="65">
        <f>SUMIF(Inventario!$M$5:$M$505,"#"&amp;$A2280,Inventario!I$5:I$505)</f>
        <v/>
      </c>
      <c r="J2281" s="65">
        <f>SUMIF(Inventario!$M$5:$M$505,"#"&amp;$A2280,Inventario!J$5:J$505)</f>
        <v/>
      </c>
      <c r="K2281" s="65">
        <f>SUMIF(Inventario!$M$5:$M$505,"#"&amp;$A2280,Inventario!K$5:K$505)</f>
        <v/>
      </c>
      <c r="L2281" s="65">
        <f>SUMIF(Inventario!$M$5:$M$505,"#"&amp;$A2280,Inventario!L$5:L$505)</f>
        <v/>
      </c>
      <c r="M2281" s="66" t="n"/>
    </row>
    <row r="2282">
      <c r="C2282" s="63" t="inlineStr">
        <is>
          <t>Stock proyectado disponible</t>
        </is>
      </c>
      <c r="D2282" s="67">
        <f>SUMIF(Inventario!$M$5:$M$505,"#"&amp;$A2280,Inventario!$C$5:$C$505)</f>
        <v/>
      </c>
      <c r="E2282" s="68">
        <f>D2282+E2281+E2284-E2280</f>
        <v/>
      </c>
      <c r="F2282" s="68">
        <f>E2282+F2281+F2284-F2280</f>
        <v/>
      </c>
      <c r="G2282" s="68">
        <f>F2282+G2281+G2284-G2280</f>
        <v/>
      </c>
      <c r="H2282" s="68">
        <f>G2282+H2281+H2284-H2280</f>
        <v/>
      </c>
      <c r="I2282" s="68">
        <f>H2282+I2281+I2284-I2280</f>
        <v/>
      </c>
      <c r="J2282" s="68">
        <f>I2282+J2281+J2284-J2280</f>
        <v/>
      </c>
      <c r="K2282" s="68">
        <f>J2282+K2281+K2284-K2280</f>
        <v/>
      </c>
      <c r="L2282" s="68">
        <f>K2282+L2281+L2284-L2280</f>
        <v/>
      </c>
      <c r="M2282" s="66" t="n"/>
    </row>
    <row r="2283">
      <c r="C2283" s="63" t="inlineStr">
        <is>
          <t>Necesidad neta</t>
        </is>
      </c>
      <c r="D2283" s="64" t="n"/>
      <c r="E2283" s="69">
        <f>MAX(0,ROUND(E2280+Materiales!$H$329-D2282-E2281,4))</f>
        <v/>
      </c>
      <c r="F2283" s="69">
        <f>MAX(0,ROUND(F2280+Materiales!$H$329-E2282-F2281,4))</f>
        <v/>
      </c>
      <c r="G2283" s="69">
        <f>MAX(0,ROUND(G2280+Materiales!$H$329-F2282-G2281,4))</f>
        <v/>
      </c>
      <c r="H2283" s="69">
        <f>MAX(0,ROUND(H2280+Materiales!$H$329-G2282-H2281,4))</f>
        <v/>
      </c>
      <c r="I2283" s="69">
        <f>MAX(0,ROUND(I2280+Materiales!$H$329-H2282-I2281,4))</f>
        <v/>
      </c>
      <c r="J2283" s="69">
        <f>MAX(0,ROUND(J2280+Materiales!$H$329-I2282-J2281,4))</f>
        <v/>
      </c>
      <c r="K2283" s="69">
        <f>MAX(0,ROUND(K2280+Materiales!$H$329-J2282-K2281,4))</f>
        <v/>
      </c>
      <c r="L2283" s="69">
        <f>MAX(0,ROUND(L2280+Materiales!$H$329-K2282-L2281,4))</f>
        <v/>
      </c>
      <c r="M2283" s="66" t="n"/>
    </row>
    <row r="2284">
      <c r="C2284" s="63" t="inlineStr">
        <is>
          <t>Recepcion de orden planificada</t>
        </is>
      </c>
      <c r="D2284" s="64" t="n"/>
      <c r="E2284" s="65">
        <f>IF(E2283&lt;=0,0,IF(Materiales!$G$329&lt;=0,E2283,ROUNDUP(E2283/Materiales!$G$329,0)*Materiales!$G$329))</f>
        <v/>
      </c>
      <c r="F2284" s="65">
        <f>IF(F2283&lt;=0,0,IF(Materiales!$G$329&lt;=0,F2283,ROUNDUP(F2283/Materiales!$G$329,0)*Materiales!$G$329))</f>
        <v/>
      </c>
      <c r="G2284" s="65">
        <f>IF(G2283&lt;=0,0,IF(Materiales!$G$329&lt;=0,G2283,ROUNDUP(G2283/Materiales!$G$329,0)*Materiales!$G$329))</f>
        <v/>
      </c>
      <c r="H2284" s="65">
        <f>IF(H2283&lt;=0,0,IF(Materiales!$G$329&lt;=0,H2283,ROUNDUP(H2283/Materiales!$G$329,0)*Materiales!$G$329))</f>
        <v/>
      </c>
      <c r="I2284" s="65">
        <f>IF(I2283&lt;=0,0,IF(Materiales!$G$329&lt;=0,I2283,ROUNDUP(I2283/Materiales!$G$329,0)*Materiales!$G$329))</f>
        <v/>
      </c>
      <c r="J2284" s="65">
        <f>IF(J2283&lt;=0,0,IF(Materiales!$G$329&lt;=0,J2283,ROUNDUP(J2283/Materiales!$G$329,0)*Materiales!$G$329))</f>
        <v/>
      </c>
      <c r="K2284" s="65">
        <f>IF(K2283&lt;=0,0,IF(Materiales!$G$329&lt;=0,K2283,ROUNDUP(K2283/Materiales!$G$329,0)*Materiales!$G$329))</f>
        <v/>
      </c>
      <c r="L2284" s="65">
        <f>IF(L2283&lt;=0,0,IF(Materiales!$G$329&lt;=0,L2283,ROUNDUP(L2283/Materiales!$G$329,0)*Materiales!$G$329))</f>
        <v/>
      </c>
      <c r="M2284" s="66" t="n"/>
    </row>
    <row r="2285">
      <c r="C2285" s="70" t="inlineStr">
        <is>
          <t>LANZAMIENTO DE ORDEN — pedir esta semana</t>
        </is>
      </c>
      <c r="D2285" s="64" t="n"/>
      <c r="E2285" s="71">
        <f>IF(1+Materiales!$F$329&gt;8,0,INDEX($E$2284:$L$2284,1,1+Materiales!$F$329))</f>
        <v/>
      </c>
      <c r="F2285" s="71">
        <f>IF(2+Materiales!$F$329&gt;8,0,INDEX($E$2284:$L$2284,1,2+Materiales!$F$329))</f>
        <v/>
      </c>
      <c r="G2285" s="71">
        <f>IF(3+Materiales!$F$329&gt;8,0,INDEX($E$2284:$L$2284,1,3+Materiales!$F$329))</f>
        <v/>
      </c>
      <c r="H2285" s="71">
        <f>IF(4+Materiales!$F$329&gt;8,0,INDEX($E$2284:$L$2284,1,4+Materiales!$F$329))</f>
        <v/>
      </c>
      <c r="I2285" s="71">
        <f>IF(5+Materiales!$F$329&gt;8,0,INDEX($E$2284:$L$2284,1,5+Materiales!$F$329))</f>
        <v/>
      </c>
      <c r="J2285" s="71">
        <f>IF(6+Materiales!$F$329&gt;8,0,INDEX($E$2284:$L$2284,1,6+Materiales!$F$329))</f>
        <v/>
      </c>
      <c r="K2285" s="71">
        <f>IF(7+Materiales!$F$329&gt;8,0,INDEX($E$2284:$L$2284,1,7+Materiales!$F$329))</f>
        <v/>
      </c>
      <c r="L2285" s="71">
        <f>IF(8+Materiales!$F$329&gt;8,0,INDEX($E$2284:$L$2284,1,8+Materiales!$F$329))</f>
        <v/>
      </c>
      <c r="M2285" s="72">
        <f>IF($A2280="","",IF(SUMPRODUCT((COLUMN($E$2284:$L$2284)-4&lt;=Materiales!$F$329)*$E$2284:$L$2284)&gt;0,"PEDIR YA (atrasado)","OK"))</f>
        <v/>
      </c>
    </row>
    <row r="2286" ht="6" customHeight="1"/>
    <row r="2287">
      <c r="A2287" s="62">
        <f>IF(Materiales!$A$330="","",Materiales!$A$330)</f>
        <v/>
      </c>
      <c r="B2287" s="62">
        <f>IF(Materiales!$B$330="","",Materiales!$B$330)</f>
        <v/>
      </c>
      <c r="C2287" s="63" t="inlineStr">
        <is>
          <t>Necesidad bruta</t>
        </is>
      </c>
      <c r="D2287" s="64" t="n"/>
      <c r="E2287" s="65">
        <f>ROUND(SUMIF(Consumo!$P$4:$P$189,"#"&amp;$A2287,Consumo!H$4:H$189),4)</f>
        <v/>
      </c>
      <c r="F2287" s="65">
        <f>ROUND(SUMIF(Consumo!$P$4:$P$189,"#"&amp;$A2287,Consumo!I$4:I$189),4)</f>
        <v/>
      </c>
      <c r="G2287" s="65">
        <f>ROUND(SUMIF(Consumo!$P$4:$P$189,"#"&amp;$A2287,Consumo!J$4:J$189),4)</f>
        <v/>
      </c>
      <c r="H2287" s="65">
        <f>ROUND(SUMIF(Consumo!$P$4:$P$189,"#"&amp;$A2287,Consumo!K$4:K$189),4)</f>
        <v/>
      </c>
      <c r="I2287" s="65">
        <f>ROUND(SUMIF(Consumo!$P$4:$P$189,"#"&amp;$A2287,Consumo!L$4:L$189),4)</f>
        <v/>
      </c>
      <c r="J2287" s="65">
        <f>ROUND(SUMIF(Consumo!$P$4:$P$189,"#"&amp;$A2287,Consumo!M$4:M$189),4)</f>
        <v/>
      </c>
      <c r="K2287" s="65">
        <f>ROUND(SUMIF(Consumo!$P$4:$P$189,"#"&amp;$A2287,Consumo!N$4:N$189),4)</f>
        <v/>
      </c>
      <c r="L2287" s="65">
        <f>ROUND(SUMIF(Consumo!$P$4:$P$189,"#"&amp;$A2287,Consumo!O$4:O$189),4)</f>
        <v/>
      </c>
      <c r="M2287" s="66" t="n"/>
    </row>
    <row r="2288">
      <c r="C2288" s="63" t="inlineStr">
        <is>
          <t>Recepciones programadas (ya pedido)</t>
        </is>
      </c>
      <c r="D2288" s="64" t="n"/>
      <c r="E2288" s="65">
        <f>SUMIF(Inventario!$M$5:$M$505,"#"&amp;$A2287,Inventario!E$5:E$505)</f>
        <v/>
      </c>
      <c r="F2288" s="65">
        <f>SUMIF(Inventario!$M$5:$M$505,"#"&amp;$A2287,Inventario!F$5:F$505)</f>
        <v/>
      </c>
      <c r="G2288" s="65">
        <f>SUMIF(Inventario!$M$5:$M$505,"#"&amp;$A2287,Inventario!G$5:G$505)</f>
        <v/>
      </c>
      <c r="H2288" s="65">
        <f>SUMIF(Inventario!$M$5:$M$505,"#"&amp;$A2287,Inventario!H$5:H$505)</f>
        <v/>
      </c>
      <c r="I2288" s="65">
        <f>SUMIF(Inventario!$M$5:$M$505,"#"&amp;$A2287,Inventario!I$5:I$505)</f>
        <v/>
      </c>
      <c r="J2288" s="65">
        <f>SUMIF(Inventario!$M$5:$M$505,"#"&amp;$A2287,Inventario!J$5:J$505)</f>
        <v/>
      </c>
      <c r="K2288" s="65">
        <f>SUMIF(Inventario!$M$5:$M$505,"#"&amp;$A2287,Inventario!K$5:K$505)</f>
        <v/>
      </c>
      <c r="L2288" s="65">
        <f>SUMIF(Inventario!$M$5:$M$505,"#"&amp;$A2287,Inventario!L$5:L$505)</f>
        <v/>
      </c>
      <c r="M2288" s="66" t="n"/>
    </row>
    <row r="2289">
      <c r="C2289" s="63" t="inlineStr">
        <is>
          <t>Stock proyectado disponible</t>
        </is>
      </c>
      <c r="D2289" s="67">
        <f>SUMIF(Inventario!$M$5:$M$505,"#"&amp;$A2287,Inventario!$C$5:$C$505)</f>
        <v/>
      </c>
      <c r="E2289" s="68">
        <f>D2289+E2288+E2291-E2287</f>
        <v/>
      </c>
      <c r="F2289" s="68">
        <f>E2289+F2288+F2291-F2287</f>
        <v/>
      </c>
      <c r="G2289" s="68">
        <f>F2289+G2288+G2291-G2287</f>
        <v/>
      </c>
      <c r="H2289" s="68">
        <f>G2289+H2288+H2291-H2287</f>
        <v/>
      </c>
      <c r="I2289" s="68">
        <f>H2289+I2288+I2291-I2287</f>
        <v/>
      </c>
      <c r="J2289" s="68">
        <f>I2289+J2288+J2291-J2287</f>
        <v/>
      </c>
      <c r="K2289" s="68">
        <f>J2289+K2288+K2291-K2287</f>
        <v/>
      </c>
      <c r="L2289" s="68">
        <f>K2289+L2288+L2291-L2287</f>
        <v/>
      </c>
      <c r="M2289" s="66" t="n"/>
    </row>
    <row r="2290">
      <c r="C2290" s="63" t="inlineStr">
        <is>
          <t>Necesidad neta</t>
        </is>
      </c>
      <c r="D2290" s="64" t="n"/>
      <c r="E2290" s="69">
        <f>MAX(0,ROUND(E2287+Materiales!$H$330-D2289-E2288,4))</f>
        <v/>
      </c>
      <c r="F2290" s="69">
        <f>MAX(0,ROUND(F2287+Materiales!$H$330-E2289-F2288,4))</f>
        <v/>
      </c>
      <c r="G2290" s="69">
        <f>MAX(0,ROUND(G2287+Materiales!$H$330-F2289-G2288,4))</f>
        <v/>
      </c>
      <c r="H2290" s="69">
        <f>MAX(0,ROUND(H2287+Materiales!$H$330-G2289-H2288,4))</f>
        <v/>
      </c>
      <c r="I2290" s="69">
        <f>MAX(0,ROUND(I2287+Materiales!$H$330-H2289-I2288,4))</f>
        <v/>
      </c>
      <c r="J2290" s="69">
        <f>MAX(0,ROUND(J2287+Materiales!$H$330-I2289-J2288,4))</f>
        <v/>
      </c>
      <c r="K2290" s="69">
        <f>MAX(0,ROUND(K2287+Materiales!$H$330-J2289-K2288,4))</f>
        <v/>
      </c>
      <c r="L2290" s="69">
        <f>MAX(0,ROUND(L2287+Materiales!$H$330-K2289-L2288,4))</f>
        <v/>
      </c>
      <c r="M2290" s="66" t="n"/>
    </row>
    <row r="2291">
      <c r="C2291" s="63" t="inlineStr">
        <is>
          <t>Recepcion de orden planificada</t>
        </is>
      </c>
      <c r="D2291" s="64" t="n"/>
      <c r="E2291" s="65">
        <f>IF(E2290&lt;=0,0,IF(Materiales!$G$330&lt;=0,E2290,ROUNDUP(E2290/Materiales!$G$330,0)*Materiales!$G$330))</f>
        <v/>
      </c>
      <c r="F2291" s="65">
        <f>IF(F2290&lt;=0,0,IF(Materiales!$G$330&lt;=0,F2290,ROUNDUP(F2290/Materiales!$G$330,0)*Materiales!$G$330))</f>
        <v/>
      </c>
      <c r="G2291" s="65">
        <f>IF(G2290&lt;=0,0,IF(Materiales!$G$330&lt;=0,G2290,ROUNDUP(G2290/Materiales!$G$330,0)*Materiales!$G$330))</f>
        <v/>
      </c>
      <c r="H2291" s="65">
        <f>IF(H2290&lt;=0,0,IF(Materiales!$G$330&lt;=0,H2290,ROUNDUP(H2290/Materiales!$G$330,0)*Materiales!$G$330))</f>
        <v/>
      </c>
      <c r="I2291" s="65">
        <f>IF(I2290&lt;=0,0,IF(Materiales!$G$330&lt;=0,I2290,ROUNDUP(I2290/Materiales!$G$330,0)*Materiales!$G$330))</f>
        <v/>
      </c>
      <c r="J2291" s="65">
        <f>IF(J2290&lt;=0,0,IF(Materiales!$G$330&lt;=0,J2290,ROUNDUP(J2290/Materiales!$G$330,0)*Materiales!$G$330))</f>
        <v/>
      </c>
      <c r="K2291" s="65">
        <f>IF(K2290&lt;=0,0,IF(Materiales!$G$330&lt;=0,K2290,ROUNDUP(K2290/Materiales!$G$330,0)*Materiales!$G$330))</f>
        <v/>
      </c>
      <c r="L2291" s="65">
        <f>IF(L2290&lt;=0,0,IF(Materiales!$G$330&lt;=0,L2290,ROUNDUP(L2290/Materiales!$G$330,0)*Materiales!$G$330))</f>
        <v/>
      </c>
      <c r="M2291" s="66" t="n"/>
    </row>
    <row r="2292">
      <c r="C2292" s="70" t="inlineStr">
        <is>
          <t>LANZAMIENTO DE ORDEN — pedir esta semana</t>
        </is>
      </c>
      <c r="D2292" s="64" t="n"/>
      <c r="E2292" s="71">
        <f>IF(1+Materiales!$F$330&gt;8,0,INDEX($E$2291:$L$2291,1,1+Materiales!$F$330))</f>
        <v/>
      </c>
      <c r="F2292" s="71">
        <f>IF(2+Materiales!$F$330&gt;8,0,INDEX($E$2291:$L$2291,1,2+Materiales!$F$330))</f>
        <v/>
      </c>
      <c r="G2292" s="71">
        <f>IF(3+Materiales!$F$330&gt;8,0,INDEX($E$2291:$L$2291,1,3+Materiales!$F$330))</f>
        <v/>
      </c>
      <c r="H2292" s="71">
        <f>IF(4+Materiales!$F$330&gt;8,0,INDEX($E$2291:$L$2291,1,4+Materiales!$F$330))</f>
        <v/>
      </c>
      <c r="I2292" s="71">
        <f>IF(5+Materiales!$F$330&gt;8,0,INDEX($E$2291:$L$2291,1,5+Materiales!$F$330))</f>
        <v/>
      </c>
      <c r="J2292" s="71">
        <f>IF(6+Materiales!$F$330&gt;8,0,INDEX($E$2291:$L$2291,1,6+Materiales!$F$330))</f>
        <v/>
      </c>
      <c r="K2292" s="71">
        <f>IF(7+Materiales!$F$330&gt;8,0,INDEX($E$2291:$L$2291,1,7+Materiales!$F$330))</f>
        <v/>
      </c>
      <c r="L2292" s="71">
        <f>IF(8+Materiales!$F$330&gt;8,0,INDEX($E$2291:$L$2291,1,8+Materiales!$F$330))</f>
        <v/>
      </c>
      <c r="M2292" s="72">
        <f>IF($A2287="","",IF(SUMPRODUCT((COLUMN($E$2291:$L$2291)-4&lt;=Materiales!$F$330)*$E$2291:$L$2291)&gt;0,"PEDIR YA (atrasado)","OK"))</f>
        <v/>
      </c>
    </row>
    <row r="2293" ht="6" customHeight="1"/>
    <row r="2294">
      <c r="A2294" s="62">
        <f>IF(Materiales!$A$331="","",Materiales!$A$331)</f>
        <v/>
      </c>
      <c r="B2294" s="62">
        <f>IF(Materiales!$B$331="","",Materiales!$B$331)</f>
        <v/>
      </c>
      <c r="C2294" s="63" t="inlineStr">
        <is>
          <t>Necesidad bruta</t>
        </is>
      </c>
      <c r="D2294" s="64" t="n"/>
      <c r="E2294" s="65">
        <f>ROUND(SUMIF(Consumo!$P$4:$P$189,"#"&amp;$A2294,Consumo!H$4:H$189),4)</f>
        <v/>
      </c>
      <c r="F2294" s="65">
        <f>ROUND(SUMIF(Consumo!$P$4:$P$189,"#"&amp;$A2294,Consumo!I$4:I$189),4)</f>
        <v/>
      </c>
      <c r="G2294" s="65">
        <f>ROUND(SUMIF(Consumo!$P$4:$P$189,"#"&amp;$A2294,Consumo!J$4:J$189),4)</f>
        <v/>
      </c>
      <c r="H2294" s="65">
        <f>ROUND(SUMIF(Consumo!$P$4:$P$189,"#"&amp;$A2294,Consumo!K$4:K$189),4)</f>
        <v/>
      </c>
      <c r="I2294" s="65">
        <f>ROUND(SUMIF(Consumo!$P$4:$P$189,"#"&amp;$A2294,Consumo!L$4:L$189),4)</f>
        <v/>
      </c>
      <c r="J2294" s="65">
        <f>ROUND(SUMIF(Consumo!$P$4:$P$189,"#"&amp;$A2294,Consumo!M$4:M$189),4)</f>
        <v/>
      </c>
      <c r="K2294" s="65">
        <f>ROUND(SUMIF(Consumo!$P$4:$P$189,"#"&amp;$A2294,Consumo!N$4:N$189),4)</f>
        <v/>
      </c>
      <c r="L2294" s="65">
        <f>ROUND(SUMIF(Consumo!$P$4:$P$189,"#"&amp;$A2294,Consumo!O$4:O$189),4)</f>
        <v/>
      </c>
      <c r="M2294" s="66" t="n"/>
    </row>
    <row r="2295">
      <c r="C2295" s="63" t="inlineStr">
        <is>
          <t>Recepciones programadas (ya pedido)</t>
        </is>
      </c>
      <c r="D2295" s="64" t="n"/>
      <c r="E2295" s="65">
        <f>SUMIF(Inventario!$M$5:$M$505,"#"&amp;$A2294,Inventario!E$5:E$505)</f>
        <v/>
      </c>
      <c r="F2295" s="65">
        <f>SUMIF(Inventario!$M$5:$M$505,"#"&amp;$A2294,Inventario!F$5:F$505)</f>
        <v/>
      </c>
      <c r="G2295" s="65">
        <f>SUMIF(Inventario!$M$5:$M$505,"#"&amp;$A2294,Inventario!G$5:G$505)</f>
        <v/>
      </c>
      <c r="H2295" s="65">
        <f>SUMIF(Inventario!$M$5:$M$505,"#"&amp;$A2294,Inventario!H$5:H$505)</f>
        <v/>
      </c>
      <c r="I2295" s="65">
        <f>SUMIF(Inventario!$M$5:$M$505,"#"&amp;$A2294,Inventario!I$5:I$505)</f>
        <v/>
      </c>
      <c r="J2295" s="65">
        <f>SUMIF(Inventario!$M$5:$M$505,"#"&amp;$A2294,Inventario!J$5:J$505)</f>
        <v/>
      </c>
      <c r="K2295" s="65">
        <f>SUMIF(Inventario!$M$5:$M$505,"#"&amp;$A2294,Inventario!K$5:K$505)</f>
        <v/>
      </c>
      <c r="L2295" s="65">
        <f>SUMIF(Inventario!$M$5:$M$505,"#"&amp;$A2294,Inventario!L$5:L$505)</f>
        <v/>
      </c>
      <c r="M2295" s="66" t="n"/>
    </row>
    <row r="2296">
      <c r="C2296" s="63" t="inlineStr">
        <is>
          <t>Stock proyectado disponible</t>
        </is>
      </c>
      <c r="D2296" s="67">
        <f>SUMIF(Inventario!$M$5:$M$505,"#"&amp;$A2294,Inventario!$C$5:$C$505)</f>
        <v/>
      </c>
      <c r="E2296" s="68">
        <f>D2296+E2295+E2298-E2294</f>
        <v/>
      </c>
      <c r="F2296" s="68">
        <f>E2296+F2295+F2298-F2294</f>
        <v/>
      </c>
      <c r="G2296" s="68">
        <f>F2296+G2295+G2298-G2294</f>
        <v/>
      </c>
      <c r="H2296" s="68">
        <f>G2296+H2295+H2298-H2294</f>
        <v/>
      </c>
      <c r="I2296" s="68">
        <f>H2296+I2295+I2298-I2294</f>
        <v/>
      </c>
      <c r="J2296" s="68">
        <f>I2296+J2295+J2298-J2294</f>
        <v/>
      </c>
      <c r="K2296" s="68">
        <f>J2296+K2295+K2298-K2294</f>
        <v/>
      </c>
      <c r="L2296" s="68">
        <f>K2296+L2295+L2298-L2294</f>
        <v/>
      </c>
      <c r="M2296" s="66" t="n"/>
    </row>
    <row r="2297">
      <c r="C2297" s="63" t="inlineStr">
        <is>
          <t>Necesidad neta</t>
        </is>
      </c>
      <c r="D2297" s="64" t="n"/>
      <c r="E2297" s="69">
        <f>MAX(0,ROUND(E2294+Materiales!$H$331-D2296-E2295,4))</f>
        <v/>
      </c>
      <c r="F2297" s="69">
        <f>MAX(0,ROUND(F2294+Materiales!$H$331-E2296-F2295,4))</f>
        <v/>
      </c>
      <c r="G2297" s="69">
        <f>MAX(0,ROUND(G2294+Materiales!$H$331-F2296-G2295,4))</f>
        <v/>
      </c>
      <c r="H2297" s="69">
        <f>MAX(0,ROUND(H2294+Materiales!$H$331-G2296-H2295,4))</f>
        <v/>
      </c>
      <c r="I2297" s="69">
        <f>MAX(0,ROUND(I2294+Materiales!$H$331-H2296-I2295,4))</f>
        <v/>
      </c>
      <c r="J2297" s="69">
        <f>MAX(0,ROUND(J2294+Materiales!$H$331-I2296-J2295,4))</f>
        <v/>
      </c>
      <c r="K2297" s="69">
        <f>MAX(0,ROUND(K2294+Materiales!$H$331-J2296-K2295,4))</f>
        <v/>
      </c>
      <c r="L2297" s="69">
        <f>MAX(0,ROUND(L2294+Materiales!$H$331-K2296-L2295,4))</f>
        <v/>
      </c>
      <c r="M2297" s="66" t="n"/>
    </row>
    <row r="2298">
      <c r="C2298" s="63" t="inlineStr">
        <is>
          <t>Recepcion de orden planificada</t>
        </is>
      </c>
      <c r="D2298" s="64" t="n"/>
      <c r="E2298" s="65">
        <f>IF(E2297&lt;=0,0,IF(Materiales!$G$331&lt;=0,E2297,ROUNDUP(E2297/Materiales!$G$331,0)*Materiales!$G$331))</f>
        <v/>
      </c>
      <c r="F2298" s="65">
        <f>IF(F2297&lt;=0,0,IF(Materiales!$G$331&lt;=0,F2297,ROUNDUP(F2297/Materiales!$G$331,0)*Materiales!$G$331))</f>
        <v/>
      </c>
      <c r="G2298" s="65">
        <f>IF(G2297&lt;=0,0,IF(Materiales!$G$331&lt;=0,G2297,ROUNDUP(G2297/Materiales!$G$331,0)*Materiales!$G$331))</f>
        <v/>
      </c>
      <c r="H2298" s="65">
        <f>IF(H2297&lt;=0,0,IF(Materiales!$G$331&lt;=0,H2297,ROUNDUP(H2297/Materiales!$G$331,0)*Materiales!$G$331))</f>
        <v/>
      </c>
      <c r="I2298" s="65">
        <f>IF(I2297&lt;=0,0,IF(Materiales!$G$331&lt;=0,I2297,ROUNDUP(I2297/Materiales!$G$331,0)*Materiales!$G$331))</f>
        <v/>
      </c>
      <c r="J2298" s="65">
        <f>IF(J2297&lt;=0,0,IF(Materiales!$G$331&lt;=0,J2297,ROUNDUP(J2297/Materiales!$G$331,0)*Materiales!$G$331))</f>
        <v/>
      </c>
      <c r="K2298" s="65">
        <f>IF(K2297&lt;=0,0,IF(Materiales!$G$331&lt;=0,K2297,ROUNDUP(K2297/Materiales!$G$331,0)*Materiales!$G$331))</f>
        <v/>
      </c>
      <c r="L2298" s="65">
        <f>IF(L2297&lt;=0,0,IF(Materiales!$G$331&lt;=0,L2297,ROUNDUP(L2297/Materiales!$G$331,0)*Materiales!$G$331))</f>
        <v/>
      </c>
      <c r="M2298" s="66" t="n"/>
    </row>
    <row r="2299">
      <c r="C2299" s="70" t="inlineStr">
        <is>
          <t>LANZAMIENTO DE ORDEN — pedir esta semana</t>
        </is>
      </c>
      <c r="D2299" s="64" t="n"/>
      <c r="E2299" s="71">
        <f>IF(1+Materiales!$F$331&gt;8,0,INDEX($E$2298:$L$2298,1,1+Materiales!$F$331))</f>
        <v/>
      </c>
      <c r="F2299" s="71">
        <f>IF(2+Materiales!$F$331&gt;8,0,INDEX($E$2298:$L$2298,1,2+Materiales!$F$331))</f>
        <v/>
      </c>
      <c r="G2299" s="71">
        <f>IF(3+Materiales!$F$331&gt;8,0,INDEX($E$2298:$L$2298,1,3+Materiales!$F$331))</f>
        <v/>
      </c>
      <c r="H2299" s="71">
        <f>IF(4+Materiales!$F$331&gt;8,0,INDEX($E$2298:$L$2298,1,4+Materiales!$F$331))</f>
        <v/>
      </c>
      <c r="I2299" s="71">
        <f>IF(5+Materiales!$F$331&gt;8,0,INDEX($E$2298:$L$2298,1,5+Materiales!$F$331))</f>
        <v/>
      </c>
      <c r="J2299" s="71">
        <f>IF(6+Materiales!$F$331&gt;8,0,INDEX($E$2298:$L$2298,1,6+Materiales!$F$331))</f>
        <v/>
      </c>
      <c r="K2299" s="71">
        <f>IF(7+Materiales!$F$331&gt;8,0,INDEX($E$2298:$L$2298,1,7+Materiales!$F$331))</f>
        <v/>
      </c>
      <c r="L2299" s="71">
        <f>IF(8+Materiales!$F$331&gt;8,0,INDEX($E$2298:$L$2298,1,8+Materiales!$F$331))</f>
        <v/>
      </c>
      <c r="M2299" s="72">
        <f>IF($A2294="","",IF(SUMPRODUCT((COLUMN($E$2298:$L$2298)-4&lt;=Materiales!$F$331)*$E$2298:$L$2298)&gt;0,"PEDIR YA (atrasado)","OK"))</f>
        <v/>
      </c>
    </row>
    <row r="2300" ht="6" customHeight="1"/>
    <row r="2301">
      <c r="A2301" s="62">
        <f>IF(Materiales!$A$332="","",Materiales!$A$332)</f>
        <v/>
      </c>
      <c r="B2301" s="62">
        <f>IF(Materiales!$B$332="","",Materiales!$B$332)</f>
        <v/>
      </c>
      <c r="C2301" s="63" t="inlineStr">
        <is>
          <t>Necesidad bruta</t>
        </is>
      </c>
      <c r="D2301" s="64" t="n"/>
      <c r="E2301" s="65">
        <f>ROUND(SUMIF(Consumo!$P$4:$P$189,"#"&amp;$A2301,Consumo!H$4:H$189),4)</f>
        <v/>
      </c>
      <c r="F2301" s="65">
        <f>ROUND(SUMIF(Consumo!$P$4:$P$189,"#"&amp;$A2301,Consumo!I$4:I$189),4)</f>
        <v/>
      </c>
      <c r="G2301" s="65">
        <f>ROUND(SUMIF(Consumo!$P$4:$P$189,"#"&amp;$A2301,Consumo!J$4:J$189),4)</f>
        <v/>
      </c>
      <c r="H2301" s="65">
        <f>ROUND(SUMIF(Consumo!$P$4:$P$189,"#"&amp;$A2301,Consumo!K$4:K$189),4)</f>
        <v/>
      </c>
      <c r="I2301" s="65">
        <f>ROUND(SUMIF(Consumo!$P$4:$P$189,"#"&amp;$A2301,Consumo!L$4:L$189),4)</f>
        <v/>
      </c>
      <c r="J2301" s="65">
        <f>ROUND(SUMIF(Consumo!$P$4:$P$189,"#"&amp;$A2301,Consumo!M$4:M$189),4)</f>
        <v/>
      </c>
      <c r="K2301" s="65">
        <f>ROUND(SUMIF(Consumo!$P$4:$P$189,"#"&amp;$A2301,Consumo!N$4:N$189),4)</f>
        <v/>
      </c>
      <c r="L2301" s="65">
        <f>ROUND(SUMIF(Consumo!$P$4:$P$189,"#"&amp;$A2301,Consumo!O$4:O$189),4)</f>
        <v/>
      </c>
      <c r="M2301" s="66" t="n"/>
    </row>
    <row r="2302">
      <c r="C2302" s="63" t="inlineStr">
        <is>
          <t>Recepciones programadas (ya pedido)</t>
        </is>
      </c>
      <c r="D2302" s="64" t="n"/>
      <c r="E2302" s="65">
        <f>SUMIF(Inventario!$M$5:$M$505,"#"&amp;$A2301,Inventario!E$5:E$505)</f>
        <v/>
      </c>
      <c r="F2302" s="65">
        <f>SUMIF(Inventario!$M$5:$M$505,"#"&amp;$A2301,Inventario!F$5:F$505)</f>
        <v/>
      </c>
      <c r="G2302" s="65">
        <f>SUMIF(Inventario!$M$5:$M$505,"#"&amp;$A2301,Inventario!G$5:G$505)</f>
        <v/>
      </c>
      <c r="H2302" s="65">
        <f>SUMIF(Inventario!$M$5:$M$505,"#"&amp;$A2301,Inventario!H$5:H$505)</f>
        <v/>
      </c>
      <c r="I2302" s="65">
        <f>SUMIF(Inventario!$M$5:$M$505,"#"&amp;$A2301,Inventario!I$5:I$505)</f>
        <v/>
      </c>
      <c r="J2302" s="65">
        <f>SUMIF(Inventario!$M$5:$M$505,"#"&amp;$A2301,Inventario!J$5:J$505)</f>
        <v/>
      </c>
      <c r="K2302" s="65">
        <f>SUMIF(Inventario!$M$5:$M$505,"#"&amp;$A2301,Inventario!K$5:K$505)</f>
        <v/>
      </c>
      <c r="L2302" s="65">
        <f>SUMIF(Inventario!$M$5:$M$505,"#"&amp;$A2301,Inventario!L$5:L$505)</f>
        <v/>
      </c>
      <c r="M2302" s="66" t="n"/>
    </row>
    <row r="2303">
      <c r="C2303" s="63" t="inlineStr">
        <is>
          <t>Stock proyectado disponible</t>
        </is>
      </c>
      <c r="D2303" s="67">
        <f>SUMIF(Inventario!$M$5:$M$505,"#"&amp;$A2301,Inventario!$C$5:$C$505)</f>
        <v/>
      </c>
      <c r="E2303" s="68">
        <f>D2303+E2302+E2305-E2301</f>
        <v/>
      </c>
      <c r="F2303" s="68">
        <f>E2303+F2302+F2305-F2301</f>
        <v/>
      </c>
      <c r="G2303" s="68">
        <f>F2303+G2302+G2305-G2301</f>
        <v/>
      </c>
      <c r="H2303" s="68">
        <f>G2303+H2302+H2305-H2301</f>
        <v/>
      </c>
      <c r="I2303" s="68">
        <f>H2303+I2302+I2305-I2301</f>
        <v/>
      </c>
      <c r="J2303" s="68">
        <f>I2303+J2302+J2305-J2301</f>
        <v/>
      </c>
      <c r="K2303" s="68">
        <f>J2303+K2302+K2305-K2301</f>
        <v/>
      </c>
      <c r="L2303" s="68">
        <f>K2303+L2302+L2305-L2301</f>
        <v/>
      </c>
      <c r="M2303" s="66" t="n"/>
    </row>
    <row r="2304">
      <c r="C2304" s="63" t="inlineStr">
        <is>
          <t>Necesidad neta</t>
        </is>
      </c>
      <c r="D2304" s="64" t="n"/>
      <c r="E2304" s="69">
        <f>MAX(0,ROUND(E2301+Materiales!$H$332-D2303-E2302,4))</f>
        <v/>
      </c>
      <c r="F2304" s="69">
        <f>MAX(0,ROUND(F2301+Materiales!$H$332-E2303-F2302,4))</f>
        <v/>
      </c>
      <c r="G2304" s="69">
        <f>MAX(0,ROUND(G2301+Materiales!$H$332-F2303-G2302,4))</f>
        <v/>
      </c>
      <c r="H2304" s="69">
        <f>MAX(0,ROUND(H2301+Materiales!$H$332-G2303-H2302,4))</f>
        <v/>
      </c>
      <c r="I2304" s="69">
        <f>MAX(0,ROUND(I2301+Materiales!$H$332-H2303-I2302,4))</f>
        <v/>
      </c>
      <c r="J2304" s="69">
        <f>MAX(0,ROUND(J2301+Materiales!$H$332-I2303-J2302,4))</f>
        <v/>
      </c>
      <c r="K2304" s="69">
        <f>MAX(0,ROUND(K2301+Materiales!$H$332-J2303-K2302,4))</f>
        <v/>
      </c>
      <c r="L2304" s="69">
        <f>MAX(0,ROUND(L2301+Materiales!$H$332-K2303-L2302,4))</f>
        <v/>
      </c>
      <c r="M2304" s="66" t="n"/>
    </row>
    <row r="2305">
      <c r="C2305" s="63" t="inlineStr">
        <is>
          <t>Recepcion de orden planificada</t>
        </is>
      </c>
      <c r="D2305" s="64" t="n"/>
      <c r="E2305" s="65">
        <f>IF(E2304&lt;=0,0,IF(Materiales!$G$332&lt;=0,E2304,ROUNDUP(E2304/Materiales!$G$332,0)*Materiales!$G$332))</f>
        <v/>
      </c>
      <c r="F2305" s="65">
        <f>IF(F2304&lt;=0,0,IF(Materiales!$G$332&lt;=0,F2304,ROUNDUP(F2304/Materiales!$G$332,0)*Materiales!$G$332))</f>
        <v/>
      </c>
      <c r="G2305" s="65">
        <f>IF(G2304&lt;=0,0,IF(Materiales!$G$332&lt;=0,G2304,ROUNDUP(G2304/Materiales!$G$332,0)*Materiales!$G$332))</f>
        <v/>
      </c>
      <c r="H2305" s="65">
        <f>IF(H2304&lt;=0,0,IF(Materiales!$G$332&lt;=0,H2304,ROUNDUP(H2304/Materiales!$G$332,0)*Materiales!$G$332))</f>
        <v/>
      </c>
      <c r="I2305" s="65">
        <f>IF(I2304&lt;=0,0,IF(Materiales!$G$332&lt;=0,I2304,ROUNDUP(I2304/Materiales!$G$332,0)*Materiales!$G$332))</f>
        <v/>
      </c>
      <c r="J2305" s="65">
        <f>IF(J2304&lt;=0,0,IF(Materiales!$G$332&lt;=0,J2304,ROUNDUP(J2304/Materiales!$G$332,0)*Materiales!$G$332))</f>
        <v/>
      </c>
      <c r="K2305" s="65">
        <f>IF(K2304&lt;=0,0,IF(Materiales!$G$332&lt;=0,K2304,ROUNDUP(K2304/Materiales!$G$332,0)*Materiales!$G$332))</f>
        <v/>
      </c>
      <c r="L2305" s="65">
        <f>IF(L2304&lt;=0,0,IF(Materiales!$G$332&lt;=0,L2304,ROUNDUP(L2304/Materiales!$G$332,0)*Materiales!$G$332))</f>
        <v/>
      </c>
      <c r="M2305" s="66" t="n"/>
    </row>
    <row r="2306">
      <c r="C2306" s="70" t="inlineStr">
        <is>
          <t>LANZAMIENTO DE ORDEN — pedir esta semana</t>
        </is>
      </c>
      <c r="D2306" s="64" t="n"/>
      <c r="E2306" s="71">
        <f>IF(1+Materiales!$F$332&gt;8,0,INDEX($E$2305:$L$2305,1,1+Materiales!$F$332))</f>
        <v/>
      </c>
      <c r="F2306" s="71">
        <f>IF(2+Materiales!$F$332&gt;8,0,INDEX($E$2305:$L$2305,1,2+Materiales!$F$332))</f>
        <v/>
      </c>
      <c r="G2306" s="71">
        <f>IF(3+Materiales!$F$332&gt;8,0,INDEX($E$2305:$L$2305,1,3+Materiales!$F$332))</f>
        <v/>
      </c>
      <c r="H2306" s="71">
        <f>IF(4+Materiales!$F$332&gt;8,0,INDEX($E$2305:$L$2305,1,4+Materiales!$F$332))</f>
        <v/>
      </c>
      <c r="I2306" s="71">
        <f>IF(5+Materiales!$F$332&gt;8,0,INDEX($E$2305:$L$2305,1,5+Materiales!$F$332))</f>
        <v/>
      </c>
      <c r="J2306" s="71">
        <f>IF(6+Materiales!$F$332&gt;8,0,INDEX($E$2305:$L$2305,1,6+Materiales!$F$332))</f>
        <v/>
      </c>
      <c r="K2306" s="71">
        <f>IF(7+Materiales!$F$332&gt;8,0,INDEX($E$2305:$L$2305,1,7+Materiales!$F$332))</f>
        <v/>
      </c>
      <c r="L2306" s="71">
        <f>IF(8+Materiales!$F$332&gt;8,0,INDEX($E$2305:$L$2305,1,8+Materiales!$F$332))</f>
        <v/>
      </c>
      <c r="M2306" s="72">
        <f>IF($A2301="","",IF(SUMPRODUCT((COLUMN($E$2305:$L$2305)-4&lt;=Materiales!$F$332)*$E$2305:$L$2305)&gt;0,"PEDIR YA (atrasado)","OK"))</f>
        <v/>
      </c>
    </row>
    <row r="2307" ht="6" customHeight="1"/>
    <row r="2308">
      <c r="A2308" s="62">
        <f>IF(Materiales!$A$333="","",Materiales!$A$333)</f>
        <v/>
      </c>
      <c r="B2308" s="62">
        <f>IF(Materiales!$B$333="","",Materiales!$B$333)</f>
        <v/>
      </c>
      <c r="C2308" s="63" t="inlineStr">
        <is>
          <t>Necesidad bruta</t>
        </is>
      </c>
      <c r="D2308" s="64" t="n"/>
      <c r="E2308" s="65">
        <f>ROUND(SUMIF(Consumo!$P$4:$P$189,"#"&amp;$A2308,Consumo!H$4:H$189),4)</f>
        <v/>
      </c>
      <c r="F2308" s="65">
        <f>ROUND(SUMIF(Consumo!$P$4:$P$189,"#"&amp;$A2308,Consumo!I$4:I$189),4)</f>
        <v/>
      </c>
      <c r="G2308" s="65">
        <f>ROUND(SUMIF(Consumo!$P$4:$P$189,"#"&amp;$A2308,Consumo!J$4:J$189),4)</f>
        <v/>
      </c>
      <c r="H2308" s="65">
        <f>ROUND(SUMIF(Consumo!$P$4:$P$189,"#"&amp;$A2308,Consumo!K$4:K$189),4)</f>
        <v/>
      </c>
      <c r="I2308" s="65">
        <f>ROUND(SUMIF(Consumo!$P$4:$P$189,"#"&amp;$A2308,Consumo!L$4:L$189),4)</f>
        <v/>
      </c>
      <c r="J2308" s="65">
        <f>ROUND(SUMIF(Consumo!$P$4:$P$189,"#"&amp;$A2308,Consumo!M$4:M$189),4)</f>
        <v/>
      </c>
      <c r="K2308" s="65">
        <f>ROUND(SUMIF(Consumo!$P$4:$P$189,"#"&amp;$A2308,Consumo!N$4:N$189),4)</f>
        <v/>
      </c>
      <c r="L2308" s="65">
        <f>ROUND(SUMIF(Consumo!$P$4:$P$189,"#"&amp;$A2308,Consumo!O$4:O$189),4)</f>
        <v/>
      </c>
      <c r="M2308" s="66" t="n"/>
    </row>
    <row r="2309">
      <c r="C2309" s="63" t="inlineStr">
        <is>
          <t>Recepciones programadas (ya pedido)</t>
        </is>
      </c>
      <c r="D2309" s="64" t="n"/>
      <c r="E2309" s="65">
        <f>SUMIF(Inventario!$M$5:$M$505,"#"&amp;$A2308,Inventario!E$5:E$505)</f>
        <v/>
      </c>
      <c r="F2309" s="65">
        <f>SUMIF(Inventario!$M$5:$M$505,"#"&amp;$A2308,Inventario!F$5:F$505)</f>
        <v/>
      </c>
      <c r="G2309" s="65">
        <f>SUMIF(Inventario!$M$5:$M$505,"#"&amp;$A2308,Inventario!G$5:G$505)</f>
        <v/>
      </c>
      <c r="H2309" s="65">
        <f>SUMIF(Inventario!$M$5:$M$505,"#"&amp;$A2308,Inventario!H$5:H$505)</f>
        <v/>
      </c>
      <c r="I2309" s="65">
        <f>SUMIF(Inventario!$M$5:$M$505,"#"&amp;$A2308,Inventario!I$5:I$505)</f>
        <v/>
      </c>
      <c r="J2309" s="65">
        <f>SUMIF(Inventario!$M$5:$M$505,"#"&amp;$A2308,Inventario!J$5:J$505)</f>
        <v/>
      </c>
      <c r="K2309" s="65">
        <f>SUMIF(Inventario!$M$5:$M$505,"#"&amp;$A2308,Inventario!K$5:K$505)</f>
        <v/>
      </c>
      <c r="L2309" s="65">
        <f>SUMIF(Inventario!$M$5:$M$505,"#"&amp;$A2308,Inventario!L$5:L$505)</f>
        <v/>
      </c>
      <c r="M2309" s="66" t="n"/>
    </row>
    <row r="2310">
      <c r="C2310" s="63" t="inlineStr">
        <is>
          <t>Stock proyectado disponible</t>
        </is>
      </c>
      <c r="D2310" s="67">
        <f>SUMIF(Inventario!$M$5:$M$505,"#"&amp;$A2308,Inventario!$C$5:$C$505)</f>
        <v/>
      </c>
      <c r="E2310" s="68">
        <f>D2310+E2309+E2312-E2308</f>
        <v/>
      </c>
      <c r="F2310" s="68">
        <f>E2310+F2309+F2312-F2308</f>
        <v/>
      </c>
      <c r="G2310" s="68">
        <f>F2310+G2309+G2312-G2308</f>
        <v/>
      </c>
      <c r="H2310" s="68">
        <f>G2310+H2309+H2312-H2308</f>
        <v/>
      </c>
      <c r="I2310" s="68">
        <f>H2310+I2309+I2312-I2308</f>
        <v/>
      </c>
      <c r="J2310" s="68">
        <f>I2310+J2309+J2312-J2308</f>
        <v/>
      </c>
      <c r="K2310" s="68">
        <f>J2310+K2309+K2312-K2308</f>
        <v/>
      </c>
      <c r="L2310" s="68">
        <f>K2310+L2309+L2312-L2308</f>
        <v/>
      </c>
      <c r="M2310" s="66" t="n"/>
    </row>
    <row r="2311">
      <c r="C2311" s="63" t="inlineStr">
        <is>
          <t>Necesidad neta</t>
        </is>
      </c>
      <c r="D2311" s="64" t="n"/>
      <c r="E2311" s="69">
        <f>MAX(0,ROUND(E2308+Materiales!$H$333-D2310-E2309,4))</f>
        <v/>
      </c>
      <c r="F2311" s="69">
        <f>MAX(0,ROUND(F2308+Materiales!$H$333-E2310-F2309,4))</f>
        <v/>
      </c>
      <c r="G2311" s="69">
        <f>MAX(0,ROUND(G2308+Materiales!$H$333-F2310-G2309,4))</f>
        <v/>
      </c>
      <c r="H2311" s="69">
        <f>MAX(0,ROUND(H2308+Materiales!$H$333-G2310-H2309,4))</f>
        <v/>
      </c>
      <c r="I2311" s="69">
        <f>MAX(0,ROUND(I2308+Materiales!$H$333-H2310-I2309,4))</f>
        <v/>
      </c>
      <c r="J2311" s="69">
        <f>MAX(0,ROUND(J2308+Materiales!$H$333-I2310-J2309,4))</f>
        <v/>
      </c>
      <c r="K2311" s="69">
        <f>MAX(0,ROUND(K2308+Materiales!$H$333-J2310-K2309,4))</f>
        <v/>
      </c>
      <c r="L2311" s="69">
        <f>MAX(0,ROUND(L2308+Materiales!$H$333-K2310-L2309,4))</f>
        <v/>
      </c>
      <c r="M2311" s="66" t="n"/>
    </row>
    <row r="2312">
      <c r="C2312" s="63" t="inlineStr">
        <is>
          <t>Recepcion de orden planificada</t>
        </is>
      </c>
      <c r="D2312" s="64" t="n"/>
      <c r="E2312" s="65">
        <f>IF(E2311&lt;=0,0,IF(Materiales!$G$333&lt;=0,E2311,ROUNDUP(E2311/Materiales!$G$333,0)*Materiales!$G$333))</f>
        <v/>
      </c>
      <c r="F2312" s="65">
        <f>IF(F2311&lt;=0,0,IF(Materiales!$G$333&lt;=0,F2311,ROUNDUP(F2311/Materiales!$G$333,0)*Materiales!$G$333))</f>
        <v/>
      </c>
      <c r="G2312" s="65">
        <f>IF(G2311&lt;=0,0,IF(Materiales!$G$333&lt;=0,G2311,ROUNDUP(G2311/Materiales!$G$333,0)*Materiales!$G$333))</f>
        <v/>
      </c>
      <c r="H2312" s="65">
        <f>IF(H2311&lt;=0,0,IF(Materiales!$G$333&lt;=0,H2311,ROUNDUP(H2311/Materiales!$G$333,0)*Materiales!$G$333))</f>
        <v/>
      </c>
      <c r="I2312" s="65">
        <f>IF(I2311&lt;=0,0,IF(Materiales!$G$333&lt;=0,I2311,ROUNDUP(I2311/Materiales!$G$333,0)*Materiales!$G$333))</f>
        <v/>
      </c>
      <c r="J2312" s="65">
        <f>IF(J2311&lt;=0,0,IF(Materiales!$G$333&lt;=0,J2311,ROUNDUP(J2311/Materiales!$G$333,0)*Materiales!$G$333))</f>
        <v/>
      </c>
      <c r="K2312" s="65">
        <f>IF(K2311&lt;=0,0,IF(Materiales!$G$333&lt;=0,K2311,ROUNDUP(K2311/Materiales!$G$333,0)*Materiales!$G$333))</f>
        <v/>
      </c>
      <c r="L2312" s="65">
        <f>IF(L2311&lt;=0,0,IF(Materiales!$G$333&lt;=0,L2311,ROUNDUP(L2311/Materiales!$G$333,0)*Materiales!$G$333))</f>
        <v/>
      </c>
      <c r="M2312" s="66" t="n"/>
    </row>
    <row r="2313">
      <c r="C2313" s="70" t="inlineStr">
        <is>
          <t>LANZAMIENTO DE ORDEN — pedir esta semana</t>
        </is>
      </c>
      <c r="D2313" s="64" t="n"/>
      <c r="E2313" s="71">
        <f>IF(1+Materiales!$F$333&gt;8,0,INDEX($E$2312:$L$2312,1,1+Materiales!$F$333))</f>
        <v/>
      </c>
      <c r="F2313" s="71">
        <f>IF(2+Materiales!$F$333&gt;8,0,INDEX($E$2312:$L$2312,1,2+Materiales!$F$333))</f>
        <v/>
      </c>
      <c r="G2313" s="71">
        <f>IF(3+Materiales!$F$333&gt;8,0,INDEX($E$2312:$L$2312,1,3+Materiales!$F$333))</f>
        <v/>
      </c>
      <c r="H2313" s="71">
        <f>IF(4+Materiales!$F$333&gt;8,0,INDEX($E$2312:$L$2312,1,4+Materiales!$F$333))</f>
        <v/>
      </c>
      <c r="I2313" s="71">
        <f>IF(5+Materiales!$F$333&gt;8,0,INDEX($E$2312:$L$2312,1,5+Materiales!$F$333))</f>
        <v/>
      </c>
      <c r="J2313" s="71">
        <f>IF(6+Materiales!$F$333&gt;8,0,INDEX($E$2312:$L$2312,1,6+Materiales!$F$333))</f>
        <v/>
      </c>
      <c r="K2313" s="71">
        <f>IF(7+Materiales!$F$333&gt;8,0,INDEX($E$2312:$L$2312,1,7+Materiales!$F$333))</f>
        <v/>
      </c>
      <c r="L2313" s="71">
        <f>IF(8+Materiales!$F$333&gt;8,0,INDEX($E$2312:$L$2312,1,8+Materiales!$F$333))</f>
        <v/>
      </c>
      <c r="M2313" s="72">
        <f>IF($A2308="","",IF(SUMPRODUCT((COLUMN($E$2312:$L$2312)-4&lt;=Materiales!$F$333)*$E$2312:$L$2312)&gt;0,"PEDIR YA (atrasado)","OK"))</f>
        <v/>
      </c>
    </row>
    <row r="2314" ht="6" customHeight="1"/>
    <row r="2315">
      <c r="A2315" s="62">
        <f>IF(Materiales!$A$334="","",Materiales!$A$334)</f>
        <v/>
      </c>
      <c r="B2315" s="62">
        <f>IF(Materiales!$B$334="","",Materiales!$B$334)</f>
        <v/>
      </c>
      <c r="C2315" s="63" t="inlineStr">
        <is>
          <t>Necesidad bruta</t>
        </is>
      </c>
      <c r="D2315" s="64" t="n"/>
      <c r="E2315" s="65">
        <f>ROUND(SUMIF(Consumo!$P$4:$P$189,"#"&amp;$A2315,Consumo!H$4:H$189),4)</f>
        <v/>
      </c>
      <c r="F2315" s="65">
        <f>ROUND(SUMIF(Consumo!$P$4:$P$189,"#"&amp;$A2315,Consumo!I$4:I$189),4)</f>
        <v/>
      </c>
      <c r="G2315" s="65">
        <f>ROUND(SUMIF(Consumo!$P$4:$P$189,"#"&amp;$A2315,Consumo!J$4:J$189),4)</f>
        <v/>
      </c>
      <c r="H2315" s="65">
        <f>ROUND(SUMIF(Consumo!$P$4:$P$189,"#"&amp;$A2315,Consumo!K$4:K$189),4)</f>
        <v/>
      </c>
      <c r="I2315" s="65">
        <f>ROUND(SUMIF(Consumo!$P$4:$P$189,"#"&amp;$A2315,Consumo!L$4:L$189),4)</f>
        <v/>
      </c>
      <c r="J2315" s="65">
        <f>ROUND(SUMIF(Consumo!$P$4:$P$189,"#"&amp;$A2315,Consumo!M$4:M$189),4)</f>
        <v/>
      </c>
      <c r="K2315" s="65">
        <f>ROUND(SUMIF(Consumo!$P$4:$P$189,"#"&amp;$A2315,Consumo!N$4:N$189),4)</f>
        <v/>
      </c>
      <c r="L2315" s="65">
        <f>ROUND(SUMIF(Consumo!$P$4:$P$189,"#"&amp;$A2315,Consumo!O$4:O$189),4)</f>
        <v/>
      </c>
      <c r="M2315" s="66" t="n"/>
    </row>
    <row r="2316">
      <c r="C2316" s="63" t="inlineStr">
        <is>
          <t>Recepciones programadas (ya pedido)</t>
        </is>
      </c>
      <c r="D2316" s="64" t="n"/>
      <c r="E2316" s="65">
        <f>SUMIF(Inventario!$M$5:$M$505,"#"&amp;$A2315,Inventario!E$5:E$505)</f>
        <v/>
      </c>
      <c r="F2316" s="65">
        <f>SUMIF(Inventario!$M$5:$M$505,"#"&amp;$A2315,Inventario!F$5:F$505)</f>
        <v/>
      </c>
      <c r="G2316" s="65">
        <f>SUMIF(Inventario!$M$5:$M$505,"#"&amp;$A2315,Inventario!G$5:G$505)</f>
        <v/>
      </c>
      <c r="H2316" s="65">
        <f>SUMIF(Inventario!$M$5:$M$505,"#"&amp;$A2315,Inventario!H$5:H$505)</f>
        <v/>
      </c>
      <c r="I2316" s="65">
        <f>SUMIF(Inventario!$M$5:$M$505,"#"&amp;$A2315,Inventario!I$5:I$505)</f>
        <v/>
      </c>
      <c r="J2316" s="65">
        <f>SUMIF(Inventario!$M$5:$M$505,"#"&amp;$A2315,Inventario!J$5:J$505)</f>
        <v/>
      </c>
      <c r="K2316" s="65">
        <f>SUMIF(Inventario!$M$5:$M$505,"#"&amp;$A2315,Inventario!K$5:K$505)</f>
        <v/>
      </c>
      <c r="L2316" s="65">
        <f>SUMIF(Inventario!$M$5:$M$505,"#"&amp;$A2315,Inventario!L$5:L$505)</f>
        <v/>
      </c>
      <c r="M2316" s="66" t="n"/>
    </row>
    <row r="2317">
      <c r="C2317" s="63" t="inlineStr">
        <is>
          <t>Stock proyectado disponible</t>
        </is>
      </c>
      <c r="D2317" s="67">
        <f>SUMIF(Inventario!$M$5:$M$505,"#"&amp;$A2315,Inventario!$C$5:$C$505)</f>
        <v/>
      </c>
      <c r="E2317" s="68">
        <f>D2317+E2316+E2319-E2315</f>
        <v/>
      </c>
      <c r="F2317" s="68">
        <f>E2317+F2316+F2319-F2315</f>
        <v/>
      </c>
      <c r="G2317" s="68">
        <f>F2317+G2316+G2319-G2315</f>
        <v/>
      </c>
      <c r="H2317" s="68">
        <f>G2317+H2316+H2319-H2315</f>
        <v/>
      </c>
      <c r="I2317" s="68">
        <f>H2317+I2316+I2319-I2315</f>
        <v/>
      </c>
      <c r="J2317" s="68">
        <f>I2317+J2316+J2319-J2315</f>
        <v/>
      </c>
      <c r="K2317" s="68">
        <f>J2317+K2316+K2319-K2315</f>
        <v/>
      </c>
      <c r="L2317" s="68">
        <f>K2317+L2316+L2319-L2315</f>
        <v/>
      </c>
      <c r="M2317" s="66" t="n"/>
    </row>
    <row r="2318">
      <c r="C2318" s="63" t="inlineStr">
        <is>
          <t>Necesidad neta</t>
        </is>
      </c>
      <c r="D2318" s="64" t="n"/>
      <c r="E2318" s="69">
        <f>MAX(0,ROUND(E2315+Materiales!$H$334-D2317-E2316,4))</f>
        <v/>
      </c>
      <c r="F2318" s="69">
        <f>MAX(0,ROUND(F2315+Materiales!$H$334-E2317-F2316,4))</f>
        <v/>
      </c>
      <c r="G2318" s="69">
        <f>MAX(0,ROUND(G2315+Materiales!$H$334-F2317-G2316,4))</f>
        <v/>
      </c>
      <c r="H2318" s="69">
        <f>MAX(0,ROUND(H2315+Materiales!$H$334-G2317-H2316,4))</f>
        <v/>
      </c>
      <c r="I2318" s="69">
        <f>MAX(0,ROUND(I2315+Materiales!$H$334-H2317-I2316,4))</f>
        <v/>
      </c>
      <c r="J2318" s="69">
        <f>MAX(0,ROUND(J2315+Materiales!$H$334-I2317-J2316,4))</f>
        <v/>
      </c>
      <c r="K2318" s="69">
        <f>MAX(0,ROUND(K2315+Materiales!$H$334-J2317-K2316,4))</f>
        <v/>
      </c>
      <c r="L2318" s="69">
        <f>MAX(0,ROUND(L2315+Materiales!$H$334-K2317-L2316,4))</f>
        <v/>
      </c>
      <c r="M2318" s="66" t="n"/>
    </row>
    <row r="2319">
      <c r="C2319" s="63" t="inlineStr">
        <is>
          <t>Recepcion de orden planificada</t>
        </is>
      </c>
      <c r="D2319" s="64" t="n"/>
      <c r="E2319" s="65">
        <f>IF(E2318&lt;=0,0,IF(Materiales!$G$334&lt;=0,E2318,ROUNDUP(E2318/Materiales!$G$334,0)*Materiales!$G$334))</f>
        <v/>
      </c>
      <c r="F2319" s="65">
        <f>IF(F2318&lt;=0,0,IF(Materiales!$G$334&lt;=0,F2318,ROUNDUP(F2318/Materiales!$G$334,0)*Materiales!$G$334))</f>
        <v/>
      </c>
      <c r="G2319" s="65">
        <f>IF(G2318&lt;=0,0,IF(Materiales!$G$334&lt;=0,G2318,ROUNDUP(G2318/Materiales!$G$334,0)*Materiales!$G$334))</f>
        <v/>
      </c>
      <c r="H2319" s="65">
        <f>IF(H2318&lt;=0,0,IF(Materiales!$G$334&lt;=0,H2318,ROUNDUP(H2318/Materiales!$G$334,0)*Materiales!$G$334))</f>
        <v/>
      </c>
      <c r="I2319" s="65">
        <f>IF(I2318&lt;=0,0,IF(Materiales!$G$334&lt;=0,I2318,ROUNDUP(I2318/Materiales!$G$334,0)*Materiales!$G$334))</f>
        <v/>
      </c>
      <c r="J2319" s="65">
        <f>IF(J2318&lt;=0,0,IF(Materiales!$G$334&lt;=0,J2318,ROUNDUP(J2318/Materiales!$G$334,0)*Materiales!$G$334))</f>
        <v/>
      </c>
      <c r="K2319" s="65">
        <f>IF(K2318&lt;=0,0,IF(Materiales!$G$334&lt;=0,K2318,ROUNDUP(K2318/Materiales!$G$334,0)*Materiales!$G$334))</f>
        <v/>
      </c>
      <c r="L2319" s="65">
        <f>IF(L2318&lt;=0,0,IF(Materiales!$G$334&lt;=0,L2318,ROUNDUP(L2318/Materiales!$G$334,0)*Materiales!$G$334))</f>
        <v/>
      </c>
      <c r="M2319" s="66" t="n"/>
    </row>
    <row r="2320">
      <c r="C2320" s="70" t="inlineStr">
        <is>
          <t>LANZAMIENTO DE ORDEN — pedir esta semana</t>
        </is>
      </c>
      <c r="D2320" s="64" t="n"/>
      <c r="E2320" s="71">
        <f>IF(1+Materiales!$F$334&gt;8,0,INDEX($E$2319:$L$2319,1,1+Materiales!$F$334))</f>
        <v/>
      </c>
      <c r="F2320" s="71">
        <f>IF(2+Materiales!$F$334&gt;8,0,INDEX($E$2319:$L$2319,1,2+Materiales!$F$334))</f>
        <v/>
      </c>
      <c r="G2320" s="71">
        <f>IF(3+Materiales!$F$334&gt;8,0,INDEX($E$2319:$L$2319,1,3+Materiales!$F$334))</f>
        <v/>
      </c>
      <c r="H2320" s="71">
        <f>IF(4+Materiales!$F$334&gt;8,0,INDEX($E$2319:$L$2319,1,4+Materiales!$F$334))</f>
        <v/>
      </c>
      <c r="I2320" s="71">
        <f>IF(5+Materiales!$F$334&gt;8,0,INDEX($E$2319:$L$2319,1,5+Materiales!$F$334))</f>
        <v/>
      </c>
      <c r="J2320" s="71">
        <f>IF(6+Materiales!$F$334&gt;8,0,INDEX($E$2319:$L$2319,1,6+Materiales!$F$334))</f>
        <v/>
      </c>
      <c r="K2320" s="71">
        <f>IF(7+Materiales!$F$334&gt;8,0,INDEX($E$2319:$L$2319,1,7+Materiales!$F$334))</f>
        <v/>
      </c>
      <c r="L2320" s="71">
        <f>IF(8+Materiales!$F$334&gt;8,0,INDEX($E$2319:$L$2319,1,8+Materiales!$F$334))</f>
        <v/>
      </c>
      <c r="M2320" s="72">
        <f>IF($A2315="","",IF(SUMPRODUCT((COLUMN($E$2319:$L$2319)-4&lt;=Materiales!$F$334)*$E$2319:$L$2319)&gt;0,"PEDIR YA (atrasado)","OK"))</f>
        <v/>
      </c>
    </row>
    <row r="2321" ht="6" customHeight="1"/>
    <row r="2322">
      <c r="A2322" s="62">
        <f>IF(Materiales!$A$335="","",Materiales!$A$335)</f>
        <v/>
      </c>
      <c r="B2322" s="62">
        <f>IF(Materiales!$B$335="","",Materiales!$B$335)</f>
        <v/>
      </c>
      <c r="C2322" s="63" t="inlineStr">
        <is>
          <t>Necesidad bruta</t>
        </is>
      </c>
      <c r="D2322" s="64" t="n"/>
      <c r="E2322" s="65">
        <f>ROUND(SUMIF(Consumo!$P$4:$P$189,"#"&amp;$A2322,Consumo!H$4:H$189),4)</f>
        <v/>
      </c>
      <c r="F2322" s="65">
        <f>ROUND(SUMIF(Consumo!$P$4:$P$189,"#"&amp;$A2322,Consumo!I$4:I$189),4)</f>
        <v/>
      </c>
      <c r="G2322" s="65">
        <f>ROUND(SUMIF(Consumo!$P$4:$P$189,"#"&amp;$A2322,Consumo!J$4:J$189),4)</f>
        <v/>
      </c>
      <c r="H2322" s="65">
        <f>ROUND(SUMIF(Consumo!$P$4:$P$189,"#"&amp;$A2322,Consumo!K$4:K$189),4)</f>
        <v/>
      </c>
      <c r="I2322" s="65">
        <f>ROUND(SUMIF(Consumo!$P$4:$P$189,"#"&amp;$A2322,Consumo!L$4:L$189),4)</f>
        <v/>
      </c>
      <c r="J2322" s="65">
        <f>ROUND(SUMIF(Consumo!$P$4:$P$189,"#"&amp;$A2322,Consumo!M$4:M$189),4)</f>
        <v/>
      </c>
      <c r="K2322" s="65">
        <f>ROUND(SUMIF(Consumo!$P$4:$P$189,"#"&amp;$A2322,Consumo!N$4:N$189),4)</f>
        <v/>
      </c>
      <c r="L2322" s="65">
        <f>ROUND(SUMIF(Consumo!$P$4:$P$189,"#"&amp;$A2322,Consumo!O$4:O$189),4)</f>
        <v/>
      </c>
      <c r="M2322" s="66" t="n"/>
    </row>
    <row r="2323">
      <c r="C2323" s="63" t="inlineStr">
        <is>
          <t>Recepciones programadas (ya pedido)</t>
        </is>
      </c>
      <c r="D2323" s="64" t="n"/>
      <c r="E2323" s="65">
        <f>SUMIF(Inventario!$M$5:$M$505,"#"&amp;$A2322,Inventario!E$5:E$505)</f>
        <v/>
      </c>
      <c r="F2323" s="65">
        <f>SUMIF(Inventario!$M$5:$M$505,"#"&amp;$A2322,Inventario!F$5:F$505)</f>
        <v/>
      </c>
      <c r="G2323" s="65">
        <f>SUMIF(Inventario!$M$5:$M$505,"#"&amp;$A2322,Inventario!G$5:G$505)</f>
        <v/>
      </c>
      <c r="H2323" s="65">
        <f>SUMIF(Inventario!$M$5:$M$505,"#"&amp;$A2322,Inventario!H$5:H$505)</f>
        <v/>
      </c>
      <c r="I2323" s="65">
        <f>SUMIF(Inventario!$M$5:$M$505,"#"&amp;$A2322,Inventario!I$5:I$505)</f>
        <v/>
      </c>
      <c r="J2323" s="65">
        <f>SUMIF(Inventario!$M$5:$M$505,"#"&amp;$A2322,Inventario!J$5:J$505)</f>
        <v/>
      </c>
      <c r="K2323" s="65">
        <f>SUMIF(Inventario!$M$5:$M$505,"#"&amp;$A2322,Inventario!K$5:K$505)</f>
        <v/>
      </c>
      <c r="L2323" s="65">
        <f>SUMIF(Inventario!$M$5:$M$505,"#"&amp;$A2322,Inventario!L$5:L$505)</f>
        <v/>
      </c>
      <c r="M2323" s="66" t="n"/>
    </row>
    <row r="2324">
      <c r="C2324" s="63" t="inlineStr">
        <is>
          <t>Stock proyectado disponible</t>
        </is>
      </c>
      <c r="D2324" s="67">
        <f>SUMIF(Inventario!$M$5:$M$505,"#"&amp;$A2322,Inventario!$C$5:$C$505)</f>
        <v/>
      </c>
      <c r="E2324" s="68">
        <f>D2324+E2323+E2326-E2322</f>
        <v/>
      </c>
      <c r="F2324" s="68">
        <f>E2324+F2323+F2326-F2322</f>
        <v/>
      </c>
      <c r="G2324" s="68">
        <f>F2324+G2323+G2326-G2322</f>
        <v/>
      </c>
      <c r="H2324" s="68">
        <f>G2324+H2323+H2326-H2322</f>
        <v/>
      </c>
      <c r="I2324" s="68">
        <f>H2324+I2323+I2326-I2322</f>
        <v/>
      </c>
      <c r="J2324" s="68">
        <f>I2324+J2323+J2326-J2322</f>
        <v/>
      </c>
      <c r="K2324" s="68">
        <f>J2324+K2323+K2326-K2322</f>
        <v/>
      </c>
      <c r="L2324" s="68">
        <f>K2324+L2323+L2326-L2322</f>
        <v/>
      </c>
      <c r="M2324" s="66" t="n"/>
    </row>
    <row r="2325">
      <c r="C2325" s="63" t="inlineStr">
        <is>
          <t>Necesidad neta</t>
        </is>
      </c>
      <c r="D2325" s="64" t="n"/>
      <c r="E2325" s="69">
        <f>MAX(0,ROUND(E2322+Materiales!$H$335-D2324-E2323,4))</f>
        <v/>
      </c>
      <c r="F2325" s="69">
        <f>MAX(0,ROUND(F2322+Materiales!$H$335-E2324-F2323,4))</f>
        <v/>
      </c>
      <c r="G2325" s="69">
        <f>MAX(0,ROUND(G2322+Materiales!$H$335-F2324-G2323,4))</f>
        <v/>
      </c>
      <c r="H2325" s="69">
        <f>MAX(0,ROUND(H2322+Materiales!$H$335-G2324-H2323,4))</f>
        <v/>
      </c>
      <c r="I2325" s="69">
        <f>MAX(0,ROUND(I2322+Materiales!$H$335-H2324-I2323,4))</f>
        <v/>
      </c>
      <c r="J2325" s="69">
        <f>MAX(0,ROUND(J2322+Materiales!$H$335-I2324-J2323,4))</f>
        <v/>
      </c>
      <c r="K2325" s="69">
        <f>MAX(0,ROUND(K2322+Materiales!$H$335-J2324-K2323,4))</f>
        <v/>
      </c>
      <c r="L2325" s="69">
        <f>MAX(0,ROUND(L2322+Materiales!$H$335-K2324-L2323,4))</f>
        <v/>
      </c>
      <c r="M2325" s="66" t="n"/>
    </row>
    <row r="2326">
      <c r="C2326" s="63" t="inlineStr">
        <is>
          <t>Recepcion de orden planificada</t>
        </is>
      </c>
      <c r="D2326" s="64" t="n"/>
      <c r="E2326" s="65">
        <f>IF(E2325&lt;=0,0,IF(Materiales!$G$335&lt;=0,E2325,ROUNDUP(E2325/Materiales!$G$335,0)*Materiales!$G$335))</f>
        <v/>
      </c>
      <c r="F2326" s="65">
        <f>IF(F2325&lt;=0,0,IF(Materiales!$G$335&lt;=0,F2325,ROUNDUP(F2325/Materiales!$G$335,0)*Materiales!$G$335))</f>
        <v/>
      </c>
      <c r="G2326" s="65">
        <f>IF(G2325&lt;=0,0,IF(Materiales!$G$335&lt;=0,G2325,ROUNDUP(G2325/Materiales!$G$335,0)*Materiales!$G$335))</f>
        <v/>
      </c>
      <c r="H2326" s="65">
        <f>IF(H2325&lt;=0,0,IF(Materiales!$G$335&lt;=0,H2325,ROUNDUP(H2325/Materiales!$G$335,0)*Materiales!$G$335))</f>
        <v/>
      </c>
      <c r="I2326" s="65">
        <f>IF(I2325&lt;=0,0,IF(Materiales!$G$335&lt;=0,I2325,ROUNDUP(I2325/Materiales!$G$335,0)*Materiales!$G$335))</f>
        <v/>
      </c>
      <c r="J2326" s="65">
        <f>IF(J2325&lt;=0,0,IF(Materiales!$G$335&lt;=0,J2325,ROUNDUP(J2325/Materiales!$G$335,0)*Materiales!$G$335))</f>
        <v/>
      </c>
      <c r="K2326" s="65">
        <f>IF(K2325&lt;=0,0,IF(Materiales!$G$335&lt;=0,K2325,ROUNDUP(K2325/Materiales!$G$335,0)*Materiales!$G$335))</f>
        <v/>
      </c>
      <c r="L2326" s="65">
        <f>IF(L2325&lt;=0,0,IF(Materiales!$G$335&lt;=0,L2325,ROUNDUP(L2325/Materiales!$G$335,0)*Materiales!$G$335))</f>
        <v/>
      </c>
      <c r="M2326" s="66" t="n"/>
    </row>
    <row r="2327">
      <c r="C2327" s="70" t="inlineStr">
        <is>
          <t>LANZAMIENTO DE ORDEN — pedir esta semana</t>
        </is>
      </c>
      <c r="D2327" s="64" t="n"/>
      <c r="E2327" s="71">
        <f>IF(1+Materiales!$F$335&gt;8,0,INDEX($E$2326:$L$2326,1,1+Materiales!$F$335))</f>
        <v/>
      </c>
      <c r="F2327" s="71">
        <f>IF(2+Materiales!$F$335&gt;8,0,INDEX($E$2326:$L$2326,1,2+Materiales!$F$335))</f>
        <v/>
      </c>
      <c r="G2327" s="71">
        <f>IF(3+Materiales!$F$335&gt;8,0,INDEX($E$2326:$L$2326,1,3+Materiales!$F$335))</f>
        <v/>
      </c>
      <c r="H2327" s="71">
        <f>IF(4+Materiales!$F$335&gt;8,0,INDEX($E$2326:$L$2326,1,4+Materiales!$F$335))</f>
        <v/>
      </c>
      <c r="I2327" s="71">
        <f>IF(5+Materiales!$F$335&gt;8,0,INDEX($E$2326:$L$2326,1,5+Materiales!$F$335))</f>
        <v/>
      </c>
      <c r="J2327" s="71">
        <f>IF(6+Materiales!$F$335&gt;8,0,INDEX($E$2326:$L$2326,1,6+Materiales!$F$335))</f>
        <v/>
      </c>
      <c r="K2327" s="71">
        <f>IF(7+Materiales!$F$335&gt;8,0,INDEX($E$2326:$L$2326,1,7+Materiales!$F$335))</f>
        <v/>
      </c>
      <c r="L2327" s="71">
        <f>IF(8+Materiales!$F$335&gt;8,0,INDEX($E$2326:$L$2326,1,8+Materiales!$F$335))</f>
        <v/>
      </c>
      <c r="M2327" s="72">
        <f>IF($A2322="","",IF(SUMPRODUCT((COLUMN($E$2326:$L$2326)-4&lt;=Materiales!$F$335)*$E$2326:$L$2326)&gt;0,"PEDIR YA (atrasado)","OK"))</f>
        <v/>
      </c>
    </row>
    <row r="2328" ht="6" customHeight="1"/>
    <row r="2329">
      <c r="A2329" s="62">
        <f>IF(Materiales!$A$336="","",Materiales!$A$336)</f>
        <v/>
      </c>
      <c r="B2329" s="62">
        <f>IF(Materiales!$B$336="","",Materiales!$B$336)</f>
        <v/>
      </c>
      <c r="C2329" s="63" t="inlineStr">
        <is>
          <t>Necesidad bruta</t>
        </is>
      </c>
      <c r="D2329" s="64" t="n"/>
      <c r="E2329" s="65">
        <f>ROUND(SUMIF(Consumo!$P$4:$P$189,"#"&amp;$A2329,Consumo!H$4:H$189),4)</f>
        <v/>
      </c>
      <c r="F2329" s="65">
        <f>ROUND(SUMIF(Consumo!$P$4:$P$189,"#"&amp;$A2329,Consumo!I$4:I$189),4)</f>
        <v/>
      </c>
      <c r="G2329" s="65">
        <f>ROUND(SUMIF(Consumo!$P$4:$P$189,"#"&amp;$A2329,Consumo!J$4:J$189),4)</f>
        <v/>
      </c>
      <c r="H2329" s="65">
        <f>ROUND(SUMIF(Consumo!$P$4:$P$189,"#"&amp;$A2329,Consumo!K$4:K$189),4)</f>
        <v/>
      </c>
      <c r="I2329" s="65">
        <f>ROUND(SUMIF(Consumo!$P$4:$P$189,"#"&amp;$A2329,Consumo!L$4:L$189),4)</f>
        <v/>
      </c>
      <c r="J2329" s="65">
        <f>ROUND(SUMIF(Consumo!$P$4:$P$189,"#"&amp;$A2329,Consumo!M$4:M$189),4)</f>
        <v/>
      </c>
      <c r="K2329" s="65">
        <f>ROUND(SUMIF(Consumo!$P$4:$P$189,"#"&amp;$A2329,Consumo!N$4:N$189),4)</f>
        <v/>
      </c>
      <c r="L2329" s="65">
        <f>ROUND(SUMIF(Consumo!$P$4:$P$189,"#"&amp;$A2329,Consumo!O$4:O$189),4)</f>
        <v/>
      </c>
      <c r="M2329" s="66" t="n"/>
    </row>
    <row r="2330">
      <c r="C2330" s="63" t="inlineStr">
        <is>
          <t>Recepciones programadas (ya pedido)</t>
        </is>
      </c>
      <c r="D2330" s="64" t="n"/>
      <c r="E2330" s="65">
        <f>SUMIF(Inventario!$M$5:$M$505,"#"&amp;$A2329,Inventario!E$5:E$505)</f>
        <v/>
      </c>
      <c r="F2330" s="65">
        <f>SUMIF(Inventario!$M$5:$M$505,"#"&amp;$A2329,Inventario!F$5:F$505)</f>
        <v/>
      </c>
      <c r="G2330" s="65">
        <f>SUMIF(Inventario!$M$5:$M$505,"#"&amp;$A2329,Inventario!G$5:G$505)</f>
        <v/>
      </c>
      <c r="H2330" s="65">
        <f>SUMIF(Inventario!$M$5:$M$505,"#"&amp;$A2329,Inventario!H$5:H$505)</f>
        <v/>
      </c>
      <c r="I2330" s="65">
        <f>SUMIF(Inventario!$M$5:$M$505,"#"&amp;$A2329,Inventario!I$5:I$505)</f>
        <v/>
      </c>
      <c r="J2330" s="65">
        <f>SUMIF(Inventario!$M$5:$M$505,"#"&amp;$A2329,Inventario!J$5:J$505)</f>
        <v/>
      </c>
      <c r="K2330" s="65">
        <f>SUMIF(Inventario!$M$5:$M$505,"#"&amp;$A2329,Inventario!K$5:K$505)</f>
        <v/>
      </c>
      <c r="L2330" s="65">
        <f>SUMIF(Inventario!$M$5:$M$505,"#"&amp;$A2329,Inventario!L$5:L$505)</f>
        <v/>
      </c>
      <c r="M2330" s="66" t="n"/>
    </row>
    <row r="2331">
      <c r="C2331" s="63" t="inlineStr">
        <is>
          <t>Stock proyectado disponible</t>
        </is>
      </c>
      <c r="D2331" s="67">
        <f>SUMIF(Inventario!$M$5:$M$505,"#"&amp;$A2329,Inventario!$C$5:$C$505)</f>
        <v/>
      </c>
      <c r="E2331" s="68">
        <f>D2331+E2330+E2333-E2329</f>
        <v/>
      </c>
      <c r="F2331" s="68">
        <f>E2331+F2330+F2333-F2329</f>
        <v/>
      </c>
      <c r="G2331" s="68">
        <f>F2331+G2330+G2333-G2329</f>
        <v/>
      </c>
      <c r="H2331" s="68">
        <f>G2331+H2330+H2333-H2329</f>
        <v/>
      </c>
      <c r="I2331" s="68">
        <f>H2331+I2330+I2333-I2329</f>
        <v/>
      </c>
      <c r="J2331" s="68">
        <f>I2331+J2330+J2333-J2329</f>
        <v/>
      </c>
      <c r="K2331" s="68">
        <f>J2331+K2330+K2333-K2329</f>
        <v/>
      </c>
      <c r="L2331" s="68">
        <f>K2331+L2330+L2333-L2329</f>
        <v/>
      </c>
      <c r="M2331" s="66" t="n"/>
    </row>
    <row r="2332">
      <c r="C2332" s="63" t="inlineStr">
        <is>
          <t>Necesidad neta</t>
        </is>
      </c>
      <c r="D2332" s="64" t="n"/>
      <c r="E2332" s="69">
        <f>MAX(0,ROUND(E2329+Materiales!$H$336-D2331-E2330,4))</f>
        <v/>
      </c>
      <c r="F2332" s="69">
        <f>MAX(0,ROUND(F2329+Materiales!$H$336-E2331-F2330,4))</f>
        <v/>
      </c>
      <c r="G2332" s="69">
        <f>MAX(0,ROUND(G2329+Materiales!$H$336-F2331-G2330,4))</f>
        <v/>
      </c>
      <c r="H2332" s="69">
        <f>MAX(0,ROUND(H2329+Materiales!$H$336-G2331-H2330,4))</f>
        <v/>
      </c>
      <c r="I2332" s="69">
        <f>MAX(0,ROUND(I2329+Materiales!$H$336-H2331-I2330,4))</f>
        <v/>
      </c>
      <c r="J2332" s="69">
        <f>MAX(0,ROUND(J2329+Materiales!$H$336-I2331-J2330,4))</f>
        <v/>
      </c>
      <c r="K2332" s="69">
        <f>MAX(0,ROUND(K2329+Materiales!$H$336-J2331-K2330,4))</f>
        <v/>
      </c>
      <c r="L2332" s="69">
        <f>MAX(0,ROUND(L2329+Materiales!$H$336-K2331-L2330,4))</f>
        <v/>
      </c>
      <c r="M2332" s="66" t="n"/>
    </row>
    <row r="2333">
      <c r="C2333" s="63" t="inlineStr">
        <is>
          <t>Recepcion de orden planificada</t>
        </is>
      </c>
      <c r="D2333" s="64" t="n"/>
      <c r="E2333" s="65">
        <f>IF(E2332&lt;=0,0,IF(Materiales!$G$336&lt;=0,E2332,ROUNDUP(E2332/Materiales!$G$336,0)*Materiales!$G$336))</f>
        <v/>
      </c>
      <c r="F2333" s="65">
        <f>IF(F2332&lt;=0,0,IF(Materiales!$G$336&lt;=0,F2332,ROUNDUP(F2332/Materiales!$G$336,0)*Materiales!$G$336))</f>
        <v/>
      </c>
      <c r="G2333" s="65">
        <f>IF(G2332&lt;=0,0,IF(Materiales!$G$336&lt;=0,G2332,ROUNDUP(G2332/Materiales!$G$336,0)*Materiales!$G$336))</f>
        <v/>
      </c>
      <c r="H2333" s="65">
        <f>IF(H2332&lt;=0,0,IF(Materiales!$G$336&lt;=0,H2332,ROUNDUP(H2332/Materiales!$G$336,0)*Materiales!$G$336))</f>
        <v/>
      </c>
      <c r="I2333" s="65">
        <f>IF(I2332&lt;=0,0,IF(Materiales!$G$336&lt;=0,I2332,ROUNDUP(I2332/Materiales!$G$336,0)*Materiales!$G$336))</f>
        <v/>
      </c>
      <c r="J2333" s="65">
        <f>IF(J2332&lt;=0,0,IF(Materiales!$G$336&lt;=0,J2332,ROUNDUP(J2332/Materiales!$G$336,0)*Materiales!$G$336))</f>
        <v/>
      </c>
      <c r="K2333" s="65">
        <f>IF(K2332&lt;=0,0,IF(Materiales!$G$336&lt;=0,K2332,ROUNDUP(K2332/Materiales!$G$336,0)*Materiales!$G$336))</f>
        <v/>
      </c>
      <c r="L2333" s="65">
        <f>IF(L2332&lt;=0,0,IF(Materiales!$G$336&lt;=0,L2332,ROUNDUP(L2332/Materiales!$G$336,0)*Materiales!$G$336))</f>
        <v/>
      </c>
      <c r="M2333" s="66" t="n"/>
    </row>
    <row r="2334">
      <c r="C2334" s="70" t="inlineStr">
        <is>
          <t>LANZAMIENTO DE ORDEN — pedir esta semana</t>
        </is>
      </c>
      <c r="D2334" s="64" t="n"/>
      <c r="E2334" s="71">
        <f>IF(1+Materiales!$F$336&gt;8,0,INDEX($E$2333:$L$2333,1,1+Materiales!$F$336))</f>
        <v/>
      </c>
      <c r="F2334" s="71">
        <f>IF(2+Materiales!$F$336&gt;8,0,INDEX($E$2333:$L$2333,1,2+Materiales!$F$336))</f>
        <v/>
      </c>
      <c r="G2334" s="71">
        <f>IF(3+Materiales!$F$336&gt;8,0,INDEX($E$2333:$L$2333,1,3+Materiales!$F$336))</f>
        <v/>
      </c>
      <c r="H2334" s="71">
        <f>IF(4+Materiales!$F$336&gt;8,0,INDEX($E$2333:$L$2333,1,4+Materiales!$F$336))</f>
        <v/>
      </c>
      <c r="I2334" s="71">
        <f>IF(5+Materiales!$F$336&gt;8,0,INDEX($E$2333:$L$2333,1,5+Materiales!$F$336))</f>
        <v/>
      </c>
      <c r="J2334" s="71">
        <f>IF(6+Materiales!$F$336&gt;8,0,INDEX($E$2333:$L$2333,1,6+Materiales!$F$336))</f>
        <v/>
      </c>
      <c r="K2334" s="71">
        <f>IF(7+Materiales!$F$336&gt;8,0,INDEX($E$2333:$L$2333,1,7+Materiales!$F$336))</f>
        <v/>
      </c>
      <c r="L2334" s="71">
        <f>IF(8+Materiales!$F$336&gt;8,0,INDEX($E$2333:$L$2333,1,8+Materiales!$F$336))</f>
        <v/>
      </c>
      <c r="M2334" s="72">
        <f>IF($A2329="","",IF(SUMPRODUCT((COLUMN($E$2333:$L$2333)-4&lt;=Materiales!$F$336)*$E$2333:$L$2333)&gt;0,"PEDIR YA (atrasado)","OK"))</f>
        <v/>
      </c>
    </row>
    <row r="2335" ht="6" customHeight="1"/>
    <row r="2336">
      <c r="A2336" s="62">
        <f>IF(Materiales!$A$337="","",Materiales!$A$337)</f>
        <v/>
      </c>
      <c r="B2336" s="62">
        <f>IF(Materiales!$B$337="","",Materiales!$B$337)</f>
        <v/>
      </c>
      <c r="C2336" s="63" t="inlineStr">
        <is>
          <t>Necesidad bruta</t>
        </is>
      </c>
      <c r="D2336" s="64" t="n"/>
      <c r="E2336" s="65">
        <f>ROUND(SUMIF(Consumo!$P$4:$P$189,"#"&amp;$A2336,Consumo!H$4:H$189),4)</f>
        <v/>
      </c>
      <c r="F2336" s="65">
        <f>ROUND(SUMIF(Consumo!$P$4:$P$189,"#"&amp;$A2336,Consumo!I$4:I$189),4)</f>
        <v/>
      </c>
      <c r="G2336" s="65">
        <f>ROUND(SUMIF(Consumo!$P$4:$P$189,"#"&amp;$A2336,Consumo!J$4:J$189),4)</f>
        <v/>
      </c>
      <c r="H2336" s="65">
        <f>ROUND(SUMIF(Consumo!$P$4:$P$189,"#"&amp;$A2336,Consumo!K$4:K$189),4)</f>
        <v/>
      </c>
      <c r="I2336" s="65">
        <f>ROUND(SUMIF(Consumo!$P$4:$P$189,"#"&amp;$A2336,Consumo!L$4:L$189),4)</f>
        <v/>
      </c>
      <c r="J2336" s="65">
        <f>ROUND(SUMIF(Consumo!$P$4:$P$189,"#"&amp;$A2336,Consumo!M$4:M$189),4)</f>
        <v/>
      </c>
      <c r="K2336" s="65">
        <f>ROUND(SUMIF(Consumo!$P$4:$P$189,"#"&amp;$A2336,Consumo!N$4:N$189),4)</f>
        <v/>
      </c>
      <c r="L2336" s="65">
        <f>ROUND(SUMIF(Consumo!$P$4:$P$189,"#"&amp;$A2336,Consumo!O$4:O$189),4)</f>
        <v/>
      </c>
      <c r="M2336" s="66" t="n"/>
    </row>
    <row r="2337">
      <c r="C2337" s="63" t="inlineStr">
        <is>
          <t>Recepciones programadas (ya pedido)</t>
        </is>
      </c>
      <c r="D2337" s="64" t="n"/>
      <c r="E2337" s="65">
        <f>SUMIF(Inventario!$M$5:$M$505,"#"&amp;$A2336,Inventario!E$5:E$505)</f>
        <v/>
      </c>
      <c r="F2337" s="65">
        <f>SUMIF(Inventario!$M$5:$M$505,"#"&amp;$A2336,Inventario!F$5:F$505)</f>
        <v/>
      </c>
      <c r="G2337" s="65">
        <f>SUMIF(Inventario!$M$5:$M$505,"#"&amp;$A2336,Inventario!G$5:G$505)</f>
        <v/>
      </c>
      <c r="H2337" s="65">
        <f>SUMIF(Inventario!$M$5:$M$505,"#"&amp;$A2336,Inventario!H$5:H$505)</f>
        <v/>
      </c>
      <c r="I2337" s="65">
        <f>SUMIF(Inventario!$M$5:$M$505,"#"&amp;$A2336,Inventario!I$5:I$505)</f>
        <v/>
      </c>
      <c r="J2337" s="65">
        <f>SUMIF(Inventario!$M$5:$M$505,"#"&amp;$A2336,Inventario!J$5:J$505)</f>
        <v/>
      </c>
      <c r="K2337" s="65">
        <f>SUMIF(Inventario!$M$5:$M$505,"#"&amp;$A2336,Inventario!K$5:K$505)</f>
        <v/>
      </c>
      <c r="L2337" s="65">
        <f>SUMIF(Inventario!$M$5:$M$505,"#"&amp;$A2336,Inventario!L$5:L$505)</f>
        <v/>
      </c>
      <c r="M2337" s="66" t="n"/>
    </row>
    <row r="2338">
      <c r="C2338" s="63" t="inlineStr">
        <is>
          <t>Stock proyectado disponible</t>
        </is>
      </c>
      <c r="D2338" s="67">
        <f>SUMIF(Inventario!$M$5:$M$505,"#"&amp;$A2336,Inventario!$C$5:$C$505)</f>
        <v/>
      </c>
      <c r="E2338" s="68">
        <f>D2338+E2337+E2340-E2336</f>
        <v/>
      </c>
      <c r="F2338" s="68">
        <f>E2338+F2337+F2340-F2336</f>
        <v/>
      </c>
      <c r="G2338" s="68">
        <f>F2338+G2337+G2340-G2336</f>
        <v/>
      </c>
      <c r="H2338" s="68">
        <f>G2338+H2337+H2340-H2336</f>
        <v/>
      </c>
      <c r="I2338" s="68">
        <f>H2338+I2337+I2340-I2336</f>
        <v/>
      </c>
      <c r="J2338" s="68">
        <f>I2338+J2337+J2340-J2336</f>
        <v/>
      </c>
      <c r="K2338" s="68">
        <f>J2338+K2337+K2340-K2336</f>
        <v/>
      </c>
      <c r="L2338" s="68">
        <f>K2338+L2337+L2340-L2336</f>
        <v/>
      </c>
      <c r="M2338" s="66" t="n"/>
    </row>
    <row r="2339">
      <c r="C2339" s="63" t="inlineStr">
        <is>
          <t>Necesidad neta</t>
        </is>
      </c>
      <c r="D2339" s="64" t="n"/>
      <c r="E2339" s="69">
        <f>MAX(0,ROUND(E2336+Materiales!$H$337-D2338-E2337,4))</f>
        <v/>
      </c>
      <c r="F2339" s="69">
        <f>MAX(0,ROUND(F2336+Materiales!$H$337-E2338-F2337,4))</f>
        <v/>
      </c>
      <c r="G2339" s="69">
        <f>MAX(0,ROUND(G2336+Materiales!$H$337-F2338-G2337,4))</f>
        <v/>
      </c>
      <c r="H2339" s="69">
        <f>MAX(0,ROUND(H2336+Materiales!$H$337-G2338-H2337,4))</f>
        <v/>
      </c>
      <c r="I2339" s="69">
        <f>MAX(0,ROUND(I2336+Materiales!$H$337-H2338-I2337,4))</f>
        <v/>
      </c>
      <c r="J2339" s="69">
        <f>MAX(0,ROUND(J2336+Materiales!$H$337-I2338-J2337,4))</f>
        <v/>
      </c>
      <c r="K2339" s="69">
        <f>MAX(0,ROUND(K2336+Materiales!$H$337-J2338-K2337,4))</f>
        <v/>
      </c>
      <c r="L2339" s="69">
        <f>MAX(0,ROUND(L2336+Materiales!$H$337-K2338-L2337,4))</f>
        <v/>
      </c>
      <c r="M2339" s="66" t="n"/>
    </row>
    <row r="2340">
      <c r="C2340" s="63" t="inlineStr">
        <is>
          <t>Recepcion de orden planificada</t>
        </is>
      </c>
      <c r="D2340" s="64" t="n"/>
      <c r="E2340" s="65">
        <f>IF(E2339&lt;=0,0,IF(Materiales!$G$337&lt;=0,E2339,ROUNDUP(E2339/Materiales!$G$337,0)*Materiales!$G$337))</f>
        <v/>
      </c>
      <c r="F2340" s="65">
        <f>IF(F2339&lt;=0,0,IF(Materiales!$G$337&lt;=0,F2339,ROUNDUP(F2339/Materiales!$G$337,0)*Materiales!$G$337))</f>
        <v/>
      </c>
      <c r="G2340" s="65">
        <f>IF(G2339&lt;=0,0,IF(Materiales!$G$337&lt;=0,G2339,ROUNDUP(G2339/Materiales!$G$337,0)*Materiales!$G$337))</f>
        <v/>
      </c>
      <c r="H2340" s="65">
        <f>IF(H2339&lt;=0,0,IF(Materiales!$G$337&lt;=0,H2339,ROUNDUP(H2339/Materiales!$G$337,0)*Materiales!$G$337))</f>
        <v/>
      </c>
      <c r="I2340" s="65">
        <f>IF(I2339&lt;=0,0,IF(Materiales!$G$337&lt;=0,I2339,ROUNDUP(I2339/Materiales!$G$337,0)*Materiales!$G$337))</f>
        <v/>
      </c>
      <c r="J2340" s="65">
        <f>IF(J2339&lt;=0,0,IF(Materiales!$G$337&lt;=0,J2339,ROUNDUP(J2339/Materiales!$G$337,0)*Materiales!$G$337))</f>
        <v/>
      </c>
      <c r="K2340" s="65">
        <f>IF(K2339&lt;=0,0,IF(Materiales!$G$337&lt;=0,K2339,ROUNDUP(K2339/Materiales!$G$337,0)*Materiales!$G$337))</f>
        <v/>
      </c>
      <c r="L2340" s="65">
        <f>IF(L2339&lt;=0,0,IF(Materiales!$G$337&lt;=0,L2339,ROUNDUP(L2339/Materiales!$G$337,0)*Materiales!$G$337))</f>
        <v/>
      </c>
      <c r="M2340" s="66" t="n"/>
    </row>
    <row r="2341">
      <c r="C2341" s="70" t="inlineStr">
        <is>
          <t>LANZAMIENTO DE ORDEN — pedir esta semana</t>
        </is>
      </c>
      <c r="D2341" s="64" t="n"/>
      <c r="E2341" s="71">
        <f>IF(1+Materiales!$F$337&gt;8,0,INDEX($E$2340:$L$2340,1,1+Materiales!$F$337))</f>
        <v/>
      </c>
      <c r="F2341" s="71">
        <f>IF(2+Materiales!$F$337&gt;8,0,INDEX($E$2340:$L$2340,1,2+Materiales!$F$337))</f>
        <v/>
      </c>
      <c r="G2341" s="71">
        <f>IF(3+Materiales!$F$337&gt;8,0,INDEX($E$2340:$L$2340,1,3+Materiales!$F$337))</f>
        <v/>
      </c>
      <c r="H2341" s="71">
        <f>IF(4+Materiales!$F$337&gt;8,0,INDEX($E$2340:$L$2340,1,4+Materiales!$F$337))</f>
        <v/>
      </c>
      <c r="I2341" s="71">
        <f>IF(5+Materiales!$F$337&gt;8,0,INDEX($E$2340:$L$2340,1,5+Materiales!$F$337))</f>
        <v/>
      </c>
      <c r="J2341" s="71">
        <f>IF(6+Materiales!$F$337&gt;8,0,INDEX($E$2340:$L$2340,1,6+Materiales!$F$337))</f>
        <v/>
      </c>
      <c r="K2341" s="71">
        <f>IF(7+Materiales!$F$337&gt;8,0,INDEX($E$2340:$L$2340,1,7+Materiales!$F$337))</f>
        <v/>
      </c>
      <c r="L2341" s="71">
        <f>IF(8+Materiales!$F$337&gt;8,0,INDEX($E$2340:$L$2340,1,8+Materiales!$F$337))</f>
        <v/>
      </c>
      <c r="M2341" s="72">
        <f>IF($A2336="","",IF(SUMPRODUCT((COLUMN($E$2340:$L$2340)-4&lt;=Materiales!$F$337)*$E$2340:$L$2340)&gt;0,"PEDIR YA (atrasado)","OK"))</f>
        <v/>
      </c>
    </row>
    <row r="2342" ht="6" customHeight="1"/>
    <row r="2343">
      <c r="A2343" s="62">
        <f>IF(Materiales!$A$338="","",Materiales!$A$338)</f>
        <v/>
      </c>
      <c r="B2343" s="62">
        <f>IF(Materiales!$B$338="","",Materiales!$B$338)</f>
        <v/>
      </c>
      <c r="C2343" s="63" t="inlineStr">
        <is>
          <t>Necesidad bruta</t>
        </is>
      </c>
      <c r="D2343" s="64" t="n"/>
      <c r="E2343" s="65">
        <f>ROUND(SUMIF(Consumo!$P$4:$P$189,"#"&amp;$A2343,Consumo!H$4:H$189),4)</f>
        <v/>
      </c>
      <c r="F2343" s="65">
        <f>ROUND(SUMIF(Consumo!$P$4:$P$189,"#"&amp;$A2343,Consumo!I$4:I$189),4)</f>
        <v/>
      </c>
      <c r="G2343" s="65">
        <f>ROUND(SUMIF(Consumo!$P$4:$P$189,"#"&amp;$A2343,Consumo!J$4:J$189),4)</f>
        <v/>
      </c>
      <c r="H2343" s="65">
        <f>ROUND(SUMIF(Consumo!$P$4:$P$189,"#"&amp;$A2343,Consumo!K$4:K$189),4)</f>
        <v/>
      </c>
      <c r="I2343" s="65">
        <f>ROUND(SUMIF(Consumo!$P$4:$P$189,"#"&amp;$A2343,Consumo!L$4:L$189),4)</f>
        <v/>
      </c>
      <c r="J2343" s="65">
        <f>ROUND(SUMIF(Consumo!$P$4:$P$189,"#"&amp;$A2343,Consumo!M$4:M$189),4)</f>
        <v/>
      </c>
      <c r="K2343" s="65">
        <f>ROUND(SUMIF(Consumo!$P$4:$P$189,"#"&amp;$A2343,Consumo!N$4:N$189),4)</f>
        <v/>
      </c>
      <c r="L2343" s="65">
        <f>ROUND(SUMIF(Consumo!$P$4:$P$189,"#"&amp;$A2343,Consumo!O$4:O$189),4)</f>
        <v/>
      </c>
      <c r="M2343" s="66" t="n"/>
    </row>
    <row r="2344">
      <c r="C2344" s="63" t="inlineStr">
        <is>
          <t>Recepciones programadas (ya pedido)</t>
        </is>
      </c>
      <c r="D2344" s="64" t="n"/>
      <c r="E2344" s="65">
        <f>SUMIF(Inventario!$M$5:$M$505,"#"&amp;$A2343,Inventario!E$5:E$505)</f>
        <v/>
      </c>
      <c r="F2344" s="65">
        <f>SUMIF(Inventario!$M$5:$M$505,"#"&amp;$A2343,Inventario!F$5:F$505)</f>
        <v/>
      </c>
      <c r="G2344" s="65">
        <f>SUMIF(Inventario!$M$5:$M$505,"#"&amp;$A2343,Inventario!G$5:G$505)</f>
        <v/>
      </c>
      <c r="H2344" s="65">
        <f>SUMIF(Inventario!$M$5:$M$505,"#"&amp;$A2343,Inventario!H$5:H$505)</f>
        <v/>
      </c>
      <c r="I2344" s="65">
        <f>SUMIF(Inventario!$M$5:$M$505,"#"&amp;$A2343,Inventario!I$5:I$505)</f>
        <v/>
      </c>
      <c r="J2344" s="65">
        <f>SUMIF(Inventario!$M$5:$M$505,"#"&amp;$A2343,Inventario!J$5:J$505)</f>
        <v/>
      </c>
      <c r="K2344" s="65">
        <f>SUMIF(Inventario!$M$5:$M$505,"#"&amp;$A2343,Inventario!K$5:K$505)</f>
        <v/>
      </c>
      <c r="L2344" s="65">
        <f>SUMIF(Inventario!$M$5:$M$505,"#"&amp;$A2343,Inventario!L$5:L$505)</f>
        <v/>
      </c>
      <c r="M2344" s="66" t="n"/>
    </row>
    <row r="2345">
      <c r="C2345" s="63" t="inlineStr">
        <is>
          <t>Stock proyectado disponible</t>
        </is>
      </c>
      <c r="D2345" s="67">
        <f>SUMIF(Inventario!$M$5:$M$505,"#"&amp;$A2343,Inventario!$C$5:$C$505)</f>
        <v/>
      </c>
      <c r="E2345" s="68">
        <f>D2345+E2344+E2347-E2343</f>
        <v/>
      </c>
      <c r="F2345" s="68">
        <f>E2345+F2344+F2347-F2343</f>
        <v/>
      </c>
      <c r="G2345" s="68">
        <f>F2345+G2344+G2347-G2343</f>
        <v/>
      </c>
      <c r="H2345" s="68">
        <f>G2345+H2344+H2347-H2343</f>
        <v/>
      </c>
      <c r="I2345" s="68">
        <f>H2345+I2344+I2347-I2343</f>
        <v/>
      </c>
      <c r="J2345" s="68">
        <f>I2345+J2344+J2347-J2343</f>
        <v/>
      </c>
      <c r="K2345" s="68">
        <f>J2345+K2344+K2347-K2343</f>
        <v/>
      </c>
      <c r="L2345" s="68">
        <f>K2345+L2344+L2347-L2343</f>
        <v/>
      </c>
      <c r="M2345" s="66" t="n"/>
    </row>
    <row r="2346">
      <c r="C2346" s="63" t="inlineStr">
        <is>
          <t>Necesidad neta</t>
        </is>
      </c>
      <c r="D2346" s="64" t="n"/>
      <c r="E2346" s="69">
        <f>MAX(0,ROUND(E2343+Materiales!$H$338-D2345-E2344,4))</f>
        <v/>
      </c>
      <c r="F2346" s="69">
        <f>MAX(0,ROUND(F2343+Materiales!$H$338-E2345-F2344,4))</f>
        <v/>
      </c>
      <c r="G2346" s="69">
        <f>MAX(0,ROUND(G2343+Materiales!$H$338-F2345-G2344,4))</f>
        <v/>
      </c>
      <c r="H2346" s="69">
        <f>MAX(0,ROUND(H2343+Materiales!$H$338-G2345-H2344,4))</f>
        <v/>
      </c>
      <c r="I2346" s="69">
        <f>MAX(0,ROUND(I2343+Materiales!$H$338-H2345-I2344,4))</f>
        <v/>
      </c>
      <c r="J2346" s="69">
        <f>MAX(0,ROUND(J2343+Materiales!$H$338-I2345-J2344,4))</f>
        <v/>
      </c>
      <c r="K2346" s="69">
        <f>MAX(0,ROUND(K2343+Materiales!$H$338-J2345-K2344,4))</f>
        <v/>
      </c>
      <c r="L2346" s="69">
        <f>MAX(0,ROUND(L2343+Materiales!$H$338-K2345-L2344,4))</f>
        <v/>
      </c>
      <c r="M2346" s="66" t="n"/>
    </row>
    <row r="2347">
      <c r="C2347" s="63" t="inlineStr">
        <is>
          <t>Recepcion de orden planificada</t>
        </is>
      </c>
      <c r="D2347" s="64" t="n"/>
      <c r="E2347" s="65">
        <f>IF(E2346&lt;=0,0,IF(Materiales!$G$338&lt;=0,E2346,ROUNDUP(E2346/Materiales!$G$338,0)*Materiales!$G$338))</f>
        <v/>
      </c>
      <c r="F2347" s="65">
        <f>IF(F2346&lt;=0,0,IF(Materiales!$G$338&lt;=0,F2346,ROUNDUP(F2346/Materiales!$G$338,0)*Materiales!$G$338))</f>
        <v/>
      </c>
      <c r="G2347" s="65">
        <f>IF(G2346&lt;=0,0,IF(Materiales!$G$338&lt;=0,G2346,ROUNDUP(G2346/Materiales!$G$338,0)*Materiales!$G$338))</f>
        <v/>
      </c>
      <c r="H2347" s="65">
        <f>IF(H2346&lt;=0,0,IF(Materiales!$G$338&lt;=0,H2346,ROUNDUP(H2346/Materiales!$G$338,0)*Materiales!$G$338))</f>
        <v/>
      </c>
      <c r="I2347" s="65">
        <f>IF(I2346&lt;=0,0,IF(Materiales!$G$338&lt;=0,I2346,ROUNDUP(I2346/Materiales!$G$338,0)*Materiales!$G$338))</f>
        <v/>
      </c>
      <c r="J2347" s="65">
        <f>IF(J2346&lt;=0,0,IF(Materiales!$G$338&lt;=0,J2346,ROUNDUP(J2346/Materiales!$G$338,0)*Materiales!$G$338))</f>
        <v/>
      </c>
      <c r="K2347" s="65">
        <f>IF(K2346&lt;=0,0,IF(Materiales!$G$338&lt;=0,K2346,ROUNDUP(K2346/Materiales!$G$338,0)*Materiales!$G$338))</f>
        <v/>
      </c>
      <c r="L2347" s="65">
        <f>IF(L2346&lt;=0,0,IF(Materiales!$G$338&lt;=0,L2346,ROUNDUP(L2346/Materiales!$G$338,0)*Materiales!$G$338))</f>
        <v/>
      </c>
      <c r="M2347" s="66" t="n"/>
    </row>
    <row r="2348">
      <c r="C2348" s="70" t="inlineStr">
        <is>
          <t>LANZAMIENTO DE ORDEN — pedir esta semana</t>
        </is>
      </c>
      <c r="D2348" s="64" t="n"/>
      <c r="E2348" s="71">
        <f>IF(1+Materiales!$F$338&gt;8,0,INDEX($E$2347:$L$2347,1,1+Materiales!$F$338))</f>
        <v/>
      </c>
      <c r="F2348" s="71">
        <f>IF(2+Materiales!$F$338&gt;8,0,INDEX($E$2347:$L$2347,1,2+Materiales!$F$338))</f>
        <v/>
      </c>
      <c r="G2348" s="71">
        <f>IF(3+Materiales!$F$338&gt;8,0,INDEX($E$2347:$L$2347,1,3+Materiales!$F$338))</f>
        <v/>
      </c>
      <c r="H2348" s="71">
        <f>IF(4+Materiales!$F$338&gt;8,0,INDEX($E$2347:$L$2347,1,4+Materiales!$F$338))</f>
        <v/>
      </c>
      <c r="I2348" s="71">
        <f>IF(5+Materiales!$F$338&gt;8,0,INDEX($E$2347:$L$2347,1,5+Materiales!$F$338))</f>
        <v/>
      </c>
      <c r="J2348" s="71">
        <f>IF(6+Materiales!$F$338&gt;8,0,INDEX($E$2347:$L$2347,1,6+Materiales!$F$338))</f>
        <v/>
      </c>
      <c r="K2348" s="71">
        <f>IF(7+Materiales!$F$338&gt;8,0,INDEX($E$2347:$L$2347,1,7+Materiales!$F$338))</f>
        <v/>
      </c>
      <c r="L2348" s="71">
        <f>IF(8+Materiales!$F$338&gt;8,0,INDEX($E$2347:$L$2347,1,8+Materiales!$F$338))</f>
        <v/>
      </c>
      <c r="M2348" s="72">
        <f>IF($A2343="","",IF(SUMPRODUCT((COLUMN($E$2347:$L$2347)-4&lt;=Materiales!$F$338)*$E$2347:$L$2347)&gt;0,"PEDIR YA (atrasado)","OK"))</f>
        <v/>
      </c>
    </row>
    <row r="2349" ht="6" customHeight="1"/>
    <row r="2350">
      <c r="A2350" s="62">
        <f>IF(Materiales!$A$339="","",Materiales!$A$339)</f>
        <v/>
      </c>
      <c r="B2350" s="62">
        <f>IF(Materiales!$B$339="","",Materiales!$B$339)</f>
        <v/>
      </c>
      <c r="C2350" s="63" t="inlineStr">
        <is>
          <t>Necesidad bruta</t>
        </is>
      </c>
      <c r="D2350" s="64" t="n"/>
      <c r="E2350" s="65">
        <f>ROUND(SUMIF(Consumo!$P$4:$P$189,"#"&amp;$A2350,Consumo!H$4:H$189),4)</f>
        <v/>
      </c>
      <c r="F2350" s="65">
        <f>ROUND(SUMIF(Consumo!$P$4:$P$189,"#"&amp;$A2350,Consumo!I$4:I$189),4)</f>
        <v/>
      </c>
      <c r="G2350" s="65">
        <f>ROUND(SUMIF(Consumo!$P$4:$P$189,"#"&amp;$A2350,Consumo!J$4:J$189),4)</f>
        <v/>
      </c>
      <c r="H2350" s="65">
        <f>ROUND(SUMIF(Consumo!$P$4:$P$189,"#"&amp;$A2350,Consumo!K$4:K$189),4)</f>
        <v/>
      </c>
      <c r="I2350" s="65">
        <f>ROUND(SUMIF(Consumo!$P$4:$P$189,"#"&amp;$A2350,Consumo!L$4:L$189),4)</f>
        <v/>
      </c>
      <c r="J2350" s="65">
        <f>ROUND(SUMIF(Consumo!$P$4:$P$189,"#"&amp;$A2350,Consumo!M$4:M$189),4)</f>
        <v/>
      </c>
      <c r="K2350" s="65">
        <f>ROUND(SUMIF(Consumo!$P$4:$P$189,"#"&amp;$A2350,Consumo!N$4:N$189),4)</f>
        <v/>
      </c>
      <c r="L2350" s="65">
        <f>ROUND(SUMIF(Consumo!$P$4:$P$189,"#"&amp;$A2350,Consumo!O$4:O$189),4)</f>
        <v/>
      </c>
      <c r="M2350" s="66" t="n"/>
    </row>
    <row r="2351">
      <c r="C2351" s="63" t="inlineStr">
        <is>
          <t>Recepciones programadas (ya pedido)</t>
        </is>
      </c>
      <c r="D2351" s="64" t="n"/>
      <c r="E2351" s="65">
        <f>SUMIF(Inventario!$M$5:$M$505,"#"&amp;$A2350,Inventario!E$5:E$505)</f>
        <v/>
      </c>
      <c r="F2351" s="65">
        <f>SUMIF(Inventario!$M$5:$M$505,"#"&amp;$A2350,Inventario!F$5:F$505)</f>
        <v/>
      </c>
      <c r="G2351" s="65">
        <f>SUMIF(Inventario!$M$5:$M$505,"#"&amp;$A2350,Inventario!G$5:G$505)</f>
        <v/>
      </c>
      <c r="H2351" s="65">
        <f>SUMIF(Inventario!$M$5:$M$505,"#"&amp;$A2350,Inventario!H$5:H$505)</f>
        <v/>
      </c>
      <c r="I2351" s="65">
        <f>SUMIF(Inventario!$M$5:$M$505,"#"&amp;$A2350,Inventario!I$5:I$505)</f>
        <v/>
      </c>
      <c r="J2351" s="65">
        <f>SUMIF(Inventario!$M$5:$M$505,"#"&amp;$A2350,Inventario!J$5:J$505)</f>
        <v/>
      </c>
      <c r="K2351" s="65">
        <f>SUMIF(Inventario!$M$5:$M$505,"#"&amp;$A2350,Inventario!K$5:K$505)</f>
        <v/>
      </c>
      <c r="L2351" s="65">
        <f>SUMIF(Inventario!$M$5:$M$505,"#"&amp;$A2350,Inventario!L$5:L$505)</f>
        <v/>
      </c>
      <c r="M2351" s="66" t="n"/>
    </row>
    <row r="2352">
      <c r="C2352" s="63" t="inlineStr">
        <is>
          <t>Stock proyectado disponible</t>
        </is>
      </c>
      <c r="D2352" s="67">
        <f>SUMIF(Inventario!$M$5:$M$505,"#"&amp;$A2350,Inventario!$C$5:$C$505)</f>
        <v/>
      </c>
      <c r="E2352" s="68">
        <f>D2352+E2351+E2354-E2350</f>
        <v/>
      </c>
      <c r="F2352" s="68">
        <f>E2352+F2351+F2354-F2350</f>
        <v/>
      </c>
      <c r="G2352" s="68">
        <f>F2352+G2351+G2354-G2350</f>
        <v/>
      </c>
      <c r="H2352" s="68">
        <f>G2352+H2351+H2354-H2350</f>
        <v/>
      </c>
      <c r="I2352" s="68">
        <f>H2352+I2351+I2354-I2350</f>
        <v/>
      </c>
      <c r="J2352" s="68">
        <f>I2352+J2351+J2354-J2350</f>
        <v/>
      </c>
      <c r="K2352" s="68">
        <f>J2352+K2351+K2354-K2350</f>
        <v/>
      </c>
      <c r="L2352" s="68">
        <f>K2352+L2351+L2354-L2350</f>
        <v/>
      </c>
      <c r="M2352" s="66" t="n"/>
    </row>
    <row r="2353">
      <c r="C2353" s="63" t="inlineStr">
        <is>
          <t>Necesidad neta</t>
        </is>
      </c>
      <c r="D2353" s="64" t="n"/>
      <c r="E2353" s="69">
        <f>MAX(0,ROUND(E2350+Materiales!$H$339-D2352-E2351,4))</f>
        <v/>
      </c>
      <c r="F2353" s="69">
        <f>MAX(0,ROUND(F2350+Materiales!$H$339-E2352-F2351,4))</f>
        <v/>
      </c>
      <c r="G2353" s="69">
        <f>MAX(0,ROUND(G2350+Materiales!$H$339-F2352-G2351,4))</f>
        <v/>
      </c>
      <c r="H2353" s="69">
        <f>MAX(0,ROUND(H2350+Materiales!$H$339-G2352-H2351,4))</f>
        <v/>
      </c>
      <c r="I2353" s="69">
        <f>MAX(0,ROUND(I2350+Materiales!$H$339-H2352-I2351,4))</f>
        <v/>
      </c>
      <c r="J2353" s="69">
        <f>MAX(0,ROUND(J2350+Materiales!$H$339-I2352-J2351,4))</f>
        <v/>
      </c>
      <c r="K2353" s="69">
        <f>MAX(0,ROUND(K2350+Materiales!$H$339-J2352-K2351,4))</f>
        <v/>
      </c>
      <c r="L2353" s="69">
        <f>MAX(0,ROUND(L2350+Materiales!$H$339-K2352-L2351,4))</f>
        <v/>
      </c>
      <c r="M2353" s="66" t="n"/>
    </row>
    <row r="2354">
      <c r="C2354" s="63" t="inlineStr">
        <is>
          <t>Recepcion de orden planificada</t>
        </is>
      </c>
      <c r="D2354" s="64" t="n"/>
      <c r="E2354" s="65">
        <f>IF(E2353&lt;=0,0,IF(Materiales!$G$339&lt;=0,E2353,ROUNDUP(E2353/Materiales!$G$339,0)*Materiales!$G$339))</f>
        <v/>
      </c>
      <c r="F2354" s="65">
        <f>IF(F2353&lt;=0,0,IF(Materiales!$G$339&lt;=0,F2353,ROUNDUP(F2353/Materiales!$G$339,0)*Materiales!$G$339))</f>
        <v/>
      </c>
      <c r="G2354" s="65">
        <f>IF(G2353&lt;=0,0,IF(Materiales!$G$339&lt;=0,G2353,ROUNDUP(G2353/Materiales!$G$339,0)*Materiales!$G$339))</f>
        <v/>
      </c>
      <c r="H2354" s="65">
        <f>IF(H2353&lt;=0,0,IF(Materiales!$G$339&lt;=0,H2353,ROUNDUP(H2353/Materiales!$G$339,0)*Materiales!$G$339))</f>
        <v/>
      </c>
      <c r="I2354" s="65">
        <f>IF(I2353&lt;=0,0,IF(Materiales!$G$339&lt;=0,I2353,ROUNDUP(I2353/Materiales!$G$339,0)*Materiales!$G$339))</f>
        <v/>
      </c>
      <c r="J2354" s="65">
        <f>IF(J2353&lt;=0,0,IF(Materiales!$G$339&lt;=0,J2353,ROUNDUP(J2353/Materiales!$G$339,0)*Materiales!$G$339))</f>
        <v/>
      </c>
      <c r="K2354" s="65">
        <f>IF(K2353&lt;=0,0,IF(Materiales!$G$339&lt;=0,K2353,ROUNDUP(K2353/Materiales!$G$339,0)*Materiales!$G$339))</f>
        <v/>
      </c>
      <c r="L2354" s="65">
        <f>IF(L2353&lt;=0,0,IF(Materiales!$G$339&lt;=0,L2353,ROUNDUP(L2353/Materiales!$G$339,0)*Materiales!$G$339))</f>
        <v/>
      </c>
      <c r="M2354" s="66" t="n"/>
    </row>
    <row r="2355">
      <c r="C2355" s="70" t="inlineStr">
        <is>
          <t>LANZAMIENTO DE ORDEN — pedir esta semana</t>
        </is>
      </c>
      <c r="D2355" s="64" t="n"/>
      <c r="E2355" s="71">
        <f>IF(1+Materiales!$F$339&gt;8,0,INDEX($E$2354:$L$2354,1,1+Materiales!$F$339))</f>
        <v/>
      </c>
      <c r="F2355" s="71">
        <f>IF(2+Materiales!$F$339&gt;8,0,INDEX($E$2354:$L$2354,1,2+Materiales!$F$339))</f>
        <v/>
      </c>
      <c r="G2355" s="71">
        <f>IF(3+Materiales!$F$339&gt;8,0,INDEX($E$2354:$L$2354,1,3+Materiales!$F$339))</f>
        <v/>
      </c>
      <c r="H2355" s="71">
        <f>IF(4+Materiales!$F$339&gt;8,0,INDEX($E$2354:$L$2354,1,4+Materiales!$F$339))</f>
        <v/>
      </c>
      <c r="I2355" s="71">
        <f>IF(5+Materiales!$F$339&gt;8,0,INDEX($E$2354:$L$2354,1,5+Materiales!$F$339))</f>
        <v/>
      </c>
      <c r="J2355" s="71">
        <f>IF(6+Materiales!$F$339&gt;8,0,INDEX($E$2354:$L$2354,1,6+Materiales!$F$339))</f>
        <v/>
      </c>
      <c r="K2355" s="71">
        <f>IF(7+Materiales!$F$339&gt;8,0,INDEX($E$2354:$L$2354,1,7+Materiales!$F$339))</f>
        <v/>
      </c>
      <c r="L2355" s="71">
        <f>IF(8+Materiales!$F$339&gt;8,0,INDEX($E$2354:$L$2354,1,8+Materiales!$F$339))</f>
        <v/>
      </c>
      <c r="M2355" s="72">
        <f>IF($A2350="","",IF(SUMPRODUCT((COLUMN($E$2354:$L$2354)-4&lt;=Materiales!$F$339)*$E$2354:$L$2354)&gt;0,"PEDIR YA (atrasado)","OK"))</f>
        <v/>
      </c>
    </row>
    <row r="2356" ht="6" customHeight="1"/>
    <row r="2357">
      <c r="A2357" s="62">
        <f>IF(Materiales!$A$340="","",Materiales!$A$340)</f>
        <v/>
      </c>
      <c r="B2357" s="62">
        <f>IF(Materiales!$B$340="","",Materiales!$B$340)</f>
        <v/>
      </c>
      <c r="C2357" s="63" t="inlineStr">
        <is>
          <t>Necesidad bruta</t>
        </is>
      </c>
      <c r="D2357" s="64" t="n"/>
      <c r="E2357" s="65">
        <f>ROUND(SUMIF(Consumo!$P$4:$P$189,"#"&amp;$A2357,Consumo!H$4:H$189),4)</f>
        <v/>
      </c>
      <c r="F2357" s="65">
        <f>ROUND(SUMIF(Consumo!$P$4:$P$189,"#"&amp;$A2357,Consumo!I$4:I$189),4)</f>
        <v/>
      </c>
      <c r="G2357" s="65">
        <f>ROUND(SUMIF(Consumo!$P$4:$P$189,"#"&amp;$A2357,Consumo!J$4:J$189),4)</f>
        <v/>
      </c>
      <c r="H2357" s="65">
        <f>ROUND(SUMIF(Consumo!$P$4:$P$189,"#"&amp;$A2357,Consumo!K$4:K$189),4)</f>
        <v/>
      </c>
      <c r="I2357" s="65">
        <f>ROUND(SUMIF(Consumo!$P$4:$P$189,"#"&amp;$A2357,Consumo!L$4:L$189),4)</f>
        <v/>
      </c>
      <c r="J2357" s="65">
        <f>ROUND(SUMIF(Consumo!$P$4:$P$189,"#"&amp;$A2357,Consumo!M$4:M$189),4)</f>
        <v/>
      </c>
      <c r="K2357" s="65">
        <f>ROUND(SUMIF(Consumo!$P$4:$P$189,"#"&amp;$A2357,Consumo!N$4:N$189),4)</f>
        <v/>
      </c>
      <c r="L2357" s="65">
        <f>ROUND(SUMIF(Consumo!$P$4:$P$189,"#"&amp;$A2357,Consumo!O$4:O$189),4)</f>
        <v/>
      </c>
      <c r="M2357" s="66" t="n"/>
    </row>
    <row r="2358">
      <c r="C2358" s="63" t="inlineStr">
        <is>
          <t>Recepciones programadas (ya pedido)</t>
        </is>
      </c>
      <c r="D2358" s="64" t="n"/>
      <c r="E2358" s="65">
        <f>SUMIF(Inventario!$M$5:$M$505,"#"&amp;$A2357,Inventario!E$5:E$505)</f>
        <v/>
      </c>
      <c r="F2358" s="65">
        <f>SUMIF(Inventario!$M$5:$M$505,"#"&amp;$A2357,Inventario!F$5:F$505)</f>
        <v/>
      </c>
      <c r="G2358" s="65">
        <f>SUMIF(Inventario!$M$5:$M$505,"#"&amp;$A2357,Inventario!G$5:G$505)</f>
        <v/>
      </c>
      <c r="H2358" s="65">
        <f>SUMIF(Inventario!$M$5:$M$505,"#"&amp;$A2357,Inventario!H$5:H$505)</f>
        <v/>
      </c>
      <c r="I2358" s="65">
        <f>SUMIF(Inventario!$M$5:$M$505,"#"&amp;$A2357,Inventario!I$5:I$505)</f>
        <v/>
      </c>
      <c r="J2358" s="65">
        <f>SUMIF(Inventario!$M$5:$M$505,"#"&amp;$A2357,Inventario!J$5:J$505)</f>
        <v/>
      </c>
      <c r="K2358" s="65">
        <f>SUMIF(Inventario!$M$5:$M$505,"#"&amp;$A2357,Inventario!K$5:K$505)</f>
        <v/>
      </c>
      <c r="L2358" s="65">
        <f>SUMIF(Inventario!$M$5:$M$505,"#"&amp;$A2357,Inventario!L$5:L$505)</f>
        <v/>
      </c>
      <c r="M2358" s="66" t="n"/>
    </row>
    <row r="2359">
      <c r="C2359" s="63" t="inlineStr">
        <is>
          <t>Stock proyectado disponible</t>
        </is>
      </c>
      <c r="D2359" s="67">
        <f>SUMIF(Inventario!$M$5:$M$505,"#"&amp;$A2357,Inventario!$C$5:$C$505)</f>
        <v/>
      </c>
      <c r="E2359" s="68">
        <f>D2359+E2358+E2361-E2357</f>
        <v/>
      </c>
      <c r="F2359" s="68">
        <f>E2359+F2358+F2361-F2357</f>
        <v/>
      </c>
      <c r="G2359" s="68">
        <f>F2359+G2358+G2361-G2357</f>
        <v/>
      </c>
      <c r="H2359" s="68">
        <f>G2359+H2358+H2361-H2357</f>
        <v/>
      </c>
      <c r="I2359" s="68">
        <f>H2359+I2358+I2361-I2357</f>
        <v/>
      </c>
      <c r="J2359" s="68">
        <f>I2359+J2358+J2361-J2357</f>
        <v/>
      </c>
      <c r="K2359" s="68">
        <f>J2359+K2358+K2361-K2357</f>
        <v/>
      </c>
      <c r="L2359" s="68">
        <f>K2359+L2358+L2361-L2357</f>
        <v/>
      </c>
      <c r="M2359" s="66" t="n"/>
    </row>
    <row r="2360">
      <c r="C2360" s="63" t="inlineStr">
        <is>
          <t>Necesidad neta</t>
        </is>
      </c>
      <c r="D2360" s="64" t="n"/>
      <c r="E2360" s="69">
        <f>MAX(0,ROUND(E2357+Materiales!$H$340-D2359-E2358,4))</f>
        <v/>
      </c>
      <c r="F2360" s="69">
        <f>MAX(0,ROUND(F2357+Materiales!$H$340-E2359-F2358,4))</f>
        <v/>
      </c>
      <c r="G2360" s="69">
        <f>MAX(0,ROUND(G2357+Materiales!$H$340-F2359-G2358,4))</f>
        <v/>
      </c>
      <c r="H2360" s="69">
        <f>MAX(0,ROUND(H2357+Materiales!$H$340-G2359-H2358,4))</f>
        <v/>
      </c>
      <c r="I2360" s="69">
        <f>MAX(0,ROUND(I2357+Materiales!$H$340-H2359-I2358,4))</f>
        <v/>
      </c>
      <c r="J2360" s="69">
        <f>MAX(0,ROUND(J2357+Materiales!$H$340-I2359-J2358,4))</f>
        <v/>
      </c>
      <c r="K2360" s="69">
        <f>MAX(0,ROUND(K2357+Materiales!$H$340-J2359-K2358,4))</f>
        <v/>
      </c>
      <c r="L2360" s="69">
        <f>MAX(0,ROUND(L2357+Materiales!$H$340-K2359-L2358,4))</f>
        <v/>
      </c>
      <c r="M2360" s="66" t="n"/>
    </row>
    <row r="2361">
      <c r="C2361" s="63" t="inlineStr">
        <is>
          <t>Recepcion de orden planificada</t>
        </is>
      </c>
      <c r="D2361" s="64" t="n"/>
      <c r="E2361" s="65">
        <f>IF(E2360&lt;=0,0,IF(Materiales!$G$340&lt;=0,E2360,ROUNDUP(E2360/Materiales!$G$340,0)*Materiales!$G$340))</f>
        <v/>
      </c>
      <c r="F2361" s="65">
        <f>IF(F2360&lt;=0,0,IF(Materiales!$G$340&lt;=0,F2360,ROUNDUP(F2360/Materiales!$G$340,0)*Materiales!$G$340))</f>
        <v/>
      </c>
      <c r="G2361" s="65">
        <f>IF(G2360&lt;=0,0,IF(Materiales!$G$340&lt;=0,G2360,ROUNDUP(G2360/Materiales!$G$340,0)*Materiales!$G$340))</f>
        <v/>
      </c>
      <c r="H2361" s="65">
        <f>IF(H2360&lt;=0,0,IF(Materiales!$G$340&lt;=0,H2360,ROUNDUP(H2360/Materiales!$G$340,0)*Materiales!$G$340))</f>
        <v/>
      </c>
      <c r="I2361" s="65">
        <f>IF(I2360&lt;=0,0,IF(Materiales!$G$340&lt;=0,I2360,ROUNDUP(I2360/Materiales!$G$340,0)*Materiales!$G$340))</f>
        <v/>
      </c>
      <c r="J2361" s="65">
        <f>IF(J2360&lt;=0,0,IF(Materiales!$G$340&lt;=0,J2360,ROUNDUP(J2360/Materiales!$G$340,0)*Materiales!$G$340))</f>
        <v/>
      </c>
      <c r="K2361" s="65">
        <f>IF(K2360&lt;=0,0,IF(Materiales!$G$340&lt;=0,K2360,ROUNDUP(K2360/Materiales!$G$340,0)*Materiales!$G$340))</f>
        <v/>
      </c>
      <c r="L2361" s="65">
        <f>IF(L2360&lt;=0,0,IF(Materiales!$G$340&lt;=0,L2360,ROUNDUP(L2360/Materiales!$G$340,0)*Materiales!$G$340))</f>
        <v/>
      </c>
      <c r="M2361" s="66" t="n"/>
    </row>
    <row r="2362">
      <c r="C2362" s="70" t="inlineStr">
        <is>
          <t>LANZAMIENTO DE ORDEN — pedir esta semana</t>
        </is>
      </c>
      <c r="D2362" s="64" t="n"/>
      <c r="E2362" s="71">
        <f>IF(1+Materiales!$F$340&gt;8,0,INDEX($E$2361:$L$2361,1,1+Materiales!$F$340))</f>
        <v/>
      </c>
      <c r="F2362" s="71">
        <f>IF(2+Materiales!$F$340&gt;8,0,INDEX($E$2361:$L$2361,1,2+Materiales!$F$340))</f>
        <v/>
      </c>
      <c r="G2362" s="71">
        <f>IF(3+Materiales!$F$340&gt;8,0,INDEX($E$2361:$L$2361,1,3+Materiales!$F$340))</f>
        <v/>
      </c>
      <c r="H2362" s="71">
        <f>IF(4+Materiales!$F$340&gt;8,0,INDEX($E$2361:$L$2361,1,4+Materiales!$F$340))</f>
        <v/>
      </c>
      <c r="I2362" s="71">
        <f>IF(5+Materiales!$F$340&gt;8,0,INDEX($E$2361:$L$2361,1,5+Materiales!$F$340))</f>
        <v/>
      </c>
      <c r="J2362" s="71">
        <f>IF(6+Materiales!$F$340&gt;8,0,INDEX($E$2361:$L$2361,1,6+Materiales!$F$340))</f>
        <v/>
      </c>
      <c r="K2362" s="71">
        <f>IF(7+Materiales!$F$340&gt;8,0,INDEX($E$2361:$L$2361,1,7+Materiales!$F$340))</f>
        <v/>
      </c>
      <c r="L2362" s="71">
        <f>IF(8+Materiales!$F$340&gt;8,0,INDEX($E$2361:$L$2361,1,8+Materiales!$F$340))</f>
        <v/>
      </c>
      <c r="M2362" s="72">
        <f>IF($A2357="","",IF(SUMPRODUCT((COLUMN($E$2361:$L$2361)-4&lt;=Materiales!$F$340)*$E$2361:$L$2361)&gt;0,"PEDIR YA (atrasado)","OK"))</f>
        <v/>
      </c>
    </row>
    <row r="2363" ht="6" customHeight="1"/>
    <row r="2364">
      <c r="A2364" s="62">
        <f>IF(Materiales!$A$341="","",Materiales!$A$341)</f>
        <v/>
      </c>
      <c r="B2364" s="62">
        <f>IF(Materiales!$B$341="","",Materiales!$B$341)</f>
        <v/>
      </c>
      <c r="C2364" s="63" t="inlineStr">
        <is>
          <t>Necesidad bruta</t>
        </is>
      </c>
      <c r="D2364" s="64" t="n"/>
      <c r="E2364" s="65">
        <f>ROUND(SUMIF(Consumo!$P$4:$P$189,"#"&amp;$A2364,Consumo!H$4:H$189),4)</f>
        <v/>
      </c>
      <c r="F2364" s="65">
        <f>ROUND(SUMIF(Consumo!$P$4:$P$189,"#"&amp;$A2364,Consumo!I$4:I$189),4)</f>
        <v/>
      </c>
      <c r="G2364" s="65">
        <f>ROUND(SUMIF(Consumo!$P$4:$P$189,"#"&amp;$A2364,Consumo!J$4:J$189),4)</f>
        <v/>
      </c>
      <c r="H2364" s="65">
        <f>ROUND(SUMIF(Consumo!$P$4:$P$189,"#"&amp;$A2364,Consumo!K$4:K$189),4)</f>
        <v/>
      </c>
      <c r="I2364" s="65">
        <f>ROUND(SUMIF(Consumo!$P$4:$P$189,"#"&amp;$A2364,Consumo!L$4:L$189),4)</f>
        <v/>
      </c>
      <c r="J2364" s="65">
        <f>ROUND(SUMIF(Consumo!$P$4:$P$189,"#"&amp;$A2364,Consumo!M$4:M$189),4)</f>
        <v/>
      </c>
      <c r="K2364" s="65">
        <f>ROUND(SUMIF(Consumo!$P$4:$P$189,"#"&amp;$A2364,Consumo!N$4:N$189),4)</f>
        <v/>
      </c>
      <c r="L2364" s="65">
        <f>ROUND(SUMIF(Consumo!$P$4:$P$189,"#"&amp;$A2364,Consumo!O$4:O$189),4)</f>
        <v/>
      </c>
      <c r="M2364" s="66" t="n"/>
    </row>
    <row r="2365">
      <c r="C2365" s="63" t="inlineStr">
        <is>
          <t>Recepciones programadas (ya pedido)</t>
        </is>
      </c>
      <c r="D2365" s="64" t="n"/>
      <c r="E2365" s="65">
        <f>SUMIF(Inventario!$M$5:$M$505,"#"&amp;$A2364,Inventario!E$5:E$505)</f>
        <v/>
      </c>
      <c r="F2365" s="65">
        <f>SUMIF(Inventario!$M$5:$M$505,"#"&amp;$A2364,Inventario!F$5:F$505)</f>
        <v/>
      </c>
      <c r="G2365" s="65">
        <f>SUMIF(Inventario!$M$5:$M$505,"#"&amp;$A2364,Inventario!G$5:G$505)</f>
        <v/>
      </c>
      <c r="H2365" s="65">
        <f>SUMIF(Inventario!$M$5:$M$505,"#"&amp;$A2364,Inventario!H$5:H$505)</f>
        <v/>
      </c>
      <c r="I2365" s="65">
        <f>SUMIF(Inventario!$M$5:$M$505,"#"&amp;$A2364,Inventario!I$5:I$505)</f>
        <v/>
      </c>
      <c r="J2365" s="65">
        <f>SUMIF(Inventario!$M$5:$M$505,"#"&amp;$A2364,Inventario!J$5:J$505)</f>
        <v/>
      </c>
      <c r="K2365" s="65">
        <f>SUMIF(Inventario!$M$5:$M$505,"#"&amp;$A2364,Inventario!K$5:K$505)</f>
        <v/>
      </c>
      <c r="L2365" s="65">
        <f>SUMIF(Inventario!$M$5:$M$505,"#"&amp;$A2364,Inventario!L$5:L$505)</f>
        <v/>
      </c>
      <c r="M2365" s="66" t="n"/>
    </row>
    <row r="2366">
      <c r="C2366" s="63" t="inlineStr">
        <is>
          <t>Stock proyectado disponible</t>
        </is>
      </c>
      <c r="D2366" s="67">
        <f>SUMIF(Inventario!$M$5:$M$505,"#"&amp;$A2364,Inventario!$C$5:$C$505)</f>
        <v/>
      </c>
      <c r="E2366" s="68">
        <f>D2366+E2365+E2368-E2364</f>
        <v/>
      </c>
      <c r="F2366" s="68">
        <f>E2366+F2365+F2368-F2364</f>
        <v/>
      </c>
      <c r="G2366" s="68">
        <f>F2366+G2365+G2368-G2364</f>
        <v/>
      </c>
      <c r="H2366" s="68">
        <f>G2366+H2365+H2368-H2364</f>
        <v/>
      </c>
      <c r="I2366" s="68">
        <f>H2366+I2365+I2368-I2364</f>
        <v/>
      </c>
      <c r="J2366" s="68">
        <f>I2366+J2365+J2368-J2364</f>
        <v/>
      </c>
      <c r="K2366" s="68">
        <f>J2366+K2365+K2368-K2364</f>
        <v/>
      </c>
      <c r="L2366" s="68">
        <f>K2366+L2365+L2368-L2364</f>
        <v/>
      </c>
      <c r="M2366" s="66" t="n"/>
    </row>
    <row r="2367">
      <c r="C2367" s="63" t="inlineStr">
        <is>
          <t>Necesidad neta</t>
        </is>
      </c>
      <c r="D2367" s="64" t="n"/>
      <c r="E2367" s="69">
        <f>MAX(0,ROUND(E2364+Materiales!$H$341-D2366-E2365,4))</f>
        <v/>
      </c>
      <c r="F2367" s="69">
        <f>MAX(0,ROUND(F2364+Materiales!$H$341-E2366-F2365,4))</f>
        <v/>
      </c>
      <c r="G2367" s="69">
        <f>MAX(0,ROUND(G2364+Materiales!$H$341-F2366-G2365,4))</f>
        <v/>
      </c>
      <c r="H2367" s="69">
        <f>MAX(0,ROUND(H2364+Materiales!$H$341-G2366-H2365,4))</f>
        <v/>
      </c>
      <c r="I2367" s="69">
        <f>MAX(0,ROUND(I2364+Materiales!$H$341-H2366-I2365,4))</f>
        <v/>
      </c>
      <c r="J2367" s="69">
        <f>MAX(0,ROUND(J2364+Materiales!$H$341-I2366-J2365,4))</f>
        <v/>
      </c>
      <c r="K2367" s="69">
        <f>MAX(0,ROUND(K2364+Materiales!$H$341-J2366-K2365,4))</f>
        <v/>
      </c>
      <c r="L2367" s="69">
        <f>MAX(0,ROUND(L2364+Materiales!$H$341-K2366-L2365,4))</f>
        <v/>
      </c>
      <c r="M2367" s="66" t="n"/>
    </row>
    <row r="2368">
      <c r="C2368" s="63" t="inlineStr">
        <is>
          <t>Recepcion de orden planificada</t>
        </is>
      </c>
      <c r="D2368" s="64" t="n"/>
      <c r="E2368" s="65">
        <f>IF(E2367&lt;=0,0,IF(Materiales!$G$341&lt;=0,E2367,ROUNDUP(E2367/Materiales!$G$341,0)*Materiales!$G$341))</f>
        <v/>
      </c>
      <c r="F2368" s="65">
        <f>IF(F2367&lt;=0,0,IF(Materiales!$G$341&lt;=0,F2367,ROUNDUP(F2367/Materiales!$G$341,0)*Materiales!$G$341))</f>
        <v/>
      </c>
      <c r="G2368" s="65">
        <f>IF(G2367&lt;=0,0,IF(Materiales!$G$341&lt;=0,G2367,ROUNDUP(G2367/Materiales!$G$341,0)*Materiales!$G$341))</f>
        <v/>
      </c>
      <c r="H2368" s="65">
        <f>IF(H2367&lt;=0,0,IF(Materiales!$G$341&lt;=0,H2367,ROUNDUP(H2367/Materiales!$G$341,0)*Materiales!$G$341))</f>
        <v/>
      </c>
      <c r="I2368" s="65">
        <f>IF(I2367&lt;=0,0,IF(Materiales!$G$341&lt;=0,I2367,ROUNDUP(I2367/Materiales!$G$341,0)*Materiales!$G$341))</f>
        <v/>
      </c>
      <c r="J2368" s="65">
        <f>IF(J2367&lt;=0,0,IF(Materiales!$G$341&lt;=0,J2367,ROUNDUP(J2367/Materiales!$G$341,0)*Materiales!$G$341))</f>
        <v/>
      </c>
      <c r="K2368" s="65">
        <f>IF(K2367&lt;=0,0,IF(Materiales!$G$341&lt;=0,K2367,ROUNDUP(K2367/Materiales!$G$341,0)*Materiales!$G$341))</f>
        <v/>
      </c>
      <c r="L2368" s="65">
        <f>IF(L2367&lt;=0,0,IF(Materiales!$G$341&lt;=0,L2367,ROUNDUP(L2367/Materiales!$G$341,0)*Materiales!$G$341))</f>
        <v/>
      </c>
      <c r="M2368" s="66" t="n"/>
    </row>
    <row r="2369">
      <c r="C2369" s="70" t="inlineStr">
        <is>
          <t>LANZAMIENTO DE ORDEN — pedir esta semana</t>
        </is>
      </c>
      <c r="D2369" s="64" t="n"/>
      <c r="E2369" s="71">
        <f>IF(1+Materiales!$F$341&gt;8,0,INDEX($E$2368:$L$2368,1,1+Materiales!$F$341))</f>
        <v/>
      </c>
      <c r="F2369" s="71">
        <f>IF(2+Materiales!$F$341&gt;8,0,INDEX($E$2368:$L$2368,1,2+Materiales!$F$341))</f>
        <v/>
      </c>
      <c r="G2369" s="71">
        <f>IF(3+Materiales!$F$341&gt;8,0,INDEX($E$2368:$L$2368,1,3+Materiales!$F$341))</f>
        <v/>
      </c>
      <c r="H2369" s="71">
        <f>IF(4+Materiales!$F$341&gt;8,0,INDEX($E$2368:$L$2368,1,4+Materiales!$F$341))</f>
        <v/>
      </c>
      <c r="I2369" s="71">
        <f>IF(5+Materiales!$F$341&gt;8,0,INDEX($E$2368:$L$2368,1,5+Materiales!$F$341))</f>
        <v/>
      </c>
      <c r="J2369" s="71">
        <f>IF(6+Materiales!$F$341&gt;8,0,INDEX($E$2368:$L$2368,1,6+Materiales!$F$341))</f>
        <v/>
      </c>
      <c r="K2369" s="71">
        <f>IF(7+Materiales!$F$341&gt;8,0,INDEX($E$2368:$L$2368,1,7+Materiales!$F$341))</f>
        <v/>
      </c>
      <c r="L2369" s="71">
        <f>IF(8+Materiales!$F$341&gt;8,0,INDEX($E$2368:$L$2368,1,8+Materiales!$F$341))</f>
        <v/>
      </c>
      <c r="M2369" s="72">
        <f>IF($A2364="","",IF(SUMPRODUCT((COLUMN($E$2368:$L$2368)-4&lt;=Materiales!$F$341)*$E$2368:$L$2368)&gt;0,"PEDIR YA (atrasado)","OK"))</f>
        <v/>
      </c>
    </row>
    <row r="2370" ht="6" customHeight="1"/>
    <row r="2371">
      <c r="A2371" s="62">
        <f>IF(Materiales!$A$342="","",Materiales!$A$342)</f>
        <v/>
      </c>
      <c r="B2371" s="62">
        <f>IF(Materiales!$B$342="","",Materiales!$B$342)</f>
        <v/>
      </c>
      <c r="C2371" s="63" t="inlineStr">
        <is>
          <t>Necesidad bruta</t>
        </is>
      </c>
      <c r="D2371" s="64" t="n"/>
      <c r="E2371" s="65">
        <f>ROUND(SUMIF(Consumo!$P$4:$P$189,"#"&amp;$A2371,Consumo!H$4:H$189),4)</f>
        <v/>
      </c>
      <c r="F2371" s="65">
        <f>ROUND(SUMIF(Consumo!$P$4:$P$189,"#"&amp;$A2371,Consumo!I$4:I$189),4)</f>
        <v/>
      </c>
      <c r="G2371" s="65">
        <f>ROUND(SUMIF(Consumo!$P$4:$P$189,"#"&amp;$A2371,Consumo!J$4:J$189),4)</f>
        <v/>
      </c>
      <c r="H2371" s="65">
        <f>ROUND(SUMIF(Consumo!$P$4:$P$189,"#"&amp;$A2371,Consumo!K$4:K$189),4)</f>
        <v/>
      </c>
      <c r="I2371" s="65">
        <f>ROUND(SUMIF(Consumo!$P$4:$P$189,"#"&amp;$A2371,Consumo!L$4:L$189),4)</f>
        <v/>
      </c>
      <c r="J2371" s="65">
        <f>ROUND(SUMIF(Consumo!$P$4:$P$189,"#"&amp;$A2371,Consumo!M$4:M$189),4)</f>
        <v/>
      </c>
      <c r="K2371" s="65">
        <f>ROUND(SUMIF(Consumo!$P$4:$P$189,"#"&amp;$A2371,Consumo!N$4:N$189),4)</f>
        <v/>
      </c>
      <c r="L2371" s="65">
        <f>ROUND(SUMIF(Consumo!$P$4:$P$189,"#"&amp;$A2371,Consumo!O$4:O$189),4)</f>
        <v/>
      </c>
      <c r="M2371" s="66" t="n"/>
    </row>
    <row r="2372">
      <c r="C2372" s="63" t="inlineStr">
        <is>
          <t>Recepciones programadas (ya pedido)</t>
        </is>
      </c>
      <c r="D2372" s="64" t="n"/>
      <c r="E2372" s="65">
        <f>SUMIF(Inventario!$M$5:$M$505,"#"&amp;$A2371,Inventario!E$5:E$505)</f>
        <v/>
      </c>
      <c r="F2372" s="65">
        <f>SUMIF(Inventario!$M$5:$M$505,"#"&amp;$A2371,Inventario!F$5:F$505)</f>
        <v/>
      </c>
      <c r="G2372" s="65">
        <f>SUMIF(Inventario!$M$5:$M$505,"#"&amp;$A2371,Inventario!G$5:G$505)</f>
        <v/>
      </c>
      <c r="H2372" s="65">
        <f>SUMIF(Inventario!$M$5:$M$505,"#"&amp;$A2371,Inventario!H$5:H$505)</f>
        <v/>
      </c>
      <c r="I2372" s="65">
        <f>SUMIF(Inventario!$M$5:$M$505,"#"&amp;$A2371,Inventario!I$5:I$505)</f>
        <v/>
      </c>
      <c r="J2372" s="65">
        <f>SUMIF(Inventario!$M$5:$M$505,"#"&amp;$A2371,Inventario!J$5:J$505)</f>
        <v/>
      </c>
      <c r="K2372" s="65">
        <f>SUMIF(Inventario!$M$5:$M$505,"#"&amp;$A2371,Inventario!K$5:K$505)</f>
        <v/>
      </c>
      <c r="L2372" s="65">
        <f>SUMIF(Inventario!$M$5:$M$505,"#"&amp;$A2371,Inventario!L$5:L$505)</f>
        <v/>
      </c>
      <c r="M2372" s="66" t="n"/>
    </row>
    <row r="2373">
      <c r="C2373" s="63" t="inlineStr">
        <is>
          <t>Stock proyectado disponible</t>
        </is>
      </c>
      <c r="D2373" s="67">
        <f>SUMIF(Inventario!$M$5:$M$505,"#"&amp;$A2371,Inventario!$C$5:$C$505)</f>
        <v/>
      </c>
      <c r="E2373" s="68">
        <f>D2373+E2372+E2375-E2371</f>
        <v/>
      </c>
      <c r="F2373" s="68">
        <f>E2373+F2372+F2375-F2371</f>
        <v/>
      </c>
      <c r="G2373" s="68">
        <f>F2373+G2372+G2375-G2371</f>
        <v/>
      </c>
      <c r="H2373" s="68">
        <f>G2373+H2372+H2375-H2371</f>
        <v/>
      </c>
      <c r="I2373" s="68">
        <f>H2373+I2372+I2375-I2371</f>
        <v/>
      </c>
      <c r="J2373" s="68">
        <f>I2373+J2372+J2375-J2371</f>
        <v/>
      </c>
      <c r="K2373" s="68">
        <f>J2373+K2372+K2375-K2371</f>
        <v/>
      </c>
      <c r="L2373" s="68">
        <f>K2373+L2372+L2375-L2371</f>
        <v/>
      </c>
      <c r="M2373" s="66" t="n"/>
    </row>
    <row r="2374">
      <c r="C2374" s="63" t="inlineStr">
        <is>
          <t>Necesidad neta</t>
        </is>
      </c>
      <c r="D2374" s="64" t="n"/>
      <c r="E2374" s="69">
        <f>MAX(0,ROUND(E2371+Materiales!$H$342-D2373-E2372,4))</f>
        <v/>
      </c>
      <c r="F2374" s="69">
        <f>MAX(0,ROUND(F2371+Materiales!$H$342-E2373-F2372,4))</f>
        <v/>
      </c>
      <c r="G2374" s="69">
        <f>MAX(0,ROUND(G2371+Materiales!$H$342-F2373-G2372,4))</f>
        <v/>
      </c>
      <c r="H2374" s="69">
        <f>MAX(0,ROUND(H2371+Materiales!$H$342-G2373-H2372,4))</f>
        <v/>
      </c>
      <c r="I2374" s="69">
        <f>MAX(0,ROUND(I2371+Materiales!$H$342-H2373-I2372,4))</f>
        <v/>
      </c>
      <c r="J2374" s="69">
        <f>MAX(0,ROUND(J2371+Materiales!$H$342-I2373-J2372,4))</f>
        <v/>
      </c>
      <c r="K2374" s="69">
        <f>MAX(0,ROUND(K2371+Materiales!$H$342-J2373-K2372,4))</f>
        <v/>
      </c>
      <c r="L2374" s="69">
        <f>MAX(0,ROUND(L2371+Materiales!$H$342-K2373-L2372,4))</f>
        <v/>
      </c>
      <c r="M2374" s="66" t="n"/>
    </row>
    <row r="2375">
      <c r="C2375" s="63" t="inlineStr">
        <is>
          <t>Recepcion de orden planificada</t>
        </is>
      </c>
      <c r="D2375" s="64" t="n"/>
      <c r="E2375" s="65">
        <f>IF(E2374&lt;=0,0,IF(Materiales!$G$342&lt;=0,E2374,ROUNDUP(E2374/Materiales!$G$342,0)*Materiales!$G$342))</f>
        <v/>
      </c>
      <c r="F2375" s="65">
        <f>IF(F2374&lt;=0,0,IF(Materiales!$G$342&lt;=0,F2374,ROUNDUP(F2374/Materiales!$G$342,0)*Materiales!$G$342))</f>
        <v/>
      </c>
      <c r="G2375" s="65">
        <f>IF(G2374&lt;=0,0,IF(Materiales!$G$342&lt;=0,G2374,ROUNDUP(G2374/Materiales!$G$342,0)*Materiales!$G$342))</f>
        <v/>
      </c>
      <c r="H2375" s="65">
        <f>IF(H2374&lt;=0,0,IF(Materiales!$G$342&lt;=0,H2374,ROUNDUP(H2374/Materiales!$G$342,0)*Materiales!$G$342))</f>
        <v/>
      </c>
      <c r="I2375" s="65">
        <f>IF(I2374&lt;=0,0,IF(Materiales!$G$342&lt;=0,I2374,ROUNDUP(I2374/Materiales!$G$342,0)*Materiales!$G$342))</f>
        <v/>
      </c>
      <c r="J2375" s="65">
        <f>IF(J2374&lt;=0,0,IF(Materiales!$G$342&lt;=0,J2374,ROUNDUP(J2374/Materiales!$G$342,0)*Materiales!$G$342))</f>
        <v/>
      </c>
      <c r="K2375" s="65">
        <f>IF(K2374&lt;=0,0,IF(Materiales!$G$342&lt;=0,K2374,ROUNDUP(K2374/Materiales!$G$342,0)*Materiales!$G$342))</f>
        <v/>
      </c>
      <c r="L2375" s="65">
        <f>IF(L2374&lt;=0,0,IF(Materiales!$G$342&lt;=0,L2374,ROUNDUP(L2374/Materiales!$G$342,0)*Materiales!$G$342))</f>
        <v/>
      </c>
      <c r="M2375" s="66" t="n"/>
    </row>
    <row r="2376">
      <c r="C2376" s="70" t="inlineStr">
        <is>
          <t>LANZAMIENTO DE ORDEN — pedir esta semana</t>
        </is>
      </c>
      <c r="D2376" s="64" t="n"/>
      <c r="E2376" s="71">
        <f>IF(1+Materiales!$F$342&gt;8,0,INDEX($E$2375:$L$2375,1,1+Materiales!$F$342))</f>
        <v/>
      </c>
      <c r="F2376" s="71">
        <f>IF(2+Materiales!$F$342&gt;8,0,INDEX($E$2375:$L$2375,1,2+Materiales!$F$342))</f>
        <v/>
      </c>
      <c r="G2376" s="71">
        <f>IF(3+Materiales!$F$342&gt;8,0,INDEX($E$2375:$L$2375,1,3+Materiales!$F$342))</f>
        <v/>
      </c>
      <c r="H2376" s="71">
        <f>IF(4+Materiales!$F$342&gt;8,0,INDEX($E$2375:$L$2375,1,4+Materiales!$F$342))</f>
        <v/>
      </c>
      <c r="I2376" s="71">
        <f>IF(5+Materiales!$F$342&gt;8,0,INDEX($E$2375:$L$2375,1,5+Materiales!$F$342))</f>
        <v/>
      </c>
      <c r="J2376" s="71">
        <f>IF(6+Materiales!$F$342&gt;8,0,INDEX($E$2375:$L$2375,1,6+Materiales!$F$342))</f>
        <v/>
      </c>
      <c r="K2376" s="71">
        <f>IF(7+Materiales!$F$342&gt;8,0,INDEX($E$2375:$L$2375,1,7+Materiales!$F$342))</f>
        <v/>
      </c>
      <c r="L2376" s="71">
        <f>IF(8+Materiales!$F$342&gt;8,0,INDEX($E$2375:$L$2375,1,8+Materiales!$F$342))</f>
        <v/>
      </c>
      <c r="M2376" s="72">
        <f>IF($A2371="","",IF(SUMPRODUCT((COLUMN($E$2375:$L$2375)-4&lt;=Materiales!$F$342)*$E$2375:$L$2375)&gt;0,"PEDIR YA (atrasado)","OK"))</f>
        <v/>
      </c>
    </row>
    <row r="2377" ht="6" customHeight="1"/>
    <row r="2378">
      <c r="A2378" s="62">
        <f>IF(Materiales!$A$343="","",Materiales!$A$343)</f>
        <v/>
      </c>
      <c r="B2378" s="62">
        <f>IF(Materiales!$B$343="","",Materiales!$B$343)</f>
        <v/>
      </c>
      <c r="C2378" s="63" t="inlineStr">
        <is>
          <t>Necesidad bruta</t>
        </is>
      </c>
      <c r="D2378" s="64" t="n"/>
      <c r="E2378" s="65">
        <f>ROUND(SUMIF(Consumo!$P$4:$P$189,"#"&amp;$A2378,Consumo!H$4:H$189),4)</f>
        <v/>
      </c>
      <c r="F2378" s="65">
        <f>ROUND(SUMIF(Consumo!$P$4:$P$189,"#"&amp;$A2378,Consumo!I$4:I$189),4)</f>
        <v/>
      </c>
      <c r="G2378" s="65">
        <f>ROUND(SUMIF(Consumo!$P$4:$P$189,"#"&amp;$A2378,Consumo!J$4:J$189),4)</f>
        <v/>
      </c>
      <c r="H2378" s="65">
        <f>ROUND(SUMIF(Consumo!$P$4:$P$189,"#"&amp;$A2378,Consumo!K$4:K$189),4)</f>
        <v/>
      </c>
      <c r="I2378" s="65">
        <f>ROUND(SUMIF(Consumo!$P$4:$P$189,"#"&amp;$A2378,Consumo!L$4:L$189),4)</f>
        <v/>
      </c>
      <c r="J2378" s="65">
        <f>ROUND(SUMIF(Consumo!$P$4:$P$189,"#"&amp;$A2378,Consumo!M$4:M$189),4)</f>
        <v/>
      </c>
      <c r="K2378" s="65">
        <f>ROUND(SUMIF(Consumo!$P$4:$P$189,"#"&amp;$A2378,Consumo!N$4:N$189),4)</f>
        <v/>
      </c>
      <c r="L2378" s="65">
        <f>ROUND(SUMIF(Consumo!$P$4:$P$189,"#"&amp;$A2378,Consumo!O$4:O$189),4)</f>
        <v/>
      </c>
      <c r="M2378" s="66" t="n"/>
    </row>
    <row r="2379">
      <c r="C2379" s="63" t="inlineStr">
        <is>
          <t>Recepciones programadas (ya pedido)</t>
        </is>
      </c>
      <c r="D2379" s="64" t="n"/>
      <c r="E2379" s="65">
        <f>SUMIF(Inventario!$M$5:$M$505,"#"&amp;$A2378,Inventario!E$5:E$505)</f>
        <v/>
      </c>
      <c r="F2379" s="65">
        <f>SUMIF(Inventario!$M$5:$M$505,"#"&amp;$A2378,Inventario!F$5:F$505)</f>
        <v/>
      </c>
      <c r="G2379" s="65">
        <f>SUMIF(Inventario!$M$5:$M$505,"#"&amp;$A2378,Inventario!G$5:G$505)</f>
        <v/>
      </c>
      <c r="H2379" s="65">
        <f>SUMIF(Inventario!$M$5:$M$505,"#"&amp;$A2378,Inventario!H$5:H$505)</f>
        <v/>
      </c>
      <c r="I2379" s="65">
        <f>SUMIF(Inventario!$M$5:$M$505,"#"&amp;$A2378,Inventario!I$5:I$505)</f>
        <v/>
      </c>
      <c r="J2379" s="65">
        <f>SUMIF(Inventario!$M$5:$M$505,"#"&amp;$A2378,Inventario!J$5:J$505)</f>
        <v/>
      </c>
      <c r="K2379" s="65">
        <f>SUMIF(Inventario!$M$5:$M$505,"#"&amp;$A2378,Inventario!K$5:K$505)</f>
        <v/>
      </c>
      <c r="L2379" s="65">
        <f>SUMIF(Inventario!$M$5:$M$505,"#"&amp;$A2378,Inventario!L$5:L$505)</f>
        <v/>
      </c>
      <c r="M2379" s="66" t="n"/>
    </row>
    <row r="2380">
      <c r="C2380" s="63" t="inlineStr">
        <is>
          <t>Stock proyectado disponible</t>
        </is>
      </c>
      <c r="D2380" s="67">
        <f>SUMIF(Inventario!$M$5:$M$505,"#"&amp;$A2378,Inventario!$C$5:$C$505)</f>
        <v/>
      </c>
      <c r="E2380" s="68">
        <f>D2380+E2379+E2382-E2378</f>
        <v/>
      </c>
      <c r="F2380" s="68">
        <f>E2380+F2379+F2382-F2378</f>
        <v/>
      </c>
      <c r="G2380" s="68">
        <f>F2380+G2379+G2382-G2378</f>
        <v/>
      </c>
      <c r="H2380" s="68">
        <f>G2380+H2379+H2382-H2378</f>
        <v/>
      </c>
      <c r="I2380" s="68">
        <f>H2380+I2379+I2382-I2378</f>
        <v/>
      </c>
      <c r="J2380" s="68">
        <f>I2380+J2379+J2382-J2378</f>
        <v/>
      </c>
      <c r="K2380" s="68">
        <f>J2380+K2379+K2382-K2378</f>
        <v/>
      </c>
      <c r="L2380" s="68">
        <f>K2380+L2379+L2382-L2378</f>
        <v/>
      </c>
      <c r="M2380" s="66" t="n"/>
    </row>
    <row r="2381">
      <c r="C2381" s="63" t="inlineStr">
        <is>
          <t>Necesidad neta</t>
        </is>
      </c>
      <c r="D2381" s="64" t="n"/>
      <c r="E2381" s="69">
        <f>MAX(0,ROUND(E2378+Materiales!$H$343-D2380-E2379,4))</f>
        <v/>
      </c>
      <c r="F2381" s="69">
        <f>MAX(0,ROUND(F2378+Materiales!$H$343-E2380-F2379,4))</f>
        <v/>
      </c>
      <c r="G2381" s="69">
        <f>MAX(0,ROUND(G2378+Materiales!$H$343-F2380-G2379,4))</f>
        <v/>
      </c>
      <c r="H2381" s="69">
        <f>MAX(0,ROUND(H2378+Materiales!$H$343-G2380-H2379,4))</f>
        <v/>
      </c>
      <c r="I2381" s="69">
        <f>MAX(0,ROUND(I2378+Materiales!$H$343-H2380-I2379,4))</f>
        <v/>
      </c>
      <c r="J2381" s="69">
        <f>MAX(0,ROUND(J2378+Materiales!$H$343-I2380-J2379,4))</f>
        <v/>
      </c>
      <c r="K2381" s="69">
        <f>MAX(0,ROUND(K2378+Materiales!$H$343-J2380-K2379,4))</f>
        <v/>
      </c>
      <c r="L2381" s="69">
        <f>MAX(0,ROUND(L2378+Materiales!$H$343-K2380-L2379,4))</f>
        <v/>
      </c>
      <c r="M2381" s="66" t="n"/>
    </row>
    <row r="2382">
      <c r="C2382" s="63" t="inlineStr">
        <is>
          <t>Recepcion de orden planificada</t>
        </is>
      </c>
      <c r="D2382" s="64" t="n"/>
      <c r="E2382" s="65">
        <f>IF(E2381&lt;=0,0,IF(Materiales!$G$343&lt;=0,E2381,ROUNDUP(E2381/Materiales!$G$343,0)*Materiales!$G$343))</f>
        <v/>
      </c>
      <c r="F2382" s="65">
        <f>IF(F2381&lt;=0,0,IF(Materiales!$G$343&lt;=0,F2381,ROUNDUP(F2381/Materiales!$G$343,0)*Materiales!$G$343))</f>
        <v/>
      </c>
      <c r="G2382" s="65">
        <f>IF(G2381&lt;=0,0,IF(Materiales!$G$343&lt;=0,G2381,ROUNDUP(G2381/Materiales!$G$343,0)*Materiales!$G$343))</f>
        <v/>
      </c>
      <c r="H2382" s="65">
        <f>IF(H2381&lt;=0,0,IF(Materiales!$G$343&lt;=0,H2381,ROUNDUP(H2381/Materiales!$G$343,0)*Materiales!$G$343))</f>
        <v/>
      </c>
      <c r="I2382" s="65">
        <f>IF(I2381&lt;=0,0,IF(Materiales!$G$343&lt;=0,I2381,ROUNDUP(I2381/Materiales!$G$343,0)*Materiales!$G$343))</f>
        <v/>
      </c>
      <c r="J2382" s="65">
        <f>IF(J2381&lt;=0,0,IF(Materiales!$G$343&lt;=0,J2381,ROUNDUP(J2381/Materiales!$G$343,0)*Materiales!$G$343))</f>
        <v/>
      </c>
      <c r="K2382" s="65">
        <f>IF(K2381&lt;=0,0,IF(Materiales!$G$343&lt;=0,K2381,ROUNDUP(K2381/Materiales!$G$343,0)*Materiales!$G$343))</f>
        <v/>
      </c>
      <c r="L2382" s="65">
        <f>IF(L2381&lt;=0,0,IF(Materiales!$G$343&lt;=0,L2381,ROUNDUP(L2381/Materiales!$G$343,0)*Materiales!$G$343))</f>
        <v/>
      </c>
      <c r="M2382" s="66" t="n"/>
    </row>
    <row r="2383">
      <c r="C2383" s="70" t="inlineStr">
        <is>
          <t>LANZAMIENTO DE ORDEN — pedir esta semana</t>
        </is>
      </c>
      <c r="D2383" s="64" t="n"/>
      <c r="E2383" s="71">
        <f>IF(1+Materiales!$F$343&gt;8,0,INDEX($E$2382:$L$2382,1,1+Materiales!$F$343))</f>
        <v/>
      </c>
      <c r="F2383" s="71">
        <f>IF(2+Materiales!$F$343&gt;8,0,INDEX($E$2382:$L$2382,1,2+Materiales!$F$343))</f>
        <v/>
      </c>
      <c r="G2383" s="71">
        <f>IF(3+Materiales!$F$343&gt;8,0,INDEX($E$2382:$L$2382,1,3+Materiales!$F$343))</f>
        <v/>
      </c>
      <c r="H2383" s="71">
        <f>IF(4+Materiales!$F$343&gt;8,0,INDEX($E$2382:$L$2382,1,4+Materiales!$F$343))</f>
        <v/>
      </c>
      <c r="I2383" s="71">
        <f>IF(5+Materiales!$F$343&gt;8,0,INDEX($E$2382:$L$2382,1,5+Materiales!$F$343))</f>
        <v/>
      </c>
      <c r="J2383" s="71">
        <f>IF(6+Materiales!$F$343&gt;8,0,INDEX($E$2382:$L$2382,1,6+Materiales!$F$343))</f>
        <v/>
      </c>
      <c r="K2383" s="71">
        <f>IF(7+Materiales!$F$343&gt;8,0,INDEX($E$2382:$L$2382,1,7+Materiales!$F$343))</f>
        <v/>
      </c>
      <c r="L2383" s="71">
        <f>IF(8+Materiales!$F$343&gt;8,0,INDEX($E$2382:$L$2382,1,8+Materiales!$F$343))</f>
        <v/>
      </c>
      <c r="M2383" s="72">
        <f>IF($A2378="","",IF(SUMPRODUCT((COLUMN($E$2382:$L$2382)-4&lt;=Materiales!$F$343)*$E$2382:$L$2382)&gt;0,"PEDIR YA (atrasado)","OK"))</f>
        <v/>
      </c>
    </row>
    <row r="2384" ht="6" customHeight="1"/>
    <row r="2385">
      <c r="A2385" s="62">
        <f>IF(Materiales!$A$344="","",Materiales!$A$344)</f>
        <v/>
      </c>
      <c r="B2385" s="62">
        <f>IF(Materiales!$B$344="","",Materiales!$B$344)</f>
        <v/>
      </c>
      <c r="C2385" s="63" t="inlineStr">
        <is>
          <t>Necesidad bruta</t>
        </is>
      </c>
      <c r="D2385" s="64" t="n"/>
      <c r="E2385" s="65">
        <f>ROUND(SUMIF(Consumo!$P$4:$P$189,"#"&amp;$A2385,Consumo!H$4:H$189),4)</f>
        <v/>
      </c>
      <c r="F2385" s="65">
        <f>ROUND(SUMIF(Consumo!$P$4:$P$189,"#"&amp;$A2385,Consumo!I$4:I$189),4)</f>
        <v/>
      </c>
      <c r="G2385" s="65">
        <f>ROUND(SUMIF(Consumo!$P$4:$P$189,"#"&amp;$A2385,Consumo!J$4:J$189),4)</f>
        <v/>
      </c>
      <c r="H2385" s="65">
        <f>ROUND(SUMIF(Consumo!$P$4:$P$189,"#"&amp;$A2385,Consumo!K$4:K$189),4)</f>
        <v/>
      </c>
      <c r="I2385" s="65">
        <f>ROUND(SUMIF(Consumo!$P$4:$P$189,"#"&amp;$A2385,Consumo!L$4:L$189),4)</f>
        <v/>
      </c>
      <c r="J2385" s="65">
        <f>ROUND(SUMIF(Consumo!$P$4:$P$189,"#"&amp;$A2385,Consumo!M$4:M$189),4)</f>
        <v/>
      </c>
      <c r="K2385" s="65">
        <f>ROUND(SUMIF(Consumo!$P$4:$P$189,"#"&amp;$A2385,Consumo!N$4:N$189),4)</f>
        <v/>
      </c>
      <c r="L2385" s="65">
        <f>ROUND(SUMIF(Consumo!$P$4:$P$189,"#"&amp;$A2385,Consumo!O$4:O$189),4)</f>
        <v/>
      </c>
      <c r="M2385" s="66" t="n"/>
    </row>
    <row r="2386">
      <c r="C2386" s="63" t="inlineStr">
        <is>
          <t>Recepciones programadas (ya pedido)</t>
        </is>
      </c>
      <c r="D2386" s="64" t="n"/>
      <c r="E2386" s="65">
        <f>SUMIF(Inventario!$M$5:$M$505,"#"&amp;$A2385,Inventario!E$5:E$505)</f>
        <v/>
      </c>
      <c r="F2386" s="65">
        <f>SUMIF(Inventario!$M$5:$M$505,"#"&amp;$A2385,Inventario!F$5:F$505)</f>
        <v/>
      </c>
      <c r="G2386" s="65">
        <f>SUMIF(Inventario!$M$5:$M$505,"#"&amp;$A2385,Inventario!G$5:G$505)</f>
        <v/>
      </c>
      <c r="H2386" s="65">
        <f>SUMIF(Inventario!$M$5:$M$505,"#"&amp;$A2385,Inventario!H$5:H$505)</f>
        <v/>
      </c>
      <c r="I2386" s="65">
        <f>SUMIF(Inventario!$M$5:$M$505,"#"&amp;$A2385,Inventario!I$5:I$505)</f>
        <v/>
      </c>
      <c r="J2386" s="65">
        <f>SUMIF(Inventario!$M$5:$M$505,"#"&amp;$A2385,Inventario!J$5:J$505)</f>
        <v/>
      </c>
      <c r="K2386" s="65">
        <f>SUMIF(Inventario!$M$5:$M$505,"#"&amp;$A2385,Inventario!K$5:K$505)</f>
        <v/>
      </c>
      <c r="L2386" s="65">
        <f>SUMIF(Inventario!$M$5:$M$505,"#"&amp;$A2385,Inventario!L$5:L$505)</f>
        <v/>
      </c>
      <c r="M2386" s="66" t="n"/>
    </row>
    <row r="2387">
      <c r="C2387" s="63" t="inlineStr">
        <is>
          <t>Stock proyectado disponible</t>
        </is>
      </c>
      <c r="D2387" s="67">
        <f>SUMIF(Inventario!$M$5:$M$505,"#"&amp;$A2385,Inventario!$C$5:$C$505)</f>
        <v/>
      </c>
      <c r="E2387" s="68">
        <f>D2387+E2386+E2389-E2385</f>
        <v/>
      </c>
      <c r="F2387" s="68">
        <f>E2387+F2386+F2389-F2385</f>
        <v/>
      </c>
      <c r="G2387" s="68">
        <f>F2387+G2386+G2389-G2385</f>
        <v/>
      </c>
      <c r="H2387" s="68">
        <f>G2387+H2386+H2389-H2385</f>
        <v/>
      </c>
      <c r="I2387" s="68">
        <f>H2387+I2386+I2389-I2385</f>
        <v/>
      </c>
      <c r="J2387" s="68">
        <f>I2387+J2386+J2389-J2385</f>
        <v/>
      </c>
      <c r="K2387" s="68">
        <f>J2387+K2386+K2389-K2385</f>
        <v/>
      </c>
      <c r="L2387" s="68">
        <f>K2387+L2386+L2389-L2385</f>
        <v/>
      </c>
      <c r="M2387" s="66" t="n"/>
    </row>
    <row r="2388">
      <c r="C2388" s="63" t="inlineStr">
        <is>
          <t>Necesidad neta</t>
        </is>
      </c>
      <c r="D2388" s="64" t="n"/>
      <c r="E2388" s="69">
        <f>MAX(0,ROUND(E2385+Materiales!$H$344-D2387-E2386,4))</f>
        <v/>
      </c>
      <c r="F2388" s="69">
        <f>MAX(0,ROUND(F2385+Materiales!$H$344-E2387-F2386,4))</f>
        <v/>
      </c>
      <c r="G2388" s="69">
        <f>MAX(0,ROUND(G2385+Materiales!$H$344-F2387-G2386,4))</f>
        <v/>
      </c>
      <c r="H2388" s="69">
        <f>MAX(0,ROUND(H2385+Materiales!$H$344-G2387-H2386,4))</f>
        <v/>
      </c>
      <c r="I2388" s="69">
        <f>MAX(0,ROUND(I2385+Materiales!$H$344-H2387-I2386,4))</f>
        <v/>
      </c>
      <c r="J2388" s="69">
        <f>MAX(0,ROUND(J2385+Materiales!$H$344-I2387-J2386,4))</f>
        <v/>
      </c>
      <c r="K2388" s="69">
        <f>MAX(0,ROUND(K2385+Materiales!$H$344-J2387-K2386,4))</f>
        <v/>
      </c>
      <c r="L2388" s="69">
        <f>MAX(0,ROUND(L2385+Materiales!$H$344-K2387-L2386,4))</f>
        <v/>
      </c>
      <c r="M2388" s="66" t="n"/>
    </row>
    <row r="2389">
      <c r="C2389" s="63" t="inlineStr">
        <is>
          <t>Recepcion de orden planificada</t>
        </is>
      </c>
      <c r="D2389" s="64" t="n"/>
      <c r="E2389" s="65">
        <f>IF(E2388&lt;=0,0,IF(Materiales!$G$344&lt;=0,E2388,ROUNDUP(E2388/Materiales!$G$344,0)*Materiales!$G$344))</f>
        <v/>
      </c>
      <c r="F2389" s="65">
        <f>IF(F2388&lt;=0,0,IF(Materiales!$G$344&lt;=0,F2388,ROUNDUP(F2388/Materiales!$G$344,0)*Materiales!$G$344))</f>
        <v/>
      </c>
      <c r="G2389" s="65">
        <f>IF(G2388&lt;=0,0,IF(Materiales!$G$344&lt;=0,G2388,ROUNDUP(G2388/Materiales!$G$344,0)*Materiales!$G$344))</f>
        <v/>
      </c>
      <c r="H2389" s="65">
        <f>IF(H2388&lt;=0,0,IF(Materiales!$G$344&lt;=0,H2388,ROUNDUP(H2388/Materiales!$G$344,0)*Materiales!$G$344))</f>
        <v/>
      </c>
      <c r="I2389" s="65">
        <f>IF(I2388&lt;=0,0,IF(Materiales!$G$344&lt;=0,I2388,ROUNDUP(I2388/Materiales!$G$344,0)*Materiales!$G$344))</f>
        <v/>
      </c>
      <c r="J2389" s="65">
        <f>IF(J2388&lt;=0,0,IF(Materiales!$G$344&lt;=0,J2388,ROUNDUP(J2388/Materiales!$G$344,0)*Materiales!$G$344))</f>
        <v/>
      </c>
      <c r="K2389" s="65">
        <f>IF(K2388&lt;=0,0,IF(Materiales!$G$344&lt;=0,K2388,ROUNDUP(K2388/Materiales!$G$344,0)*Materiales!$G$344))</f>
        <v/>
      </c>
      <c r="L2389" s="65">
        <f>IF(L2388&lt;=0,0,IF(Materiales!$G$344&lt;=0,L2388,ROUNDUP(L2388/Materiales!$G$344,0)*Materiales!$G$344))</f>
        <v/>
      </c>
      <c r="M2389" s="66" t="n"/>
    </row>
    <row r="2390">
      <c r="C2390" s="70" t="inlineStr">
        <is>
          <t>LANZAMIENTO DE ORDEN — pedir esta semana</t>
        </is>
      </c>
      <c r="D2390" s="64" t="n"/>
      <c r="E2390" s="71">
        <f>IF(1+Materiales!$F$344&gt;8,0,INDEX($E$2389:$L$2389,1,1+Materiales!$F$344))</f>
        <v/>
      </c>
      <c r="F2390" s="71">
        <f>IF(2+Materiales!$F$344&gt;8,0,INDEX($E$2389:$L$2389,1,2+Materiales!$F$344))</f>
        <v/>
      </c>
      <c r="G2390" s="71">
        <f>IF(3+Materiales!$F$344&gt;8,0,INDEX($E$2389:$L$2389,1,3+Materiales!$F$344))</f>
        <v/>
      </c>
      <c r="H2390" s="71">
        <f>IF(4+Materiales!$F$344&gt;8,0,INDEX($E$2389:$L$2389,1,4+Materiales!$F$344))</f>
        <v/>
      </c>
      <c r="I2390" s="71">
        <f>IF(5+Materiales!$F$344&gt;8,0,INDEX($E$2389:$L$2389,1,5+Materiales!$F$344))</f>
        <v/>
      </c>
      <c r="J2390" s="71">
        <f>IF(6+Materiales!$F$344&gt;8,0,INDEX($E$2389:$L$2389,1,6+Materiales!$F$344))</f>
        <v/>
      </c>
      <c r="K2390" s="71">
        <f>IF(7+Materiales!$F$344&gt;8,0,INDEX($E$2389:$L$2389,1,7+Materiales!$F$344))</f>
        <v/>
      </c>
      <c r="L2390" s="71">
        <f>IF(8+Materiales!$F$344&gt;8,0,INDEX($E$2389:$L$2389,1,8+Materiales!$F$344))</f>
        <v/>
      </c>
      <c r="M2390" s="72">
        <f>IF($A2385="","",IF(SUMPRODUCT((COLUMN($E$2389:$L$2389)-4&lt;=Materiales!$F$344)*$E$2389:$L$2389)&gt;0,"PEDIR YA (atrasado)","OK"))</f>
        <v/>
      </c>
    </row>
    <row r="2391" ht="6" customHeight="1"/>
    <row r="2392">
      <c r="A2392" s="62">
        <f>IF(Materiales!$A$345="","",Materiales!$A$345)</f>
        <v/>
      </c>
      <c r="B2392" s="62">
        <f>IF(Materiales!$B$345="","",Materiales!$B$345)</f>
        <v/>
      </c>
      <c r="C2392" s="63" t="inlineStr">
        <is>
          <t>Necesidad bruta</t>
        </is>
      </c>
      <c r="D2392" s="64" t="n"/>
      <c r="E2392" s="65">
        <f>ROUND(SUMIF(Consumo!$P$4:$P$189,"#"&amp;$A2392,Consumo!H$4:H$189),4)</f>
        <v/>
      </c>
      <c r="F2392" s="65">
        <f>ROUND(SUMIF(Consumo!$P$4:$P$189,"#"&amp;$A2392,Consumo!I$4:I$189),4)</f>
        <v/>
      </c>
      <c r="G2392" s="65">
        <f>ROUND(SUMIF(Consumo!$P$4:$P$189,"#"&amp;$A2392,Consumo!J$4:J$189),4)</f>
        <v/>
      </c>
      <c r="H2392" s="65">
        <f>ROUND(SUMIF(Consumo!$P$4:$P$189,"#"&amp;$A2392,Consumo!K$4:K$189),4)</f>
        <v/>
      </c>
      <c r="I2392" s="65">
        <f>ROUND(SUMIF(Consumo!$P$4:$P$189,"#"&amp;$A2392,Consumo!L$4:L$189),4)</f>
        <v/>
      </c>
      <c r="J2392" s="65">
        <f>ROUND(SUMIF(Consumo!$P$4:$P$189,"#"&amp;$A2392,Consumo!M$4:M$189),4)</f>
        <v/>
      </c>
      <c r="K2392" s="65">
        <f>ROUND(SUMIF(Consumo!$P$4:$P$189,"#"&amp;$A2392,Consumo!N$4:N$189),4)</f>
        <v/>
      </c>
      <c r="L2392" s="65">
        <f>ROUND(SUMIF(Consumo!$P$4:$P$189,"#"&amp;$A2392,Consumo!O$4:O$189),4)</f>
        <v/>
      </c>
      <c r="M2392" s="66" t="n"/>
    </row>
    <row r="2393">
      <c r="C2393" s="63" t="inlineStr">
        <is>
          <t>Recepciones programadas (ya pedido)</t>
        </is>
      </c>
      <c r="D2393" s="64" t="n"/>
      <c r="E2393" s="65">
        <f>SUMIF(Inventario!$M$5:$M$505,"#"&amp;$A2392,Inventario!E$5:E$505)</f>
        <v/>
      </c>
      <c r="F2393" s="65">
        <f>SUMIF(Inventario!$M$5:$M$505,"#"&amp;$A2392,Inventario!F$5:F$505)</f>
        <v/>
      </c>
      <c r="G2393" s="65">
        <f>SUMIF(Inventario!$M$5:$M$505,"#"&amp;$A2392,Inventario!G$5:G$505)</f>
        <v/>
      </c>
      <c r="H2393" s="65">
        <f>SUMIF(Inventario!$M$5:$M$505,"#"&amp;$A2392,Inventario!H$5:H$505)</f>
        <v/>
      </c>
      <c r="I2393" s="65">
        <f>SUMIF(Inventario!$M$5:$M$505,"#"&amp;$A2392,Inventario!I$5:I$505)</f>
        <v/>
      </c>
      <c r="J2393" s="65">
        <f>SUMIF(Inventario!$M$5:$M$505,"#"&amp;$A2392,Inventario!J$5:J$505)</f>
        <v/>
      </c>
      <c r="K2393" s="65">
        <f>SUMIF(Inventario!$M$5:$M$505,"#"&amp;$A2392,Inventario!K$5:K$505)</f>
        <v/>
      </c>
      <c r="L2393" s="65">
        <f>SUMIF(Inventario!$M$5:$M$505,"#"&amp;$A2392,Inventario!L$5:L$505)</f>
        <v/>
      </c>
      <c r="M2393" s="66" t="n"/>
    </row>
    <row r="2394">
      <c r="C2394" s="63" t="inlineStr">
        <is>
          <t>Stock proyectado disponible</t>
        </is>
      </c>
      <c r="D2394" s="67">
        <f>SUMIF(Inventario!$M$5:$M$505,"#"&amp;$A2392,Inventario!$C$5:$C$505)</f>
        <v/>
      </c>
      <c r="E2394" s="68">
        <f>D2394+E2393+E2396-E2392</f>
        <v/>
      </c>
      <c r="F2394" s="68">
        <f>E2394+F2393+F2396-F2392</f>
        <v/>
      </c>
      <c r="G2394" s="68">
        <f>F2394+G2393+G2396-G2392</f>
        <v/>
      </c>
      <c r="H2394" s="68">
        <f>G2394+H2393+H2396-H2392</f>
        <v/>
      </c>
      <c r="I2394" s="68">
        <f>H2394+I2393+I2396-I2392</f>
        <v/>
      </c>
      <c r="J2394" s="68">
        <f>I2394+J2393+J2396-J2392</f>
        <v/>
      </c>
      <c r="K2394" s="68">
        <f>J2394+K2393+K2396-K2392</f>
        <v/>
      </c>
      <c r="L2394" s="68">
        <f>K2394+L2393+L2396-L2392</f>
        <v/>
      </c>
      <c r="M2394" s="66" t="n"/>
    </row>
    <row r="2395">
      <c r="C2395" s="63" t="inlineStr">
        <is>
          <t>Necesidad neta</t>
        </is>
      </c>
      <c r="D2395" s="64" t="n"/>
      <c r="E2395" s="69">
        <f>MAX(0,ROUND(E2392+Materiales!$H$345-D2394-E2393,4))</f>
        <v/>
      </c>
      <c r="F2395" s="69">
        <f>MAX(0,ROUND(F2392+Materiales!$H$345-E2394-F2393,4))</f>
        <v/>
      </c>
      <c r="G2395" s="69">
        <f>MAX(0,ROUND(G2392+Materiales!$H$345-F2394-G2393,4))</f>
        <v/>
      </c>
      <c r="H2395" s="69">
        <f>MAX(0,ROUND(H2392+Materiales!$H$345-G2394-H2393,4))</f>
        <v/>
      </c>
      <c r="I2395" s="69">
        <f>MAX(0,ROUND(I2392+Materiales!$H$345-H2394-I2393,4))</f>
        <v/>
      </c>
      <c r="J2395" s="69">
        <f>MAX(0,ROUND(J2392+Materiales!$H$345-I2394-J2393,4))</f>
        <v/>
      </c>
      <c r="K2395" s="69">
        <f>MAX(0,ROUND(K2392+Materiales!$H$345-J2394-K2393,4))</f>
        <v/>
      </c>
      <c r="L2395" s="69">
        <f>MAX(0,ROUND(L2392+Materiales!$H$345-K2394-L2393,4))</f>
        <v/>
      </c>
      <c r="M2395" s="66" t="n"/>
    </row>
    <row r="2396">
      <c r="C2396" s="63" t="inlineStr">
        <is>
          <t>Recepcion de orden planificada</t>
        </is>
      </c>
      <c r="D2396" s="64" t="n"/>
      <c r="E2396" s="65">
        <f>IF(E2395&lt;=0,0,IF(Materiales!$G$345&lt;=0,E2395,ROUNDUP(E2395/Materiales!$G$345,0)*Materiales!$G$345))</f>
        <v/>
      </c>
      <c r="F2396" s="65">
        <f>IF(F2395&lt;=0,0,IF(Materiales!$G$345&lt;=0,F2395,ROUNDUP(F2395/Materiales!$G$345,0)*Materiales!$G$345))</f>
        <v/>
      </c>
      <c r="G2396" s="65">
        <f>IF(G2395&lt;=0,0,IF(Materiales!$G$345&lt;=0,G2395,ROUNDUP(G2395/Materiales!$G$345,0)*Materiales!$G$345))</f>
        <v/>
      </c>
      <c r="H2396" s="65">
        <f>IF(H2395&lt;=0,0,IF(Materiales!$G$345&lt;=0,H2395,ROUNDUP(H2395/Materiales!$G$345,0)*Materiales!$G$345))</f>
        <v/>
      </c>
      <c r="I2396" s="65">
        <f>IF(I2395&lt;=0,0,IF(Materiales!$G$345&lt;=0,I2395,ROUNDUP(I2395/Materiales!$G$345,0)*Materiales!$G$345))</f>
        <v/>
      </c>
      <c r="J2396" s="65">
        <f>IF(J2395&lt;=0,0,IF(Materiales!$G$345&lt;=0,J2395,ROUNDUP(J2395/Materiales!$G$345,0)*Materiales!$G$345))</f>
        <v/>
      </c>
      <c r="K2396" s="65">
        <f>IF(K2395&lt;=0,0,IF(Materiales!$G$345&lt;=0,K2395,ROUNDUP(K2395/Materiales!$G$345,0)*Materiales!$G$345))</f>
        <v/>
      </c>
      <c r="L2396" s="65">
        <f>IF(L2395&lt;=0,0,IF(Materiales!$G$345&lt;=0,L2395,ROUNDUP(L2395/Materiales!$G$345,0)*Materiales!$G$345))</f>
        <v/>
      </c>
      <c r="M2396" s="66" t="n"/>
    </row>
    <row r="2397">
      <c r="C2397" s="70" t="inlineStr">
        <is>
          <t>LANZAMIENTO DE ORDEN — pedir esta semana</t>
        </is>
      </c>
      <c r="D2397" s="64" t="n"/>
      <c r="E2397" s="71">
        <f>IF(1+Materiales!$F$345&gt;8,0,INDEX($E$2396:$L$2396,1,1+Materiales!$F$345))</f>
        <v/>
      </c>
      <c r="F2397" s="71">
        <f>IF(2+Materiales!$F$345&gt;8,0,INDEX($E$2396:$L$2396,1,2+Materiales!$F$345))</f>
        <v/>
      </c>
      <c r="G2397" s="71">
        <f>IF(3+Materiales!$F$345&gt;8,0,INDEX($E$2396:$L$2396,1,3+Materiales!$F$345))</f>
        <v/>
      </c>
      <c r="H2397" s="71">
        <f>IF(4+Materiales!$F$345&gt;8,0,INDEX($E$2396:$L$2396,1,4+Materiales!$F$345))</f>
        <v/>
      </c>
      <c r="I2397" s="71">
        <f>IF(5+Materiales!$F$345&gt;8,0,INDEX($E$2396:$L$2396,1,5+Materiales!$F$345))</f>
        <v/>
      </c>
      <c r="J2397" s="71">
        <f>IF(6+Materiales!$F$345&gt;8,0,INDEX($E$2396:$L$2396,1,6+Materiales!$F$345))</f>
        <v/>
      </c>
      <c r="K2397" s="71">
        <f>IF(7+Materiales!$F$345&gt;8,0,INDEX($E$2396:$L$2396,1,7+Materiales!$F$345))</f>
        <v/>
      </c>
      <c r="L2397" s="71">
        <f>IF(8+Materiales!$F$345&gt;8,0,INDEX($E$2396:$L$2396,1,8+Materiales!$F$345))</f>
        <v/>
      </c>
      <c r="M2397" s="72">
        <f>IF($A2392="","",IF(SUMPRODUCT((COLUMN($E$2396:$L$2396)-4&lt;=Materiales!$F$345)*$E$2396:$L$2396)&gt;0,"PEDIR YA (atrasado)","OK"))</f>
        <v/>
      </c>
    </row>
    <row r="2398" ht="6" customHeight="1"/>
    <row r="2399">
      <c r="A2399" s="62">
        <f>IF(Materiales!$A$346="","",Materiales!$A$346)</f>
        <v/>
      </c>
      <c r="B2399" s="62">
        <f>IF(Materiales!$B$346="","",Materiales!$B$346)</f>
        <v/>
      </c>
      <c r="C2399" s="63" t="inlineStr">
        <is>
          <t>Necesidad bruta</t>
        </is>
      </c>
      <c r="D2399" s="64" t="n"/>
      <c r="E2399" s="65">
        <f>ROUND(SUMIF(Consumo!$P$4:$P$189,"#"&amp;$A2399,Consumo!H$4:H$189),4)</f>
        <v/>
      </c>
      <c r="F2399" s="65">
        <f>ROUND(SUMIF(Consumo!$P$4:$P$189,"#"&amp;$A2399,Consumo!I$4:I$189),4)</f>
        <v/>
      </c>
      <c r="G2399" s="65">
        <f>ROUND(SUMIF(Consumo!$P$4:$P$189,"#"&amp;$A2399,Consumo!J$4:J$189),4)</f>
        <v/>
      </c>
      <c r="H2399" s="65">
        <f>ROUND(SUMIF(Consumo!$P$4:$P$189,"#"&amp;$A2399,Consumo!K$4:K$189),4)</f>
        <v/>
      </c>
      <c r="I2399" s="65">
        <f>ROUND(SUMIF(Consumo!$P$4:$P$189,"#"&amp;$A2399,Consumo!L$4:L$189),4)</f>
        <v/>
      </c>
      <c r="J2399" s="65">
        <f>ROUND(SUMIF(Consumo!$P$4:$P$189,"#"&amp;$A2399,Consumo!M$4:M$189),4)</f>
        <v/>
      </c>
      <c r="K2399" s="65">
        <f>ROUND(SUMIF(Consumo!$P$4:$P$189,"#"&amp;$A2399,Consumo!N$4:N$189),4)</f>
        <v/>
      </c>
      <c r="L2399" s="65">
        <f>ROUND(SUMIF(Consumo!$P$4:$P$189,"#"&amp;$A2399,Consumo!O$4:O$189),4)</f>
        <v/>
      </c>
      <c r="M2399" s="66" t="n"/>
    </row>
    <row r="2400">
      <c r="C2400" s="63" t="inlineStr">
        <is>
          <t>Recepciones programadas (ya pedido)</t>
        </is>
      </c>
      <c r="D2400" s="64" t="n"/>
      <c r="E2400" s="65">
        <f>SUMIF(Inventario!$M$5:$M$505,"#"&amp;$A2399,Inventario!E$5:E$505)</f>
        <v/>
      </c>
      <c r="F2400" s="65">
        <f>SUMIF(Inventario!$M$5:$M$505,"#"&amp;$A2399,Inventario!F$5:F$505)</f>
        <v/>
      </c>
      <c r="G2400" s="65">
        <f>SUMIF(Inventario!$M$5:$M$505,"#"&amp;$A2399,Inventario!G$5:G$505)</f>
        <v/>
      </c>
      <c r="H2400" s="65">
        <f>SUMIF(Inventario!$M$5:$M$505,"#"&amp;$A2399,Inventario!H$5:H$505)</f>
        <v/>
      </c>
      <c r="I2400" s="65">
        <f>SUMIF(Inventario!$M$5:$M$505,"#"&amp;$A2399,Inventario!I$5:I$505)</f>
        <v/>
      </c>
      <c r="J2400" s="65">
        <f>SUMIF(Inventario!$M$5:$M$505,"#"&amp;$A2399,Inventario!J$5:J$505)</f>
        <v/>
      </c>
      <c r="K2400" s="65">
        <f>SUMIF(Inventario!$M$5:$M$505,"#"&amp;$A2399,Inventario!K$5:K$505)</f>
        <v/>
      </c>
      <c r="L2400" s="65">
        <f>SUMIF(Inventario!$M$5:$M$505,"#"&amp;$A2399,Inventario!L$5:L$505)</f>
        <v/>
      </c>
      <c r="M2400" s="66" t="n"/>
    </row>
    <row r="2401">
      <c r="C2401" s="63" t="inlineStr">
        <is>
          <t>Stock proyectado disponible</t>
        </is>
      </c>
      <c r="D2401" s="67">
        <f>SUMIF(Inventario!$M$5:$M$505,"#"&amp;$A2399,Inventario!$C$5:$C$505)</f>
        <v/>
      </c>
      <c r="E2401" s="68">
        <f>D2401+E2400+E2403-E2399</f>
        <v/>
      </c>
      <c r="F2401" s="68">
        <f>E2401+F2400+F2403-F2399</f>
        <v/>
      </c>
      <c r="G2401" s="68">
        <f>F2401+G2400+G2403-G2399</f>
        <v/>
      </c>
      <c r="H2401" s="68">
        <f>G2401+H2400+H2403-H2399</f>
        <v/>
      </c>
      <c r="I2401" s="68">
        <f>H2401+I2400+I2403-I2399</f>
        <v/>
      </c>
      <c r="J2401" s="68">
        <f>I2401+J2400+J2403-J2399</f>
        <v/>
      </c>
      <c r="K2401" s="68">
        <f>J2401+K2400+K2403-K2399</f>
        <v/>
      </c>
      <c r="L2401" s="68">
        <f>K2401+L2400+L2403-L2399</f>
        <v/>
      </c>
      <c r="M2401" s="66" t="n"/>
    </row>
    <row r="2402">
      <c r="C2402" s="63" t="inlineStr">
        <is>
          <t>Necesidad neta</t>
        </is>
      </c>
      <c r="D2402" s="64" t="n"/>
      <c r="E2402" s="69">
        <f>MAX(0,ROUND(E2399+Materiales!$H$346-D2401-E2400,4))</f>
        <v/>
      </c>
      <c r="F2402" s="69">
        <f>MAX(0,ROUND(F2399+Materiales!$H$346-E2401-F2400,4))</f>
        <v/>
      </c>
      <c r="G2402" s="69">
        <f>MAX(0,ROUND(G2399+Materiales!$H$346-F2401-G2400,4))</f>
        <v/>
      </c>
      <c r="H2402" s="69">
        <f>MAX(0,ROUND(H2399+Materiales!$H$346-G2401-H2400,4))</f>
        <v/>
      </c>
      <c r="I2402" s="69">
        <f>MAX(0,ROUND(I2399+Materiales!$H$346-H2401-I2400,4))</f>
        <v/>
      </c>
      <c r="J2402" s="69">
        <f>MAX(0,ROUND(J2399+Materiales!$H$346-I2401-J2400,4))</f>
        <v/>
      </c>
      <c r="K2402" s="69">
        <f>MAX(0,ROUND(K2399+Materiales!$H$346-J2401-K2400,4))</f>
        <v/>
      </c>
      <c r="L2402" s="69">
        <f>MAX(0,ROUND(L2399+Materiales!$H$346-K2401-L2400,4))</f>
        <v/>
      </c>
      <c r="M2402" s="66" t="n"/>
    </row>
    <row r="2403">
      <c r="C2403" s="63" t="inlineStr">
        <is>
          <t>Recepcion de orden planificada</t>
        </is>
      </c>
      <c r="D2403" s="64" t="n"/>
      <c r="E2403" s="65">
        <f>IF(E2402&lt;=0,0,IF(Materiales!$G$346&lt;=0,E2402,ROUNDUP(E2402/Materiales!$G$346,0)*Materiales!$G$346))</f>
        <v/>
      </c>
      <c r="F2403" s="65">
        <f>IF(F2402&lt;=0,0,IF(Materiales!$G$346&lt;=0,F2402,ROUNDUP(F2402/Materiales!$G$346,0)*Materiales!$G$346))</f>
        <v/>
      </c>
      <c r="G2403" s="65">
        <f>IF(G2402&lt;=0,0,IF(Materiales!$G$346&lt;=0,G2402,ROUNDUP(G2402/Materiales!$G$346,0)*Materiales!$G$346))</f>
        <v/>
      </c>
      <c r="H2403" s="65">
        <f>IF(H2402&lt;=0,0,IF(Materiales!$G$346&lt;=0,H2402,ROUNDUP(H2402/Materiales!$G$346,0)*Materiales!$G$346))</f>
        <v/>
      </c>
      <c r="I2403" s="65">
        <f>IF(I2402&lt;=0,0,IF(Materiales!$G$346&lt;=0,I2402,ROUNDUP(I2402/Materiales!$G$346,0)*Materiales!$G$346))</f>
        <v/>
      </c>
      <c r="J2403" s="65">
        <f>IF(J2402&lt;=0,0,IF(Materiales!$G$346&lt;=0,J2402,ROUNDUP(J2402/Materiales!$G$346,0)*Materiales!$G$346))</f>
        <v/>
      </c>
      <c r="K2403" s="65">
        <f>IF(K2402&lt;=0,0,IF(Materiales!$G$346&lt;=0,K2402,ROUNDUP(K2402/Materiales!$G$346,0)*Materiales!$G$346))</f>
        <v/>
      </c>
      <c r="L2403" s="65">
        <f>IF(L2402&lt;=0,0,IF(Materiales!$G$346&lt;=0,L2402,ROUNDUP(L2402/Materiales!$G$346,0)*Materiales!$G$346))</f>
        <v/>
      </c>
      <c r="M2403" s="66" t="n"/>
    </row>
    <row r="2404">
      <c r="C2404" s="70" t="inlineStr">
        <is>
          <t>LANZAMIENTO DE ORDEN — pedir esta semana</t>
        </is>
      </c>
      <c r="D2404" s="64" t="n"/>
      <c r="E2404" s="71">
        <f>IF(1+Materiales!$F$346&gt;8,0,INDEX($E$2403:$L$2403,1,1+Materiales!$F$346))</f>
        <v/>
      </c>
      <c r="F2404" s="71">
        <f>IF(2+Materiales!$F$346&gt;8,0,INDEX($E$2403:$L$2403,1,2+Materiales!$F$346))</f>
        <v/>
      </c>
      <c r="G2404" s="71">
        <f>IF(3+Materiales!$F$346&gt;8,0,INDEX($E$2403:$L$2403,1,3+Materiales!$F$346))</f>
        <v/>
      </c>
      <c r="H2404" s="71">
        <f>IF(4+Materiales!$F$346&gt;8,0,INDEX($E$2403:$L$2403,1,4+Materiales!$F$346))</f>
        <v/>
      </c>
      <c r="I2404" s="71">
        <f>IF(5+Materiales!$F$346&gt;8,0,INDEX($E$2403:$L$2403,1,5+Materiales!$F$346))</f>
        <v/>
      </c>
      <c r="J2404" s="71">
        <f>IF(6+Materiales!$F$346&gt;8,0,INDEX($E$2403:$L$2403,1,6+Materiales!$F$346))</f>
        <v/>
      </c>
      <c r="K2404" s="71">
        <f>IF(7+Materiales!$F$346&gt;8,0,INDEX($E$2403:$L$2403,1,7+Materiales!$F$346))</f>
        <v/>
      </c>
      <c r="L2404" s="71">
        <f>IF(8+Materiales!$F$346&gt;8,0,INDEX($E$2403:$L$2403,1,8+Materiales!$F$346))</f>
        <v/>
      </c>
      <c r="M2404" s="72">
        <f>IF($A2399="","",IF(SUMPRODUCT((COLUMN($E$2403:$L$2403)-4&lt;=Materiales!$F$346)*$E$2403:$L$2403)&gt;0,"PEDIR YA (atrasado)","OK"))</f>
        <v/>
      </c>
    </row>
    <row r="2405" ht="6" customHeight="1"/>
    <row r="2406">
      <c r="A2406" s="62">
        <f>IF(Materiales!$A$347="","",Materiales!$A$347)</f>
        <v/>
      </c>
      <c r="B2406" s="62">
        <f>IF(Materiales!$B$347="","",Materiales!$B$347)</f>
        <v/>
      </c>
      <c r="C2406" s="63" t="inlineStr">
        <is>
          <t>Necesidad bruta</t>
        </is>
      </c>
      <c r="D2406" s="64" t="n"/>
      <c r="E2406" s="65">
        <f>ROUND(SUMIF(Consumo!$P$4:$P$189,"#"&amp;$A2406,Consumo!H$4:H$189),4)</f>
        <v/>
      </c>
      <c r="F2406" s="65">
        <f>ROUND(SUMIF(Consumo!$P$4:$P$189,"#"&amp;$A2406,Consumo!I$4:I$189),4)</f>
        <v/>
      </c>
      <c r="G2406" s="65">
        <f>ROUND(SUMIF(Consumo!$P$4:$P$189,"#"&amp;$A2406,Consumo!J$4:J$189),4)</f>
        <v/>
      </c>
      <c r="H2406" s="65">
        <f>ROUND(SUMIF(Consumo!$P$4:$P$189,"#"&amp;$A2406,Consumo!K$4:K$189),4)</f>
        <v/>
      </c>
      <c r="I2406" s="65">
        <f>ROUND(SUMIF(Consumo!$P$4:$P$189,"#"&amp;$A2406,Consumo!L$4:L$189),4)</f>
        <v/>
      </c>
      <c r="J2406" s="65">
        <f>ROUND(SUMIF(Consumo!$P$4:$P$189,"#"&amp;$A2406,Consumo!M$4:M$189),4)</f>
        <v/>
      </c>
      <c r="K2406" s="65">
        <f>ROUND(SUMIF(Consumo!$P$4:$P$189,"#"&amp;$A2406,Consumo!N$4:N$189),4)</f>
        <v/>
      </c>
      <c r="L2406" s="65">
        <f>ROUND(SUMIF(Consumo!$P$4:$P$189,"#"&amp;$A2406,Consumo!O$4:O$189),4)</f>
        <v/>
      </c>
      <c r="M2406" s="66" t="n"/>
    </row>
    <row r="2407">
      <c r="C2407" s="63" t="inlineStr">
        <is>
          <t>Recepciones programadas (ya pedido)</t>
        </is>
      </c>
      <c r="D2407" s="64" t="n"/>
      <c r="E2407" s="65">
        <f>SUMIF(Inventario!$M$5:$M$505,"#"&amp;$A2406,Inventario!E$5:E$505)</f>
        <v/>
      </c>
      <c r="F2407" s="65">
        <f>SUMIF(Inventario!$M$5:$M$505,"#"&amp;$A2406,Inventario!F$5:F$505)</f>
        <v/>
      </c>
      <c r="G2407" s="65">
        <f>SUMIF(Inventario!$M$5:$M$505,"#"&amp;$A2406,Inventario!G$5:G$505)</f>
        <v/>
      </c>
      <c r="H2407" s="65">
        <f>SUMIF(Inventario!$M$5:$M$505,"#"&amp;$A2406,Inventario!H$5:H$505)</f>
        <v/>
      </c>
      <c r="I2407" s="65">
        <f>SUMIF(Inventario!$M$5:$M$505,"#"&amp;$A2406,Inventario!I$5:I$505)</f>
        <v/>
      </c>
      <c r="J2407" s="65">
        <f>SUMIF(Inventario!$M$5:$M$505,"#"&amp;$A2406,Inventario!J$5:J$505)</f>
        <v/>
      </c>
      <c r="K2407" s="65">
        <f>SUMIF(Inventario!$M$5:$M$505,"#"&amp;$A2406,Inventario!K$5:K$505)</f>
        <v/>
      </c>
      <c r="L2407" s="65">
        <f>SUMIF(Inventario!$M$5:$M$505,"#"&amp;$A2406,Inventario!L$5:L$505)</f>
        <v/>
      </c>
      <c r="M2407" s="66" t="n"/>
    </row>
    <row r="2408">
      <c r="C2408" s="63" t="inlineStr">
        <is>
          <t>Stock proyectado disponible</t>
        </is>
      </c>
      <c r="D2408" s="67">
        <f>SUMIF(Inventario!$M$5:$M$505,"#"&amp;$A2406,Inventario!$C$5:$C$505)</f>
        <v/>
      </c>
      <c r="E2408" s="68">
        <f>D2408+E2407+E2410-E2406</f>
        <v/>
      </c>
      <c r="F2408" s="68">
        <f>E2408+F2407+F2410-F2406</f>
        <v/>
      </c>
      <c r="G2408" s="68">
        <f>F2408+G2407+G2410-G2406</f>
        <v/>
      </c>
      <c r="H2408" s="68">
        <f>G2408+H2407+H2410-H2406</f>
        <v/>
      </c>
      <c r="I2408" s="68">
        <f>H2408+I2407+I2410-I2406</f>
        <v/>
      </c>
      <c r="J2408" s="68">
        <f>I2408+J2407+J2410-J2406</f>
        <v/>
      </c>
      <c r="K2408" s="68">
        <f>J2408+K2407+K2410-K2406</f>
        <v/>
      </c>
      <c r="L2408" s="68">
        <f>K2408+L2407+L2410-L2406</f>
        <v/>
      </c>
      <c r="M2408" s="66" t="n"/>
    </row>
    <row r="2409">
      <c r="C2409" s="63" t="inlineStr">
        <is>
          <t>Necesidad neta</t>
        </is>
      </c>
      <c r="D2409" s="64" t="n"/>
      <c r="E2409" s="69">
        <f>MAX(0,ROUND(E2406+Materiales!$H$347-D2408-E2407,4))</f>
        <v/>
      </c>
      <c r="F2409" s="69">
        <f>MAX(0,ROUND(F2406+Materiales!$H$347-E2408-F2407,4))</f>
        <v/>
      </c>
      <c r="G2409" s="69">
        <f>MAX(0,ROUND(G2406+Materiales!$H$347-F2408-G2407,4))</f>
        <v/>
      </c>
      <c r="H2409" s="69">
        <f>MAX(0,ROUND(H2406+Materiales!$H$347-G2408-H2407,4))</f>
        <v/>
      </c>
      <c r="I2409" s="69">
        <f>MAX(0,ROUND(I2406+Materiales!$H$347-H2408-I2407,4))</f>
        <v/>
      </c>
      <c r="J2409" s="69">
        <f>MAX(0,ROUND(J2406+Materiales!$H$347-I2408-J2407,4))</f>
        <v/>
      </c>
      <c r="K2409" s="69">
        <f>MAX(0,ROUND(K2406+Materiales!$H$347-J2408-K2407,4))</f>
        <v/>
      </c>
      <c r="L2409" s="69">
        <f>MAX(0,ROUND(L2406+Materiales!$H$347-K2408-L2407,4))</f>
        <v/>
      </c>
      <c r="M2409" s="66" t="n"/>
    </row>
    <row r="2410">
      <c r="C2410" s="63" t="inlineStr">
        <is>
          <t>Recepcion de orden planificada</t>
        </is>
      </c>
      <c r="D2410" s="64" t="n"/>
      <c r="E2410" s="65">
        <f>IF(E2409&lt;=0,0,IF(Materiales!$G$347&lt;=0,E2409,ROUNDUP(E2409/Materiales!$G$347,0)*Materiales!$G$347))</f>
        <v/>
      </c>
      <c r="F2410" s="65">
        <f>IF(F2409&lt;=0,0,IF(Materiales!$G$347&lt;=0,F2409,ROUNDUP(F2409/Materiales!$G$347,0)*Materiales!$G$347))</f>
        <v/>
      </c>
      <c r="G2410" s="65">
        <f>IF(G2409&lt;=0,0,IF(Materiales!$G$347&lt;=0,G2409,ROUNDUP(G2409/Materiales!$G$347,0)*Materiales!$G$347))</f>
        <v/>
      </c>
      <c r="H2410" s="65">
        <f>IF(H2409&lt;=0,0,IF(Materiales!$G$347&lt;=0,H2409,ROUNDUP(H2409/Materiales!$G$347,0)*Materiales!$G$347))</f>
        <v/>
      </c>
      <c r="I2410" s="65">
        <f>IF(I2409&lt;=0,0,IF(Materiales!$G$347&lt;=0,I2409,ROUNDUP(I2409/Materiales!$G$347,0)*Materiales!$G$347))</f>
        <v/>
      </c>
      <c r="J2410" s="65">
        <f>IF(J2409&lt;=0,0,IF(Materiales!$G$347&lt;=0,J2409,ROUNDUP(J2409/Materiales!$G$347,0)*Materiales!$G$347))</f>
        <v/>
      </c>
      <c r="K2410" s="65">
        <f>IF(K2409&lt;=0,0,IF(Materiales!$G$347&lt;=0,K2409,ROUNDUP(K2409/Materiales!$G$347,0)*Materiales!$G$347))</f>
        <v/>
      </c>
      <c r="L2410" s="65">
        <f>IF(L2409&lt;=0,0,IF(Materiales!$G$347&lt;=0,L2409,ROUNDUP(L2409/Materiales!$G$347,0)*Materiales!$G$347))</f>
        <v/>
      </c>
      <c r="M2410" s="66" t="n"/>
    </row>
    <row r="2411">
      <c r="C2411" s="70" t="inlineStr">
        <is>
          <t>LANZAMIENTO DE ORDEN — pedir esta semana</t>
        </is>
      </c>
      <c r="D2411" s="64" t="n"/>
      <c r="E2411" s="71">
        <f>IF(1+Materiales!$F$347&gt;8,0,INDEX($E$2410:$L$2410,1,1+Materiales!$F$347))</f>
        <v/>
      </c>
      <c r="F2411" s="71">
        <f>IF(2+Materiales!$F$347&gt;8,0,INDEX($E$2410:$L$2410,1,2+Materiales!$F$347))</f>
        <v/>
      </c>
      <c r="G2411" s="71">
        <f>IF(3+Materiales!$F$347&gt;8,0,INDEX($E$2410:$L$2410,1,3+Materiales!$F$347))</f>
        <v/>
      </c>
      <c r="H2411" s="71">
        <f>IF(4+Materiales!$F$347&gt;8,0,INDEX($E$2410:$L$2410,1,4+Materiales!$F$347))</f>
        <v/>
      </c>
      <c r="I2411" s="71">
        <f>IF(5+Materiales!$F$347&gt;8,0,INDEX($E$2410:$L$2410,1,5+Materiales!$F$347))</f>
        <v/>
      </c>
      <c r="J2411" s="71">
        <f>IF(6+Materiales!$F$347&gt;8,0,INDEX($E$2410:$L$2410,1,6+Materiales!$F$347))</f>
        <v/>
      </c>
      <c r="K2411" s="71">
        <f>IF(7+Materiales!$F$347&gt;8,0,INDEX($E$2410:$L$2410,1,7+Materiales!$F$347))</f>
        <v/>
      </c>
      <c r="L2411" s="71">
        <f>IF(8+Materiales!$F$347&gt;8,0,INDEX($E$2410:$L$2410,1,8+Materiales!$F$347))</f>
        <v/>
      </c>
      <c r="M2411" s="72">
        <f>IF($A2406="","",IF(SUMPRODUCT((COLUMN($E$2410:$L$2410)-4&lt;=Materiales!$F$347)*$E$2410:$L$2410)&gt;0,"PEDIR YA (atrasado)","OK"))</f>
        <v/>
      </c>
    </row>
    <row r="2412" ht="6" customHeight="1"/>
    <row r="2413">
      <c r="A2413" s="62">
        <f>IF(Materiales!$A$348="","",Materiales!$A$348)</f>
        <v/>
      </c>
      <c r="B2413" s="62">
        <f>IF(Materiales!$B$348="","",Materiales!$B$348)</f>
        <v/>
      </c>
      <c r="C2413" s="63" t="inlineStr">
        <is>
          <t>Necesidad bruta</t>
        </is>
      </c>
      <c r="D2413" s="64" t="n"/>
      <c r="E2413" s="65">
        <f>ROUND(SUMIF(Consumo!$P$4:$P$189,"#"&amp;$A2413,Consumo!H$4:H$189),4)</f>
        <v/>
      </c>
      <c r="F2413" s="65">
        <f>ROUND(SUMIF(Consumo!$P$4:$P$189,"#"&amp;$A2413,Consumo!I$4:I$189),4)</f>
        <v/>
      </c>
      <c r="G2413" s="65">
        <f>ROUND(SUMIF(Consumo!$P$4:$P$189,"#"&amp;$A2413,Consumo!J$4:J$189),4)</f>
        <v/>
      </c>
      <c r="H2413" s="65">
        <f>ROUND(SUMIF(Consumo!$P$4:$P$189,"#"&amp;$A2413,Consumo!K$4:K$189),4)</f>
        <v/>
      </c>
      <c r="I2413" s="65">
        <f>ROUND(SUMIF(Consumo!$P$4:$P$189,"#"&amp;$A2413,Consumo!L$4:L$189),4)</f>
        <v/>
      </c>
      <c r="J2413" s="65">
        <f>ROUND(SUMIF(Consumo!$P$4:$P$189,"#"&amp;$A2413,Consumo!M$4:M$189),4)</f>
        <v/>
      </c>
      <c r="K2413" s="65">
        <f>ROUND(SUMIF(Consumo!$P$4:$P$189,"#"&amp;$A2413,Consumo!N$4:N$189),4)</f>
        <v/>
      </c>
      <c r="L2413" s="65">
        <f>ROUND(SUMIF(Consumo!$P$4:$P$189,"#"&amp;$A2413,Consumo!O$4:O$189),4)</f>
        <v/>
      </c>
      <c r="M2413" s="66" t="n"/>
    </row>
    <row r="2414">
      <c r="C2414" s="63" t="inlineStr">
        <is>
          <t>Recepciones programadas (ya pedido)</t>
        </is>
      </c>
      <c r="D2414" s="64" t="n"/>
      <c r="E2414" s="65">
        <f>SUMIF(Inventario!$M$5:$M$505,"#"&amp;$A2413,Inventario!E$5:E$505)</f>
        <v/>
      </c>
      <c r="F2414" s="65">
        <f>SUMIF(Inventario!$M$5:$M$505,"#"&amp;$A2413,Inventario!F$5:F$505)</f>
        <v/>
      </c>
      <c r="G2414" s="65">
        <f>SUMIF(Inventario!$M$5:$M$505,"#"&amp;$A2413,Inventario!G$5:G$505)</f>
        <v/>
      </c>
      <c r="H2414" s="65">
        <f>SUMIF(Inventario!$M$5:$M$505,"#"&amp;$A2413,Inventario!H$5:H$505)</f>
        <v/>
      </c>
      <c r="I2414" s="65">
        <f>SUMIF(Inventario!$M$5:$M$505,"#"&amp;$A2413,Inventario!I$5:I$505)</f>
        <v/>
      </c>
      <c r="J2414" s="65">
        <f>SUMIF(Inventario!$M$5:$M$505,"#"&amp;$A2413,Inventario!J$5:J$505)</f>
        <v/>
      </c>
      <c r="K2414" s="65">
        <f>SUMIF(Inventario!$M$5:$M$505,"#"&amp;$A2413,Inventario!K$5:K$505)</f>
        <v/>
      </c>
      <c r="L2414" s="65">
        <f>SUMIF(Inventario!$M$5:$M$505,"#"&amp;$A2413,Inventario!L$5:L$505)</f>
        <v/>
      </c>
      <c r="M2414" s="66" t="n"/>
    </row>
    <row r="2415">
      <c r="C2415" s="63" t="inlineStr">
        <is>
          <t>Stock proyectado disponible</t>
        </is>
      </c>
      <c r="D2415" s="67">
        <f>SUMIF(Inventario!$M$5:$M$505,"#"&amp;$A2413,Inventario!$C$5:$C$505)</f>
        <v/>
      </c>
      <c r="E2415" s="68">
        <f>D2415+E2414+E2417-E2413</f>
        <v/>
      </c>
      <c r="F2415" s="68">
        <f>E2415+F2414+F2417-F2413</f>
        <v/>
      </c>
      <c r="G2415" s="68">
        <f>F2415+G2414+G2417-G2413</f>
        <v/>
      </c>
      <c r="H2415" s="68">
        <f>G2415+H2414+H2417-H2413</f>
        <v/>
      </c>
      <c r="I2415" s="68">
        <f>H2415+I2414+I2417-I2413</f>
        <v/>
      </c>
      <c r="J2415" s="68">
        <f>I2415+J2414+J2417-J2413</f>
        <v/>
      </c>
      <c r="K2415" s="68">
        <f>J2415+K2414+K2417-K2413</f>
        <v/>
      </c>
      <c r="L2415" s="68">
        <f>K2415+L2414+L2417-L2413</f>
        <v/>
      </c>
      <c r="M2415" s="66" t="n"/>
    </row>
    <row r="2416">
      <c r="C2416" s="63" t="inlineStr">
        <is>
          <t>Necesidad neta</t>
        </is>
      </c>
      <c r="D2416" s="64" t="n"/>
      <c r="E2416" s="69">
        <f>MAX(0,ROUND(E2413+Materiales!$H$348-D2415-E2414,4))</f>
        <v/>
      </c>
      <c r="F2416" s="69">
        <f>MAX(0,ROUND(F2413+Materiales!$H$348-E2415-F2414,4))</f>
        <v/>
      </c>
      <c r="G2416" s="69">
        <f>MAX(0,ROUND(G2413+Materiales!$H$348-F2415-G2414,4))</f>
        <v/>
      </c>
      <c r="H2416" s="69">
        <f>MAX(0,ROUND(H2413+Materiales!$H$348-G2415-H2414,4))</f>
        <v/>
      </c>
      <c r="I2416" s="69">
        <f>MAX(0,ROUND(I2413+Materiales!$H$348-H2415-I2414,4))</f>
        <v/>
      </c>
      <c r="J2416" s="69">
        <f>MAX(0,ROUND(J2413+Materiales!$H$348-I2415-J2414,4))</f>
        <v/>
      </c>
      <c r="K2416" s="69">
        <f>MAX(0,ROUND(K2413+Materiales!$H$348-J2415-K2414,4))</f>
        <v/>
      </c>
      <c r="L2416" s="69">
        <f>MAX(0,ROUND(L2413+Materiales!$H$348-K2415-L2414,4))</f>
        <v/>
      </c>
      <c r="M2416" s="66" t="n"/>
    </row>
    <row r="2417">
      <c r="C2417" s="63" t="inlineStr">
        <is>
          <t>Recepcion de orden planificada</t>
        </is>
      </c>
      <c r="D2417" s="64" t="n"/>
      <c r="E2417" s="65">
        <f>IF(E2416&lt;=0,0,IF(Materiales!$G$348&lt;=0,E2416,ROUNDUP(E2416/Materiales!$G$348,0)*Materiales!$G$348))</f>
        <v/>
      </c>
      <c r="F2417" s="65">
        <f>IF(F2416&lt;=0,0,IF(Materiales!$G$348&lt;=0,F2416,ROUNDUP(F2416/Materiales!$G$348,0)*Materiales!$G$348))</f>
        <v/>
      </c>
      <c r="G2417" s="65">
        <f>IF(G2416&lt;=0,0,IF(Materiales!$G$348&lt;=0,G2416,ROUNDUP(G2416/Materiales!$G$348,0)*Materiales!$G$348))</f>
        <v/>
      </c>
      <c r="H2417" s="65">
        <f>IF(H2416&lt;=0,0,IF(Materiales!$G$348&lt;=0,H2416,ROUNDUP(H2416/Materiales!$G$348,0)*Materiales!$G$348))</f>
        <v/>
      </c>
      <c r="I2417" s="65">
        <f>IF(I2416&lt;=0,0,IF(Materiales!$G$348&lt;=0,I2416,ROUNDUP(I2416/Materiales!$G$348,0)*Materiales!$G$348))</f>
        <v/>
      </c>
      <c r="J2417" s="65">
        <f>IF(J2416&lt;=0,0,IF(Materiales!$G$348&lt;=0,J2416,ROUNDUP(J2416/Materiales!$G$348,0)*Materiales!$G$348))</f>
        <v/>
      </c>
      <c r="K2417" s="65">
        <f>IF(K2416&lt;=0,0,IF(Materiales!$G$348&lt;=0,K2416,ROUNDUP(K2416/Materiales!$G$348,0)*Materiales!$G$348))</f>
        <v/>
      </c>
      <c r="L2417" s="65">
        <f>IF(L2416&lt;=0,0,IF(Materiales!$G$348&lt;=0,L2416,ROUNDUP(L2416/Materiales!$G$348,0)*Materiales!$G$348))</f>
        <v/>
      </c>
      <c r="M2417" s="66" t="n"/>
    </row>
    <row r="2418">
      <c r="C2418" s="70" t="inlineStr">
        <is>
          <t>LANZAMIENTO DE ORDEN — pedir esta semana</t>
        </is>
      </c>
      <c r="D2418" s="64" t="n"/>
      <c r="E2418" s="71">
        <f>IF(1+Materiales!$F$348&gt;8,0,INDEX($E$2417:$L$2417,1,1+Materiales!$F$348))</f>
        <v/>
      </c>
      <c r="F2418" s="71">
        <f>IF(2+Materiales!$F$348&gt;8,0,INDEX($E$2417:$L$2417,1,2+Materiales!$F$348))</f>
        <v/>
      </c>
      <c r="G2418" s="71">
        <f>IF(3+Materiales!$F$348&gt;8,0,INDEX($E$2417:$L$2417,1,3+Materiales!$F$348))</f>
        <v/>
      </c>
      <c r="H2418" s="71">
        <f>IF(4+Materiales!$F$348&gt;8,0,INDEX($E$2417:$L$2417,1,4+Materiales!$F$348))</f>
        <v/>
      </c>
      <c r="I2418" s="71">
        <f>IF(5+Materiales!$F$348&gt;8,0,INDEX($E$2417:$L$2417,1,5+Materiales!$F$348))</f>
        <v/>
      </c>
      <c r="J2418" s="71">
        <f>IF(6+Materiales!$F$348&gt;8,0,INDEX($E$2417:$L$2417,1,6+Materiales!$F$348))</f>
        <v/>
      </c>
      <c r="K2418" s="71">
        <f>IF(7+Materiales!$F$348&gt;8,0,INDEX($E$2417:$L$2417,1,7+Materiales!$F$348))</f>
        <v/>
      </c>
      <c r="L2418" s="71">
        <f>IF(8+Materiales!$F$348&gt;8,0,INDEX($E$2417:$L$2417,1,8+Materiales!$F$348))</f>
        <v/>
      </c>
      <c r="M2418" s="72">
        <f>IF($A2413="","",IF(SUMPRODUCT((COLUMN($E$2417:$L$2417)-4&lt;=Materiales!$F$348)*$E$2417:$L$2417)&gt;0,"PEDIR YA (atrasado)","OK"))</f>
        <v/>
      </c>
    </row>
    <row r="2419" ht="6" customHeight="1"/>
    <row r="2420">
      <c r="A2420" s="62">
        <f>IF(Materiales!$A$349="","",Materiales!$A$349)</f>
        <v/>
      </c>
      <c r="B2420" s="62">
        <f>IF(Materiales!$B$349="","",Materiales!$B$349)</f>
        <v/>
      </c>
      <c r="C2420" s="63" t="inlineStr">
        <is>
          <t>Necesidad bruta</t>
        </is>
      </c>
      <c r="D2420" s="64" t="n"/>
      <c r="E2420" s="65">
        <f>ROUND(SUMIF(Consumo!$P$4:$P$189,"#"&amp;$A2420,Consumo!H$4:H$189),4)</f>
        <v/>
      </c>
      <c r="F2420" s="65">
        <f>ROUND(SUMIF(Consumo!$P$4:$P$189,"#"&amp;$A2420,Consumo!I$4:I$189),4)</f>
        <v/>
      </c>
      <c r="G2420" s="65">
        <f>ROUND(SUMIF(Consumo!$P$4:$P$189,"#"&amp;$A2420,Consumo!J$4:J$189),4)</f>
        <v/>
      </c>
      <c r="H2420" s="65">
        <f>ROUND(SUMIF(Consumo!$P$4:$P$189,"#"&amp;$A2420,Consumo!K$4:K$189),4)</f>
        <v/>
      </c>
      <c r="I2420" s="65">
        <f>ROUND(SUMIF(Consumo!$P$4:$P$189,"#"&amp;$A2420,Consumo!L$4:L$189),4)</f>
        <v/>
      </c>
      <c r="J2420" s="65">
        <f>ROUND(SUMIF(Consumo!$P$4:$P$189,"#"&amp;$A2420,Consumo!M$4:M$189),4)</f>
        <v/>
      </c>
      <c r="K2420" s="65">
        <f>ROUND(SUMIF(Consumo!$P$4:$P$189,"#"&amp;$A2420,Consumo!N$4:N$189),4)</f>
        <v/>
      </c>
      <c r="L2420" s="65">
        <f>ROUND(SUMIF(Consumo!$P$4:$P$189,"#"&amp;$A2420,Consumo!O$4:O$189),4)</f>
        <v/>
      </c>
      <c r="M2420" s="66" t="n"/>
    </row>
    <row r="2421">
      <c r="C2421" s="63" t="inlineStr">
        <is>
          <t>Recepciones programadas (ya pedido)</t>
        </is>
      </c>
      <c r="D2421" s="64" t="n"/>
      <c r="E2421" s="65">
        <f>SUMIF(Inventario!$M$5:$M$505,"#"&amp;$A2420,Inventario!E$5:E$505)</f>
        <v/>
      </c>
      <c r="F2421" s="65">
        <f>SUMIF(Inventario!$M$5:$M$505,"#"&amp;$A2420,Inventario!F$5:F$505)</f>
        <v/>
      </c>
      <c r="G2421" s="65">
        <f>SUMIF(Inventario!$M$5:$M$505,"#"&amp;$A2420,Inventario!G$5:G$505)</f>
        <v/>
      </c>
      <c r="H2421" s="65">
        <f>SUMIF(Inventario!$M$5:$M$505,"#"&amp;$A2420,Inventario!H$5:H$505)</f>
        <v/>
      </c>
      <c r="I2421" s="65">
        <f>SUMIF(Inventario!$M$5:$M$505,"#"&amp;$A2420,Inventario!I$5:I$505)</f>
        <v/>
      </c>
      <c r="J2421" s="65">
        <f>SUMIF(Inventario!$M$5:$M$505,"#"&amp;$A2420,Inventario!J$5:J$505)</f>
        <v/>
      </c>
      <c r="K2421" s="65">
        <f>SUMIF(Inventario!$M$5:$M$505,"#"&amp;$A2420,Inventario!K$5:K$505)</f>
        <v/>
      </c>
      <c r="L2421" s="65">
        <f>SUMIF(Inventario!$M$5:$M$505,"#"&amp;$A2420,Inventario!L$5:L$505)</f>
        <v/>
      </c>
      <c r="M2421" s="66" t="n"/>
    </row>
    <row r="2422">
      <c r="C2422" s="63" t="inlineStr">
        <is>
          <t>Stock proyectado disponible</t>
        </is>
      </c>
      <c r="D2422" s="67">
        <f>SUMIF(Inventario!$M$5:$M$505,"#"&amp;$A2420,Inventario!$C$5:$C$505)</f>
        <v/>
      </c>
      <c r="E2422" s="68">
        <f>D2422+E2421+E2424-E2420</f>
        <v/>
      </c>
      <c r="F2422" s="68">
        <f>E2422+F2421+F2424-F2420</f>
        <v/>
      </c>
      <c r="G2422" s="68">
        <f>F2422+G2421+G2424-G2420</f>
        <v/>
      </c>
      <c r="H2422" s="68">
        <f>G2422+H2421+H2424-H2420</f>
        <v/>
      </c>
      <c r="I2422" s="68">
        <f>H2422+I2421+I2424-I2420</f>
        <v/>
      </c>
      <c r="J2422" s="68">
        <f>I2422+J2421+J2424-J2420</f>
        <v/>
      </c>
      <c r="K2422" s="68">
        <f>J2422+K2421+K2424-K2420</f>
        <v/>
      </c>
      <c r="L2422" s="68">
        <f>K2422+L2421+L2424-L2420</f>
        <v/>
      </c>
      <c r="M2422" s="66" t="n"/>
    </row>
    <row r="2423">
      <c r="C2423" s="63" t="inlineStr">
        <is>
          <t>Necesidad neta</t>
        </is>
      </c>
      <c r="D2423" s="64" t="n"/>
      <c r="E2423" s="69">
        <f>MAX(0,ROUND(E2420+Materiales!$H$349-D2422-E2421,4))</f>
        <v/>
      </c>
      <c r="F2423" s="69">
        <f>MAX(0,ROUND(F2420+Materiales!$H$349-E2422-F2421,4))</f>
        <v/>
      </c>
      <c r="G2423" s="69">
        <f>MAX(0,ROUND(G2420+Materiales!$H$349-F2422-G2421,4))</f>
        <v/>
      </c>
      <c r="H2423" s="69">
        <f>MAX(0,ROUND(H2420+Materiales!$H$349-G2422-H2421,4))</f>
        <v/>
      </c>
      <c r="I2423" s="69">
        <f>MAX(0,ROUND(I2420+Materiales!$H$349-H2422-I2421,4))</f>
        <v/>
      </c>
      <c r="J2423" s="69">
        <f>MAX(0,ROUND(J2420+Materiales!$H$349-I2422-J2421,4))</f>
        <v/>
      </c>
      <c r="K2423" s="69">
        <f>MAX(0,ROUND(K2420+Materiales!$H$349-J2422-K2421,4))</f>
        <v/>
      </c>
      <c r="L2423" s="69">
        <f>MAX(0,ROUND(L2420+Materiales!$H$349-K2422-L2421,4))</f>
        <v/>
      </c>
      <c r="M2423" s="66" t="n"/>
    </row>
    <row r="2424">
      <c r="C2424" s="63" t="inlineStr">
        <is>
          <t>Recepcion de orden planificada</t>
        </is>
      </c>
      <c r="D2424" s="64" t="n"/>
      <c r="E2424" s="65">
        <f>IF(E2423&lt;=0,0,IF(Materiales!$G$349&lt;=0,E2423,ROUNDUP(E2423/Materiales!$G$349,0)*Materiales!$G$349))</f>
        <v/>
      </c>
      <c r="F2424" s="65">
        <f>IF(F2423&lt;=0,0,IF(Materiales!$G$349&lt;=0,F2423,ROUNDUP(F2423/Materiales!$G$349,0)*Materiales!$G$349))</f>
        <v/>
      </c>
      <c r="G2424" s="65">
        <f>IF(G2423&lt;=0,0,IF(Materiales!$G$349&lt;=0,G2423,ROUNDUP(G2423/Materiales!$G$349,0)*Materiales!$G$349))</f>
        <v/>
      </c>
      <c r="H2424" s="65">
        <f>IF(H2423&lt;=0,0,IF(Materiales!$G$349&lt;=0,H2423,ROUNDUP(H2423/Materiales!$G$349,0)*Materiales!$G$349))</f>
        <v/>
      </c>
      <c r="I2424" s="65">
        <f>IF(I2423&lt;=0,0,IF(Materiales!$G$349&lt;=0,I2423,ROUNDUP(I2423/Materiales!$G$349,0)*Materiales!$G$349))</f>
        <v/>
      </c>
      <c r="J2424" s="65">
        <f>IF(J2423&lt;=0,0,IF(Materiales!$G$349&lt;=0,J2423,ROUNDUP(J2423/Materiales!$G$349,0)*Materiales!$G$349))</f>
        <v/>
      </c>
      <c r="K2424" s="65">
        <f>IF(K2423&lt;=0,0,IF(Materiales!$G$349&lt;=0,K2423,ROUNDUP(K2423/Materiales!$G$349,0)*Materiales!$G$349))</f>
        <v/>
      </c>
      <c r="L2424" s="65">
        <f>IF(L2423&lt;=0,0,IF(Materiales!$G$349&lt;=0,L2423,ROUNDUP(L2423/Materiales!$G$349,0)*Materiales!$G$349))</f>
        <v/>
      </c>
      <c r="M2424" s="66" t="n"/>
    </row>
    <row r="2425">
      <c r="C2425" s="70" t="inlineStr">
        <is>
          <t>LANZAMIENTO DE ORDEN — pedir esta semana</t>
        </is>
      </c>
      <c r="D2425" s="64" t="n"/>
      <c r="E2425" s="71">
        <f>IF(1+Materiales!$F$349&gt;8,0,INDEX($E$2424:$L$2424,1,1+Materiales!$F$349))</f>
        <v/>
      </c>
      <c r="F2425" s="71">
        <f>IF(2+Materiales!$F$349&gt;8,0,INDEX($E$2424:$L$2424,1,2+Materiales!$F$349))</f>
        <v/>
      </c>
      <c r="G2425" s="71">
        <f>IF(3+Materiales!$F$349&gt;8,0,INDEX($E$2424:$L$2424,1,3+Materiales!$F$349))</f>
        <v/>
      </c>
      <c r="H2425" s="71">
        <f>IF(4+Materiales!$F$349&gt;8,0,INDEX($E$2424:$L$2424,1,4+Materiales!$F$349))</f>
        <v/>
      </c>
      <c r="I2425" s="71">
        <f>IF(5+Materiales!$F$349&gt;8,0,INDEX($E$2424:$L$2424,1,5+Materiales!$F$349))</f>
        <v/>
      </c>
      <c r="J2425" s="71">
        <f>IF(6+Materiales!$F$349&gt;8,0,INDEX($E$2424:$L$2424,1,6+Materiales!$F$349))</f>
        <v/>
      </c>
      <c r="K2425" s="71">
        <f>IF(7+Materiales!$F$349&gt;8,0,INDEX($E$2424:$L$2424,1,7+Materiales!$F$349))</f>
        <v/>
      </c>
      <c r="L2425" s="71">
        <f>IF(8+Materiales!$F$349&gt;8,0,INDEX($E$2424:$L$2424,1,8+Materiales!$F$349))</f>
        <v/>
      </c>
      <c r="M2425" s="72">
        <f>IF($A2420="","",IF(SUMPRODUCT((COLUMN($E$2424:$L$2424)-4&lt;=Materiales!$F$349)*$E$2424:$L$2424)&gt;0,"PEDIR YA (atrasado)","OK"))</f>
        <v/>
      </c>
    </row>
    <row r="2426" ht="6" customHeight="1"/>
    <row r="2427">
      <c r="A2427" s="62">
        <f>IF(Materiales!$A$350="","",Materiales!$A$350)</f>
        <v/>
      </c>
      <c r="B2427" s="62">
        <f>IF(Materiales!$B$350="","",Materiales!$B$350)</f>
        <v/>
      </c>
      <c r="C2427" s="63" t="inlineStr">
        <is>
          <t>Necesidad bruta</t>
        </is>
      </c>
      <c r="D2427" s="64" t="n"/>
      <c r="E2427" s="65">
        <f>ROUND(SUMIF(Consumo!$P$4:$P$189,"#"&amp;$A2427,Consumo!H$4:H$189),4)</f>
        <v/>
      </c>
      <c r="F2427" s="65">
        <f>ROUND(SUMIF(Consumo!$P$4:$P$189,"#"&amp;$A2427,Consumo!I$4:I$189),4)</f>
        <v/>
      </c>
      <c r="G2427" s="65">
        <f>ROUND(SUMIF(Consumo!$P$4:$P$189,"#"&amp;$A2427,Consumo!J$4:J$189),4)</f>
        <v/>
      </c>
      <c r="H2427" s="65">
        <f>ROUND(SUMIF(Consumo!$P$4:$P$189,"#"&amp;$A2427,Consumo!K$4:K$189),4)</f>
        <v/>
      </c>
      <c r="I2427" s="65">
        <f>ROUND(SUMIF(Consumo!$P$4:$P$189,"#"&amp;$A2427,Consumo!L$4:L$189),4)</f>
        <v/>
      </c>
      <c r="J2427" s="65">
        <f>ROUND(SUMIF(Consumo!$P$4:$P$189,"#"&amp;$A2427,Consumo!M$4:M$189),4)</f>
        <v/>
      </c>
      <c r="K2427" s="65">
        <f>ROUND(SUMIF(Consumo!$P$4:$P$189,"#"&amp;$A2427,Consumo!N$4:N$189),4)</f>
        <v/>
      </c>
      <c r="L2427" s="65">
        <f>ROUND(SUMIF(Consumo!$P$4:$P$189,"#"&amp;$A2427,Consumo!O$4:O$189),4)</f>
        <v/>
      </c>
      <c r="M2427" s="66" t="n"/>
    </row>
    <row r="2428">
      <c r="C2428" s="63" t="inlineStr">
        <is>
          <t>Recepciones programadas (ya pedido)</t>
        </is>
      </c>
      <c r="D2428" s="64" t="n"/>
      <c r="E2428" s="65">
        <f>SUMIF(Inventario!$M$5:$M$505,"#"&amp;$A2427,Inventario!E$5:E$505)</f>
        <v/>
      </c>
      <c r="F2428" s="65">
        <f>SUMIF(Inventario!$M$5:$M$505,"#"&amp;$A2427,Inventario!F$5:F$505)</f>
        <v/>
      </c>
      <c r="G2428" s="65">
        <f>SUMIF(Inventario!$M$5:$M$505,"#"&amp;$A2427,Inventario!G$5:G$505)</f>
        <v/>
      </c>
      <c r="H2428" s="65">
        <f>SUMIF(Inventario!$M$5:$M$505,"#"&amp;$A2427,Inventario!H$5:H$505)</f>
        <v/>
      </c>
      <c r="I2428" s="65">
        <f>SUMIF(Inventario!$M$5:$M$505,"#"&amp;$A2427,Inventario!I$5:I$505)</f>
        <v/>
      </c>
      <c r="J2428" s="65">
        <f>SUMIF(Inventario!$M$5:$M$505,"#"&amp;$A2427,Inventario!J$5:J$505)</f>
        <v/>
      </c>
      <c r="K2428" s="65">
        <f>SUMIF(Inventario!$M$5:$M$505,"#"&amp;$A2427,Inventario!K$5:K$505)</f>
        <v/>
      </c>
      <c r="L2428" s="65">
        <f>SUMIF(Inventario!$M$5:$M$505,"#"&amp;$A2427,Inventario!L$5:L$505)</f>
        <v/>
      </c>
      <c r="M2428" s="66" t="n"/>
    </row>
    <row r="2429">
      <c r="C2429" s="63" t="inlineStr">
        <is>
          <t>Stock proyectado disponible</t>
        </is>
      </c>
      <c r="D2429" s="67">
        <f>SUMIF(Inventario!$M$5:$M$505,"#"&amp;$A2427,Inventario!$C$5:$C$505)</f>
        <v/>
      </c>
      <c r="E2429" s="68">
        <f>D2429+E2428+E2431-E2427</f>
        <v/>
      </c>
      <c r="F2429" s="68">
        <f>E2429+F2428+F2431-F2427</f>
        <v/>
      </c>
      <c r="G2429" s="68">
        <f>F2429+G2428+G2431-G2427</f>
        <v/>
      </c>
      <c r="H2429" s="68">
        <f>G2429+H2428+H2431-H2427</f>
        <v/>
      </c>
      <c r="I2429" s="68">
        <f>H2429+I2428+I2431-I2427</f>
        <v/>
      </c>
      <c r="J2429" s="68">
        <f>I2429+J2428+J2431-J2427</f>
        <v/>
      </c>
      <c r="K2429" s="68">
        <f>J2429+K2428+K2431-K2427</f>
        <v/>
      </c>
      <c r="L2429" s="68">
        <f>K2429+L2428+L2431-L2427</f>
        <v/>
      </c>
      <c r="M2429" s="66" t="n"/>
    </row>
    <row r="2430">
      <c r="C2430" s="63" t="inlineStr">
        <is>
          <t>Necesidad neta</t>
        </is>
      </c>
      <c r="D2430" s="64" t="n"/>
      <c r="E2430" s="69">
        <f>MAX(0,ROUND(E2427+Materiales!$H$350-D2429-E2428,4))</f>
        <v/>
      </c>
      <c r="F2430" s="69">
        <f>MAX(0,ROUND(F2427+Materiales!$H$350-E2429-F2428,4))</f>
        <v/>
      </c>
      <c r="G2430" s="69">
        <f>MAX(0,ROUND(G2427+Materiales!$H$350-F2429-G2428,4))</f>
        <v/>
      </c>
      <c r="H2430" s="69">
        <f>MAX(0,ROUND(H2427+Materiales!$H$350-G2429-H2428,4))</f>
        <v/>
      </c>
      <c r="I2430" s="69">
        <f>MAX(0,ROUND(I2427+Materiales!$H$350-H2429-I2428,4))</f>
        <v/>
      </c>
      <c r="J2430" s="69">
        <f>MAX(0,ROUND(J2427+Materiales!$H$350-I2429-J2428,4))</f>
        <v/>
      </c>
      <c r="K2430" s="69">
        <f>MAX(0,ROUND(K2427+Materiales!$H$350-J2429-K2428,4))</f>
        <v/>
      </c>
      <c r="L2430" s="69">
        <f>MAX(0,ROUND(L2427+Materiales!$H$350-K2429-L2428,4))</f>
        <v/>
      </c>
      <c r="M2430" s="66" t="n"/>
    </row>
    <row r="2431">
      <c r="C2431" s="63" t="inlineStr">
        <is>
          <t>Recepcion de orden planificada</t>
        </is>
      </c>
      <c r="D2431" s="64" t="n"/>
      <c r="E2431" s="65">
        <f>IF(E2430&lt;=0,0,IF(Materiales!$G$350&lt;=0,E2430,ROUNDUP(E2430/Materiales!$G$350,0)*Materiales!$G$350))</f>
        <v/>
      </c>
      <c r="F2431" s="65">
        <f>IF(F2430&lt;=0,0,IF(Materiales!$G$350&lt;=0,F2430,ROUNDUP(F2430/Materiales!$G$350,0)*Materiales!$G$350))</f>
        <v/>
      </c>
      <c r="G2431" s="65">
        <f>IF(G2430&lt;=0,0,IF(Materiales!$G$350&lt;=0,G2430,ROUNDUP(G2430/Materiales!$G$350,0)*Materiales!$G$350))</f>
        <v/>
      </c>
      <c r="H2431" s="65">
        <f>IF(H2430&lt;=0,0,IF(Materiales!$G$350&lt;=0,H2430,ROUNDUP(H2430/Materiales!$G$350,0)*Materiales!$G$350))</f>
        <v/>
      </c>
      <c r="I2431" s="65">
        <f>IF(I2430&lt;=0,0,IF(Materiales!$G$350&lt;=0,I2430,ROUNDUP(I2430/Materiales!$G$350,0)*Materiales!$G$350))</f>
        <v/>
      </c>
      <c r="J2431" s="65">
        <f>IF(J2430&lt;=0,0,IF(Materiales!$G$350&lt;=0,J2430,ROUNDUP(J2430/Materiales!$G$350,0)*Materiales!$G$350))</f>
        <v/>
      </c>
      <c r="K2431" s="65">
        <f>IF(K2430&lt;=0,0,IF(Materiales!$G$350&lt;=0,K2430,ROUNDUP(K2430/Materiales!$G$350,0)*Materiales!$G$350))</f>
        <v/>
      </c>
      <c r="L2431" s="65">
        <f>IF(L2430&lt;=0,0,IF(Materiales!$G$350&lt;=0,L2430,ROUNDUP(L2430/Materiales!$G$350,0)*Materiales!$G$350))</f>
        <v/>
      </c>
      <c r="M2431" s="66" t="n"/>
    </row>
    <row r="2432">
      <c r="C2432" s="70" t="inlineStr">
        <is>
          <t>LANZAMIENTO DE ORDEN — pedir esta semana</t>
        </is>
      </c>
      <c r="D2432" s="64" t="n"/>
      <c r="E2432" s="71">
        <f>IF(1+Materiales!$F$350&gt;8,0,INDEX($E$2431:$L$2431,1,1+Materiales!$F$350))</f>
        <v/>
      </c>
      <c r="F2432" s="71">
        <f>IF(2+Materiales!$F$350&gt;8,0,INDEX($E$2431:$L$2431,1,2+Materiales!$F$350))</f>
        <v/>
      </c>
      <c r="G2432" s="71">
        <f>IF(3+Materiales!$F$350&gt;8,0,INDEX($E$2431:$L$2431,1,3+Materiales!$F$350))</f>
        <v/>
      </c>
      <c r="H2432" s="71">
        <f>IF(4+Materiales!$F$350&gt;8,0,INDEX($E$2431:$L$2431,1,4+Materiales!$F$350))</f>
        <v/>
      </c>
      <c r="I2432" s="71">
        <f>IF(5+Materiales!$F$350&gt;8,0,INDEX($E$2431:$L$2431,1,5+Materiales!$F$350))</f>
        <v/>
      </c>
      <c r="J2432" s="71">
        <f>IF(6+Materiales!$F$350&gt;8,0,INDEX($E$2431:$L$2431,1,6+Materiales!$F$350))</f>
        <v/>
      </c>
      <c r="K2432" s="71">
        <f>IF(7+Materiales!$F$350&gt;8,0,INDEX($E$2431:$L$2431,1,7+Materiales!$F$350))</f>
        <v/>
      </c>
      <c r="L2432" s="71">
        <f>IF(8+Materiales!$F$350&gt;8,0,INDEX($E$2431:$L$2431,1,8+Materiales!$F$350))</f>
        <v/>
      </c>
      <c r="M2432" s="72">
        <f>IF($A2427="","",IF(SUMPRODUCT((COLUMN($E$2431:$L$2431)-4&lt;=Materiales!$F$350)*$E$2431:$L$2431)&gt;0,"PEDIR YA (atrasado)","OK"))</f>
        <v/>
      </c>
    </row>
    <row r="2433" ht="6" customHeight="1"/>
    <row r="2434">
      <c r="A2434" s="62">
        <f>IF(Materiales!$A$351="","",Materiales!$A$351)</f>
        <v/>
      </c>
      <c r="B2434" s="62">
        <f>IF(Materiales!$B$351="","",Materiales!$B$351)</f>
        <v/>
      </c>
      <c r="C2434" s="63" t="inlineStr">
        <is>
          <t>Necesidad bruta</t>
        </is>
      </c>
      <c r="D2434" s="64" t="n"/>
      <c r="E2434" s="65">
        <f>ROUND(SUMIF(Consumo!$P$4:$P$189,"#"&amp;$A2434,Consumo!H$4:H$189),4)</f>
        <v/>
      </c>
      <c r="F2434" s="65">
        <f>ROUND(SUMIF(Consumo!$P$4:$P$189,"#"&amp;$A2434,Consumo!I$4:I$189),4)</f>
        <v/>
      </c>
      <c r="G2434" s="65">
        <f>ROUND(SUMIF(Consumo!$P$4:$P$189,"#"&amp;$A2434,Consumo!J$4:J$189),4)</f>
        <v/>
      </c>
      <c r="H2434" s="65">
        <f>ROUND(SUMIF(Consumo!$P$4:$P$189,"#"&amp;$A2434,Consumo!K$4:K$189),4)</f>
        <v/>
      </c>
      <c r="I2434" s="65">
        <f>ROUND(SUMIF(Consumo!$P$4:$P$189,"#"&amp;$A2434,Consumo!L$4:L$189),4)</f>
        <v/>
      </c>
      <c r="J2434" s="65">
        <f>ROUND(SUMIF(Consumo!$P$4:$P$189,"#"&amp;$A2434,Consumo!M$4:M$189),4)</f>
        <v/>
      </c>
      <c r="K2434" s="65">
        <f>ROUND(SUMIF(Consumo!$P$4:$P$189,"#"&amp;$A2434,Consumo!N$4:N$189),4)</f>
        <v/>
      </c>
      <c r="L2434" s="65">
        <f>ROUND(SUMIF(Consumo!$P$4:$P$189,"#"&amp;$A2434,Consumo!O$4:O$189),4)</f>
        <v/>
      </c>
      <c r="M2434" s="66" t="n"/>
    </row>
    <row r="2435">
      <c r="C2435" s="63" t="inlineStr">
        <is>
          <t>Recepciones programadas (ya pedido)</t>
        </is>
      </c>
      <c r="D2435" s="64" t="n"/>
      <c r="E2435" s="65">
        <f>SUMIF(Inventario!$M$5:$M$505,"#"&amp;$A2434,Inventario!E$5:E$505)</f>
        <v/>
      </c>
      <c r="F2435" s="65">
        <f>SUMIF(Inventario!$M$5:$M$505,"#"&amp;$A2434,Inventario!F$5:F$505)</f>
        <v/>
      </c>
      <c r="G2435" s="65">
        <f>SUMIF(Inventario!$M$5:$M$505,"#"&amp;$A2434,Inventario!G$5:G$505)</f>
        <v/>
      </c>
      <c r="H2435" s="65">
        <f>SUMIF(Inventario!$M$5:$M$505,"#"&amp;$A2434,Inventario!H$5:H$505)</f>
        <v/>
      </c>
      <c r="I2435" s="65">
        <f>SUMIF(Inventario!$M$5:$M$505,"#"&amp;$A2434,Inventario!I$5:I$505)</f>
        <v/>
      </c>
      <c r="J2435" s="65">
        <f>SUMIF(Inventario!$M$5:$M$505,"#"&amp;$A2434,Inventario!J$5:J$505)</f>
        <v/>
      </c>
      <c r="K2435" s="65">
        <f>SUMIF(Inventario!$M$5:$M$505,"#"&amp;$A2434,Inventario!K$5:K$505)</f>
        <v/>
      </c>
      <c r="L2435" s="65">
        <f>SUMIF(Inventario!$M$5:$M$505,"#"&amp;$A2434,Inventario!L$5:L$505)</f>
        <v/>
      </c>
      <c r="M2435" s="66" t="n"/>
    </row>
    <row r="2436">
      <c r="C2436" s="63" t="inlineStr">
        <is>
          <t>Stock proyectado disponible</t>
        </is>
      </c>
      <c r="D2436" s="67">
        <f>SUMIF(Inventario!$M$5:$M$505,"#"&amp;$A2434,Inventario!$C$5:$C$505)</f>
        <v/>
      </c>
      <c r="E2436" s="68">
        <f>D2436+E2435+E2438-E2434</f>
        <v/>
      </c>
      <c r="F2436" s="68">
        <f>E2436+F2435+F2438-F2434</f>
        <v/>
      </c>
      <c r="G2436" s="68">
        <f>F2436+G2435+G2438-G2434</f>
        <v/>
      </c>
      <c r="H2436" s="68">
        <f>G2436+H2435+H2438-H2434</f>
        <v/>
      </c>
      <c r="I2436" s="68">
        <f>H2436+I2435+I2438-I2434</f>
        <v/>
      </c>
      <c r="J2436" s="68">
        <f>I2436+J2435+J2438-J2434</f>
        <v/>
      </c>
      <c r="K2436" s="68">
        <f>J2436+K2435+K2438-K2434</f>
        <v/>
      </c>
      <c r="L2436" s="68">
        <f>K2436+L2435+L2438-L2434</f>
        <v/>
      </c>
      <c r="M2436" s="66" t="n"/>
    </row>
    <row r="2437">
      <c r="C2437" s="63" t="inlineStr">
        <is>
          <t>Necesidad neta</t>
        </is>
      </c>
      <c r="D2437" s="64" t="n"/>
      <c r="E2437" s="69">
        <f>MAX(0,ROUND(E2434+Materiales!$H$351-D2436-E2435,4))</f>
        <v/>
      </c>
      <c r="F2437" s="69">
        <f>MAX(0,ROUND(F2434+Materiales!$H$351-E2436-F2435,4))</f>
        <v/>
      </c>
      <c r="G2437" s="69">
        <f>MAX(0,ROUND(G2434+Materiales!$H$351-F2436-G2435,4))</f>
        <v/>
      </c>
      <c r="H2437" s="69">
        <f>MAX(0,ROUND(H2434+Materiales!$H$351-G2436-H2435,4))</f>
        <v/>
      </c>
      <c r="I2437" s="69">
        <f>MAX(0,ROUND(I2434+Materiales!$H$351-H2436-I2435,4))</f>
        <v/>
      </c>
      <c r="J2437" s="69">
        <f>MAX(0,ROUND(J2434+Materiales!$H$351-I2436-J2435,4))</f>
        <v/>
      </c>
      <c r="K2437" s="69">
        <f>MAX(0,ROUND(K2434+Materiales!$H$351-J2436-K2435,4))</f>
        <v/>
      </c>
      <c r="L2437" s="69">
        <f>MAX(0,ROUND(L2434+Materiales!$H$351-K2436-L2435,4))</f>
        <v/>
      </c>
      <c r="M2437" s="66" t="n"/>
    </row>
    <row r="2438">
      <c r="C2438" s="63" t="inlineStr">
        <is>
          <t>Recepcion de orden planificada</t>
        </is>
      </c>
      <c r="D2438" s="64" t="n"/>
      <c r="E2438" s="65">
        <f>IF(E2437&lt;=0,0,IF(Materiales!$G$351&lt;=0,E2437,ROUNDUP(E2437/Materiales!$G$351,0)*Materiales!$G$351))</f>
        <v/>
      </c>
      <c r="F2438" s="65">
        <f>IF(F2437&lt;=0,0,IF(Materiales!$G$351&lt;=0,F2437,ROUNDUP(F2437/Materiales!$G$351,0)*Materiales!$G$351))</f>
        <v/>
      </c>
      <c r="G2438" s="65">
        <f>IF(G2437&lt;=0,0,IF(Materiales!$G$351&lt;=0,G2437,ROUNDUP(G2437/Materiales!$G$351,0)*Materiales!$G$351))</f>
        <v/>
      </c>
      <c r="H2438" s="65">
        <f>IF(H2437&lt;=0,0,IF(Materiales!$G$351&lt;=0,H2437,ROUNDUP(H2437/Materiales!$G$351,0)*Materiales!$G$351))</f>
        <v/>
      </c>
      <c r="I2438" s="65">
        <f>IF(I2437&lt;=0,0,IF(Materiales!$G$351&lt;=0,I2437,ROUNDUP(I2437/Materiales!$G$351,0)*Materiales!$G$351))</f>
        <v/>
      </c>
      <c r="J2438" s="65">
        <f>IF(J2437&lt;=0,0,IF(Materiales!$G$351&lt;=0,J2437,ROUNDUP(J2437/Materiales!$G$351,0)*Materiales!$G$351))</f>
        <v/>
      </c>
      <c r="K2438" s="65">
        <f>IF(K2437&lt;=0,0,IF(Materiales!$G$351&lt;=0,K2437,ROUNDUP(K2437/Materiales!$G$351,0)*Materiales!$G$351))</f>
        <v/>
      </c>
      <c r="L2438" s="65">
        <f>IF(L2437&lt;=0,0,IF(Materiales!$G$351&lt;=0,L2437,ROUNDUP(L2437/Materiales!$G$351,0)*Materiales!$G$351))</f>
        <v/>
      </c>
      <c r="M2438" s="66" t="n"/>
    </row>
    <row r="2439">
      <c r="C2439" s="70" t="inlineStr">
        <is>
          <t>LANZAMIENTO DE ORDEN — pedir esta semana</t>
        </is>
      </c>
      <c r="D2439" s="64" t="n"/>
      <c r="E2439" s="71">
        <f>IF(1+Materiales!$F$351&gt;8,0,INDEX($E$2438:$L$2438,1,1+Materiales!$F$351))</f>
        <v/>
      </c>
      <c r="F2439" s="71">
        <f>IF(2+Materiales!$F$351&gt;8,0,INDEX($E$2438:$L$2438,1,2+Materiales!$F$351))</f>
        <v/>
      </c>
      <c r="G2439" s="71">
        <f>IF(3+Materiales!$F$351&gt;8,0,INDEX($E$2438:$L$2438,1,3+Materiales!$F$351))</f>
        <v/>
      </c>
      <c r="H2439" s="71">
        <f>IF(4+Materiales!$F$351&gt;8,0,INDEX($E$2438:$L$2438,1,4+Materiales!$F$351))</f>
        <v/>
      </c>
      <c r="I2439" s="71">
        <f>IF(5+Materiales!$F$351&gt;8,0,INDEX($E$2438:$L$2438,1,5+Materiales!$F$351))</f>
        <v/>
      </c>
      <c r="J2439" s="71">
        <f>IF(6+Materiales!$F$351&gt;8,0,INDEX($E$2438:$L$2438,1,6+Materiales!$F$351))</f>
        <v/>
      </c>
      <c r="K2439" s="71">
        <f>IF(7+Materiales!$F$351&gt;8,0,INDEX($E$2438:$L$2438,1,7+Materiales!$F$351))</f>
        <v/>
      </c>
      <c r="L2439" s="71">
        <f>IF(8+Materiales!$F$351&gt;8,0,INDEX($E$2438:$L$2438,1,8+Materiales!$F$351))</f>
        <v/>
      </c>
      <c r="M2439" s="72">
        <f>IF($A2434="","",IF(SUMPRODUCT((COLUMN($E$2438:$L$2438)-4&lt;=Materiales!$F$351)*$E$2438:$L$2438)&gt;0,"PEDIR YA (atrasado)","OK"))</f>
        <v/>
      </c>
    </row>
    <row r="2440" ht="6" customHeight="1"/>
    <row r="2441">
      <c r="A2441" s="62">
        <f>IF(Materiales!$A$352="","",Materiales!$A$352)</f>
        <v/>
      </c>
      <c r="B2441" s="62">
        <f>IF(Materiales!$B$352="","",Materiales!$B$352)</f>
        <v/>
      </c>
      <c r="C2441" s="63" t="inlineStr">
        <is>
          <t>Necesidad bruta</t>
        </is>
      </c>
      <c r="D2441" s="64" t="n"/>
      <c r="E2441" s="65">
        <f>ROUND(SUMIF(Consumo!$P$4:$P$189,"#"&amp;$A2441,Consumo!H$4:H$189),4)</f>
        <v/>
      </c>
      <c r="F2441" s="65">
        <f>ROUND(SUMIF(Consumo!$P$4:$P$189,"#"&amp;$A2441,Consumo!I$4:I$189),4)</f>
        <v/>
      </c>
      <c r="G2441" s="65">
        <f>ROUND(SUMIF(Consumo!$P$4:$P$189,"#"&amp;$A2441,Consumo!J$4:J$189),4)</f>
        <v/>
      </c>
      <c r="H2441" s="65">
        <f>ROUND(SUMIF(Consumo!$P$4:$P$189,"#"&amp;$A2441,Consumo!K$4:K$189),4)</f>
        <v/>
      </c>
      <c r="I2441" s="65">
        <f>ROUND(SUMIF(Consumo!$P$4:$P$189,"#"&amp;$A2441,Consumo!L$4:L$189),4)</f>
        <v/>
      </c>
      <c r="J2441" s="65">
        <f>ROUND(SUMIF(Consumo!$P$4:$P$189,"#"&amp;$A2441,Consumo!M$4:M$189),4)</f>
        <v/>
      </c>
      <c r="K2441" s="65">
        <f>ROUND(SUMIF(Consumo!$P$4:$P$189,"#"&amp;$A2441,Consumo!N$4:N$189),4)</f>
        <v/>
      </c>
      <c r="L2441" s="65">
        <f>ROUND(SUMIF(Consumo!$P$4:$P$189,"#"&amp;$A2441,Consumo!O$4:O$189),4)</f>
        <v/>
      </c>
      <c r="M2441" s="66" t="n"/>
    </row>
    <row r="2442">
      <c r="C2442" s="63" t="inlineStr">
        <is>
          <t>Recepciones programadas (ya pedido)</t>
        </is>
      </c>
      <c r="D2442" s="64" t="n"/>
      <c r="E2442" s="65">
        <f>SUMIF(Inventario!$M$5:$M$505,"#"&amp;$A2441,Inventario!E$5:E$505)</f>
        <v/>
      </c>
      <c r="F2442" s="65">
        <f>SUMIF(Inventario!$M$5:$M$505,"#"&amp;$A2441,Inventario!F$5:F$505)</f>
        <v/>
      </c>
      <c r="G2442" s="65">
        <f>SUMIF(Inventario!$M$5:$M$505,"#"&amp;$A2441,Inventario!G$5:G$505)</f>
        <v/>
      </c>
      <c r="H2442" s="65">
        <f>SUMIF(Inventario!$M$5:$M$505,"#"&amp;$A2441,Inventario!H$5:H$505)</f>
        <v/>
      </c>
      <c r="I2442" s="65">
        <f>SUMIF(Inventario!$M$5:$M$505,"#"&amp;$A2441,Inventario!I$5:I$505)</f>
        <v/>
      </c>
      <c r="J2442" s="65">
        <f>SUMIF(Inventario!$M$5:$M$505,"#"&amp;$A2441,Inventario!J$5:J$505)</f>
        <v/>
      </c>
      <c r="K2442" s="65">
        <f>SUMIF(Inventario!$M$5:$M$505,"#"&amp;$A2441,Inventario!K$5:K$505)</f>
        <v/>
      </c>
      <c r="L2442" s="65">
        <f>SUMIF(Inventario!$M$5:$M$505,"#"&amp;$A2441,Inventario!L$5:L$505)</f>
        <v/>
      </c>
      <c r="M2442" s="66" t="n"/>
    </row>
    <row r="2443">
      <c r="C2443" s="63" t="inlineStr">
        <is>
          <t>Stock proyectado disponible</t>
        </is>
      </c>
      <c r="D2443" s="67">
        <f>SUMIF(Inventario!$M$5:$M$505,"#"&amp;$A2441,Inventario!$C$5:$C$505)</f>
        <v/>
      </c>
      <c r="E2443" s="68">
        <f>D2443+E2442+E2445-E2441</f>
        <v/>
      </c>
      <c r="F2443" s="68">
        <f>E2443+F2442+F2445-F2441</f>
        <v/>
      </c>
      <c r="G2443" s="68">
        <f>F2443+G2442+G2445-G2441</f>
        <v/>
      </c>
      <c r="H2443" s="68">
        <f>G2443+H2442+H2445-H2441</f>
        <v/>
      </c>
      <c r="I2443" s="68">
        <f>H2443+I2442+I2445-I2441</f>
        <v/>
      </c>
      <c r="J2443" s="68">
        <f>I2443+J2442+J2445-J2441</f>
        <v/>
      </c>
      <c r="K2443" s="68">
        <f>J2443+K2442+K2445-K2441</f>
        <v/>
      </c>
      <c r="L2443" s="68">
        <f>K2443+L2442+L2445-L2441</f>
        <v/>
      </c>
      <c r="M2443" s="66" t="n"/>
    </row>
    <row r="2444">
      <c r="C2444" s="63" t="inlineStr">
        <is>
          <t>Necesidad neta</t>
        </is>
      </c>
      <c r="D2444" s="64" t="n"/>
      <c r="E2444" s="69">
        <f>MAX(0,ROUND(E2441+Materiales!$H$352-D2443-E2442,4))</f>
        <v/>
      </c>
      <c r="F2444" s="69">
        <f>MAX(0,ROUND(F2441+Materiales!$H$352-E2443-F2442,4))</f>
        <v/>
      </c>
      <c r="G2444" s="69">
        <f>MAX(0,ROUND(G2441+Materiales!$H$352-F2443-G2442,4))</f>
        <v/>
      </c>
      <c r="H2444" s="69">
        <f>MAX(0,ROUND(H2441+Materiales!$H$352-G2443-H2442,4))</f>
        <v/>
      </c>
      <c r="I2444" s="69">
        <f>MAX(0,ROUND(I2441+Materiales!$H$352-H2443-I2442,4))</f>
        <v/>
      </c>
      <c r="J2444" s="69">
        <f>MAX(0,ROUND(J2441+Materiales!$H$352-I2443-J2442,4))</f>
        <v/>
      </c>
      <c r="K2444" s="69">
        <f>MAX(0,ROUND(K2441+Materiales!$H$352-J2443-K2442,4))</f>
        <v/>
      </c>
      <c r="L2444" s="69">
        <f>MAX(0,ROUND(L2441+Materiales!$H$352-K2443-L2442,4))</f>
        <v/>
      </c>
      <c r="M2444" s="66" t="n"/>
    </row>
    <row r="2445">
      <c r="C2445" s="63" t="inlineStr">
        <is>
          <t>Recepcion de orden planificada</t>
        </is>
      </c>
      <c r="D2445" s="64" t="n"/>
      <c r="E2445" s="65">
        <f>IF(E2444&lt;=0,0,IF(Materiales!$G$352&lt;=0,E2444,ROUNDUP(E2444/Materiales!$G$352,0)*Materiales!$G$352))</f>
        <v/>
      </c>
      <c r="F2445" s="65">
        <f>IF(F2444&lt;=0,0,IF(Materiales!$G$352&lt;=0,F2444,ROUNDUP(F2444/Materiales!$G$352,0)*Materiales!$G$352))</f>
        <v/>
      </c>
      <c r="G2445" s="65">
        <f>IF(G2444&lt;=0,0,IF(Materiales!$G$352&lt;=0,G2444,ROUNDUP(G2444/Materiales!$G$352,0)*Materiales!$G$352))</f>
        <v/>
      </c>
      <c r="H2445" s="65">
        <f>IF(H2444&lt;=0,0,IF(Materiales!$G$352&lt;=0,H2444,ROUNDUP(H2444/Materiales!$G$352,0)*Materiales!$G$352))</f>
        <v/>
      </c>
      <c r="I2445" s="65">
        <f>IF(I2444&lt;=0,0,IF(Materiales!$G$352&lt;=0,I2444,ROUNDUP(I2444/Materiales!$G$352,0)*Materiales!$G$352))</f>
        <v/>
      </c>
      <c r="J2445" s="65">
        <f>IF(J2444&lt;=0,0,IF(Materiales!$G$352&lt;=0,J2444,ROUNDUP(J2444/Materiales!$G$352,0)*Materiales!$G$352))</f>
        <v/>
      </c>
      <c r="K2445" s="65">
        <f>IF(K2444&lt;=0,0,IF(Materiales!$G$352&lt;=0,K2444,ROUNDUP(K2444/Materiales!$G$352,0)*Materiales!$G$352))</f>
        <v/>
      </c>
      <c r="L2445" s="65">
        <f>IF(L2444&lt;=0,0,IF(Materiales!$G$352&lt;=0,L2444,ROUNDUP(L2444/Materiales!$G$352,0)*Materiales!$G$352))</f>
        <v/>
      </c>
      <c r="M2445" s="66" t="n"/>
    </row>
    <row r="2446">
      <c r="C2446" s="70" t="inlineStr">
        <is>
          <t>LANZAMIENTO DE ORDEN — pedir esta semana</t>
        </is>
      </c>
      <c r="D2446" s="64" t="n"/>
      <c r="E2446" s="71">
        <f>IF(1+Materiales!$F$352&gt;8,0,INDEX($E$2445:$L$2445,1,1+Materiales!$F$352))</f>
        <v/>
      </c>
      <c r="F2446" s="71">
        <f>IF(2+Materiales!$F$352&gt;8,0,INDEX($E$2445:$L$2445,1,2+Materiales!$F$352))</f>
        <v/>
      </c>
      <c r="G2446" s="71">
        <f>IF(3+Materiales!$F$352&gt;8,0,INDEX($E$2445:$L$2445,1,3+Materiales!$F$352))</f>
        <v/>
      </c>
      <c r="H2446" s="71">
        <f>IF(4+Materiales!$F$352&gt;8,0,INDEX($E$2445:$L$2445,1,4+Materiales!$F$352))</f>
        <v/>
      </c>
      <c r="I2446" s="71">
        <f>IF(5+Materiales!$F$352&gt;8,0,INDEX($E$2445:$L$2445,1,5+Materiales!$F$352))</f>
        <v/>
      </c>
      <c r="J2446" s="71">
        <f>IF(6+Materiales!$F$352&gt;8,0,INDEX($E$2445:$L$2445,1,6+Materiales!$F$352))</f>
        <v/>
      </c>
      <c r="K2446" s="71">
        <f>IF(7+Materiales!$F$352&gt;8,0,INDEX($E$2445:$L$2445,1,7+Materiales!$F$352))</f>
        <v/>
      </c>
      <c r="L2446" s="71">
        <f>IF(8+Materiales!$F$352&gt;8,0,INDEX($E$2445:$L$2445,1,8+Materiales!$F$352))</f>
        <v/>
      </c>
      <c r="M2446" s="72">
        <f>IF($A2441="","",IF(SUMPRODUCT((COLUMN($E$2445:$L$2445)-4&lt;=Materiales!$F$352)*$E$2445:$L$2445)&gt;0,"PEDIR YA (atrasado)","OK"))</f>
        <v/>
      </c>
    </row>
    <row r="2447" ht="6" customHeight="1"/>
    <row r="2448">
      <c r="A2448" s="62">
        <f>IF(Materiales!$A$353="","",Materiales!$A$353)</f>
        <v/>
      </c>
      <c r="B2448" s="62">
        <f>IF(Materiales!$B$353="","",Materiales!$B$353)</f>
        <v/>
      </c>
      <c r="C2448" s="63" t="inlineStr">
        <is>
          <t>Necesidad bruta</t>
        </is>
      </c>
      <c r="D2448" s="64" t="n"/>
      <c r="E2448" s="65">
        <f>ROUND(SUMIF(Consumo!$P$4:$P$189,"#"&amp;$A2448,Consumo!H$4:H$189),4)</f>
        <v/>
      </c>
      <c r="F2448" s="65">
        <f>ROUND(SUMIF(Consumo!$P$4:$P$189,"#"&amp;$A2448,Consumo!I$4:I$189),4)</f>
        <v/>
      </c>
      <c r="G2448" s="65">
        <f>ROUND(SUMIF(Consumo!$P$4:$P$189,"#"&amp;$A2448,Consumo!J$4:J$189),4)</f>
        <v/>
      </c>
      <c r="H2448" s="65">
        <f>ROUND(SUMIF(Consumo!$P$4:$P$189,"#"&amp;$A2448,Consumo!K$4:K$189),4)</f>
        <v/>
      </c>
      <c r="I2448" s="65">
        <f>ROUND(SUMIF(Consumo!$P$4:$P$189,"#"&amp;$A2448,Consumo!L$4:L$189),4)</f>
        <v/>
      </c>
      <c r="J2448" s="65">
        <f>ROUND(SUMIF(Consumo!$P$4:$P$189,"#"&amp;$A2448,Consumo!M$4:M$189),4)</f>
        <v/>
      </c>
      <c r="K2448" s="65">
        <f>ROUND(SUMIF(Consumo!$P$4:$P$189,"#"&amp;$A2448,Consumo!N$4:N$189),4)</f>
        <v/>
      </c>
      <c r="L2448" s="65">
        <f>ROUND(SUMIF(Consumo!$P$4:$P$189,"#"&amp;$A2448,Consumo!O$4:O$189),4)</f>
        <v/>
      </c>
      <c r="M2448" s="66" t="n"/>
    </row>
    <row r="2449">
      <c r="C2449" s="63" t="inlineStr">
        <is>
          <t>Recepciones programadas (ya pedido)</t>
        </is>
      </c>
      <c r="D2449" s="64" t="n"/>
      <c r="E2449" s="65">
        <f>SUMIF(Inventario!$M$5:$M$505,"#"&amp;$A2448,Inventario!E$5:E$505)</f>
        <v/>
      </c>
      <c r="F2449" s="65">
        <f>SUMIF(Inventario!$M$5:$M$505,"#"&amp;$A2448,Inventario!F$5:F$505)</f>
        <v/>
      </c>
      <c r="G2449" s="65">
        <f>SUMIF(Inventario!$M$5:$M$505,"#"&amp;$A2448,Inventario!G$5:G$505)</f>
        <v/>
      </c>
      <c r="H2449" s="65">
        <f>SUMIF(Inventario!$M$5:$M$505,"#"&amp;$A2448,Inventario!H$5:H$505)</f>
        <v/>
      </c>
      <c r="I2449" s="65">
        <f>SUMIF(Inventario!$M$5:$M$505,"#"&amp;$A2448,Inventario!I$5:I$505)</f>
        <v/>
      </c>
      <c r="J2449" s="65">
        <f>SUMIF(Inventario!$M$5:$M$505,"#"&amp;$A2448,Inventario!J$5:J$505)</f>
        <v/>
      </c>
      <c r="K2449" s="65">
        <f>SUMIF(Inventario!$M$5:$M$505,"#"&amp;$A2448,Inventario!K$5:K$505)</f>
        <v/>
      </c>
      <c r="L2449" s="65">
        <f>SUMIF(Inventario!$M$5:$M$505,"#"&amp;$A2448,Inventario!L$5:L$505)</f>
        <v/>
      </c>
      <c r="M2449" s="66" t="n"/>
    </row>
    <row r="2450">
      <c r="C2450" s="63" t="inlineStr">
        <is>
          <t>Stock proyectado disponible</t>
        </is>
      </c>
      <c r="D2450" s="67">
        <f>SUMIF(Inventario!$M$5:$M$505,"#"&amp;$A2448,Inventario!$C$5:$C$505)</f>
        <v/>
      </c>
      <c r="E2450" s="68">
        <f>D2450+E2449+E2452-E2448</f>
        <v/>
      </c>
      <c r="F2450" s="68">
        <f>E2450+F2449+F2452-F2448</f>
        <v/>
      </c>
      <c r="G2450" s="68">
        <f>F2450+G2449+G2452-G2448</f>
        <v/>
      </c>
      <c r="H2450" s="68">
        <f>G2450+H2449+H2452-H2448</f>
        <v/>
      </c>
      <c r="I2450" s="68">
        <f>H2450+I2449+I2452-I2448</f>
        <v/>
      </c>
      <c r="J2450" s="68">
        <f>I2450+J2449+J2452-J2448</f>
        <v/>
      </c>
      <c r="K2450" s="68">
        <f>J2450+K2449+K2452-K2448</f>
        <v/>
      </c>
      <c r="L2450" s="68">
        <f>K2450+L2449+L2452-L2448</f>
        <v/>
      </c>
      <c r="M2450" s="66" t="n"/>
    </row>
    <row r="2451">
      <c r="C2451" s="63" t="inlineStr">
        <is>
          <t>Necesidad neta</t>
        </is>
      </c>
      <c r="D2451" s="64" t="n"/>
      <c r="E2451" s="69">
        <f>MAX(0,ROUND(E2448+Materiales!$H$353-D2450-E2449,4))</f>
        <v/>
      </c>
      <c r="F2451" s="69">
        <f>MAX(0,ROUND(F2448+Materiales!$H$353-E2450-F2449,4))</f>
        <v/>
      </c>
      <c r="G2451" s="69">
        <f>MAX(0,ROUND(G2448+Materiales!$H$353-F2450-G2449,4))</f>
        <v/>
      </c>
      <c r="H2451" s="69">
        <f>MAX(0,ROUND(H2448+Materiales!$H$353-G2450-H2449,4))</f>
        <v/>
      </c>
      <c r="I2451" s="69">
        <f>MAX(0,ROUND(I2448+Materiales!$H$353-H2450-I2449,4))</f>
        <v/>
      </c>
      <c r="J2451" s="69">
        <f>MAX(0,ROUND(J2448+Materiales!$H$353-I2450-J2449,4))</f>
        <v/>
      </c>
      <c r="K2451" s="69">
        <f>MAX(0,ROUND(K2448+Materiales!$H$353-J2450-K2449,4))</f>
        <v/>
      </c>
      <c r="L2451" s="69">
        <f>MAX(0,ROUND(L2448+Materiales!$H$353-K2450-L2449,4))</f>
        <v/>
      </c>
      <c r="M2451" s="66" t="n"/>
    </row>
    <row r="2452">
      <c r="C2452" s="63" t="inlineStr">
        <is>
          <t>Recepcion de orden planificada</t>
        </is>
      </c>
      <c r="D2452" s="64" t="n"/>
      <c r="E2452" s="65">
        <f>IF(E2451&lt;=0,0,IF(Materiales!$G$353&lt;=0,E2451,ROUNDUP(E2451/Materiales!$G$353,0)*Materiales!$G$353))</f>
        <v/>
      </c>
      <c r="F2452" s="65">
        <f>IF(F2451&lt;=0,0,IF(Materiales!$G$353&lt;=0,F2451,ROUNDUP(F2451/Materiales!$G$353,0)*Materiales!$G$353))</f>
        <v/>
      </c>
      <c r="G2452" s="65">
        <f>IF(G2451&lt;=0,0,IF(Materiales!$G$353&lt;=0,G2451,ROUNDUP(G2451/Materiales!$G$353,0)*Materiales!$G$353))</f>
        <v/>
      </c>
      <c r="H2452" s="65">
        <f>IF(H2451&lt;=0,0,IF(Materiales!$G$353&lt;=0,H2451,ROUNDUP(H2451/Materiales!$G$353,0)*Materiales!$G$353))</f>
        <v/>
      </c>
      <c r="I2452" s="65">
        <f>IF(I2451&lt;=0,0,IF(Materiales!$G$353&lt;=0,I2451,ROUNDUP(I2451/Materiales!$G$353,0)*Materiales!$G$353))</f>
        <v/>
      </c>
      <c r="J2452" s="65">
        <f>IF(J2451&lt;=0,0,IF(Materiales!$G$353&lt;=0,J2451,ROUNDUP(J2451/Materiales!$G$353,0)*Materiales!$G$353))</f>
        <v/>
      </c>
      <c r="K2452" s="65">
        <f>IF(K2451&lt;=0,0,IF(Materiales!$G$353&lt;=0,K2451,ROUNDUP(K2451/Materiales!$G$353,0)*Materiales!$G$353))</f>
        <v/>
      </c>
      <c r="L2452" s="65">
        <f>IF(L2451&lt;=0,0,IF(Materiales!$G$353&lt;=0,L2451,ROUNDUP(L2451/Materiales!$G$353,0)*Materiales!$G$353))</f>
        <v/>
      </c>
      <c r="M2452" s="66" t="n"/>
    </row>
    <row r="2453">
      <c r="C2453" s="70" t="inlineStr">
        <is>
          <t>LANZAMIENTO DE ORDEN — pedir esta semana</t>
        </is>
      </c>
      <c r="D2453" s="64" t="n"/>
      <c r="E2453" s="71">
        <f>IF(1+Materiales!$F$353&gt;8,0,INDEX($E$2452:$L$2452,1,1+Materiales!$F$353))</f>
        <v/>
      </c>
      <c r="F2453" s="71">
        <f>IF(2+Materiales!$F$353&gt;8,0,INDEX($E$2452:$L$2452,1,2+Materiales!$F$353))</f>
        <v/>
      </c>
      <c r="G2453" s="71">
        <f>IF(3+Materiales!$F$353&gt;8,0,INDEX($E$2452:$L$2452,1,3+Materiales!$F$353))</f>
        <v/>
      </c>
      <c r="H2453" s="71">
        <f>IF(4+Materiales!$F$353&gt;8,0,INDEX($E$2452:$L$2452,1,4+Materiales!$F$353))</f>
        <v/>
      </c>
      <c r="I2453" s="71">
        <f>IF(5+Materiales!$F$353&gt;8,0,INDEX($E$2452:$L$2452,1,5+Materiales!$F$353))</f>
        <v/>
      </c>
      <c r="J2453" s="71">
        <f>IF(6+Materiales!$F$353&gt;8,0,INDEX($E$2452:$L$2452,1,6+Materiales!$F$353))</f>
        <v/>
      </c>
      <c r="K2453" s="71">
        <f>IF(7+Materiales!$F$353&gt;8,0,INDEX($E$2452:$L$2452,1,7+Materiales!$F$353))</f>
        <v/>
      </c>
      <c r="L2453" s="71">
        <f>IF(8+Materiales!$F$353&gt;8,0,INDEX($E$2452:$L$2452,1,8+Materiales!$F$353))</f>
        <v/>
      </c>
      <c r="M2453" s="72">
        <f>IF($A2448="","",IF(SUMPRODUCT((COLUMN($E$2452:$L$2452)-4&lt;=Materiales!$F$353)*$E$2452:$L$2452)&gt;0,"PEDIR YA (atrasado)","OK"))</f>
        <v/>
      </c>
    </row>
    <row r="2454" ht="6" customHeight="1"/>
    <row r="2455">
      <c r="A2455" s="62">
        <f>IF(Materiales!$A$354="","",Materiales!$A$354)</f>
        <v/>
      </c>
      <c r="B2455" s="62">
        <f>IF(Materiales!$B$354="","",Materiales!$B$354)</f>
        <v/>
      </c>
      <c r="C2455" s="63" t="inlineStr">
        <is>
          <t>Necesidad bruta</t>
        </is>
      </c>
      <c r="D2455" s="64" t="n"/>
      <c r="E2455" s="65">
        <f>ROUND(SUMIF(Consumo!$P$4:$P$189,"#"&amp;$A2455,Consumo!H$4:H$189),4)</f>
        <v/>
      </c>
      <c r="F2455" s="65">
        <f>ROUND(SUMIF(Consumo!$P$4:$P$189,"#"&amp;$A2455,Consumo!I$4:I$189),4)</f>
        <v/>
      </c>
      <c r="G2455" s="65">
        <f>ROUND(SUMIF(Consumo!$P$4:$P$189,"#"&amp;$A2455,Consumo!J$4:J$189),4)</f>
        <v/>
      </c>
      <c r="H2455" s="65">
        <f>ROUND(SUMIF(Consumo!$P$4:$P$189,"#"&amp;$A2455,Consumo!K$4:K$189),4)</f>
        <v/>
      </c>
      <c r="I2455" s="65">
        <f>ROUND(SUMIF(Consumo!$P$4:$P$189,"#"&amp;$A2455,Consumo!L$4:L$189),4)</f>
        <v/>
      </c>
      <c r="J2455" s="65">
        <f>ROUND(SUMIF(Consumo!$P$4:$P$189,"#"&amp;$A2455,Consumo!M$4:M$189),4)</f>
        <v/>
      </c>
      <c r="K2455" s="65">
        <f>ROUND(SUMIF(Consumo!$P$4:$P$189,"#"&amp;$A2455,Consumo!N$4:N$189),4)</f>
        <v/>
      </c>
      <c r="L2455" s="65">
        <f>ROUND(SUMIF(Consumo!$P$4:$P$189,"#"&amp;$A2455,Consumo!O$4:O$189),4)</f>
        <v/>
      </c>
      <c r="M2455" s="66" t="n"/>
    </row>
    <row r="2456">
      <c r="C2456" s="63" t="inlineStr">
        <is>
          <t>Recepciones programadas (ya pedido)</t>
        </is>
      </c>
      <c r="D2456" s="64" t="n"/>
      <c r="E2456" s="65">
        <f>SUMIF(Inventario!$M$5:$M$505,"#"&amp;$A2455,Inventario!E$5:E$505)</f>
        <v/>
      </c>
      <c r="F2456" s="65">
        <f>SUMIF(Inventario!$M$5:$M$505,"#"&amp;$A2455,Inventario!F$5:F$505)</f>
        <v/>
      </c>
      <c r="G2456" s="65">
        <f>SUMIF(Inventario!$M$5:$M$505,"#"&amp;$A2455,Inventario!G$5:G$505)</f>
        <v/>
      </c>
      <c r="H2456" s="65">
        <f>SUMIF(Inventario!$M$5:$M$505,"#"&amp;$A2455,Inventario!H$5:H$505)</f>
        <v/>
      </c>
      <c r="I2456" s="65">
        <f>SUMIF(Inventario!$M$5:$M$505,"#"&amp;$A2455,Inventario!I$5:I$505)</f>
        <v/>
      </c>
      <c r="J2456" s="65">
        <f>SUMIF(Inventario!$M$5:$M$505,"#"&amp;$A2455,Inventario!J$5:J$505)</f>
        <v/>
      </c>
      <c r="K2456" s="65">
        <f>SUMIF(Inventario!$M$5:$M$505,"#"&amp;$A2455,Inventario!K$5:K$505)</f>
        <v/>
      </c>
      <c r="L2456" s="65">
        <f>SUMIF(Inventario!$M$5:$M$505,"#"&amp;$A2455,Inventario!L$5:L$505)</f>
        <v/>
      </c>
      <c r="M2456" s="66" t="n"/>
    </row>
    <row r="2457">
      <c r="C2457" s="63" t="inlineStr">
        <is>
          <t>Stock proyectado disponible</t>
        </is>
      </c>
      <c r="D2457" s="67">
        <f>SUMIF(Inventario!$M$5:$M$505,"#"&amp;$A2455,Inventario!$C$5:$C$505)</f>
        <v/>
      </c>
      <c r="E2457" s="68">
        <f>D2457+E2456+E2459-E2455</f>
        <v/>
      </c>
      <c r="F2457" s="68">
        <f>E2457+F2456+F2459-F2455</f>
        <v/>
      </c>
      <c r="G2457" s="68">
        <f>F2457+G2456+G2459-G2455</f>
        <v/>
      </c>
      <c r="H2457" s="68">
        <f>G2457+H2456+H2459-H2455</f>
        <v/>
      </c>
      <c r="I2457" s="68">
        <f>H2457+I2456+I2459-I2455</f>
        <v/>
      </c>
      <c r="J2457" s="68">
        <f>I2457+J2456+J2459-J2455</f>
        <v/>
      </c>
      <c r="K2457" s="68">
        <f>J2457+K2456+K2459-K2455</f>
        <v/>
      </c>
      <c r="L2457" s="68">
        <f>K2457+L2456+L2459-L2455</f>
        <v/>
      </c>
      <c r="M2457" s="66" t="n"/>
    </row>
    <row r="2458">
      <c r="C2458" s="63" t="inlineStr">
        <is>
          <t>Necesidad neta</t>
        </is>
      </c>
      <c r="D2458" s="64" t="n"/>
      <c r="E2458" s="69">
        <f>MAX(0,ROUND(E2455+Materiales!$H$354-D2457-E2456,4))</f>
        <v/>
      </c>
      <c r="F2458" s="69">
        <f>MAX(0,ROUND(F2455+Materiales!$H$354-E2457-F2456,4))</f>
        <v/>
      </c>
      <c r="G2458" s="69">
        <f>MAX(0,ROUND(G2455+Materiales!$H$354-F2457-G2456,4))</f>
        <v/>
      </c>
      <c r="H2458" s="69">
        <f>MAX(0,ROUND(H2455+Materiales!$H$354-G2457-H2456,4))</f>
        <v/>
      </c>
      <c r="I2458" s="69">
        <f>MAX(0,ROUND(I2455+Materiales!$H$354-H2457-I2456,4))</f>
        <v/>
      </c>
      <c r="J2458" s="69">
        <f>MAX(0,ROUND(J2455+Materiales!$H$354-I2457-J2456,4))</f>
        <v/>
      </c>
      <c r="K2458" s="69">
        <f>MAX(0,ROUND(K2455+Materiales!$H$354-J2457-K2456,4))</f>
        <v/>
      </c>
      <c r="L2458" s="69">
        <f>MAX(0,ROUND(L2455+Materiales!$H$354-K2457-L2456,4))</f>
        <v/>
      </c>
      <c r="M2458" s="66" t="n"/>
    </row>
    <row r="2459">
      <c r="C2459" s="63" t="inlineStr">
        <is>
          <t>Recepcion de orden planificada</t>
        </is>
      </c>
      <c r="D2459" s="64" t="n"/>
      <c r="E2459" s="65">
        <f>IF(E2458&lt;=0,0,IF(Materiales!$G$354&lt;=0,E2458,ROUNDUP(E2458/Materiales!$G$354,0)*Materiales!$G$354))</f>
        <v/>
      </c>
      <c r="F2459" s="65">
        <f>IF(F2458&lt;=0,0,IF(Materiales!$G$354&lt;=0,F2458,ROUNDUP(F2458/Materiales!$G$354,0)*Materiales!$G$354))</f>
        <v/>
      </c>
      <c r="G2459" s="65">
        <f>IF(G2458&lt;=0,0,IF(Materiales!$G$354&lt;=0,G2458,ROUNDUP(G2458/Materiales!$G$354,0)*Materiales!$G$354))</f>
        <v/>
      </c>
      <c r="H2459" s="65">
        <f>IF(H2458&lt;=0,0,IF(Materiales!$G$354&lt;=0,H2458,ROUNDUP(H2458/Materiales!$G$354,0)*Materiales!$G$354))</f>
        <v/>
      </c>
      <c r="I2459" s="65">
        <f>IF(I2458&lt;=0,0,IF(Materiales!$G$354&lt;=0,I2458,ROUNDUP(I2458/Materiales!$G$354,0)*Materiales!$G$354))</f>
        <v/>
      </c>
      <c r="J2459" s="65">
        <f>IF(J2458&lt;=0,0,IF(Materiales!$G$354&lt;=0,J2458,ROUNDUP(J2458/Materiales!$G$354,0)*Materiales!$G$354))</f>
        <v/>
      </c>
      <c r="K2459" s="65">
        <f>IF(K2458&lt;=0,0,IF(Materiales!$G$354&lt;=0,K2458,ROUNDUP(K2458/Materiales!$G$354,0)*Materiales!$G$354))</f>
        <v/>
      </c>
      <c r="L2459" s="65">
        <f>IF(L2458&lt;=0,0,IF(Materiales!$G$354&lt;=0,L2458,ROUNDUP(L2458/Materiales!$G$354,0)*Materiales!$G$354))</f>
        <v/>
      </c>
      <c r="M2459" s="66" t="n"/>
    </row>
    <row r="2460">
      <c r="C2460" s="70" t="inlineStr">
        <is>
          <t>LANZAMIENTO DE ORDEN — pedir esta semana</t>
        </is>
      </c>
      <c r="D2460" s="64" t="n"/>
      <c r="E2460" s="71">
        <f>IF(1+Materiales!$F$354&gt;8,0,INDEX($E$2459:$L$2459,1,1+Materiales!$F$354))</f>
        <v/>
      </c>
      <c r="F2460" s="71">
        <f>IF(2+Materiales!$F$354&gt;8,0,INDEX($E$2459:$L$2459,1,2+Materiales!$F$354))</f>
        <v/>
      </c>
      <c r="G2460" s="71">
        <f>IF(3+Materiales!$F$354&gt;8,0,INDEX($E$2459:$L$2459,1,3+Materiales!$F$354))</f>
        <v/>
      </c>
      <c r="H2460" s="71">
        <f>IF(4+Materiales!$F$354&gt;8,0,INDEX($E$2459:$L$2459,1,4+Materiales!$F$354))</f>
        <v/>
      </c>
      <c r="I2460" s="71">
        <f>IF(5+Materiales!$F$354&gt;8,0,INDEX($E$2459:$L$2459,1,5+Materiales!$F$354))</f>
        <v/>
      </c>
      <c r="J2460" s="71">
        <f>IF(6+Materiales!$F$354&gt;8,0,INDEX($E$2459:$L$2459,1,6+Materiales!$F$354))</f>
        <v/>
      </c>
      <c r="K2460" s="71">
        <f>IF(7+Materiales!$F$354&gt;8,0,INDEX($E$2459:$L$2459,1,7+Materiales!$F$354))</f>
        <v/>
      </c>
      <c r="L2460" s="71">
        <f>IF(8+Materiales!$F$354&gt;8,0,INDEX($E$2459:$L$2459,1,8+Materiales!$F$354))</f>
        <v/>
      </c>
      <c r="M2460" s="72">
        <f>IF($A2455="","",IF(SUMPRODUCT((COLUMN($E$2459:$L$2459)-4&lt;=Materiales!$F$354)*$E$2459:$L$2459)&gt;0,"PEDIR YA (atrasado)","OK"))</f>
        <v/>
      </c>
    </row>
    <row r="2461" ht="6" customHeight="1"/>
    <row r="2462">
      <c r="A2462" s="62">
        <f>IF(Materiales!$A$355="","",Materiales!$A$355)</f>
        <v/>
      </c>
      <c r="B2462" s="62">
        <f>IF(Materiales!$B$355="","",Materiales!$B$355)</f>
        <v/>
      </c>
      <c r="C2462" s="63" t="inlineStr">
        <is>
          <t>Necesidad bruta</t>
        </is>
      </c>
      <c r="D2462" s="64" t="n"/>
      <c r="E2462" s="65">
        <f>ROUND(SUMIF(Consumo!$P$4:$P$189,"#"&amp;$A2462,Consumo!H$4:H$189),4)</f>
        <v/>
      </c>
      <c r="F2462" s="65">
        <f>ROUND(SUMIF(Consumo!$P$4:$P$189,"#"&amp;$A2462,Consumo!I$4:I$189),4)</f>
        <v/>
      </c>
      <c r="G2462" s="65">
        <f>ROUND(SUMIF(Consumo!$P$4:$P$189,"#"&amp;$A2462,Consumo!J$4:J$189),4)</f>
        <v/>
      </c>
      <c r="H2462" s="65">
        <f>ROUND(SUMIF(Consumo!$P$4:$P$189,"#"&amp;$A2462,Consumo!K$4:K$189),4)</f>
        <v/>
      </c>
      <c r="I2462" s="65">
        <f>ROUND(SUMIF(Consumo!$P$4:$P$189,"#"&amp;$A2462,Consumo!L$4:L$189),4)</f>
        <v/>
      </c>
      <c r="J2462" s="65">
        <f>ROUND(SUMIF(Consumo!$P$4:$P$189,"#"&amp;$A2462,Consumo!M$4:M$189),4)</f>
        <v/>
      </c>
      <c r="K2462" s="65">
        <f>ROUND(SUMIF(Consumo!$P$4:$P$189,"#"&amp;$A2462,Consumo!N$4:N$189),4)</f>
        <v/>
      </c>
      <c r="L2462" s="65">
        <f>ROUND(SUMIF(Consumo!$P$4:$P$189,"#"&amp;$A2462,Consumo!O$4:O$189),4)</f>
        <v/>
      </c>
      <c r="M2462" s="66" t="n"/>
    </row>
    <row r="2463">
      <c r="C2463" s="63" t="inlineStr">
        <is>
          <t>Recepciones programadas (ya pedido)</t>
        </is>
      </c>
      <c r="D2463" s="64" t="n"/>
      <c r="E2463" s="65">
        <f>SUMIF(Inventario!$M$5:$M$505,"#"&amp;$A2462,Inventario!E$5:E$505)</f>
        <v/>
      </c>
      <c r="F2463" s="65">
        <f>SUMIF(Inventario!$M$5:$M$505,"#"&amp;$A2462,Inventario!F$5:F$505)</f>
        <v/>
      </c>
      <c r="G2463" s="65">
        <f>SUMIF(Inventario!$M$5:$M$505,"#"&amp;$A2462,Inventario!G$5:G$505)</f>
        <v/>
      </c>
      <c r="H2463" s="65">
        <f>SUMIF(Inventario!$M$5:$M$505,"#"&amp;$A2462,Inventario!H$5:H$505)</f>
        <v/>
      </c>
      <c r="I2463" s="65">
        <f>SUMIF(Inventario!$M$5:$M$505,"#"&amp;$A2462,Inventario!I$5:I$505)</f>
        <v/>
      </c>
      <c r="J2463" s="65">
        <f>SUMIF(Inventario!$M$5:$M$505,"#"&amp;$A2462,Inventario!J$5:J$505)</f>
        <v/>
      </c>
      <c r="K2463" s="65">
        <f>SUMIF(Inventario!$M$5:$M$505,"#"&amp;$A2462,Inventario!K$5:K$505)</f>
        <v/>
      </c>
      <c r="L2463" s="65">
        <f>SUMIF(Inventario!$M$5:$M$505,"#"&amp;$A2462,Inventario!L$5:L$505)</f>
        <v/>
      </c>
      <c r="M2463" s="66" t="n"/>
    </row>
    <row r="2464">
      <c r="C2464" s="63" t="inlineStr">
        <is>
          <t>Stock proyectado disponible</t>
        </is>
      </c>
      <c r="D2464" s="67">
        <f>SUMIF(Inventario!$M$5:$M$505,"#"&amp;$A2462,Inventario!$C$5:$C$505)</f>
        <v/>
      </c>
      <c r="E2464" s="68">
        <f>D2464+E2463+E2466-E2462</f>
        <v/>
      </c>
      <c r="F2464" s="68">
        <f>E2464+F2463+F2466-F2462</f>
        <v/>
      </c>
      <c r="G2464" s="68">
        <f>F2464+G2463+G2466-G2462</f>
        <v/>
      </c>
      <c r="H2464" s="68">
        <f>G2464+H2463+H2466-H2462</f>
        <v/>
      </c>
      <c r="I2464" s="68">
        <f>H2464+I2463+I2466-I2462</f>
        <v/>
      </c>
      <c r="J2464" s="68">
        <f>I2464+J2463+J2466-J2462</f>
        <v/>
      </c>
      <c r="K2464" s="68">
        <f>J2464+K2463+K2466-K2462</f>
        <v/>
      </c>
      <c r="L2464" s="68">
        <f>K2464+L2463+L2466-L2462</f>
        <v/>
      </c>
      <c r="M2464" s="66" t="n"/>
    </row>
    <row r="2465">
      <c r="C2465" s="63" t="inlineStr">
        <is>
          <t>Necesidad neta</t>
        </is>
      </c>
      <c r="D2465" s="64" t="n"/>
      <c r="E2465" s="69">
        <f>MAX(0,ROUND(E2462+Materiales!$H$355-D2464-E2463,4))</f>
        <v/>
      </c>
      <c r="F2465" s="69">
        <f>MAX(0,ROUND(F2462+Materiales!$H$355-E2464-F2463,4))</f>
        <v/>
      </c>
      <c r="G2465" s="69">
        <f>MAX(0,ROUND(G2462+Materiales!$H$355-F2464-G2463,4))</f>
        <v/>
      </c>
      <c r="H2465" s="69">
        <f>MAX(0,ROUND(H2462+Materiales!$H$355-G2464-H2463,4))</f>
        <v/>
      </c>
      <c r="I2465" s="69">
        <f>MAX(0,ROUND(I2462+Materiales!$H$355-H2464-I2463,4))</f>
        <v/>
      </c>
      <c r="J2465" s="69">
        <f>MAX(0,ROUND(J2462+Materiales!$H$355-I2464-J2463,4))</f>
        <v/>
      </c>
      <c r="K2465" s="69">
        <f>MAX(0,ROUND(K2462+Materiales!$H$355-J2464-K2463,4))</f>
        <v/>
      </c>
      <c r="L2465" s="69">
        <f>MAX(0,ROUND(L2462+Materiales!$H$355-K2464-L2463,4))</f>
        <v/>
      </c>
      <c r="M2465" s="66" t="n"/>
    </row>
    <row r="2466">
      <c r="C2466" s="63" t="inlineStr">
        <is>
          <t>Recepcion de orden planificada</t>
        </is>
      </c>
      <c r="D2466" s="64" t="n"/>
      <c r="E2466" s="65">
        <f>IF(E2465&lt;=0,0,IF(Materiales!$G$355&lt;=0,E2465,ROUNDUP(E2465/Materiales!$G$355,0)*Materiales!$G$355))</f>
        <v/>
      </c>
      <c r="F2466" s="65">
        <f>IF(F2465&lt;=0,0,IF(Materiales!$G$355&lt;=0,F2465,ROUNDUP(F2465/Materiales!$G$355,0)*Materiales!$G$355))</f>
        <v/>
      </c>
      <c r="G2466" s="65">
        <f>IF(G2465&lt;=0,0,IF(Materiales!$G$355&lt;=0,G2465,ROUNDUP(G2465/Materiales!$G$355,0)*Materiales!$G$355))</f>
        <v/>
      </c>
      <c r="H2466" s="65">
        <f>IF(H2465&lt;=0,0,IF(Materiales!$G$355&lt;=0,H2465,ROUNDUP(H2465/Materiales!$G$355,0)*Materiales!$G$355))</f>
        <v/>
      </c>
      <c r="I2466" s="65">
        <f>IF(I2465&lt;=0,0,IF(Materiales!$G$355&lt;=0,I2465,ROUNDUP(I2465/Materiales!$G$355,0)*Materiales!$G$355))</f>
        <v/>
      </c>
      <c r="J2466" s="65">
        <f>IF(J2465&lt;=0,0,IF(Materiales!$G$355&lt;=0,J2465,ROUNDUP(J2465/Materiales!$G$355,0)*Materiales!$G$355))</f>
        <v/>
      </c>
      <c r="K2466" s="65">
        <f>IF(K2465&lt;=0,0,IF(Materiales!$G$355&lt;=0,K2465,ROUNDUP(K2465/Materiales!$G$355,0)*Materiales!$G$355))</f>
        <v/>
      </c>
      <c r="L2466" s="65">
        <f>IF(L2465&lt;=0,0,IF(Materiales!$G$355&lt;=0,L2465,ROUNDUP(L2465/Materiales!$G$355,0)*Materiales!$G$355))</f>
        <v/>
      </c>
      <c r="M2466" s="66" t="n"/>
    </row>
    <row r="2467">
      <c r="C2467" s="70" t="inlineStr">
        <is>
          <t>LANZAMIENTO DE ORDEN — pedir esta semana</t>
        </is>
      </c>
      <c r="D2467" s="64" t="n"/>
      <c r="E2467" s="71">
        <f>IF(1+Materiales!$F$355&gt;8,0,INDEX($E$2466:$L$2466,1,1+Materiales!$F$355))</f>
        <v/>
      </c>
      <c r="F2467" s="71">
        <f>IF(2+Materiales!$F$355&gt;8,0,INDEX($E$2466:$L$2466,1,2+Materiales!$F$355))</f>
        <v/>
      </c>
      <c r="G2467" s="71">
        <f>IF(3+Materiales!$F$355&gt;8,0,INDEX($E$2466:$L$2466,1,3+Materiales!$F$355))</f>
        <v/>
      </c>
      <c r="H2467" s="71">
        <f>IF(4+Materiales!$F$355&gt;8,0,INDEX($E$2466:$L$2466,1,4+Materiales!$F$355))</f>
        <v/>
      </c>
      <c r="I2467" s="71">
        <f>IF(5+Materiales!$F$355&gt;8,0,INDEX($E$2466:$L$2466,1,5+Materiales!$F$355))</f>
        <v/>
      </c>
      <c r="J2467" s="71">
        <f>IF(6+Materiales!$F$355&gt;8,0,INDEX($E$2466:$L$2466,1,6+Materiales!$F$355))</f>
        <v/>
      </c>
      <c r="K2467" s="71">
        <f>IF(7+Materiales!$F$355&gt;8,0,INDEX($E$2466:$L$2466,1,7+Materiales!$F$355))</f>
        <v/>
      </c>
      <c r="L2467" s="71">
        <f>IF(8+Materiales!$F$355&gt;8,0,INDEX($E$2466:$L$2466,1,8+Materiales!$F$355))</f>
        <v/>
      </c>
      <c r="M2467" s="72">
        <f>IF($A2462="","",IF(SUMPRODUCT((COLUMN($E$2466:$L$2466)-4&lt;=Materiales!$F$355)*$E$2466:$L$2466)&gt;0,"PEDIR YA (atrasado)","OK"))</f>
        <v/>
      </c>
    </row>
    <row r="2468" ht="6" customHeight="1"/>
    <row r="2469">
      <c r="A2469" s="62">
        <f>IF(Materiales!$A$356="","",Materiales!$A$356)</f>
        <v/>
      </c>
      <c r="B2469" s="62">
        <f>IF(Materiales!$B$356="","",Materiales!$B$356)</f>
        <v/>
      </c>
      <c r="C2469" s="63" t="inlineStr">
        <is>
          <t>Necesidad bruta</t>
        </is>
      </c>
      <c r="D2469" s="64" t="n"/>
      <c r="E2469" s="65">
        <f>ROUND(SUMIF(Consumo!$P$4:$P$189,"#"&amp;$A2469,Consumo!H$4:H$189),4)</f>
        <v/>
      </c>
      <c r="F2469" s="65">
        <f>ROUND(SUMIF(Consumo!$P$4:$P$189,"#"&amp;$A2469,Consumo!I$4:I$189),4)</f>
        <v/>
      </c>
      <c r="G2469" s="65">
        <f>ROUND(SUMIF(Consumo!$P$4:$P$189,"#"&amp;$A2469,Consumo!J$4:J$189),4)</f>
        <v/>
      </c>
      <c r="H2469" s="65">
        <f>ROUND(SUMIF(Consumo!$P$4:$P$189,"#"&amp;$A2469,Consumo!K$4:K$189),4)</f>
        <v/>
      </c>
      <c r="I2469" s="65">
        <f>ROUND(SUMIF(Consumo!$P$4:$P$189,"#"&amp;$A2469,Consumo!L$4:L$189),4)</f>
        <v/>
      </c>
      <c r="J2469" s="65">
        <f>ROUND(SUMIF(Consumo!$P$4:$P$189,"#"&amp;$A2469,Consumo!M$4:M$189),4)</f>
        <v/>
      </c>
      <c r="K2469" s="65">
        <f>ROUND(SUMIF(Consumo!$P$4:$P$189,"#"&amp;$A2469,Consumo!N$4:N$189),4)</f>
        <v/>
      </c>
      <c r="L2469" s="65">
        <f>ROUND(SUMIF(Consumo!$P$4:$P$189,"#"&amp;$A2469,Consumo!O$4:O$189),4)</f>
        <v/>
      </c>
      <c r="M2469" s="66" t="n"/>
    </row>
    <row r="2470">
      <c r="C2470" s="63" t="inlineStr">
        <is>
          <t>Recepciones programadas (ya pedido)</t>
        </is>
      </c>
      <c r="D2470" s="64" t="n"/>
      <c r="E2470" s="65">
        <f>SUMIF(Inventario!$M$5:$M$505,"#"&amp;$A2469,Inventario!E$5:E$505)</f>
        <v/>
      </c>
      <c r="F2470" s="65">
        <f>SUMIF(Inventario!$M$5:$M$505,"#"&amp;$A2469,Inventario!F$5:F$505)</f>
        <v/>
      </c>
      <c r="G2470" s="65">
        <f>SUMIF(Inventario!$M$5:$M$505,"#"&amp;$A2469,Inventario!G$5:G$505)</f>
        <v/>
      </c>
      <c r="H2470" s="65">
        <f>SUMIF(Inventario!$M$5:$M$505,"#"&amp;$A2469,Inventario!H$5:H$505)</f>
        <v/>
      </c>
      <c r="I2470" s="65">
        <f>SUMIF(Inventario!$M$5:$M$505,"#"&amp;$A2469,Inventario!I$5:I$505)</f>
        <v/>
      </c>
      <c r="J2470" s="65">
        <f>SUMIF(Inventario!$M$5:$M$505,"#"&amp;$A2469,Inventario!J$5:J$505)</f>
        <v/>
      </c>
      <c r="K2470" s="65">
        <f>SUMIF(Inventario!$M$5:$M$505,"#"&amp;$A2469,Inventario!K$5:K$505)</f>
        <v/>
      </c>
      <c r="L2470" s="65">
        <f>SUMIF(Inventario!$M$5:$M$505,"#"&amp;$A2469,Inventario!L$5:L$505)</f>
        <v/>
      </c>
      <c r="M2470" s="66" t="n"/>
    </row>
    <row r="2471">
      <c r="C2471" s="63" t="inlineStr">
        <is>
          <t>Stock proyectado disponible</t>
        </is>
      </c>
      <c r="D2471" s="67">
        <f>SUMIF(Inventario!$M$5:$M$505,"#"&amp;$A2469,Inventario!$C$5:$C$505)</f>
        <v/>
      </c>
      <c r="E2471" s="68">
        <f>D2471+E2470+E2473-E2469</f>
        <v/>
      </c>
      <c r="F2471" s="68">
        <f>E2471+F2470+F2473-F2469</f>
        <v/>
      </c>
      <c r="G2471" s="68">
        <f>F2471+G2470+G2473-G2469</f>
        <v/>
      </c>
      <c r="H2471" s="68">
        <f>G2471+H2470+H2473-H2469</f>
        <v/>
      </c>
      <c r="I2471" s="68">
        <f>H2471+I2470+I2473-I2469</f>
        <v/>
      </c>
      <c r="J2471" s="68">
        <f>I2471+J2470+J2473-J2469</f>
        <v/>
      </c>
      <c r="K2471" s="68">
        <f>J2471+K2470+K2473-K2469</f>
        <v/>
      </c>
      <c r="L2471" s="68">
        <f>K2471+L2470+L2473-L2469</f>
        <v/>
      </c>
      <c r="M2471" s="66" t="n"/>
    </row>
    <row r="2472">
      <c r="C2472" s="63" t="inlineStr">
        <is>
          <t>Necesidad neta</t>
        </is>
      </c>
      <c r="D2472" s="64" t="n"/>
      <c r="E2472" s="69">
        <f>MAX(0,ROUND(E2469+Materiales!$H$356-D2471-E2470,4))</f>
        <v/>
      </c>
      <c r="F2472" s="69">
        <f>MAX(0,ROUND(F2469+Materiales!$H$356-E2471-F2470,4))</f>
        <v/>
      </c>
      <c r="G2472" s="69">
        <f>MAX(0,ROUND(G2469+Materiales!$H$356-F2471-G2470,4))</f>
        <v/>
      </c>
      <c r="H2472" s="69">
        <f>MAX(0,ROUND(H2469+Materiales!$H$356-G2471-H2470,4))</f>
        <v/>
      </c>
      <c r="I2472" s="69">
        <f>MAX(0,ROUND(I2469+Materiales!$H$356-H2471-I2470,4))</f>
        <v/>
      </c>
      <c r="J2472" s="69">
        <f>MAX(0,ROUND(J2469+Materiales!$H$356-I2471-J2470,4))</f>
        <v/>
      </c>
      <c r="K2472" s="69">
        <f>MAX(0,ROUND(K2469+Materiales!$H$356-J2471-K2470,4))</f>
        <v/>
      </c>
      <c r="L2472" s="69">
        <f>MAX(0,ROUND(L2469+Materiales!$H$356-K2471-L2470,4))</f>
        <v/>
      </c>
      <c r="M2472" s="66" t="n"/>
    </row>
    <row r="2473">
      <c r="C2473" s="63" t="inlineStr">
        <is>
          <t>Recepcion de orden planificada</t>
        </is>
      </c>
      <c r="D2473" s="64" t="n"/>
      <c r="E2473" s="65">
        <f>IF(E2472&lt;=0,0,IF(Materiales!$G$356&lt;=0,E2472,ROUNDUP(E2472/Materiales!$G$356,0)*Materiales!$G$356))</f>
        <v/>
      </c>
      <c r="F2473" s="65">
        <f>IF(F2472&lt;=0,0,IF(Materiales!$G$356&lt;=0,F2472,ROUNDUP(F2472/Materiales!$G$356,0)*Materiales!$G$356))</f>
        <v/>
      </c>
      <c r="G2473" s="65">
        <f>IF(G2472&lt;=0,0,IF(Materiales!$G$356&lt;=0,G2472,ROUNDUP(G2472/Materiales!$G$356,0)*Materiales!$G$356))</f>
        <v/>
      </c>
      <c r="H2473" s="65">
        <f>IF(H2472&lt;=0,0,IF(Materiales!$G$356&lt;=0,H2472,ROUNDUP(H2472/Materiales!$G$356,0)*Materiales!$G$356))</f>
        <v/>
      </c>
      <c r="I2473" s="65">
        <f>IF(I2472&lt;=0,0,IF(Materiales!$G$356&lt;=0,I2472,ROUNDUP(I2472/Materiales!$G$356,0)*Materiales!$G$356))</f>
        <v/>
      </c>
      <c r="J2473" s="65">
        <f>IF(J2472&lt;=0,0,IF(Materiales!$G$356&lt;=0,J2472,ROUNDUP(J2472/Materiales!$G$356,0)*Materiales!$G$356))</f>
        <v/>
      </c>
      <c r="K2473" s="65">
        <f>IF(K2472&lt;=0,0,IF(Materiales!$G$356&lt;=0,K2472,ROUNDUP(K2472/Materiales!$G$356,0)*Materiales!$G$356))</f>
        <v/>
      </c>
      <c r="L2473" s="65">
        <f>IF(L2472&lt;=0,0,IF(Materiales!$G$356&lt;=0,L2472,ROUNDUP(L2472/Materiales!$G$356,0)*Materiales!$G$356))</f>
        <v/>
      </c>
      <c r="M2473" s="66" t="n"/>
    </row>
    <row r="2474">
      <c r="C2474" s="70" t="inlineStr">
        <is>
          <t>LANZAMIENTO DE ORDEN — pedir esta semana</t>
        </is>
      </c>
      <c r="D2474" s="64" t="n"/>
      <c r="E2474" s="71">
        <f>IF(1+Materiales!$F$356&gt;8,0,INDEX($E$2473:$L$2473,1,1+Materiales!$F$356))</f>
        <v/>
      </c>
      <c r="F2474" s="71">
        <f>IF(2+Materiales!$F$356&gt;8,0,INDEX($E$2473:$L$2473,1,2+Materiales!$F$356))</f>
        <v/>
      </c>
      <c r="G2474" s="71">
        <f>IF(3+Materiales!$F$356&gt;8,0,INDEX($E$2473:$L$2473,1,3+Materiales!$F$356))</f>
        <v/>
      </c>
      <c r="H2474" s="71">
        <f>IF(4+Materiales!$F$356&gt;8,0,INDEX($E$2473:$L$2473,1,4+Materiales!$F$356))</f>
        <v/>
      </c>
      <c r="I2474" s="71">
        <f>IF(5+Materiales!$F$356&gt;8,0,INDEX($E$2473:$L$2473,1,5+Materiales!$F$356))</f>
        <v/>
      </c>
      <c r="J2474" s="71">
        <f>IF(6+Materiales!$F$356&gt;8,0,INDEX($E$2473:$L$2473,1,6+Materiales!$F$356))</f>
        <v/>
      </c>
      <c r="K2474" s="71">
        <f>IF(7+Materiales!$F$356&gt;8,0,INDEX($E$2473:$L$2473,1,7+Materiales!$F$356))</f>
        <v/>
      </c>
      <c r="L2474" s="71">
        <f>IF(8+Materiales!$F$356&gt;8,0,INDEX($E$2473:$L$2473,1,8+Materiales!$F$356))</f>
        <v/>
      </c>
      <c r="M2474" s="72">
        <f>IF($A2469="","",IF(SUMPRODUCT((COLUMN($E$2473:$L$2473)-4&lt;=Materiales!$F$356)*$E$2473:$L$2473)&gt;0,"PEDIR YA (atrasado)","OK"))</f>
        <v/>
      </c>
    </row>
    <row r="2475" ht="6" customHeight="1"/>
    <row r="2476">
      <c r="A2476" s="62">
        <f>IF(Materiales!$A$357="","",Materiales!$A$357)</f>
        <v/>
      </c>
      <c r="B2476" s="62">
        <f>IF(Materiales!$B$357="","",Materiales!$B$357)</f>
        <v/>
      </c>
      <c r="C2476" s="63" t="inlineStr">
        <is>
          <t>Necesidad bruta</t>
        </is>
      </c>
      <c r="D2476" s="64" t="n"/>
      <c r="E2476" s="65">
        <f>ROUND(SUMIF(Consumo!$P$4:$P$189,"#"&amp;$A2476,Consumo!H$4:H$189),4)</f>
        <v/>
      </c>
      <c r="F2476" s="65">
        <f>ROUND(SUMIF(Consumo!$P$4:$P$189,"#"&amp;$A2476,Consumo!I$4:I$189),4)</f>
        <v/>
      </c>
      <c r="G2476" s="65">
        <f>ROUND(SUMIF(Consumo!$P$4:$P$189,"#"&amp;$A2476,Consumo!J$4:J$189),4)</f>
        <v/>
      </c>
      <c r="H2476" s="65">
        <f>ROUND(SUMIF(Consumo!$P$4:$P$189,"#"&amp;$A2476,Consumo!K$4:K$189),4)</f>
        <v/>
      </c>
      <c r="I2476" s="65">
        <f>ROUND(SUMIF(Consumo!$P$4:$P$189,"#"&amp;$A2476,Consumo!L$4:L$189),4)</f>
        <v/>
      </c>
      <c r="J2476" s="65">
        <f>ROUND(SUMIF(Consumo!$P$4:$P$189,"#"&amp;$A2476,Consumo!M$4:M$189),4)</f>
        <v/>
      </c>
      <c r="K2476" s="65">
        <f>ROUND(SUMIF(Consumo!$P$4:$P$189,"#"&amp;$A2476,Consumo!N$4:N$189),4)</f>
        <v/>
      </c>
      <c r="L2476" s="65">
        <f>ROUND(SUMIF(Consumo!$P$4:$P$189,"#"&amp;$A2476,Consumo!O$4:O$189),4)</f>
        <v/>
      </c>
      <c r="M2476" s="66" t="n"/>
    </row>
    <row r="2477">
      <c r="C2477" s="63" t="inlineStr">
        <is>
          <t>Recepciones programadas (ya pedido)</t>
        </is>
      </c>
      <c r="D2477" s="64" t="n"/>
      <c r="E2477" s="65">
        <f>SUMIF(Inventario!$M$5:$M$505,"#"&amp;$A2476,Inventario!E$5:E$505)</f>
        <v/>
      </c>
      <c r="F2477" s="65">
        <f>SUMIF(Inventario!$M$5:$M$505,"#"&amp;$A2476,Inventario!F$5:F$505)</f>
        <v/>
      </c>
      <c r="G2477" s="65">
        <f>SUMIF(Inventario!$M$5:$M$505,"#"&amp;$A2476,Inventario!G$5:G$505)</f>
        <v/>
      </c>
      <c r="H2477" s="65">
        <f>SUMIF(Inventario!$M$5:$M$505,"#"&amp;$A2476,Inventario!H$5:H$505)</f>
        <v/>
      </c>
      <c r="I2477" s="65">
        <f>SUMIF(Inventario!$M$5:$M$505,"#"&amp;$A2476,Inventario!I$5:I$505)</f>
        <v/>
      </c>
      <c r="J2477" s="65">
        <f>SUMIF(Inventario!$M$5:$M$505,"#"&amp;$A2476,Inventario!J$5:J$505)</f>
        <v/>
      </c>
      <c r="K2477" s="65">
        <f>SUMIF(Inventario!$M$5:$M$505,"#"&amp;$A2476,Inventario!K$5:K$505)</f>
        <v/>
      </c>
      <c r="L2477" s="65">
        <f>SUMIF(Inventario!$M$5:$M$505,"#"&amp;$A2476,Inventario!L$5:L$505)</f>
        <v/>
      </c>
      <c r="M2477" s="66" t="n"/>
    </row>
    <row r="2478">
      <c r="C2478" s="63" t="inlineStr">
        <is>
          <t>Stock proyectado disponible</t>
        </is>
      </c>
      <c r="D2478" s="67">
        <f>SUMIF(Inventario!$M$5:$M$505,"#"&amp;$A2476,Inventario!$C$5:$C$505)</f>
        <v/>
      </c>
      <c r="E2478" s="68">
        <f>D2478+E2477+E2480-E2476</f>
        <v/>
      </c>
      <c r="F2478" s="68">
        <f>E2478+F2477+F2480-F2476</f>
        <v/>
      </c>
      <c r="G2478" s="68">
        <f>F2478+G2477+G2480-G2476</f>
        <v/>
      </c>
      <c r="H2478" s="68">
        <f>G2478+H2477+H2480-H2476</f>
        <v/>
      </c>
      <c r="I2478" s="68">
        <f>H2478+I2477+I2480-I2476</f>
        <v/>
      </c>
      <c r="J2478" s="68">
        <f>I2478+J2477+J2480-J2476</f>
        <v/>
      </c>
      <c r="K2478" s="68">
        <f>J2478+K2477+K2480-K2476</f>
        <v/>
      </c>
      <c r="L2478" s="68">
        <f>K2478+L2477+L2480-L2476</f>
        <v/>
      </c>
      <c r="M2478" s="66" t="n"/>
    </row>
    <row r="2479">
      <c r="C2479" s="63" t="inlineStr">
        <is>
          <t>Necesidad neta</t>
        </is>
      </c>
      <c r="D2479" s="64" t="n"/>
      <c r="E2479" s="69">
        <f>MAX(0,ROUND(E2476+Materiales!$H$357-D2478-E2477,4))</f>
        <v/>
      </c>
      <c r="F2479" s="69">
        <f>MAX(0,ROUND(F2476+Materiales!$H$357-E2478-F2477,4))</f>
        <v/>
      </c>
      <c r="G2479" s="69">
        <f>MAX(0,ROUND(G2476+Materiales!$H$357-F2478-G2477,4))</f>
        <v/>
      </c>
      <c r="H2479" s="69">
        <f>MAX(0,ROUND(H2476+Materiales!$H$357-G2478-H2477,4))</f>
        <v/>
      </c>
      <c r="I2479" s="69">
        <f>MAX(0,ROUND(I2476+Materiales!$H$357-H2478-I2477,4))</f>
        <v/>
      </c>
      <c r="J2479" s="69">
        <f>MAX(0,ROUND(J2476+Materiales!$H$357-I2478-J2477,4))</f>
        <v/>
      </c>
      <c r="K2479" s="69">
        <f>MAX(0,ROUND(K2476+Materiales!$H$357-J2478-K2477,4))</f>
        <v/>
      </c>
      <c r="L2479" s="69">
        <f>MAX(0,ROUND(L2476+Materiales!$H$357-K2478-L2477,4))</f>
        <v/>
      </c>
      <c r="M2479" s="66" t="n"/>
    </row>
    <row r="2480">
      <c r="C2480" s="63" t="inlineStr">
        <is>
          <t>Recepcion de orden planificada</t>
        </is>
      </c>
      <c r="D2480" s="64" t="n"/>
      <c r="E2480" s="65">
        <f>IF(E2479&lt;=0,0,IF(Materiales!$G$357&lt;=0,E2479,ROUNDUP(E2479/Materiales!$G$357,0)*Materiales!$G$357))</f>
        <v/>
      </c>
      <c r="F2480" s="65">
        <f>IF(F2479&lt;=0,0,IF(Materiales!$G$357&lt;=0,F2479,ROUNDUP(F2479/Materiales!$G$357,0)*Materiales!$G$357))</f>
        <v/>
      </c>
      <c r="G2480" s="65">
        <f>IF(G2479&lt;=0,0,IF(Materiales!$G$357&lt;=0,G2479,ROUNDUP(G2479/Materiales!$G$357,0)*Materiales!$G$357))</f>
        <v/>
      </c>
      <c r="H2480" s="65">
        <f>IF(H2479&lt;=0,0,IF(Materiales!$G$357&lt;=0,H2479,ROUNDUP(H2479/Materiales!$G$357,0)*Materiales!$G$357))</f>
        <v/>
      </c>
      <c r="I2480" s="65">
        <f>IF(I2479&lt;=0,0,IF(Materiales!$G$357&lt;=0,I2479,ROUNDUP(I2479/Materiales!$G$357,0)*Materiales!$G$357))</f>
        <v/>
      </c>
      <c r="J2480" s="65">
        <f>IF(J2479&lt;=0,0,IF(Materiales!$G$357&lt;=0,J2479,ROUNDUP(J2479/Materiales!$G$357,0)*Materiales!$G$357))</f>
        <v/>
      </c>
      <c r="K2480" s="65">
        <f>IF(K2479&lt;=0,0,IF(Materiales!$G$357&lt;=0,K2479,ROUNDUP(K2479/Materiales!$G$357,0)*Materiales!$G$357))</f>
        <v/>
      </c>
      <c r="L2480" s="65">
        <f>IF(L2479&lt;=0,0,IF(Materiales!$G$357&lt;=0,L2479,ROUNDUP(L2479/Materiales!$G$357,0)*Materiales!$G$357))</f>
        <v/>
      </c>
      <c r="M2480" s="66" t="n"/>
    </row>
    <row r="2481">
      <c r="C2481" s="70" t="inlineStr">
        <is>
          <t>LANZAMIENTO DE ORDEN — pedir esta semana</t>
        </is>
      </c>
      <c r="D2481" s="64" t="n"/>
      <c r="E2481" s="71">
        <f>IF(1+Materiales!$F$357&gt;8,0,INDEX($E$2480:$L$2480,1,1+Materiales!$F$357))</f>
        <v/>
      </c>
      <c r="F2481" s="71">
        <f>IF(2+Materiales!$F$357&gt;8,0,INDEX($E$2480:$L$2480,1,2+Materiales!$F$357))</f>
        <v/>
      </c>
      <c r="G2481" s="71">
        <f>IF(3+Materiales!$F$357&gt;8,0,INDEX($E$2480:$L$2480,1,3+Materiales!$F$357))</f>
        <v/>
      </c>
      <c r="H2481" s="71">
        <f>IF(4+Materiales!$F$357&gt;8,0,INDEX($E$2480:$L$2480,1,4+Materiales!$F$357))</f>
        <v/>
      </c>
      <c r="I2481" s="71">
        <f>IF(5+Materiales!$F$357&gt;8,0,INDEX($E$2480:$L$2480,1,5+Materiales!$F$357))</f>
        <v/>
      </c>
      <c r="J2481" s="71">
        <f>IF(6+Materiales!$F$357&gt;8,0,INDEX($E$2480:$L$2480,1,6+Materiales!$F$357))</f>
        <v/>
      </c>
      <c r="K2481" s="71">
        <f>IF(7+Materiales!$F$357&gt;8,0,INDEX($E$2480:$L$2480,1,7+Materiales!$F$357))</f>
        <v/>
      </c>
      <c r="L2481" s="71">
        <f>IF(8+Materiales!$F$357&gt;8,0,INDEX($E$2480:$L$2480,1,8+Materiales!$F$357))</f>
        <v/>
      </c>
      <c r="M2481" s="72">
        <f>IF($A2476="","",IF(SUMPRODUCT((COLUMN($E$2480:$L$2480)-4&lt;=Materiales!$F$357)*$E$2480:$L$2480)&gt;0,"PEDIR YA (atrasado)","OK"))</f>
        <v/>
      </c>
    </row>
    <row r="2482" ht="6" customHeight="1"/>
    <row r="2483">
      <c r="A2483" s="62">
        <f>IF(Materiales!$A$358="","",Materiales!$A$358)</f>
        <v/>
      </c>
      <c r="B2483" s="62">
        <f>IF(Materiales!$B$358="","",Materiales!$B$358)</f>
        <v/>
      </c>
      <c r="C2483" s="63" t="inlineStr">
        <is>
          <t>Necesidad bruta</t>
        </is>
      </c>
      <c r="D2483" s="64" t="n"/>
      <c r="E2483" s="65">
        <f>ROUND(SUMIF(Consumo!$P$4:$P$189,"#"&amp;$A2483,Consumo!H$4:H$189),4)</f>
        <v/>
      </c>
      <c r="F2483" s="65">
        <f>ROUND(SUMIF(Consumo!$P$4:$P$189,"#"&amp;$A2483,Consumo!I$4:I$189),4)</f>
        <v/>
      </c>
      <c r="G2483" s="65">
        <f>ROUND(SUMIF(Consumo!$P$4:$P$189,"#"&amp;$A2483,Consumo!J$4:J$189),4)</f>
        <v/>
      </c>
      <c r="H2483" s="65">
        <f>ROUND(SUMIF(Consumo!$P$4:$P$189,"#"&amp;$A2483,Consumo!K$4:K$189),4)</f>
        <v/>
      </c>
      <c r="I2483" s="65">
        <f>ROUND(SUMIF(Consumo!$P$4:$P$189,"#"&amp;$A2483,Consumo!L$4:L$189),4)</f>
        <v/>
      </c>
      <c r="J2483" s="65">
        <f>ROUND(SUMIF(Consumo!$P$4:$P$189,"#"&amp;$A2483,Consumo!M$4:M$189),4)</f>
        <v/>
      </c>
      <c r="K2483" s="65">
        <f>ROUND(SUMIF(Consumo!$P$4:$P$189,"#"&amp;$A2483,Consumo!N$4:N$189),4)</f>
        <v/>
      </c>
      <c r="L2483" s="65">
        <f>ROUND(SUMIF(Consumo!$P$4:$P$189,"#"&amp;$A2483,Consumo!O$4:O$189),4)</f>
        <v/>
      </c>
      <c r="M2483" s="66" t="n"/>
    </row>
    <row r="2484">
      <c r="C2484" s="63" t="inlineStr">
        <is>
          <t>Recepciones programadas (ya pedido)</t>
        </is>
      </c>
      <c r="D2484" s="64" t="n"/>
      <c r="E2484" s="65">
        <f>SUMIF(Inventario!$M$5:$M$505,"#"&amp;$A2483,Inventario!E$5:E$505)</f>
        <v/>
      </c>
      <c r="F2484" s="65">
        <f>SUMIF(Inventario!$M$5:$M$505,"#"&amp;$A2483,Inventario!F$5:F$505)</f>
        <v/>
      </c>
      <c r="G2484" s="65">
        <f>SUMIF(Inventario!$M$5:$M$505,"#"&amp;$A2483,Inventario!G$5:G$505)</f>
        <v/>
      </c>
      <c r="H2484" s="65">
        <f>SUMIF(Inventario!$M$5:$M$505,"#"&amp;$A2483,Inventario!H$5:H$505)</f>
        <v/>
      </c>
      <c r="I2484" s="65">
        <f>SUMIF(Inventario!$M$5:$M$505,"#"&amp;$A2483,Inventario!I$5:I$505)</f>
        <v/>
      </c>
      <c r="J2484" s="65">
        <f>SUMIF(Inventario!$M$5:$M$505,"#"&amp;$A2483,Inventario!J$5:J$505)</f>
        <v/>
      </c>
      <c r="K2484" s="65">
        <f>SUMIF(Inventario!$M$5:$M$505,"#"&amp;$A2483,Inventario!K$5:K$505)</f>
        <v/>
      </c>
      <c r="L2484" s="65">
        <f>SUMIF(Inventario!$M$5:$M$505,"#"&amp;$A2483,Inventario!L$5:L$505)</f>
        <v/>
      </c>
      <c r="M2484" s="66" t="n"/>
    </row>
    <row r="2485">
      <c r="C2485" s="63" t="inlineStr">
        <is>
          <t>Stock proyectado disponible</t>
        </is>
      </c>
      <c r="D2485" s="67">
        <f>SUMIF(Inventario!$M$5:$M$505,"#"&amp;$A2483,Inventario!$C$5:$C$505)</f>
        <v/>
      </c>
      <c r="E2485" s="68">
        <f>D2485+E2484+E2487-E2483</f>
        <v/>
      </c>
      <c r="F2485" s="68">
        <f>E2485+F2484+F2487-F2483</f>
        <v/>
      </c>
      <c r="G2485" s="68">
        <f>F2485+G2484+G2487-G2483</f>
        <v/>
      </c>
      <c r="H2485" s="68">
        <f>G2485+H2484+H2487-H2483</f>
        <v/>
      </c>
      <c r="I2485" s="68">
        <f>H2485+I2484+I2487-I2483</f>
        <v/>
      </c>
      <c r="J2485" s="68">
        <f>I2485+J2484+J2487-J2483</f>
        <v/>
      </c>
      <c r="K2485" s="68">
        <f>J2485+K2484+K2487-K2483</f>
        <v/>
      </c>
      <c r="L2485" s="68">
        <f>K2485+L2484+L2487-L2483</f>
        <v/>
      </c>
      <c r="M2485" s="66" t="n"/>
    </row>
    <row r="2486">
      <c r="C2486" s="63" t="inlineStr">
        <is>
          <t>Necesidad neta</t>
        </is>
      </c>
      <c r="D2486" s="64" t="n"/>
      <c r="E2486" s="69">
        <f>MAX(0,ROUND(E2483+Materiales!$H$358-D2485-E2484,4))</f>
        <v/>
      </c>
      <c r="F2486" s="69">
        <f>MAX(0,ROUND(F2483+Materiales!$H$358-E2485-F2484,4))</f>
        <v/>
      </c>
      <c r="G2486" s="69">
        <f>MAX(0,ROUND(G2483+Materiales!$H$358-F2485-G2484,4))</f>
        <v/>
      </c>
      <c r="H2486" s="69">
        <f>MAX(0,ROUND(H2483+Materiales!$H$358-G2485-H2484,4))</f>
        <v/>
      </c>
      <c r="I2486" s="69">
        <f>MAX(0,ROUND(I2483+Materiales!$H$358-H2485-I2484,4))</f>
        <v/>
      </c>
      <c r="J2486" s="69">
        <f>MAX(0,ROUND(J2483+Materiales!$H$358-I2485-J2484,4))</f>
        <v/>
      </c>
      <c r="K2486" s="69">
        <f>MAX(0,ROUND(K2483+Materiales!$H$358-J2485-K2484,4))</f>
        <v/>
      </c>
      <c r="L2486" s="69">
        <f>MAX(0,ROUND(L2483+Materiales!$H$358-K2485-L2484,4))</f>
        <v/>
      </c>
      <c r="M2486" s="66" t="n"/>
    </row>
    <row r="2487">
      <c r="C2487" s="63" t="inlineStr">
        <is>
          <t>Recepcion de orden planificada</t>
        </is>
      </c>
      <c r="D2487" s="64" t="n"/>
      <c r="E2487" s="65">
        <f>IF(E2486&lt;=0,0,IF(Materiales!$G$358&lt;=0,E2486,ROUNDUP(E2486/Materiales!$G$358,0)*Materiales!$G$358))</f>
        <v/>
      </c>
      <c r="F2487" s="65">
        <f>IF(F2486&lt;=0,0,IF(Materiales!$G$358&lt;=0,F2486,ROUNDUP(F2486/Materiales!$G$358,0)*Materiales!$G$358))</f>
        <v/>
      </c>
      <c r="G2487" s="65">
        <f>IF(G2486&lt;=0,0,IF(Materiales!$G$358&lt;=0,G2486,ROUNDUP(G2486/Materiales!$G$358,0)*Materiales!$G$358))</f>
        <v/>
      </c>
      <c r="H2487" s="65">
        <f>IF(H2486&lt;=0,0,IF(Materiales!$G$358&lt;=0,H2486,ROUNDUP(H2486/Materiales!$G$358,0)*Materiales!$G$358))</f>
        <v/>
      </c>
      <c r="I2487" s="65">
        <f>IF(I2486&lt;=0,0,IF(Materiales!$G$358&lt;=0,I2486,ROUNDUP(I2486/Materiales!$G$358,0)*Materiales!$G$358))</f>
        <v/>
      </c>
      <c r="J2487" s="65">
        <f>IF(J2486&lt;=0,0,IF(Materiales!$G$358&lt;=0,J2486,ROUNDUP(J2486/Materiales!$G$358,0)*Materiales!$G$358))</f>
        <v/>
      </c>
      <c r="K2487" s="65">
        <f>IF(K2486&lt;=0,0,IF(Materiales!$G$358&lt;=0,K2486,ROUNDUP(K2486/Materiales!$G$358,0)*Materiales!$G$358))</f>
        <v/>
      </c>
      <c r="L2487" s="65">
        <f>IF(L2486&lt;=0,0,IF(Materiales!$G$358&lt;=0,L2486,ROUNDUP(L2486/Materiales!$G$358,0)*Materiales!$G$358))</f>
        <v/>
      </c>
      <c r="M2487" s="66" t="n"/>
    </row>
    <row r="2488">
      <c r="C2488" s="70" t="inlineStr">
        <is>
          <t>LANZAMIENTO DE ORDEN — pedir esta semana</t>
        </is>
      </c>
      <c r="D2488" s="64" t="n"/>
      <c r="E2488" s="71">
        <f>IF(1+Materiales!$F$358&gt;8,0,INDEX($E$2487:$L$2487,1,1+Materiales!$F$358))</f>
        <v/>
      </c>
      <c r="F2488" s="71">
        <f>IF(2+Materiales!$F$358&gt;8,0,INDEX($E$2487:$L$2487,1,2+Materiales!$F$358))</f>
        <v/>
      </c>
      <c r="G2488" s="71">
        <f>IF(3+Materiales!$F$358&gt;8,0,INDEX($E$2487:$L$2487,1,3+Materiales!$F$358))</f>
        <v/>
      </c>
      <c r="H2488" s="71">
        <f>IF(4+Materiales!$F$358&gt;8,0,INDEX($E$2487:$L$2487,1,4+Materiales!$F$358))</f>
        <v/>
      </c>
      <c r="I2488" s="71">
        <f>IF(5+Materiales!$F$358&gt;8,0,INDEX($E$2487:$L$2487,1,5+Materiales!$F$358))</f>
        <v/>
      </c>
      <c r="J2488" s="71">
        <f>IF(6+Materiales!$F$358&gt;8,0,INDEX($E$2487:$L$2487,1,6+Materiales!$F$358))</f>
        <v/>
      </c>
      <c r="K2488" s="71">
        <f>IF(7+Materiales!$F$358&gt;8,0,INDEX($E$2487:$L$2487,1,7+Materiales!$F$358))</f>
        <v/>
      </c>
      <c r="L2488" s="71">
        <f>IF(8+Materiales!$F$358&gt;8,0,INDEX($E$2487:$L$2487,1,8+Materiales!$F$358))</f>
        <v/>
      </c>
      <c r="M2488" s="72">
        <f>IF($A2483="","",IF(SUMPRODUCT((COLUMN($E$2487:$L$2487)-4&lt;=Materiales!$F$358)*$E$2487:$L$2487)&gt;0,"PEDIR YA (atrasado)","OK"))</f>
        <v/>
      </c>
    </row>
    <row r="2489" ht="6" customHeight="1"/>
    <row r="2490">
      <c r="A2490" s="62">
        <f>IF(Materiales!$A$359="","",Materiales!$A$359)</f>
        <v/>
      </c>
      <c r="B2490" s="62">
        <f>IF(Materiales!$B$359="","",Materiales!$B$359)</f>
        <v/>
      </c>
      <c r="C2490" s="63" t="inlineStr">
        <is>
          <t>Necesidad bruta</t>
        </is>
      </c>
      <c r="D2490" s="64" t="n"/>
      <c r="E2490" s="65">
        <f>ROUND(SUMIF(Consumo!$P$4:$P$189,"#"&amp;$A2490,Consumo!H$4:H$189),4)</f>
        <v/>
      </c>
      <c r="F2490" s="65">
        <f>ROUND(SUMIF(Consumo!$P$4:$P$189,"#"&amp;$A2490,Consumo!I$4:I$189),4)</f>
        <v/>
      </c>
      <c r="G2490" s="65">
        <f>ROUND(SUMIF(Consumo!$P$4:$P$189,"#"&amp;$A2490,Consumo!J$4:J$189),4)</f>
        <v/>
      </c>
      <c r="H2490" s="65">
        <f>ROUND(SUMIF(Consumo!$P$4:$P$189,"#"&amp;$A2490,Consumo!K$4:K$189),4)</f>
        <v/>
      </c>
      <c r="I2490" s="65">
        <f>ROUND(SUMIF(Consumo!$P$4:$P$189,"#"&amp;$A2490,Consumo!L$4:L$189),4)</f>
        <v/>
      </c>
      <c r="J2490" s="65">
        <f>ROUND(SUMIF(Consumo!$P$4:$P$189,"#"&amp;$A2490,Consumo!M$4:M$189),4)</f>
        <v/>
      </c>
      <c r="K2490" s="65">
        <f>ROUND(SUMIF(Consumo!$P$4:$P$189,"#"&amp;$A2490,Consumo!N$4:N$189),4)</f>
        <v/>
      </c>
      <c r="L2490" s="65">
        <f>ROUND(SUMIF(Consumo!$P$4:$P$189,"#"&amp;$A2490,Consumo!O$4:O$189),4)</f>
        <v/>
      </c>
      <c r="M2490" s="66" t="n"/>
    </row>
    <row r="2491">
      <c r="C2491" s="63" t="inlineStr">
        <is>
          <t>Recepciones programadas (ya pedido)</t>
        </is>
      </c>
      <c r="D2491" s="64" t="n"/>
      <c r="E2491" s="65">
        <f>SUMIF(Inventario!$M$5:$M$505,"#"&amp;$A2490,Inventario!E$5:E$505)</f>
        <v/>
      </c>
      <c r="F2491" s="65">
        <f>SUMIF(Inventario!$M$5:$M$505,"#"&amp;$A2490,Inventario!F$5:F$505)</f>
        <v/>
      </c>
      <c r="G2491" s="65">
        <f>SUMIF(Inventario!$M$5:$M$505,"#"&amp;$A2490,Inventario!G$5:G$505)</f>
        <v/>
      </c>
      <c r="H2491" s="65">
        <f>SUMIF(Inventario!$M$5:$M$505,"#"&amp;$A2490,Inventario!H$5:H$505)</f>
        <v/>
      </c>
      <c r="I2491" s="65">
        <f>SUMIF(Inventario!$M$5:$M$505,"#"&amp;$A2490,Inventario!I$5:I$505)</f>
        <v/>
      </c>
      <c r="J2491" s="65">
        <f>SUMIF(Inventario!$M$5:$M$505,"#"&amp;$A2490,Inventario!J$5:J$505)</f>
        <v/>
      </c>
      <c r="K2491" s="65">
        <f>SUMIF(Inventario!$M$5:$M$505,"#"&amp;$A2490,Inventario!K$5:K$505)</f>
        <v/>
      </c>
      <c r="L2491" s="65">
        <f>SUMIF(Inventario!$M$5:$M$505,"#"&amp;$A2490,Inventario!L$5:L$505)</f>
        <v/>
      </c>
      <c r="M2491" s="66" t="n"/>
    </row>
    <row r="2492">
      <c r="C2492" s="63" t="inlineStr">
        <is>
          <t>Stock proyectado disponible</t>
        </is>
      </c>
      <c r="D2492" s="67">
        <f>SUMIF(Inventario!$M$5:$M$505,"#"&amp;$A2490,Inventario!$C$5:$C$505)</f>
        <v/>
      </c>
      <c r="E2492" s="68">
        <f>D2492+E2491+E2494-E2490</f>
        <v/>
      </c>
      <c r="F2492" s="68">
        <f>E2492+F2491+F2494-F2490</f>
        <v/>
      </c>
      <c r="G2492" s="68">
        <f>F2492+G2491+G2494-G2490</f>
        <v/>
      </c>
      <c r="H2492" s="68">
        <f>G2492+H2491+H2494-H2490</f>
        <v/>
      </c>
      <c r="I2492" s="68">
        <f>H2492+I2491+I2494-I2490</f>
        <v/>
      </c>
      <c r="J2492" s="68">
        <f>I2492+J2491+J2494-J2490</f>
        <v/>
      </c>
      <c r="K2492" s="68">
        <f>J2492+K2491+K2494-K2490</f>
        <v/>
      </c>
      <c r="L2492" s="68">
        <f>K2492+L2491+L2494-L2490</f>
        <v/>
      </c>
      <c r="M2492" s="66" t="n"/>
    </row>
    <row r="2493">
      <c r="C2493" s="63" t="inlineStr">
        <is>
          <t>Necesidad neta</t>
        </is>
      </c>
      <c r="D2493" s="64" t="n"/>
      <c r="E2493" s="69">
        <f>MAX(0,ROUND(E2490+Materiales!$H$359-D2492-E2491,4))</f>
        <v/>
      </c>
      <c r="F2493" s="69">
        <f>MAX(0,ROUND(F2490+Materiales!$H$359-E2492-F2491,4))</f>
        <v/>
      </c>
      <c r="G2493" s="69">
        <f>MAX(0,ROUND(G2490+Materiales!$H$359-F2492-G2491,4))</f>
        <v/>
      </c>
      <c r="H2493" s="69">
        <f>MAX(0,ROUND(H2490+Materiales!$H$359-G2492-H2491,4))</f>
        <v/>
      </c>
      <c r="I2493" s="69">
        <f>MAX(0,ROUND(I2490+Materiales!$H$359-H2492-I2491,4))</f>
        <v/>
      </c>
      <c r="J2493" s="69">
        <f>MAX(0,ROUND(J2490+Materiales!$H$359-I2492-J2491,4))</f>
        <v/>
      </c>
      <c r="K2493" s="69">
        <f>MAX(0,ROUND(K2490+Materiales!$H$359-J2492-K2491,4))</f>
        <v/>
      </c>
      <c r="L2493" s="69">
        <f>MAX(0,ROUND(L2490+Materiales!$H$359-K2492-L2491,4))</f>
        <v/>
      </c>
      <c r="M2493" s="66" t="n"/>
    </row>
    <row r="2494">
      <c r="C2494" s="63" t="inlineStr">
        <is>
          <t>Recepcion de orden planificada</t>
        </is>
      </c>
      <c r="D2494" s="64" t="n"/>
      <c r="E2494" s="65">
        <f>IF(E2493&lt;=0,0,IF(Materiales!$G$359&lt;=0,E2493,ROUNDUP(E2493/Materiales!$G$359,0)*Materiales!$G$359))</f>
        <v/>
      </c>
      <c r="F2494" s="65">
        <f>IF(F2493&lt;=0,0,IF(Materiales!$G$359&lt;=0,F2493,ROUNDUP(F2493/Materiales!$G$359,0)*Materiales!$G$359))</f>
        <v/>
      </c>
      <c r="G2494" s="65">
        <f>IF(G2493&lt;=0,0,IF(Materiales!$G$359&lt;=0,G2493,ROUNDUP(G2493/Materiales!$G$359,0)*Materiales!$G$359))</f>
        <v/>
      </c>
      <c r="H2494" s="65">
        <f>IF(H2493&lt;=0,0,IF(Materiales!$G$359&lt;=0,H2493,ROUNDUP(H2493/Materiales!$G$359,0)*Materiales!$G$359))</f>
        <v/>
      </c>
      <c r="I2494" s="65">
        <f>IF(I2493&lt;=0,0,IF(Materiales!$G$359&lt;=0,I2493,ROUNDUP(I2493/Materiales!$G$359,0)*Materiales!$G$359))</f>
        <v/>
      </c>
      <c r="J2494" s="65">
        <f>IF(J2493&lt;=0,0,IF(Materiales!$G$359&lt;=0,J2493,ROUNDUP(J2493/Materiales!$G$359,0)*Materiales!$G$359))</f>
        <v/>
      </c>
      <c r="K2494" s="65">
        <f>IF(K2493&lt;=0,0,IF(Materiales!$G$359&lt;=0,K2493,ROUNDUP(K2493/Materiales!$G$359,0)*Materiales!$G$359))</f>
        <v/>
      </c>
      <c r="L2494" s="65">
        <f>IF(L2493&lt;=0,0,IF(Materiales!$G$359&lt;=0,L2493,ROUNDUP(L2493/Materiales!$G$359,0)*Materiales!$G$359))</f>
        <v/>
      </c>
      <c r="M2494" s="66" t="n"/>
    </row>
    <row r="2495">
      <c r="C2495" s="70" t="inlineStr">
        <is>
          <t>LANZAMIENTO DE ORDEN — pedir esta semana</t>
        </is>
      </c>
      <c r="D2495" s="64" t="n"/>
      <c r="E2495" s="71">
        <f>IF(1+Materiales!$F$359&gt;8,0,INDEX($E$2494:$L$2494,1,1+Materiales!$F$359))</f>
        <v/>
      </c>
      <c r="F2495" s="71">
        <f>IF(2+Materiales!$F$359&gt;8,0,INDEX($E$2494:$L$2494,1,2+Materiales!$F$359))</f>
        <v/>
      </c>
      <c r="G2495" s="71">
        <f>IF(3+Materiales!$F$359&gt;8,0,INDEX($E$2494:$L$2494,1,3+Materiales!$F$359))</f>
        <v/>
      </c>
      <c r="H2495" s="71">
        <f>IF(4+Materiales!$F$359&gt;8,0,INDEX($E$2494:$L$2494,1,4+Materiales!$F$359))</f>
        <v/>
      </c>
      <c r="I2495" s="71">
        <f>IF(5+Materiales!$F$359&gt;8,0,INDEX($E$2494:$L$2494,1,5+Materiales!$F$359))</f>
        <v/>
      </c>
      <c r="J2495" s="71">
        <f>IF(6+Materiales!$F$359&gt;8,0,INDEX($E$2494:$L$2494,1,6+Materiales!$F$359))</f>
        <v/>
      </c>
      <c r="K2495" s="71">
        <f>IF(7+Materiales!$F$359&gt;8,0,INDEX($E$2494:$L$2494,1,7+Materiales!$F$359))</f>
        <v/>
      </c>
      <c r="L2495" s="71">
        <f>IF(8+Materiales!$F$359&gt;8,0,INDEX($E$2494:$L$2494,1,8+Materiales!$F$359))</f>
        <v/>
      </c>
      <c r="M2495" s="72">
        <f>IF($A2490="","",IF(SUMPRODUCT((COLUMN($E$2494:$L$2494)-4&lt;=Materiales!$F$359)*$E$2494:$L$2494)&gt;0,"PEDIR YA (atrasado)","OK"))</f>
        <v/>
      </c>
    </row>
    <row r="2496" ht="6" customHeight="1"/>
    <row r="2497">
      <c r="A2497" s="62">
        <f>IF(Materiales!$A$360="","",Materiales!$A$360)</f>
        <v/>
      </c>
      <c r="B2497" s="62">
        <f>IF(Materiales!$B$360="","",Materiales!$B$360)</f>
        <v/>
      </c>
      <c r="C2497" s="63" t="inlineStr">
        <is>
          <t>Necesidad bruta</t>
        </is>
      </c>
      <c r="D2497" s="64" t="n"/>
      <c r="E2497" s="65">
        <f>ROUND(SUMIF(Consumo!$P$4:$P$189,"#"&amp;$A2497,Consumo!H$4:H$189),4)</f>
        <v/>
      </c>
      <c r="F2497" s="65">
        <f>ROUND(SUMIF(Consumo!$P$4:$P$189,"#"&amp;$A2497,Consumo!I$4:I$189),4)</f>
        <v/>
      </c>
      <c r="G2497" s="65">
        <f>ROUND(SUMIF(Consumo!$P$4:$P$189,"#"&amp;$A2497,Consumo!J$4:J$189),4)</f>
        <v/>
      </c>
      <c r="H2497" s="65">
        <f>ROUND(SUMIF(Consumo!$P$4:$P$189,"#"&amp;$A2497,Consumo!K$4:K$189),4)</f>
        <v/>
      </c>
      <c r="I2497" s="65">
        <f>ROUND(SUMIF(Consumo!$P$4:$P$189,"#"&amp;$A2497,Consumo!L$4:L$189),4)</f>
        <v/>
      </c>
      <c r="J2497" s="65">
        <f>ROUND(SUMIF(Consumo!$P$4:$P$189,"#"&amp;$A2497,Consumo!M$4:M$189),4)</f>
        <v/>
      </c>
      <c r="K2497" s="65">
        <f>ROUND(SUMIF(Consumo!$P$4:$P$189,"#"&amp;$A2497,Consumo!N$4:N$189),4)</f>
        <v/>
      </c>
      <c r="L2497" s="65">
        <f>ROUND(SUMIF(Consumo!$P$4:$P$189,"#"&amp;$A2497,Consumo!O$4:O$189),4)</f>
        <v/>
      </c>
      <c r="M2497" s="66" t="n"/>
    </row>
    <row r="2498">
      <c r="C2498" s="63" t="inlineStr">
        <is>
          <t>Recepciones programadas (ya pedido)</t>
        </is>
      </c>
      <c r="D2498" s="64" t="n"/>
      <c r="E2498" s="65">
        <f>SUMIF(Inventario!$M$5:$M$505,"#"&amp;$A2497,Inventario!E$5:E$505)</f>
        <v/>
      </c>
      <c r="F2498" s="65">
        <f>SUMIF(Inventario!$M$5:$M$505,"#"&amp;$A2497,Inventario!F$5:F$505)</f>
        <v/>
      </c>
      <c r="G2498" s="65">
        <f>SUMIF(Inventario!$M$5:$M$505,"#"&amp;$A2497,Inventario!G$5:G$505)</f>
        <v/>
      </c>
      <c r="H2498" s="65">
        <f>SUMIF(Inventario!$M$5:$M$505,"#"&amp;$A2497,Inventario!H$5:H$505)</f>
        <v/>
      </c>
      <c r="I2498" s="65">
        <f>SUMIF(Inventario!$M$5:$M$505,"#"&amp;$A2497,Inventario!I$5:I$505)</f>
        <v/>
      </c>
      <c r="J2498" s="65">
        <f>SUMIF(Inventario!$M$5:$M$505,"#"&amp;$A2497,Inventario!J$5:J$505)</f>
        <v/>
      </c>
      <c r="K2498" s="65">
        <f>SUMIF(Inventario!$M$5:$M$505,"#"&amp;$A2497,Inventario!K$5:K$505)</f>
        <v/>
      </c>
      <c r="L2498" s="65">
        <f>SUMIF(Inventario!$M$5:$M$505,"#"&amp;$A2497,Inventario!L$5:L$505)</f>
        <v/>
      </c>
      <c r="M2498" s="66" t="n"/>
    </row>
    <row r="2499">
      <c r="C2499" s="63" t="inlineStr">
        <is>
          <t>Stock proyectado disponible</t>
        </is>
      </c>
      <c r="D2499" s="67">
        <f>SUMIF(Inventario!$M$5:$M$505,"#"&amp;$A2497,Inventario!$C$5:$C$505)</f>
        <v/>
      </c>
      <c r="E2499" s="68">
        <f>D2499+E2498+E2501-E2497</f>
        <v/>
      </c>
      <c r="F2499" s="68">
        <f>E2499+F2498+F2501-F2497</f>
        <v/>
      </c>
      <c r="G2499" s="68">
        <f>F2499+G2498+G2501-G2497</f>
        <v/>
      </c>
      <c r="H2499" s="68">
        <f>G2499+H2498+H2501-H2497</f>
        <v/>
      </c>
      <c r="I2499" s="68">
        <f>H2499+I2498+I2501-I2497</f>
        <v/>
      </c>
      <c r="J2499" s="68">
        <f>I2499+J2498+J2501-J2497</f>
        <v/>
      </c>
      <c r="K2499" s="68">
        <f>J2499+K2498+K2501-K2497</f>
        <v/>
      </c>
      <c r="L2499" s="68">
        <f>K2499+L2498+L2501-L2497</f>
        <v/>
      </c>
      <c r="M2499" s="66" t="n"/>
    </row>
    <row r="2500">
      <c r="C2500" s="63" t="inlineStr">
        <is>
          <t>Necesidad neta</t>
        </is>
      </c>
      <c r="D2500" s="64" t="n"/>
      <c r="E2500" s="69">
        <f>MAX(0,ROUND(E2497+Materiales!$H$360-D2499-E2498,4))</f>
        <v/>
      </c>
      <c r="F2500" s="69">
        <f>MAX(0,ROUND(F2497+Materiales!$H$360-E2499-F2498,4))</f>
        <v/>
      </c>
      <c r="G2500" s="69">
        <f>MAX(0,ROUND(G2497+Materiales!$H$360-F2499-G2498,4))</f>
        <v/>
      </c>
      <c r="H2500" s="69">
        <f>MAX(0,ROUND(H2497+Materiales!$H$360-G2499-H2498,4))</f>
        <v/>
      </c>
      <c r="I2500" s="69">
        <f>MAX(0,ROUND(I2497+Materiales!$H$360-H2499-I2498,4))</f>
        <v/>
      </c>
      <c r="J2500" s="69">
        <f>MAX(0,ROUND(J2497+Materiales!$H$360-I2499-J2498,4))</f>
        <v/>
      </c>
      <c r="K2500" s="69">
        <f>MAX(0,ROUND(K2497+Materiales!$H$360-J2499-K2498,4))</f>
        <v/>
      </c>
      <c r="L2500" s="69">
        <f>MAX(0,ROUND(L2497+Materiales!$H$360-K2499-L2498,4))</f>
        <v/>
      </c>
      <c r="M2500" s="66" t="n"/>
    </row>
    <row r="2501">
      <c r="C2501" s="63" t="inlineStr">
        <is>
          <t>Recepcion de orden planificada</t>
        </is>
      </c>
      <c r="D2501" s="64" t="n"/>
      <c r="E2501" s="65">
        <f>IF(E2500&lt;=0,0,IF(Materiales!$G$360&lt;=0,E2500,ROUNDUP(E2500/Materiales!$G$360,0)*Materiales!$G$360))</f>
        <v/>
      </c>
      <c r="F2501" s="65">
        <f>IF(F2500&lt;=0,0,IF(Materiales!$G$360&lt;=0,F2500,ROUNDUP(F2500/Materiales!$G$360,0)*Materiales!$G$360))</f>
        <v/>
      </c>
      <c r="G2501" s="65">
        <f>IF(G2500&lt;=0,0,IF(Materiales!$G$360&lt;=0,G2500,ROUNDUP(G2500/Materiales!$G$360,0)*Materiales!$G$360))</f>
        <v/>
      </c>
      <c r="H2501" s="65">
        <f>IF(H2500&lt;=0,0,IF(Materiales!$G$360&lt;=0,H2500,ROUNDUP(H2500/Materiales!$G$360,0)*Materiales!$G$360))</f>
        <v/>
      </c>
      <c r="I2501" s="65">
        <f>IF(I2500&lt;=0,0,IF(Materiales!$G$360&lt;=0,I2500,ROUNDUP(I2500/Materiales!$G$360,0)*Materiales!$G$360))</f>
        <v/>
      </c>
      <c r="J2501" s="65">
        <f>IF(J2500&lt;=0,0,IF(Materiales!$G$360&lt;=0,J2500,ROUNDUP(J2500/Materiales!$G$360,0)*Materiales!$G$360))</f>
        <v/>
      </c>
      <c r="K2501" s="65">
        <f>IF(K2500&lt;=0,0,IF(Materiales!$G$360&lt;=0,K2500,ROUNDUP(K2500/Materiales!$G$360,0)*Materiales!$G$360))</f>
        <v/>
      </c>
      <c r="L2501" s="65">
        <f>IF(L2500&lt;=0,0,IF(Materiales!$G$360&lt;=0,L2500,ROUNDUP(L2500/Materiales!$G$360,0)*Materiales!$G$360))</f>
        <v/>
      </c>
      <c r="M2501" s="66" t="n"/>
    </row>
    <row r="2502">
      <c r="C2502" s="70" t="inlineStr">
        <is>
          <t>LANZAMIENTO DE ORDEN — pedir esta semana</t>
        </is>
      </c>
      <c r="D2502" s="64" t="n"/>
      <c r="E2502" s="71">
        <f>IF(1+Materiales!$F$360&gt;8,0,INDEX($E$2501:$L$2501,1,1+Materiales!$F$360))</f>
        <v/>
      </c>
      <c r="F2502" s="71">
        <f>IF(2+Materiales!$F$360&gt;8,0,INDEX($E$2501:$L$2501,1,2+Materiales!$F$360))</f>
        <v/>
      </c>
      <c r="G2502" s="71">
        <f>IF(3+Materiales!$F$360&gt;8,0,INDEX($E$2501:$L$2501,1,3+Materiales!$F$360))</f>
        <v/>
      </c>
      <c r="H2502" s="71">
        <f>IF(4+Materiales!$F$360&gt;8,0,INDEX($E$2501:$L$2501,1,4+Materiales!$F$360))</f>
        <v/>
      </c>
      <c r="I2502" s="71">
        <f>IF(5+Materiales!$F$360&gt;8,0,INDEX($E$2501:$L$2501,1,5+Materiales!$F$360))</f>
        <v/>
      </c>
      <c r="J2502" s="71">
        <f>IF(6+Materiales!$F$360&gt;8,0,INDEX($E$2501:$L$2501,1,6+Materiales!$F$360))</f>
        <v/>
      </c>
      <c r="K2502" s="71">
        <f>IF(7+Materiales!$F$360&gt;8,0,INDEX($E$2501:$L$2501,1,7+Materiales!$F$360))</f>
        <v/>
      </c>
      <c r="L2502" s="71">
        <f>IF(8+Materiales!$F$360&gt;8,0,INDEX($E$2501:$L$2501,1,8+Materiales!$F$360))</f>
        <v/>
      </c>
      <c r="M2502" s="72">
        <f>IF($A2497="","",IF(SUMPRODUCT((COLUMN($E$2501:$L$2501)-4&lt;=Materiales!$F$360)*$E$2501:$L$2501)&gt;0,"PEDIR YA (atrasado)","OK"))</f>
        <v/>
      </c>
    </row>
    <row r="2503" ht="6" customHeight="1"/>
    <row r="2504">
      <c r="A2504" s="62">
        <f>IF(Materiales!$A$361="","",Materiales!$A$361)</f>
        <v/>
      </c>
      <c r="B2504" s="62">
        <f>IF(Materiales!$B$361="","",Materiales!$B$361)</f>
        <v/>
      </c>
      <c r="C2504" s="63" t="inlineStr">
        <is>
          <t>Necesidad bruta</t>
        </is>
      </c>
      <c r="D2504" s="64" t="n"/>
      <c r="E2504" s="65">
        <f>ROUND(SUMIF(Consumo!$P$4:$P$189,"#"&amp;$A2504,Consumo!H$4:H$189),4)</f>
        <v/>
      </c>
      <c r="F2504" s="65">
        <f>ROUND(SUMIF(Consumo!$P$4:$P$189,"#"&amp;$A2504,Consumo!I$4:I$189),4)</f>
        <v/>
      </c>
      <c r="G2504" s="65">
        <f>ROUND(SUMIF(Consumo!$P$4:$P$189,"#"&amp;$A2504,Consumo!J$4:J$189),4)</f>
        <v/>
      </c>
      <c r="H2504" s="65">
        <f>ROUND(SUMIF(Consumo!$P$4:$P$189,"#"&amp;$A2504,Consumo!K$4:K$189),4)</f>
        <v/>
      </c>
      <c r="I2504" s="65">
        <f>ROUND(SUMIF(Consumo!$P$4:$P$189,"#"&amp;$A2504,Consumo!L$4:L$189),4)</f>
        <v/>
      </c>
      <c r="J2504" s="65">
        <f>ROUND(SUMIF(Consumo!$P$4:$P$189,"#"&amp;$A2504,Consumo!M$4:M$189),4)</f>
        <v/>
      </c>
      <c r="K2504" s="65">
        <f>ROUND(SUMIF(Consumo!$P$4:$P$189,"#"&amp;$A2504,Consumo!N$4:N$189),4)</f>
        <v/>
      </c>
      <c r="L2504" s="65">
        <f>ROUND(SUMIF(Consumo!$P$4:$P$189,"#"&amp;$A2504,Consumo!O$4:O$189),4)</f>
        <v/>
      </c>
      <c r="M2504" s="66" t="n"/>
    </row>
    <row r="2505">
      <c r="C2505" s="63" t="inlineStr">
        <is>
          <t>Recepciones programadas (ya pedido)</t>
        </is>
      </c>
      <c r="D2505" s="64" t="n"/>
      <c r="E2505" s="65">
        <f>SUMIF(Inventario!$M$5:$M$505,"#"&amp;$A2504,Inventario!E$5:E$505)</f>
        <v/>
      </c>
      <c r="F2505" s="65">
        <f>SUMIF(Inventario!$M$5:$M$505,"#"&amp;$A2504,Inventario!F$5:F$505)</f>
        <v/>
      </c>
      <c r="G2505" s="65">
        <f>SUMIF(Inventario!$M$5:$M$505,"#"&amp;$A2504,Inventario!G$5:G$505)</f>
        <v/>
      </c>
      <c r="H2505" s="65">
        <f>SUMIF(Inventario!$M$5:$M$505,"#"&amp;$A2504,Inventario!H$5:H$505)</f>
        <v/>
      </c>
      <c r="I2505" s="65">
        <f>SUMIF(Inventario!$M$5:$M$505,"#"&amp;$A2504,Inventario!I$5:I$505)</f>
        <v/>
      </c>
      <c r="J2505" s="65">
        <f>SUMIF(Inventario!$M$5:$M$505,"#"&amp;$A2504,Inventario!J$5:J$505)</f>
        <v/>
      </c>
      <c r="K2505" s="65">
        <f>SUMIF(Inventario!$M$5:$M$505,"#"&amp;$A2504,Inventario!K$5:K$505)</f>
        <v/>
      </c>
      <c r="L2505" s="65">
        <f>SUMIF(Inventario!$M$5:$M$505,"#"&amp;$A2504,Inventario!L$5:L$505)</f>
        <v/>
      </c>
      <c r="M2505" s="66" t="n"/>
    </row>
    <row r="2506">
      <c r="C2506" s="63" t="inlineStr">
        <is>
          <t>Stock proyectado disponible</t>
        </is>
      </c>
      <c r="D2506" s="67">
        <f>SUMIF(Inventario!$M$5:$M$505,"#"&amp;$A2504,Inventario!$C$5:$C$505)</f>
        <v/>
      </c>
      <c r="E2506" s="68">
        <f>D2506+E2505+E2508-E2504</f>
        <v/>
      </c>
      <c r="F2506" s="68">
        <f>E2506+F2505+F2508-F2504</f>
        <v/>
      </c>
      <c r="G2506" s="68">
        <f>F2506+G2505+G2508-G2504</f>
        <v/>
      </c>
      <c r="H2506" s="68">
        <f>G2506+H2505+H2508-H2504</f>
        <v/>
      </c>
      <c r="I2506" s="68">
        <f>H2506+I2505+I2508-I2504</f>
        <v/>
      </c>
      <c r="J2506" s="68">
        <f>I2506+J2505+J2508-J2504</f>
        <v/>
      </c>
      <c r="K2506" s="68">
        <f>J2506+K2505+K2508-K2504</f>
        <v/>
      </c>
      <c r="L2506" s="68">
        <f>K2506+L2505+L2508-L2504</f>
        <v/>
      </c>
      <c r="M2506" s="66" t="n"/>
    </row>
    <row r="2507">
      <c r="C2507" s="63" t="inlineStr">
        <is>
          <t>Necesidad neta</t>
        </is>
      </c>
      <c r="D2507" s="64" t="n"/>
      <c r="E2507" s="69">
        <f>MAX(0,ROUND(E2504+Materiales!$H$361-D2506-E2505,4))</f>
        <v/>
      </c>
      <c r="F2507" s="69">
        <f>MAX(0,ROUND(F2504+Materiales!$H$361-E2506-F2505,4))</f>
        <v/>
      </c>
      <c r="G2507" s="69">
        <f>MAX(0,ROUND(G2504+Materiales!$H$361-F2506-G2505,4))</f>
        <v/>
      </c>
      <c r="H2507" s="69">
        <f>MAX(0,ROUND(H2504+Materiales!$H$361-G2506-H2505,4))</f>
        <v/>
      </c>
      <c r="I2507" s="69">
        <f>MAX(0,ROUND(I2504+Materiales!$H$361-H2506-I2505,4))</f>
        <v/>
      </c>
      <c r="J2507" s="69">
        <f>MAX(0,ROUND(J2504+Materiales!$H$361-I2506-J2505,4))</f>
        <v/>
      </c>
      <c r="K2507" s="69">
        <f>MAX(0,ROUND(K2504+Materiales!$H$361-J2506-K2505,4))</f>
        <v/>
      </c>
      <c r="L2507" s="69">
        <f>MAX(0,ROUND(L2504+Materiales!$H$361-K2506-L2505,4))</f>
        <v/>
      </c>
      <c r="M2507" s="66" t="n"/>
    </row>
    <row r="2508">
      <c r="C2508" s="63" t="inlineStr">
        <is>
          <t>Recepcion de orden planificada</t>
        </is>
      </c>
      <c r="D2508" s="64" t="n"/>
      <c r="E2508" s="65">
        <f>IF(E2507&lt;=0,0,IF(Materiales!$G$361&lt;=0,E2507,ROUNDUP(E2507/Materiales!$G$361,0)*Materiales!$G$361))</f>
        <v/>
      </c>
      <c r="F2508" s="65">
        <f>IF(F2507&lt;=0,0,IF(Materiales!$G$361&lt;=0,F2507,ROUNDUP(F2507/Materiales!$G$361,0)*Materiales!$G$361))</f>
        <v/>
      </c>
      <c r="G2508" s="65">
        <f>IF(G2507&lt;=0,0,IF(Materiales!$G$361&lt;=0,G2507,ROUNDUP(G2507/Materiales!$G$361,0)*Materiales!$G$361))</f>
        <v/>
      </c>
      <c r="H2508" s="65">
        <f>IF(H2507&lt;=0,0,IF(Materiales!$G$361&lt;=0,H2507,ROUNDUP(H2507/Materiales!$G$361,0)*Materiales!$G$361))</f>
        <v/>
      </c>
      <c r="I2508" s="65">
        <f>IF(I2507&lt;=0,0,IF(Materiales!$G$361&lt;=0,I2507,ROUNDUP(I2507/Materiales!$G$361,0)*Materiales!$G$361))</f>
        <v/>
      </c>
      <c r="J2508" s="65">
        <f>IF(J2507&lt;=0,0,IF(Materiales!$G$361&lt;=0,J2507,ROUNDUP(J2507/Materiales!$G$361,0)*Materiales!$G$361))</f>
        <v/>
      </c>
      <c r="K2508" s="65">
        <f>IF(K2507&lt;=0,0,IF(Materiales!$G$361&lt;=0,K2507,ROUNDUP(K2507/Materiales!$G$361,0)*Materiales!$G$361))</f>
        <v/>
      </c>
      <c r="L2508" s="65">
        <f>IF(L2507&lt;=0,0,IF(Materiales!$G$361&lt;=0,L2507,ROUNDUP(L2507/Materiales!$G$361,0)*Materiales!$G$361))</f>
        <v/>
      </c>
      <c r="M2508" s="66" t="n"/>
    </row>
    <row r="2509">
      <c r="C2509" s="70" t="inlineStr">
        <is>
          <t>LANZAMIENTO DE ORDEN — pedir esta semana</t>
        </is>
      </c>
      <c r="D2509" s="64" t="n"/>
      <c r="E2509" s="71">
        <f>IF(1+Materiales!$F$361&gt;8,0,INDEX($E$2508:$L$2508,1,1+Materiales!$F$361))</f>
        <v/>
      </c>
      <c r="F2509" s="71">
        <f>IF(2+Materiales!$F$361&gt;8,0,INDEX($E$2508:$L$2508,1,2+Materiales!$F$361))</f>
        <v/>
      </c>
      <c r="G2509" s="71">
        <f>IF(3+Materiales!$F$361&gt;8,0,INDEX($E$2508:$L$2508,1,3+Materiales!$F$361))</f>
        <v/>
      </c>
      <c r="H2509" s="71">
        <f>IF(4+Materiales!$F$361&gt;8,0,INDEX($E$2508:$L$2508,1,4+Materiales!$F$361))</f>
        <v/>
      </c>
      <c r="I2509" s="71">
        <f>IF(5+Materiales!$F$361&gt;8,0,INDEX($E$2508:$L$2508,1,5+Materiales!$F$361))</f>
        <v/>
      </c>
      <c r="J2509" s="71">
        <f>IF(6+Materiales!$F$361&gt;8,0,INDEX($E$2508:$L$2508,1,6+Materiales!$F$361))</f>
        <v/>
      </c>
      <c r="K2509" s="71">
        <f>IF(7+Materiales!$F$361&gt;8,0,INDEX($E$2508:$L$2508,1,7+Materiales!$F$361))</f>
        <v/>
      </c>
      <c r="L2509" s="71">
        <f>IF(8+Materiales!$F$361&gt;8,0,INDEX($E$2508:$L$2508,1,8+Materiales!$F$361))</f>
        <v/>
      </c>
      <c r="M2509" s="72">
        <f>IF($A2504="","",IF(SUMPRODUCT((COLUMN($E$2508:$L$2508)-4&lt;=Materiales!$F$361)*$E$2508:$L$2508)&gt;0,"PEDIR YA (atrasado)","OK"))</f>
        <v/>
      </c>
    </row>
    <row r="2510" ht="6" customHeight="1"/>
    <row r="2511">
      <c r="A2511" s="62">
        <f>IF(Materiales!$A$362="","",Materiales!$A$362)</f>
        <v/>
      </c>
      <c r="B2511" s="62">
        <f>IF(Materiales!$B$362="","",Materiales!$B$362)</f>
        <v/>
      </c>
      <c r="C2511" s="63" t="inlineStr">
        <is>
          <t>Necesidad bruta</t>
        </is>
      </c>
      <c r="D2511" s="64" t="n"/>
      <c r="E2511" s="65">
        <f>ROUND(SUMIF(Consumo!$P$4:$P$189,"#"&amp;$A2511,Consumo!H$4:H$189),4)</f>
        <v/>
      </c>
      <c r="F2511" s="65">
        <f>ROUND(SUMIF(Consumo!$P$4:$P$189,"#"&amp;$A2511,Consumo!I$4:I$189),4)</f>
        <v/>
      </c>
      <c r="G2511" s="65">
        <f>ROUND(SUMIF(Consumo!$P$4:$P$189,"#"&amp;$A2511,Consumo!J$4:J$189),4)</f>
        <v/>
      </c>
      <c r="H2511" s="65">
        <f>ROUND(SUMIF(Consumo!$P$4:$P$189,"#"&amp;$A2511,Consumo!K$4:K$189),4)</f>
        <v/>
      </c>
      <c r="I2511" s="65">
        <f>ROUND(SUMIF(Consumo!$P$4:$P$189,"#"&amp;$A2511,Consumo!L$4:L$189),4)</f>
        <v/>
      </c>
      <c r="J2511" s="65">
        <f>ROUND(SUMIF(Consumo!$P$4:$P$189,"#"&amp;$A2511,Consumo!M$4:M$189),4)</f>
        <v/>
      </c>
      <c r="K2511" s="65">
        <f>ROUND(SUMIF(Consumo!$P$4:$P$189,"#"&amp;$A2511,Consumo!N$4:N$189),4)</f>
        <v/>
      </c>
      <c r="L2511" s="65">
        <f>ROUND(SUMIF(Consumo!$P$4:$P$189,"#"&amp;$A2511,Consumo!O$4:O$189),4)</f>
        <v/>
      </c>
      <c r="M2511" s="66" t="n"/>
    </row>
    <row r="2512">
      <c r="C2512" s="63" t="inlineStr">
        <is>
          <t>Recepciones programadas (ya pedido)</t>
        </is>
      </c>
      <c r="D2512" s="64" t="n"/>
      <c r="E2512" s="65">
        <f>SUMIF(Inventario!$M$5:$M$505,"#"&amp;$A2511,Inventario!E$5:E$505)</f>
        <v/>
      </c>
      <c r="F2512" s="65">
        <f>SUMIF(Inventario!$M$5:$M$505,"#"&amp;$A2511,Inventario!F$5:F$505)</f>
        <v/>
      </c>
      <c r="G2512" s="65">
        <f>SUMIF(Inventario!$M$5:$M$505,"#"&amp;$A2511,Inventario!G$5:G$505)</f>
        <v/>
      </c>
      <c r="H2512" s="65">
        <f>SUMIF(Inventario!$M$5:$M$505,"#"&amp;$A2511,Inventario!H$5:H$505)</f>
        <v/>
      </c>
      <c r="I2512" s="65">
        <f>SUMIF(Inventario!$M$5:$M$505,"#"&amp;$A2511,Inventario!I$5:I$505)</f>
        <v/>
      </c>
      <c r="J2512" s="65">
        <f>SUMIF(Inventario!$M$5:$M$505,"#"&amp;$A2511,Inventario!J$5:J$505)</f>
        <v/>
      </c>
      <c r="K2512" s="65">
        <f>SUMIF(Inventario!$M$5:$M$505,"#"&amp;$A2511,Inventario!K$5:K$505)</f>
        <v/>
      </c>
      <c r="L2512" s="65">
        <f>SUMIF(Inventario!$M$5:$M$505,"#"&amp;$A2511,Inventario!L$5:L$505)</f>
        <v/>
      </c>
      <c r="M2512" s="66" t="n"/>
    </row>
    <row r="2513">
      <c r="C2513" s="63" t="inlineStr">
        <is>
          <t>Stock proyectado disponible</t>
        </is>
      </c>
      <c r="D2513" s="67">
        <f>SUMIF(Inventario!$M$5:$M$505,"#"&amp;$A2511,Inventario!$C$5:$C$505)</f>
        <v/>
      </c>
      <c r="E2513" s="68">
        <f>D2513+E2512+E2515-E2511</f>
        <v/>
      </c>
      <c r="F2513" s="68">
        <f>E2513+F2512+F2515-F2511</f>
        <v/>
      </c>
      <c r="G2513" s="68">
        <f>F2513+G2512+G2515-G2511</f>
        <v/>
      </c>
      <c r="H2513" s="68">
        <f>G2513+H2512+H2515-H2511</f>
        <v/>
      </c>
      <c r="I2513" s="68">
        <f>H2513+I2512+I2515-I2511</f>
        <v/>
      </c>
      <c r="J2513" s="68">
        <f>I2513+J2512+J2515-J2511</f>
        <v/>
      </c>
      <c r="K2513" s="68">
        <f>J2513+K2512+K2515-K2511</f>
        <v/>
      </c>
      <c r="L2513" s="68">
        <f>K2513+L2512+L2515-L2511</f>
        <v/>
      </c>
      <c r="M2513" s="66" t="n"/>
    </row>
    <row r="2514">
      <c r="C2514" s="63" t="inlineStr">
        <is>
          <t>Necesidad neta</t>
        </is>
      </c>
      <c r="D2514" s="64" t="n"/>
      <c r="E2514" s="69">
        <f>MAX(0,ROUND(E2511+Materiales!$H$362-D2513-E2512,4))</f>
        <v/>
      </c>
      <c r="F2514" s="69">
        <f>MAX(0,ROUND(F2511+Materiales!$H$362-E2513-F2512,4))</f>
        <v/>
      </c>
      <c r="G2514" s="69">
        <f>MAX(0,ROUND(G2511+Materiales!$H$362-F2513-G2512,4))</f>
        <v/>
      </c>
      <c r="H2514" s="69">
        <f>MAX(0,ROUND(H2511+Materiales!$H$362-G2513-H2512,4))</f>
        <v/>
      </c>
      <c r="I2514" s="69">
        <f>MAX(0,ROUND(I2511+Materiales!$H$362-H2513-I2512,4))</f>
        <v/>
      </c>
      <c r="J2514" s="69">
        <f>MAX(0,ROUND(J2511+Materiales!$H$362-I2513-J2512,4))</f>
        <v/>
      </c>
      <c r="K2514" s="69">
        <f>MAX(0,ROUND(K2511+Materiales!$H$362-J2513-K2512,4))</f>
        <v/>
      </c>
      <c r="L2514" s="69">
        <f>MAX(0,ROUND(L2511+Materiales!$H$362-K2513-L2512,4))</f>
        <v/>
      </c>
      <c r="M2514" s="66" t="n"/>
    </row>
    <row r="2515">
      <c r="C2515" s="63" t="inlineStr">
        <is>
          <t>Recepcion de orden planificada</t>
        </is>
      </c>
      <c r="D2515" s="64" t="n"/>
      <c r="E2515" s="65">
        <f>IF(E2514&lt;=0,0,IF(Materiales!$G$362&lt;=0,E2514,ROUNDUP(E2514/Materiales!$G$362,0)*Materiales!$G$362))</f>
        <v/>
      </c>
      <c r="F2515" s="65">
        <f>IF(F2514&lt;=0,0,IF(Materiales!$G$362&lt;=0,F2514,ROUNDUP(F2514/Materiales!$G$362,0)*Materiales!$G$362))</f>
        <v/>
      </c>
      <c r="G2515" s="65">
        <f>IF(G2514&lt;=0,0,IF(Materiales!$G$362&lt;=0,G2514,ROUNDUP(G2514/Materiales!$G$362,0)*Materiales!$G$362))</f>
        <v/>
      </c>
      <c r="H2515" s="65">
        <f>IF(H2514&lt;=0,0,IF(Materiales!$G$362&lt;=0,H2514,ROUNDUP(H2514/Materiales!$G$362,0)*Materiales!$G$362))</f>
        <v/>
      </c>
      <c r="I2515" s="65">
        <f>IF(I2514&lt;=0,0,IF(Materiales!$G$362&lt;=0,I2514,ROUNDUP(I2514/Materiales!$G$362,0)*Materiales!$G$362))</f>
        <v/>
      </c>
      <c r="J2515" s="65">
        <f>IF(J2514&lt;=0,0,IF(Materiales!$G$362&lt;=0,J2514,ROUNDUP(J2514/Materiales!$G$362,0)*Materiales!$G$362))</f>
        <v/>
      </c>
      <c r="K2515" s="65">
        <f>IF(K2514&lt;=0,0,IF(Materiales!$G$362&lt;=0,K2514,ROUNDUP(K2514/Materiales!$G$362,0)*Materiales!$G$362))</f>
        <v/>
      </c>
      <c r="L2515" s="65">
        <f>IF(L2514&lt;=0,0,IF(Materiales!$G$362&lt;=0,L2514,ROUNDUP(L2514/Materiales!$G$362,0)*Materiales!$G$362))</f>
        <v/>
      </c>
      <c r="M2515" s="66" t="n"/>
    </row>
    <row r="2516">
      <c r="C2516" s="70" t="inlineStr">
        <is>
          <t>LANZAMIENTO DE ORDEN — pedir esta semana</t>
        </is>
      </c>
      <c r="D2516" s="64" t="n"/>
      <c r="E2516" s="71">
        <f>IF(1+Materiales!$F$362&gt;8,0,INDEX($E$2515:$L$2515,1,1+Materiales!$F$362))</f>
        <v/>
      </c>
      <c r="F2516" s="71">
        <f>IF(2+Materiales!$F$362&gt;8,0,INDEX($E$2515:$L$2515,1,2+Materiales!$F$362))</f>
        <v/>
      </c>
      <c r="G2516" s="71">
        <f>IF(3+Materiales!$F$362&gt;8,0,INDEX($E$2515:$L$2515,1,3+Materiales!$F$362))</f>
        <v/>
      </c>
      <c r="H2516" s="71">
        <f>IF(4+Materiales!$F$362&gt;8,0,INDEX($E$2515:$L$2515,1,4+Materiales!$F$362))</f>
        <v/>
      </c>
      <c r="I2516" s="71">
        <f>IF(5+Materiales!$F$362&gt;8,0,INDEX($E$2515:$L$2515,1,5+Materiales!$F$362))</f>
        <v/>
      </c>
      <c r="J2516" s="71">
        <f>IF(6+Materiales!$F$362&gt;8,0,INDEX($E$2515:$L$2515,1,6+Materiales!$F$362))</f>
        <v/>
      </c>
      <c r="K2516" s="71">
        <f>IF(7+Materiales!$F$362&gt;8,0,INDEX($E$2515:$L$2515,1,7+Materiales!$F$362))</f>
        <v/>
      </c>
      <c r="L2516" s="71">
        <f>IF(8+Materiales!$F$362&gt;8,0,INDEX($E$2515:$L$2515,1,8+Materiales!$F$362))</f>
        <v/>
      </c>
      <c r="M2516" s="72">
        <f>IF($A2511="","",IF(SUMPRODUCT((COLUMN($E$2515:$L$2515)-4&lt;=Materiales!$F$362)*$E$2515:$L$2515)&gt;0,"PEDIR YA (atrasado)","OK"))</f>
        <v/>
      </c>
    </row>
    <row r="2517" ht="6" customHeight="1"/>
    <row r="2518">
      <c r="A2518" s="62">
        <f>IF(Materiales!$A$363="","",Materiales!$A$363)</f>
        <v/>
      </c>
      <c r="B2518" s="62">
        <f>IF(Materiales!$B$363="","",Materiales!$B$363)</f>
        <v/>
      </c>
      <c r="C2518" s="63" t="inlineStr">
        <is>
          <t>Necesidad bruta</t>
        </is>
      </c>
      <c r="D2518" s="64" t="n"/>
      <c r="E2518" s="65">
        <f>ROUND(SUMIF(Consumo!$P$4:$P$189,"#"&amp;$A2518,Consumo!H$4:H$189),4)</f>
        <v/>
      </c>
      <c r="F2518" s="65">
        <f>ROUND(SUMIF(Consumo!$P$4:$P$189,"#"&amp;$A2518,Consumo!I$4:I$189),4)</f>
        <v/>
      </c>
      <c r="G2518" s="65">
        <f>ROUND(SUMIF(Consumo!$P$4:$P$189,"#"&amp;$A2518,Consumo!J$4:J$189),4)</f>
        <v/>
      </c>
      <c r="H2518" s="65">
        <f>ROUND(SUMIF(Consumo!$P$4:$P$189,"#"&amp;$A2518,Consumo!K$4:K$189),4)</f>
        <v/>
      </c>
      <c r="I2518" s="65">
        <f>ROUND(SUMIF(Consumo!$P$4:$P$189,"#"&amp;$A2518,Consumo!L$4:L$189),4)</f>
        <v/>
      </c>
      <c r="J2518" s="65">
        <f>ROUND(SUMIF(Consumo!$P$4:$P$189,"#"&amp;$A2518,Consumo!M$4:M$189),4)</f>
        <v/>
      </c>
      <c r="K2518" s="65">
        <f>ROUND(SUMIF(Consumo!$P$4:$P$189,"#"&amp;$A2518,Consumo!N$4:N$189),4)</f>
        <v/>
      </c>
      <c r="L2518" s="65">
        <f>ROUND(SUMIF(Consumo!$P$4:$P$189,"#"&amp;$A2518,Consumo!O$4:O$189),4)</f>
        <v/>
      </c>
      <c r="M2518" s="66" t="n"/>
    </row>
    <row r="2519">
      <c r="C2519" s="63" t="inlineStr">
        <is>
          <t>Recepciones programadas (ya pedido)</t>
        </is>
      </c>
      <c r="D2519" s="64" t="n"/>
      <c r="E2519" s="65">
        <f>SUMIF(Inventario!$M$5:$M$505,"#"&amp;$A2518,Inventario!E$5:E$505)</f>
        <v/>
      </c>
      <c r="F2519" s="65">
        <f>SUMIF(Inventario!$M$5:$M$505,"#"&amp;$A2518,Inventario!F$5:F$505)</f>
        <v/>
      </c>
      <c r="G2519" s="65">
        <f>SUMIF(Inventario!$M$5:$M$505,"#"&amp;$A2518,Inventario!G$5:G$505)</f>
        <v/>
      </c>
      <c r="H2519" s="65">
        <f>SUMIF(Inventario!$M$5:$M$505,"#"&amp;$A2518,Inventario!H$5:H$505)</f>
        <v/>
      </c>
      <c r="I2519" s="65">
        <f>SUMIF(Inventario!$M$5:$M$505,"#"&amp;$A2518,Inventario!I$5:I$505)</f>
        <v/>
      </c>
      <c r="J2519" s="65">
        <f>SUMIF(Inventario!$M$5:$M$505,"#"&amp;$A2518,Inventario!J$5:J$505)</f>
        <v/>
      </c>
      <c r="K2519" s="65">
        <f>SUMIF(Inventario!$M$5:$M$505,"#"&amp;$A2518,Inventario!K$5:K$505)</f>
        <v/>
      </c>
      <c r="L2519" s="65">
        <f>SUMIF(Inventario!$M$5:$M$505,"#"&amp;$A2518,Inventario!L$5:L$505)</f>
        <v/>
      </c>
      <c r="M2519" s="66" t="n"/>
    </row>
    <row r="2520">
      <c r="C2520" s="63" t="inlineStr">
        <is>
          <t>Stock proyectado disponible</t>
        </is>
      </c>
      <c r="D2520" s="67">
        <f>SUMIF(Inventario!$M$5:$M$505,"#"&amp;$A2518,Inventario!$C$5:$C$505)</f>
        <v/>
      </c>
      <c r="E2520" s="68">
        <f>D2520+E2519+E2522-E2518</f>
        <v/>
      </c>
      <c r="F2520" s="68">
        <f>E2520+F2519+F2522-F2518</f>
        <v/>
      </c>
      <c r="G2520" s="68">
        <f>F2520+G2519+G2522-G2518</f>
        <v/>
      </c>
      <c r="H2520" s="68">
        <f>G2520+H2519+H2522-H2518</f>
        <v/>
      </c>
      <c r="I2520" s="68">
        <f>H2520+I2519+I2522-I2518</f>
        <v/>
      </c>
      <c r="J2520" s="68">
        <f>I2520+J2519+J2522-J2518</f>
        <v/>
      </c>
      <c r="K2520" s="68">
        <f>J2520+K2519+K2522-K2518</f>
        <v/>
      </c>
      <c r="L2520" s="68">
        <f>K2520+L2519+L2522-L2518</f>
        <v/>
      </c>
      <c r="M2520" s="66" t="n"/>
    </row>
    <row r="2521">
      <c r="C2521" s="63" t="inlineStr">
        <is>
          <t>Necesidad neta</t>
        </is>
      </c>
      <c r="D2521" s="64" t="n"/>
      <c r="E2521" s="69">
        <f>MAX(0,ROUND(E2518+Materiales!$H$363-D2520-E2519,4))</f>
        <v/>
      </c>
      <c r="F2521" s="69">
        <f>MAX(0,ROUND(F2518+Materiales!$H$363-E2520-F2519,4))</f>
        <v/>
      </c>
      <c r="G2521" s="69">
        <f>MAX(0,ROUND(G2518+Materiales!$H$363-F2520-G2519,4))</f>
        <v/>
      </c>
      <c r="H2521" s="69">
        <f>MAX(0,ROUND(H2518+Materiales!$H$363-G2520-H2519,4))</f>
        <v/>
      </c>
      <c r="I2521" s="69">
        <f>MAX(0,ROUND(I2518+Materiales!$H$363-H2520-I2519,4))</f>
        <v/>
      </c>
      <c r="J2521" s="69">
        <f>MAX(0,ROUND(J2518+Materiales!$H$363-I2520-J2519,4))</f>
        <v/>
      </c>
      <c r="K2521" s="69">
        <f>MAX(0,ROUND(K2518+Materiales!$H$363-J2520-K2519,4))</f>
        <v/>
      </c>
      <c r="L2521" s="69">
        <f>MAX(0,ROUND(L2518+Materiales!$H$363-K2520-L2519,4))</f>
        <v/>
      </c>
      <c r="M2521" s="66" t="n"/>
    </row>
    <row r="2522">
      <c r="C2522" s="63" t="inlineStr">
        <is>
          <t>Recepcion de orden planificada</t>
        </is>
      </c>
      <c r="D2522" s="64" t="n"/>
      <c r="E2522" s="65">
        <f>IF(E2521&lt;=0,0,IF(Materiales!$G$363&lt;=0,E2521,ROUNDUP(E2521/Materiales!$G$363,0)*Materiales!$G$363))</f>
        <v/>
      </c>
      <c r="F2522" s="65">
        <f>IF(F2521&lt;=0,0,IF(Materiales!$G$363&lt;=0,F2521,ROUNDUP(F2521/Materiales!$G$363,0)*Materiales!$G$363))</f>
        <v/>
      </c>
      <c r="G2522" s="65">
        <f>IF(G2521&lt;=0,0,IF(Materiales!$G$363&lt;=0,G2521,ROUNDUP(G2521/Materiales!$G$363,0)*Materiales!$G$363))</f>
        <v/>
      </c>
      <c r="H2522" s="65">
        <f>IF(H2521&lt;=0,0,IF(Materiales!$G$363&lt;=0,H2521,ROUNDUP(H2521/Materiales!$G$363,0)*Materiales!$G$363))</f>
        <v/>
      </c>
      <c r="I2522" s="65">
        <f>IF(I2521&lt;=0,0,IF(Materiales!$G$363&lt;=0,I2521,ROUNDUP(I2521/Materiales!$G$363,0)*Materiales!$G$363))</f>
        <v/>
      </c>
      <c r="J2522" s="65">
        <f>IF(J2521&lt;=0,0,IF(Materiales!$G$363&lt;=0,J2521,ROUNDUP(J2521/Materiales!$G$363,0)*Materiales!$G$363))</f>
        <v/>
      </c>
      <c r="K2522" s="65">
        <f>IF(K2521&lt;=0,0,IF(Materiales!$G$363&lt;=0,K2521,ROUNDUP(K2521/Materiales!$G$363,0)*Materiales!$G$363))</f>
        <v/>
      </c>
      <c r="L2522" s="65">
        <f>IF(L2521&lt;=0,0,IF(Materiales!$G$363&lt;=0,L2521,ROUNDUP(L2521/Materiales!$G$363,0)*Materiales!$G$363))</f>
        <v/>
      </c>
      <c r="M2522" s="66" t="n"/>
    </row>
    <row r="2523">
      <c r="C2523" s="70" t="inlineStr">
        <is>
          <t>LANZAMIENTO DE ORDEN — pedir esta semana</t>
        </is>
      </c>
      <c r="D2523" s="64" t="n"/>
      <c r="E2523" s="71">
        <f>IF(1+Materiales!$F$363&gt;8,0,INDEX($E$2522:$L$2522,1,1+Materiales!$F$363))</f>
        <v/>
      </c>
      <c r="F2523" s="71">
        <f>IF(2+Materiales!$F$363&gt;8,0,INDEX($E$2522:$L$2522,1,2+Materiales!$F$363))</f>
        <v/>
      </c>
      <c r="G2523" s="71">
        <f>IF(3+Materiales!$F$363&gt;8,0,INDEX($E$2522:$L$2522,1,3+Materiales!$F$363))</f>
        <v/>
      </c>
      <c r="H2523" s="71">
        <f>IF(4+Materiales!$F$363&gt;8,0,INDEX($E$2522:$L$2522,1,4+Materiales!$F$363))</f>
        <v/>
      </c>
      <c r="I2523" s="71">
        <f>IF(5+Materiales!$F$363&gt;8,0,INDEX($E$2522:$L$2522,1,5+Materiales!$F$363))</f>
        <v/>
      </c>
      <c r="J2523" s="71">
        <f>IF(6+Materiales!$F$363&gt;8,0,INDEX($E$2522:$L$2522,1,6+Materiales!$F$363))</f>
        <v/>
      </c>
      <c r="K2523" s="71">
        <f>IF(7+Materiales!$F$363&gt;8,0,INDEX($E$2522:$L$2522,1,7+Materiales!$F$363))</f>
        <v/>
      </c>
      <c r="L2523" s="71">
        <f>IF(8+Materiales!$F$363&gt;8,0,INDEX($E$2522:$L$2522,1,8+Materiales!$F$363))</f>
        <v/>
      </c>
      <c r="M2523" s="72">
        <f>IF($A2518="","",IF(SUMPRODUCT((COLUMN($E$2522:$L$2522)-4&lt;=Materiales!$F$363)*$E$2522:$L$2522)&gt;0,"PEDIR YA (atrasado)","OK"))</f>
        <v/>
      </c>
    </row>
    <row r="2524" ht="6" customHeight="1"/>
    <row r="2525">
      <c r="A2525" s="62">
        <f>IF(Materiales!$A$364="","",Materiales!$A$364)</f>
        <v/>
      </c>
      <c r="B2525" s="62">
        <f>IF(Materiales!$B$364="","",Materiales!$B$364)</f>
        <v/>
      </c>
      <c r="C2525" s="63" t="inlineStr">
        <is>
          <t>Necesidad bruta</t>
        </is>
      </c>
      <c r="D2525" s="64" t="n"/>
      <c r="E2525" s="65">
        <f>ROUND(SUMIF(Consumo!$P$4:$P$189,"#"&amp;$A2525,Consumo!H$4:H$189),4)</f>
        <v/>
      </c>
      <c r="F2525" s="65">
        <f>ROUND(SUMIF(Consumo!$P$4:$P$189,"#"&amp;$A2525,Consumo!I$4:I$189),4)</f>
        <v/>
      </c>
      <c r="G2525" s="65">
        <f>ROUND(SUMIF(Consumo!$P$4:$P$189,"#"&amp;$A2525,Consumo!J$4:J$189),4)</f>
        <v/>
      </c>
      <c r="H2525" s="65">
        <f>ROUND(SUMIF(Consumo!$P$4:$P$189,"#"&amp;$A2525,Consumo!K$4:K$189),4)</f>
        <v/>
      </c>
      <c r="I2525" s="65">
        <f>ROUND(SUMIF(Consumo!$P$4:$P$189,"#"&amp;$A2525,Consumo!L$4:L$189),4)</f>
        <v/>
      </c>
      <c r="J2525" s="65">
        <f>ROUND(SUMIF(Consumo!$P$4:$P$189,"#"&amp;$A2525,Consumo!M$4:M$189),4)</f>
        <v/>
      </c>
      <c r="K2525" s="65">
        <f>ROUND(SUMIF(Consumo!$P$4:$P$189,"#"&amp;$A2525,Consumo!N$4:N$189),4)</f>
        <v/>
      </c>
      <c r="L2525" s="65">
        <f>ROUND(SUMIF(Consumo!$P$4:$P$189,"#"&amp;$A2525,Consumo!O$4:O$189),4)</f>
        <v/>
      </c>
      <c r="M2525" s="66" t="n"/>
    </row>
    <row r="2526">
      <c r="C2526" s="63" t="inlineStr">
        <is>
          <t>Recepciones programadas (ya pedido)</t>
        </is>
      </c>
      <c r="D2526" s="64" t="n"/>
      <c r="E2526" s="65">
        <f>SUMIF(Inventario!$M$5:$M$505,"#"&amp;$A2525,Inventario!E$5:E$505)</f>
        <v/>
      </c>
      <c r="F2526" s="65">
        <f>SUMIF(Inventario!$M$5:$M$505,"#"&amp;$A2525,Inventario!F$5:F$505)</f>
        <v/>
      </c>
      <c r="G2526" s="65">
        <f>SUMIF(Inventario!$M$5:$M$505,"#"&amp;$A2525,Inventario!G$5:G$505)</f>
        <v/>
      </c>
      <c r="H2526" s="65">
        <f>SUMIF(Inventario!$M$5:$M$505,"#"&amp;$A2525,Inventario!H$5:H$505)</f>
        <v/>
      </c>
      <c r="I2526" s="65">
        <f>SUMIF(Inventario!$M$5:$M$505,"#"&amp;$A2525,Inventario!I$5:I$505)</f>
        <v/>
      </c>
      <c r="J2526" s="65">
        <f>SUMIF(Inventario!$M$5:$M$505,"#"&amp;$A2525,Inventario!J$5:J$505)</f>
        <v/>
      </c>
      <c r="K2526" s="65">
        <f>SUMIF(Inventario!$M$5:$M$505,"#"&amp;$A2525,Inventario!K$5:K$505)</f>
        <v/>
      </c>
      <c r="L2526" s="65">
        <f>SUMIF(Inventario!$M$5:$M$505,"#"&amp;$A2525,Inventario!L$5:L$505)</f>
        <v/>
      </c>
      <c r="M2526" s="66" t="n"/>
    </row>
    <row r="2527">
      <c r="C2527" s="63" t="inlineStr">
        <is>
          <t>Stock proyectado disponible</t>
        </is>
      </c>
      <c r="D2527" s="67">
        <f>SUMIF(Inventario!$M$5:$M$505,"#"&amp;$A2525,Inventario!$C$5:$C$505)</f>
        <v/>
      </c>
      <c r="E2527" s="68">
        <f>D2527+E2526+E2529-E2525</f>
        <v/>
      </c>
      <c r="F2527" s="68">
        <f>E2527+F2526+F2529-F2525</f>
        <v/>
      </c>
      <c r="G2527" s="68">
        <f>F2527+G2526+G2529-G2525</f>
        <v/>
      </c>
      <c r="H2527" s="68">
        <f>G2527+H2526+H2529-H2525</f>
        <v/>
      </c>
      <c r="I2527" s="68">
        <f>H2527+I2526+I2529-I2525</f>
        <v/>
      </c>
      <c r="J2527" s="68">
        <f>I2527+J2526+J2529-J2525</f>
        <v/>
      </c>
      <c r="K2527" s="68">
        <f>J2527+K2526+K2529-K2525</f>
        <v/>
      </c>
      <c r="L2527" s="68">
        <f>K2527+L2526+L2529-L2525</f>
        <v/>
      </c>
      <c r="M2527" s="66" t="n"/>
    </row>
    <row r="2528">
      <c r="C2528" s="63" t="inlineStr">
        <is>
          <t>Necesidad neta</t>
        </is>
      </c>
      <c r="D2528" s="64" t="n"/>
      <c r="E2528" s="69">
        <f>MAX(0,ROUND(E2525+Materiales!$H$364-D2527-E2526,4))</f>
        <v/>
      </c>
      <c r="F2528" s="69">
        <f>MAX(0,ROUND(F2525+Materiales!$H$364-E2527-F2526,4))</f>
        <v/>
      </c>
      <c r="G2528" s="69">
        <f>MAX(0,ROUND(G2525+Materiales!$H$364-F2527-G2526,4))</f>
        <v/>
      </c>
      <c r="H2528" s="69">
        <f>MAX(0,ROUND(H2525+Materiales!$H$364-G2527-H2526,4))</f>
        <v/>
      </c>
      <c r="I2528" s="69">
        <f>MAX(0,ROUND(I2525+Materiales!$H$364-H2527-I2526,4))</f>
        <v/>
      </c>
      <c r="J2528" s="69">
        <f>MAX(0,ROUND(J2525+Materiales!$H$364-I2527-J2526,4))</f>
        <v/>
      </c>
      <c r="K2528" s="69">
        <f>MAX(0,ROUND(K2525+Materiales!$H$364-J2527-K2526,4))</f>
        <v/>
      </c>
      <c r="L2528" s="69">
        <f>MAX(0,ROUND(L2525+Materiales!$H$364-K2527-L2526,4))</f>
        <v/>
      </c>
      <c r="M2528" s="66" t="n"/>
    </row>
    <row r="2529">
      <c r="C2529" s="63" t="inlineStr">
        <is>
          <t>Recepcion de orden planificada</t>
        </is>
      </c>
      <c r="D2529" s="64" t="n"/>
      <c r="E2529" s="65">
        <f>IF(E2528&lt;=0,0,IF(Materiales!$G$364&lt;=0,E2528,ROUNDUP(E2528/Materiales!$G$364,0)*Materiales!$G$364))</f>
        <v/>
      </c>
      <c r="F2529" s="65">
        <f>IF(F2528&lt;=0,0,IF(Materiales!$G$364&lt;=0,F2528,ROUNDUP(F2528/Materiales!$G$364,0)*Materiales!$G$364))</f>
        <v/>
      </c>
      <c r="G2529" s="65">
        <f>IF(G2528&lt;=0,0,IF(Materiales!$G$364&lt;=0,G2528,ROUNDUP(G2528/Materiales!$G$364,0)*Materiales!$G$364))</f>
        <v/>
      </c>
      <c r="H2529" s="65">
        <f>IF(H2528&lt;=0,0,IF(Materiales!$G$364&lt;=0,H2528,ROUNDUP(H2528/Materiales!$G$364,0)*Materiales!$G$364))</f>
        <v/>
      </c>
      <c r="I2529" s="65">
        <f>IF(I2528&lt;=0,0,IF(Materiales!$G$364&lt;=0,I2528,ROUNDUP(I2528/Materiales!$G$364,0)*Materiales!$G$364))</f>
        <v/>
      </c>
      <c r="J2529" s="65">
        <f>IF(J2528&lt;=0,0,IF(Materiales!$G$364&lt;=0,J2528,ROUNDUP(J2528/Materiales!$G$364,0)*Materiales!$G$364))</f>
        <v/>
      </c>
      <c r="K2529" s="65">
        <f>IF(K2528&lt;=0,0,IF(Materiales!$G$364&lt;=0,K2528,ROUNDUP(K2528/Materiales!$G$364,0)*Materiales!$G$364))</f>
        <v/>
      </c>
      <c r="L2529" s="65">
        <f>IF(L2528&lt;=0,0,IF(Materiales!$G$364&lt;=0,L2528,ROUNDUP(L2528/Materiales!$G$364,0)*Materiales!$G$364))</f>
        <v/>
      </c>
      <c r="M2529" s="66" t="n"/>
    </row>
    <row r="2530">
      <c r="C2530" s="70" t="inlineStr">
        <is>
          <t>LANZAMIENTO DE ORDEN — pedir esta semana</t>
        </is>
      </c>
      <c r="D2530" s="64" t="n"/>
      <c r="E2530" s="71">
        <f>IF(1+Materiales!$F$364&gt;8,0,INDEX($E$2529:$L$2529,1,1+Materiales!$F$364))</f>
        <v/>
      </c>
      <c r="F2530" s="71">
        <f>IF(2+Materiales!$F$364&gt;8,0,INDEX($E$2529:$L$2529,1,2+Materiales!$F$364))</f>
        <v/>
      </c>
      <c r="G2530" s="71">
        <f>IF(3+Materiales!$F$364&gt;8,0,INDEX($E$2529:$L$2529,1,3+Materiales!$F$364))</f>
        <v/>
      </c>
      <c r="H2530" s="71">
        <f>IF(4+Materiales!$F$364&gt;8,0,INDEX($E$2529:$L$2529,1,4+Materiales!$F$364))</f>
        <v/>
      </c>
      <c r="I2530" s="71">
        <f>IF(5+Materiales!$F$364&gt;8,0,INDEX($E$2529:$L$2529,1,5+Materiales!$F$364))</f>
        <v/>
      </c>
      <c r="J2530" s="71">
        <f>IF(6+Materiales!$F$364&gt;8,0,INDEX($E$2529:$L$2529,1,6+Materiales!$F$364))</f>
        <v/>
      </c>
      <c r="K2530" s="71">
        <f>IF(7+Materiales!$F$364&gt;8,0,INDEX($E$2529:$L$2529,1,7+Materiales!$F$364))</f>
        <v/>
      </c>
      <c r="L2530" s="71">
        <f>IF(8+Materiales!$F$364&gt;8,0,INDEX($E$2529:$L$2529,1,8+Materiales!$F$364))</f>
        <v/>
      </c>
      <c r="M2530" s="72">
        <f>IF($A2525="","",IF(SUMPRODUCT((COLUMN($E$2529:$L$2529)-4&lt;=Materiales!$F$364)*$E$2529:$L$2529)&gt;0,"PEDIR YA (atrasado)","OK"))</f>
        <v/>
      </c>
    </row>
    <row r="2531" ht="6" customHeight="1"/>
    <row r="2532">
      <c r="A2532" s="62">
        <f>IF(Materiales!$A$365="","",Materiales!$A$365)</f>
        <v/>
      </c>
      <c r="B2532" s="62">
        <f>IF(Materiales!$B$365="","",Materiales!$B$365)</f>
        <v/>
      </c>
      <c r="C2532" s="63" t="inlineStr">
        <is>
          <t>Necesidad bruta</t>
        </is>
      </c>
      <c r="D2532" s="64" t="n"/>
      <c r="E2532" s="65">
        <f>ROUND(SUMIF(Consumo!$P$4:$P$189,"#"&amp;$A2532,Consumo!H$4:H$189),4)</f>
        <v/>
      </c>
      <c r="F2532" s="65">
        <f>ROUND(SUMIF(Consumo!$P$4:$P$189,"#"&amp;$A2532,Consumo!I$4:I$189),4)</f>
        <v/>
      </c>
      <c r="G2532" s="65">
        <f>ROUND(SUMIF(Consumo!$P$4:$P$189,"#"&amp;$A2532,Consumo!J$4:J$189),4)</f>
        <v/>
      </c>
      <c r="H2532" s="65">
        <f>ROUND(SUMIF(Consumo!$P$4:$P$189,"#"&amp;$A2532,Consumo!K$4:K$189),4)</f>
        <v/>
      </c>
      <c r="I2532" s="65">
        <f>ROUND(SUMIF(Consumo!$P$4:$P$189,"#"&amp;$A2532,Consumo!L$4:L$189),4)</f>
        <v/>
      </c>
      <c r="J2532" s="65">
        <f>ROUND(SUMIF(Consumo!$P$4:$P$189,"#"&amp;$A2532,Consumo!M$4:M$189),4)</f>
        <v/>
      </c>
      <c r="K2532" s="65">
        <f>ROUND(SUMIF(Consumo!$P$4:$P$189,"#"&amp;$A2532,Consumo!N$4:N$189),4)</f>
        <v/>
      </c>
      <c r="L2532" s="65">
        <f>ROUND(SUMIF(Consumo!$P$4:$P$189,"#"&amp;$A2532,Consumo!O$4:O$189),4)</f>
        <v/>
      </c>
      <c r="M2532" s="66" t="n"/>
    </row>
    <row r="2533">
      <c r="C2533" s="63" t="inlineStr">
        <is>
          <t>Recepciones programadas (ya pedido)</t>
        </is>
      </c>
      <c r="D2533" s="64" t="n"/>
      <c r="E2533" s="65">
        <f>SUMIF(Inventario!$M$5:$M$505,"#"&amp;$A2532,Inventario!E$5:E$505)</f>
        <v/>
      </c>
      <c r="F2533" s="65">
        <f>SUMIF(Inventario!$M$5:$M$505,"#"&amp;$A2532,Inventario!F$5:F$505)</f>
        <v/>
      </c>
      <c r="G2533" s="65">
        <f>SUMIF(Inventario!$M$5:$M$505,"#"&amp;$A2532,Inventario!G$5:G$505)</f>
        <v/>
      </c>
      <c r="H2533" s="65">
        <f>SUMIF(Inventario!$M$5:$M$505,"#"&amp;$A2532,Inventario!H$5:H$505)</f>
        <v/>
      </c>
      <c r="I2533" s="65">
        <f>SUMIF(Inventario!$M$5:$M$505,"#"&amp;$A2532,Inventario!I$5:I$505)</f>
        <v/>
      </c>
      <c r="J2533" s="65">
        <f>SUMIF(Inventario!$M$5:$M$505,"#"&amp;$A2532,Inventario!J$5:J$505)</f>
        <v/>
      </c>
      <c r="K2533" s="65">
        <f>SUMIF(Inventario!$M$5:$M$505,"#"&amp;$A2532,Inventario!K$5:K$505)</f>
        <v/>
      </c>
      <c r="L2533" s="65">
        <f>SUMIF(Inventario!$M$5:$M$505,"#"&amp;$A2532,Inventario!L$5:L$505)</f>
        <v/>
      </c>
      <c r="M2533" s="66" t="n"/>
    </row>
    <row r="2534">
      <c r="C2534" s="63" t="inlineStr">
        <is>
          <t>Stock proyectado disponible</t>
        </is>
      </c>
      <c r="D2534" s="67">
        <f>SUMIF(Inventario!$M$5:$M$505,"#"&amp;$A2532,Inventario!$C$5:$C$505)</f>
        <v/>
      </c>
      <c r="E2534" s="68">
        <f>D2534+E2533+E2536-E2532</f>
        <v/>
      </c>
      <c r="F2534" s="68">
        <f>E2534+F2533+F2536-F2532</f>
        <v/>
      </c>
      <c r="G2534" s="68">
        <f>F2534+G2533+G2536-G2532</f>
        <v/>
      </c>
      <c r="H2534" s="68">
        <f>G2534+H2533+H2536-H2532</f>
        <v/>
      </c>
      <c r="I2534" s="68">
        <f>H2534+I2533+I2536-I2532</f>
        <v/>
      </c>
      <c r="J2534" s="68">
        <f>I2534+J2533+J2536-J2532</f>
        <v/>
      </c>
      <c r="K2534" s="68">
        <f>J2534+K2533+K2536-K2532</f>
        <v/>
      </c>
      <c r="L2534" s="68">
        <f>K2534+L2533+L2536-L2532</f>
        <v/>
      </c>
      <c r="M2534" s="66" t="n"/>
    </row>
    <row r="2535">
      <c r="C2535" s="63" t="inlineStr">
        <is>
          <t>Necesidad neta</t>
        </is>
      </c>
      <c r="D2535" s="64" t="n"/>
      <c r="E2535" s="69">
        <f>MAX(0,ROUND(E2532+Materiales!$H$365-D2534-E2533,4))</f>
        <v/>
      </c>
      <c r="F2535" s="69">
        <f>MAX(0,ROUND(F2532+Materiales!$H$365-E2534-F2533,4))</f>
        <v/>
      </c>
      <c r="G2535" s="69">
        <f>MAX(0,ROUND(G2532+Materiales!$H$365-F2534-G2533,4))</f>
        <v/>
      </c>
      <c r="H2535" s="69">
        <f>MAX(0,ROUND(H2532+Materiales!$H$365-G2534-H2533,4))</f>
        <v/>
      </c>
      <c r="I2535" s="69">
        <f>MAX(0,ROUND(I2532+Materiales!$H$365-H2534-I2533,4))</f>
        <v/>
      </c>
      <c r="J2535" s="69">
        <f>MAX(0,ROUND(J2532+Materiales!$H$365-I2534-J2533,4))</f>
        <v/>
      </c>
      <c r="K2535" s="69">
        <f>MAX(0,ROUND(K2532+Materiales!$H$365-J2534-K2533,4))</f>
        <v/>
      </c>
      <c r="L2535" s="69">
        <f>MAX(0,ROUND(L2532+Materiales!$H$365-K2534-L2533,4))</f>
        <v/>
      </c>
      <c r="M2535" s="66" t="n"/>
    </row>
    <row r="2536">
      <c r="C2536" s="63" t="inlineStr">
        <is>
          <t>Recepcion de orden planificada</t>
        </is>
      </c>
      <c r="D2536" s="64" t="n"/>
      <c r="E2536" s="65">
        <f>IF(E2535&lt;=0,0,IF(Materiales!$G$365&lt;=0,E2535,ROUNDUP(E2535/Materiales!$G$365,0)*Materiales!$G$365))</f>
        <v/>
      </c>
      <c r="F2536" s="65">
        <f>IF(F2535&lt;=0,0,IF(Materiales!$G$365&lt;=0,F2535,ROUNDUP(F2535/Materiales!$G$365,0)*Materiales!$G$365))</f>
        <v/>
      </c>
      <c r="G2536" s="65">
        <f>IF(G2535&lt;=0,0,IF(Materiales!$G$365&lt;=0,G2535,ROUNDUP(G2535/Materiales!$G$365,0)*Materiales!$G$365))</f>
        <v/>
      </c>
      <c r="H2536" s="65">
        <f>IF(H2535&lt;=0,0,IF(Materiales!$G$365&lt;=0,H2535,ROUNDUP(H2535/Materiales!$G$365,0)*Materiales!$G$365))</f>
        <v/>
      </c>
      <c r="I2536" s="65">
        <f>IF(I2535&lt;=0,0,IF(Materiales!$G$365&lt;=0,I2535,ROUNDUP(I2535/Materiales!$G$365,0)*Materiales!$G$365))</f>
        <v/>
      </c>
      <c r="J2536" s="65">
        <f>IF(J2535&lt;=0,0,IF(Materiales!$G$365&lt;=0,J2535,ROUNDUP(J2535/Materiales!$G$365,0)*Materiales!$G$365))</f>
        <v/>
      </c>
      <c r="K2536" s="65">
        <f>IF(K2535&lt;=0,0,IF(Materiales!$G$365&lt;=0,K2535,ROUNDUP(K2535/Materiales!$G$365,0)*Materiales!$G$365))</f>
        <v/>
      </c>
      <c r="L2536" s="65">
        <f>IF(L2535&lt;=0,0,IF(Materiales!$G$365&lt;=0,L2535,ROUNDUP(L2535/Materiales!$G$365,0)*Materiales!$G$365))</f>
        <v/>
      </c>
      <c r="M2536" s="66" t="n"/>
    </row>
    <row r="2537">
      <c r="C2537" s="70" t="inlineStr">
        <is>
          <t>LANZAMIENTO DE ORDEN — pedir esta semana</t>
        </is>
      </c>
      <c r="D2537" s="64" t="n"/>
      <c r="E2537" s="71">
        <f>IF(1+Materiales!$F$365&gt;8,0,INDEX($E$2536:$L$2536,1,1+Materiales!$F$365))</f>
        <v/>
      </c>
      <c r="F2537" s="71">
        <f>IF(2+Materiales!$F$365&gt;8,0,INDEX($E$2536:$L$2536,1,2+Materiales!$F$365))</f>
        <v/>
      </c>
      <c r="G2537" s="71">
        <f>IF(3+Materiales!$F$365&gt;8,0,INDEX($E$2536:$L$2536,1,3+Materiales!$F$365))</f>
        <v/>
      </c>
      <c r="H2537" s="71">
        <f>IF(4+Materiales!$F$365&gt;8,0,INDEX($E$2536:$L$2536,1,4+Materiales!$F$365))</f>
        <v/>
      </c>
      <c r="I2537" s="71">
        <f>IF(5+Materiales!$F$365&gt;8,0,INDEX($E$2536:$L$2536,1,5+Materiales!$F$365))</f>
        <v/>
      </c>
      <c r="J2537" s="71">
        <f>IF(6+Materiales!$F$365&gt;8,0,INDEX($E$2536:$L$2536,1,6+Materiales!$F$365))</f>
        <v/>
      </c>
      <c r="K2537" s="71">
        <f>IF(7+Materiales!$F$365&gt;8,0,INDEX($E$2536:$L$2536,1,7+Materiales!$F$365))</f>
        <v/>
      </c>
      <c r="L2537" s="71">
        <f>IF(8+Materiales!$F$365&gt;8,0,INDEX($E$2536:$L$2536,1,8+Materiales!$F$365))</f>
        <v/>
      </c>
      <c r="M2537" s="72">
        <f>IF($A2532="","",IF(SUMPRODUCT((COLUMN($E$2536:$L$2536)-4&lt;=Materiales!$F$365)*$E$2536:$L$2536)&gt;0,"PEDIR YA (atrasado)","OK"))</f>
        <v/>
      </c>
    </row>
    <row r="2538" ht="6" customHeight="1"/>
    <row r="2539">
      <c r="A2539" s="62">
        <f>IF(Materiales!$A$366="","",Materiales!$A$366)</f>
        <v/>
      </c>
      <c r="B2539" s="62">
        <f>IF(Materiales!$B$366="","",Materiales!$B$366)</f>
        <v/>
      </c>
      <c r="C2539" s="63" t="inlineStr">
        <is>
          <t>Necesidad bruta</t>
        </is>
      </c>
      <c r="D2539" s="64" t="n"/>
      <c r="E2539" s="65">
        <f>ROUND(SUMIF(Consumo!$P$4:$P$189,"#"&amp;$A2539,Consumo!H$4:H$189),4)</f>
        <v/>
      </c>
      <c r="F2539" s="65">
        <f>ROUND(SUMIF(Consumo!$P$4:$P$189,"#"&amp;$A2539,Consumo!I$4:I$189),4)</f>
        <v/>
      </c>
      <c r="G2539" s="65">
        <f>ROUND(SUMIF(Consumo!$P$4:$P$189,"#"&amp;$A2539,Consumo!J$4:J$189),4)</f>
        <v/>
      </c>
      <c r="H2539" s="65">
        <f>ROUND(SUMIF(Consumo!$P$4:$P$189,"#"&amp;$A2539,Consumo!K$4:K$189),4)</f>
        <v/>
      </c>
      <c r="I2539" s="65">
        <f>ROUND(SUMIF(Consumo!$P$4:$P$189,"#"&amp;$A2539,Consumo!L$4:L$189),4)</f>
        <v/>
      </c>
      <c r="J2539" s="65">
        <f>ROUND(SUMIF(Consumo!$P$4:$P$189,"#"&amp;$A2539,Consumo!M$4:M$189),4)</f>
        <v/>
      </c>
      <c r="K2539" s="65">
        <f>ROUND(SUMIF(Consumo!$P$4:$P$189,"#"&amp;$A2539,Consumo!N$4:N$189),4)</f>
        <v/>
      </c>
      <c r="L2539" s="65">
        <f>ROUND(SUMIF(Consumo!$P$4:$P$189,"#"&amp;$A2539,Consumo!O$4:O$189),4)</f>
        <v/>
      </c>
      <c r="M2539" s="66" t="n"/>
    </row>
    <row r="2540">
      <c r="C2540" s="63" t="inlineStr">
        <is>
          <t>Recepciones programadas (ya pedido)</t>
        </is>
      </c>
      <c r="D2540" s="64" t="n"/>
      <c r="E2540" s="65">
        <f>SUMIF(Inventario!$M$5:$M$505,"#"&amp;$A2539,Inventario!E$5:E$505)</f>
        <v/>
      </c>
      <c r="F2540" s="65">
        <f>SUMIF(Inventario!$M$5:$M$505,"#"&amp;$A2539,Inventario!F$5:F$505)</f>
        <v/>
      </c>
      <c r="G2540" s="65">
        <f>SUMIF(Inventario!$M$5:$M$505,"#"&amp;$A2539,Inventario!G$5:G$505)</f>
        <v/>
      </c>
      <c r="H2540" s="65">
        <f>SUMIF(Inventario!$M$5:$M$505,"#"&amp;$A2539,Inventario!H$5:H$505)</f>
        <v/>
      </c>
      <c r="I2540" s="65">
        <f>SUMIF(Inventario!$M$5:$M$505,"#"&amp;$A2539,Inventario!I$5:I$505)</f>
        <v/>
      </c>
      <c r="J2540" s="65">
        <f>SUMIF(Inventario!$M$5:$M$505,"#"&amp;$A2539,Inventario!J$5:J$505)</f>
        <v/>
      </c>
      <c r="K2540" s="65">
        <f>SUMIF(Inventario!$M$5:$M$505,"#"&amp;$A2539,Inventario!K$5:K$505)</f>
        <v/>
      </c>
      <c r="L2540" s="65">
        <f>SUMIF(Inventario!$M$5:$M$505,"#"&amp;$A2539,Inventario!L$5:L$505)</f>
        <v/>
      </c>
      <c r="M2540" s="66" t="n"/>
    </row>
    <row r="2541">
      <c r="C2541" s="63" t="inlineStr">
        <is>
          <t>Stock proyectado disponible</t>
        </is>
      </c>
      <c r="D2541" s="67">
        <f>SUMIF(Inventario!$M$5:$M$505,"#"&amp;$A2539,Inventario!$C$5:$C$505)</f>
        <v/>
      </c>
      <c r="E2541" s="68">
        <f>D2541+E2540+E2543-E2539</f>
        <v/>
      </c>
      <c r="F2541" s="68">
        <f>E2541+F2540+F2543-F2539</f>
        <v/>
      </c>
      <c r="G2541" s="68">
        <f>F2541+G2540+G2543-G2539</f>
        <v/>
      </c>
      <c r="H2541" s="68">
        <f>G2541+H2540+H2543-H2539</f>
        <v/>
      </c>
      <c r="I2541" s="68">
        <f>H2541+I2540+I2543-I2539</f>
        <v/>
      </c>
      <c r="J2541" s="68">
        <f>I2541+J2540+J2543-J2539</f>
        <v/>
      </c>
      <c r="K2541" s="68">
        <f>J2541+K2540+K2543-K2539</f>
        <v/>
      </c>
      <c r="L2541" s="68">
        <f>K2541+L2540+L2543-L2539</f>
        <v/>
      </c>
      <c r="M2541" s="66" t="n"/>
    </row>
    <row r="2542">
      <c r="C2542" s="63" t="inlineStr">
        <is>
          <t>Necesidad neta</t>
        </is>
      </c>
      <c r="D2542" s="64" t="n"/>
      <c r="E2542" s="69">
        <f>MAX(0,ROUND(E2539+Materiales!$H$366-D2541-E2540,4))</f>
        <v/>
      </c>
      <c r="F2542" s="69">
        <f>MAX(0,ROUND(F2539+Materiales!$H$366-E2541-F2540,4))</f>
        <v/>
      </c>
      <c r="G2542" s="69">
        <f>MAX(0,ROUND(G2539+Materiales!$H$366-F2541-G2540,4))</f>
        <v/>
      </c>
      <c r="H2542" s="69">
        <f>MAX(0,ROUND(H2539+Materiales!$H$366-G2541-H2540,4))</f>
        <v/>
      </c>
      <c r="I2542" s="69">
        <f>MAX(0,ROUND(I2539+Materiales!$H$366-H2541-I2540,4))</f>
        <v/>
      </c>
      <c r="J2542" s="69">
        <f>MAX(0,ROUND(J2539+Materiales!$H$366-I2541-J2540,4))</f>
        <v/>
      </c>
      <c r="K2542" s="69">
        <f>MAX(0,ROUND(K2539+Materiales!$H$366-J2541-K2540,4))</f>
        <v/>
      </c>
      <c r="L2542" s="69">
        <f>MAX(0,ROUND(L2539+Materiales!$H$366-K2541-L2540,4))</f>
        <v/>
      </c>
      <c r="M2542" s="66" t="n"/>
    </row>
    <row r="2543">
      <c r="C2543" s="63" t="inlineStr">
        <is>
          <t>Recepcion de orden planificada</t>
        </is>
      </c>
      <c r="D2543" s="64" t="n"/>
      <c r="E2543" s="65">
        <f>IF(E2542&lt;=0,0,IF(Materiales!$G$366&lt;=0,E2542,ROUNDUP(E2542/Materiales!$G$366,0)*Materiales!$G$366))</f>
        <v/>
      </c>
      <c r="F2543" s="65">
        <f>IF(F2542&lt;=0,0,IF(Materiales!$G$366&lt;=0,F2542,ROUNDUP(F2542/Materiales!$G$366,0)*Materiales!$G$366))</f>
        <v/>
      </c>
      <c r="G2543" s="65">
        <f>IF(G2542&lt;=0,0,IF(Materiales!$G$366&lt;=0,G2542,ROUNDUP(G2542/Materiales!$G$366,0)*Materiales!$G$366))</f>
        <v/>
      </c>
      <c r="H2543" s="65">
        <f>IF(H2542&lt;=0,0,IF(Materiales!$G$366&lt;=0,H2542,ROUNDUP(H2542/Materiales!$G$366,0)*Materiales!$G$366))</f>
        <v/>
      </c>
      <c r="I2543" s="65">
        <f>IF(I2542&lt;=0,0,IF(Materiales!$G$366&lt;=0,I2542,ROUNDUP(I2542/Materiales!$G$366,0)*Materiales!$G$366))</f>
        <v/>
      </c>
      <c r="J2543" s="65">
        <f>IF(J2542&lt;=0,0,IF(Materiales!$G$366&lt;=0,J2542,ROUNDUP(J2542/Materiales!$G$366,0)*Materiales!$G$366))</f>
        <v/>
      </c>
      <c r="K2543" s="65">
        <f>IF(K2542&lt;=0,0,IF(Materiales!$G$366&lt;=0,K2542,ROUNDUP(K2542/Materiales!$G$366,0)*Materiales!$G$366))</f>
        <v/>
      </c>
      <c r="L2543" s="65">
        <f>IF(L2542&lt;=0,0,IF(Materiales!$G$366&lt;=0,L2542,ROUNDUP(L2542/Materiales!$G$366,0)*Materiales!$G$366))</f>
        <v/>
      </c>
      <c r="M2543" s="66" t="n"/>
    </row>
    <row r="2544">
      <c r="C2544" s="70" t="inlineStr">
        <is>
          <t>LANZAMIENTO DE ORDEN — pedir esta semana</t>
        </is>
      </c>
      <c r="D2544" s="64" t="n"/>
      <c r="E2544" s="71">
        <f>IF(1+Materiales!$F$366&gt;8,0,INDEX($E$2543:$L$2543,1,1+Materiales!$F$366))</f>
        <v/>
      </c>
      <c r="F2544" s="71">
        <f>IF(2+Materiales!$F$366&gt;8,0,INDEX($E$2543:$L$2543,1,2+Materiales!$F$366))</f>
        <v/>
      </c>
      <c r="G2544" s="71">
        <f>IF(3+Materiales!$F$366&gt;8,0,INDEX($E$2543:$L$2543,1,3+Materiales!$F$366))</f>
        <v/>
      </c>
      <c r="H2544" s="71">
        <f>IF(4+Materiales!$F$366&gt;8,0,INDEX($E$2543:$L$2543,1,4+Materiales!$F$366))</f>
        <v/>
      </c>
      <c r="I2544" s="71">
        <f>IF(5+Materiales!$F$366&gt;8,0,INDEX($E$2543:$L$2543,1,5+Materiales!$F$366))</f>
        <v/>
      </c>
      <c r="J2544" s="71">
        <f>IF(6+Materiales!$F$366&gt;8,0,INDEX($E$2543:$L$2543,1,6+Materiales!$F$366))</f>
        <v/>
      </c>
      <c r="K2544" s="71">
        <f>IF(7+Materiales!$F$366&gt;8,0,INDEX($E$2543:$L$2543,1,7+Materiales!$F$366))</f>
        <v/>
      </c>
      <c r="L2544" s="71">
        <f>IF(8+Materiales!$F$366&gt;8,0,INDEX($E$2543:$L$2543,1,8+Materiales!$F$366))</f>
        <v/>
      </c>
      <c r="M2544" s="72">
        <f>IF($A2539="","",IF(SUMPRODUCT((COLUMN($E$2543:$L$2543)-4&lt;=Materiales!$F$366)*$E$2543:$L$2543)&gt;0,"PEDIR YA (atrasado)","OK"))</f>
        <v/>
      </c>
    </row>
    <row r="2545" ht="6" customHeight="1"/>
    <row r="2546">
      <c r="A2546" s="62">
        <f>IF(Materiales!$A$367="","",Materiales!$A$367)</f>
        <v/>
      </c>
      <c r="B2546" s="62">
        <f>IF(Materiales!$B$367="","",Materiales!$B$367)</f>
        <v/>
      </c>
      <c r="C2546" s="63" t="inlineStr">
        <is>
          <t>Necesidad bruta</t>
        </is>
      </c>
      <c r="D2546" s="64" t="n"/>
      <c r="E2546" s="65">
        <f>ROUND(SUMIF(Consumo!$P$4:$P$189,"#"&amp;$A2546,Consumo!H$4:H$189),4)</f>
        <v/>
      </c>
      <c r="F2546" s="65">
        <f>ROUND(SUMIF(Consumo!$P$4:$P$189,"#"&amp;$A2546,Consumo!I$4:I$189),4)</f>
        <v/>
      </c>
      <c r="G2546" s="65">
        <f>ROUND(SUMIF(Consumo!$P$4:$P$189,"#"&amp;$A2546,Consumo!J$4:J$189),4)</f>
        <v/>
      </c>
      <c r="H2546" s="65">
        <f>ROUND(SUMIF(Consumo!$P$4:$P$189,"#"&amp;$A2546,Consumo!K$4:K$189),4)</f>
        <v/>
      </c>
      <c r="I2546" s="65">
        <f>ROUND(SUMIF(Consumo!$P$4:$P$189,"#"&amp;$A2546,Consumo!L$4:L$189),4)</f>
        <v/>
      </c>
      <c r="J2546" s="65">
        <f>ROUND(SUMIF(Consumo!$P$4:$P$189,"#"&amp;$A2546,Consumo!M$4:M$189),4)</f>
        <v/>
      </c>
      <c r="K2546" s="65">
        <f>ROUND(SUMIF(Consumo!$P$4:$P$189,"#"&amp;$A2546,Consumo!N$4:N$189),4)</f>
        <v/>
      </c>
      <c r="L2546" s="65">
        <f>ROUND(SUMIF(Consumo!$P$4:$P$189,"#"&amp;$A2546,Consumo!O$4:O$189),4)</f>
        <v/>
      </c>
      <c r="M2546" s="66" t="n"/>
    </row>
    <row r="2547">
      <c r="C2547" s="63" t="inlineStr">
        <is>
          <t>Recepciones programadas (ya pedido)</t>
        </is>
      </c>
      <c r="D2547" s="64" t="n"/>
      <c r="E2547" s="65">
        <f>SUMIF(Inventario!$M$5:$M$505,"#"&amp;$A2546,Inventario!E$5:E$505)</f>
        <v/>
      </c>
      <c r="F2547" s="65">
        <f>SUMIF(Inventario!$M$5:$M$505,"#"&amp;$A2546,Inventario!F$5:F$505)</f>
        <v/>
      </c>
      <c r="G2547" s="65">
        <f>SUMIF(Inventario!$M$5:$M$505,"#"&amp;$A2546,Inventario!G$5:G$505)</f>
        <v/>
      </c>
      <c r="H2547" s="65">
        <f>SUMIF(Inventario!$M$5:$M$505,"#"&amp;$A2546,Inventario!H$5:H$505)</f>
        <v/>
      </c>
      <c r="I2547" s="65">
        <f>SUMIF(Inventario!$M$5:$M$505,"#"&amp;$A2546,Inventario!I$5:I$505)</f>
        <v/>
      </c>
      <c r="J2547" s="65">
        <f>SUMIF(Inventario!$M$5:$M$505,"#"&amp;$A2546,Inventario!J$5:J$505)</f>
        <v/>
      </c>
      <c r="K2547" s="65">
        <f>SUMIF(Inventario!$M$5:$M$505,"#"&amp;$A2546,Inventario!K$5:K$505)</f>
        <v/>
      </c>
      <c r="L2547" s="65">
        <f>SUMIF(Inventario!$M$5:$M$505,"#"&amp;$A2546,Inventario!L$5:L$505)</f>
        <v/>
      </c>
      <c r="M2547" s="66" t="n"/>
    </row>
    <row r="2548">
      <c r="C2548" s="63" t="inlineStr">
        <is>
          <t>Stock proyectado disponible</t>
        </is>
      </c>
      <c r="D2548" s="67">
        <f>SUMIF(Inventario!$M$5:$M$505,"#"&amp;$A2546,Inventario!$C$5:$C$505)</f>
        <v/>
      </c>
      <c r="E2548" s="68">
        <f>D2548+E2547+E2550-E2546</f>
        <v/>
      </c>
      <c r="F2548" s="68">
        <f>E2548+F2547+F2550-F2546</f>
        <v/>
      </c>
      <c r="G2548" s="68">
        <f>F2548+G2547+G2550-G2546</f>
        <v/>
      </c>
      <c r="H2548" s="68">
        <f>G2548+H2547+H2550-H2546</f>
        <v/>
      </c>
      <c r="I2548" s="68">
        <f>H2548+I2547+I2550-I2546</f>
        <v/>
      </c>
      <c r="J2548" s="68">
        <f>I2548+J2547+J2550-J2546</f>
        <v/>
      </c>
      <c r="K2548" s="68">
        <f>J2548+K2547+K2550-K2546</f>
        <v/>
      </c>
      <c r="L2548" s="68">
        <f>K2548+L2547+L2550-L2546</f>
        <v/>
      </c>
      <c r="M2548" s="66" t="n"/>
    </row>
    <row r="2549">
      <c r="C2549" s="63" t="inlineStr">
        <is>
          <t>Necesidad neta</t>
        </is>
      </c>
      <c r="D2549" s="64" t="n"/>
      <c r="E2549" s="69">
        <f>MAX(0,ROUND(E2546+Materiales!$H$367-D2548-E2547,4))</f>
        <v/>
      </c>
      <c r="F2549" s="69">
        <f>MAX(0,ROUND(F2546+Materiales!$H$367-E2548-F2547,4))</f>
        <v/>
      </c>
      <c r="G2549" s="69">
        <f>MAX(0,ROUND(G2546+Materiales!$H$367-F2548-G2547,4))</f>
        <v/>
      </c>
      <c r="H2549" s="69">
        <f>MAX(0,ROUND(H2546+Materiales!$H$367-G2548-H2547,4))</f>
        <v/>
      </c>
      <c r="I2549" s="69">
        <f>MAX(0,ROUND(I2546+Materiales!$H$367-H2548-I2547,4))</f>
        <v/>
      </c>
      <c r="J2549" s="69">
        <f>MAX(0,ROUND(J2546+Materiales!$H$367-I2548-J2547,4))</f>
        <v/>
      </c>
      <c r="K2549" s="69">
        <f>MAX(0,ROUND(K2546+Materiales!$H$367-J2548-K2547,4))</f>
        <v/>
      </c>
      <c r="L2549" s="69">
        <f>MAX(0,ROUND(L2546+Materiales!$H$367-K2548-L2547,4))</f>
        <v/>
      </c>
      <c r="M2549" s="66" t="n"/>
    </row>
    <row r="2550">
      <c r="C2550" s="63" t="inlineStr">
        <is>
          <t>Recepcion de orden planificada</t>
        </is>
      </c>
      <c r="D2550" s="64" t="n"/>
      <c r="E2550" s="65">
        <f>IF(E2549&lt;=0,0,IF(Materiales!$G$367&lt;=0,E2549,ROUNDUP(E2549/Materiales!$G$367,0)*Materiales!$G$367))</f>
        <v/>
      </c>
      <c r="F2550" s="65">
        <f>IF(F2549&lt;=0,0,IF(Materiales!$G$367&lt;=0,F2549,ROUNDUP(F2549/Materiales!$G$367,0)*Materiales!$G$367))</f>
        <v/>
      </c>
      <c r="G2550" s="65">
        <f>IF(G2549&lt;=0,0,IF(Materiales!$G$367&lt;=0,G2549,ROUNDUP(G2549/Materiales!$G$367,0)*Materiales!$G$367))</f>
        <v/>
      </c>
      <c r="H2550" s="65">
        <f>IF(H2549&lt;=0,0,IF(Materiales!$G$367&lt;=0,H2549,ROUNDUP(H2549/Materiales!$G$367,0)*Materiales!$G$367))</f>
        <v/>
      </c>
      <c r="I2550" s="65">
        <f>IF(I2549&lt;=0,0,IF(Materiales!$G$367&lt;=0,I2549,ROUNDUP(I2549/Materiales!$G$367,0)*Materiales!$G$367))</f>
        <v/>
      </c>
      <c r="J2550" s="65">
        <f>IF(J2549&lt;=0,0,IF(Materiales!$G$367&lt;=0,J2549,ROUNDUP(J2549/Materiales!$G$367,0)*Materiales!$G$367))</f>
        <v/>
      </c>
      <c r="K2550" s="65">
        <f>IF(K2549&lt;=0,0,IF(Materiales!$G$367&lt;=0,K2549,ROUNDUP(K2549/Materiales!$G$367,0)*Materiales!$G$367))</f>
        <v/>
      </c>
      <c r="L2550" s="65">
        <f>IF(L2549&lt;=0,0,IF(Materiales!$G$367&lt;=0,L2549,ROUNDUP(L2549/Materiales!$G$367,0)*Materiales!$G$367))</f>
        <v/>
      </c>
      <c r="M2550" s="66" t="n"/>
    </row>
    <row r="2551">
      <c r="C2551" s="70" t="inlineStr">
        <is>
          <t>LANZAMIENTO DE ORDEN — pedir esta semana</t>
        </is>
      </c>
      <c r="D2551" s="64" t="n"/>
      <c r="E2551" s="71">
        <f>IF(1+Materiales!$F$367&gt;8,0,INDEX($E$2550:$L$2550,1,1+Materiales!$F$367))</f>
        <v/>
      </c>
      <c r="F2551" s="71">
        <f>IF(2+Materiales!$F$367&gt;8,0,INDEX($E$2550:$L$2550,1,2+Materiales!$F$367))</f>
        <v/>
      </c>
      <c r="G2551" s="71">
        <f>IF(3+Materiales!$F$367&gt;8,0,INDEX($E$2550:$L$2550,1,3+Materiales!$F$367))</f>
        <v/>
      </c>
      <c r="H2551" s="71">
        <f>IF(4+Materiales!$F$367&gt;8,0,INDEX($E$2550:$L$2550,1,4+Materiales!$F$367))</f>
        <v/>
      </c>
      <c r="I2551" s="71">
        <f>IF(5+Materiales!$F$367&gt;8,0,INDEX($E$2550:$L$2550,1,5+Materiales!$F$367))</f>
        <v/>
      </c>
      <c r="J2551" s="71">
        <f>IF(6+Materiales!$F$367&gt;8,0,INDEX($E$2550:$L$2550,1,6+Materiales!$F$367))</f>
        <v/>
      </c>
      <c r="K2551" s="71">
        <f>IF(7+Materiales!$F$367&gt;8,0,INDEX($E$2550:$L$2550,1,7+Materiales!$F$367))</f>
        <v/>
      </c>
      <c r="L2551" s="71">
        <f>IF(8+Materiales!$F$367&gt;8,0,INDEX($E$2550:$L$2550,1,8+Materiales!$F$367))</f>
        <v/>
      </c>
      <c r="M2551" s="72">
        <f>IF($A2546="","",IF(SUMPRODUCT((COLUMN($E$2550:$L$2550)-4&lt;=Materiales!$F$367)*$E$2550:$L$2550)&gt;0,"PEDIR YA (atrasado)","OK"))</f>
        <v/>
      </c>
    </row>
    <row r="2552" ht="6" customHeight="1"/>
    <row r="2553">
      <c r="A2553" s="62">
        <f>IF(Materiales!$A$368="","",Materiales!$A$368)</f>
        <v/>
      </c>
      <c r="B2553" s="62">
        <f>IF(Materiales!$B$368="","",Materiales!$B$368)</f>
        <v/>
      </c>
      <c r="C2553" s="63" t="inlineStr">
        <is>
          <t>Necesidad bruta</t>
        </is>
      </c>
      <c r="D2553" s="64" t="n"/>
      <c r="E2553" s="65">
        <f>ROUND(SUMIF(Consumo!$P$4:$P$189,"#"&amp;$A2553,Consumo!H$4:H$189),4)</f>
        <v/>
      </c>
      <c r="F2553" s="65">
        <f>ROUND(SUMIF(Consumo!$P$4:$P$189,"#"&amp;$A2553,Consumo!I$4:I$189),4)</f>
        <v/>
      </c>
      <c r="G2553" s="65">
        <f>ROUND(SUMIF(Consumo!$P$4:$P$189,"#"&amp;$A2553,Consumo!J$4:J$189),4)</f>
        <v/>
      </c>
      <c r="H2553" s="65">
        <f>ROUND(SUMIF(Consumo!$P$4:$P$189,"#"&amp;$A2553,Consumo!K$4:K$189),4)</f>
        <v/>
      </c>
      <c r="I2553" s="65">
        <f>ROUND(SUMIF(Consumo!$P$4:$P$189,"#"&amp;$A2553,Consumo!L$4:L$189),4)</f>
        <v/>
      </c>
      <c r="J2553" s="65">
        <f>ROUND(SUMIF(Consumo!$P$4:$P$189,"#"&amp;$A2553,Consumo!M$4:M$189),4)</f>
        <v/>
      </c>
      <c r="K2553" s="65">
        <f>ROUND(SUMIF(Consumo!$P$4:$P$189,"#"&amp;$A2553,Consumo!N$4:N$189),4)</f>
        <v/>
      </c>
      <c r="L2553" s="65">
        <f>ROUND(SUMIF(Consumo!$P$4:$P$189,"#"&amp;$A2553,Consumo!O$4:O$189),4)</f>
        <v/>
      </c>
      <c r="M2553" s="66" t="n"/>
    </row>
    <row r="2554">
      <c r="C2554" s="63" t="inlineStr">
        <is>
          <t>Recepciones programadas (ya pedido)</t>
        </is>
      </c>
      <c r="D2554" s="64" t="n"/>
      <c r="E2554" s="65">
        <f>SUMIF(Inventario!$M$5:$M$505,"#"&amp;$A2553,Inventario!E$5:E$505)</f>
        <v/>
      </c>
      <c r="F2554" s="65">
        <f>SUMIF(Inventario!$M$5:$M$505,"#"&amp;$A2553,Inventario!F$5:F$505)</f>
        <v/>
      </c>
      <c r="G2554" s="65">
        <f>SUMIF(Inventario!$M$5:$M$505,"#"&amp;$A2553,Inventario!G$5:G$505)</f>
        <v/>
      </c>
      <c r="H2554" s="65">
        <f>SUMIF(Inventario!$M$5:$M$505,"#"&amp;$A2553,Inventario!H$5:H$505)</f>
        <v/>
      </c>
      <c r="I2554" s="65">
        <f>SUMIF(Inventario!$M$5:$M$505,"#"&amp;$A2553,Inventario!I$5:I$505)</f>
        <v/>
      </c>
      <c r="J2554" s="65">
        <f>SUMIF(Inventario!$M$5:$M$505,"#"&amp;$A2553,Inventario!J$5:J$505)</f>
        <v/>
      </c>
      <c r="K2554" s="65">
        <f>SUMIF(Inventario!$M$5:$M$505,"#"&amp;$A2553,Inventario!K$5:K$505)</f>
        <v/>
      </c>
      <c r="L2554" s="65">
        <f>SUMIF(Inventario!$M$5:$M$505,"#"&amp;$A2553,Inventario!L$5:L$505)</f>
        <v/>
      </c>
      <c r="M2554" s="66" t="n"/>
    </row>
    <row r="2555">
      <c r="C2555" s="63" t="inlineStr">
        <is>
          <t>Stock proyectado disponible</t>
        </is>
      </c>
      <c r="D2555" s="67">
        <f>SUMIF(Inventario!$M$5:$M$505,"#"&amp;$A2553,Inventario!$C$5:$C$505)</f>
        <v/>
      </c>
      <c r="E2555" s="68">
        <f>D2555+E2554+E2557-E2553</f>
        <v/>
      </c>
      <c r="F2555" s="68">
        <f>E2555+F2554+F2557-F2553</f>
        <v/>
      </c>
      <c r="G2555" s="68">
        <f>F2555+G2554+G2557-G2553</f>
        <v/>
      </c>
      <c r="H2555" s="68">
        <f>G2555+H2554+H2557-H2553</f>
        <v/>
      </c>
      <c r="I2555" s="68">
        <f>H2555+I2554+I2557-I2553</f>
        <v/>
      </c>
      <c r="J2555" s="68">
        <f>I2555+J2554+J2557-J2553</f>
        <v/>
      </c>
      <c r="K2555" s="68">
        <f>J2555+K2554+K2557-K2553</f>
        <v/>
      </c>
      <c r="L2555" s="68">
        <f>K2555+L2554+L2557-L2553</f>
        <v/>
      </c>
      <c r="M2555" s="66" t="n"/>
    </row>
    <row r="2556">
      <c r="C2556" s="63" t="inlineStr">
        <is>
          <t>Necesidad neta</t>
        </is>
      </c>
      <c r="D2556" s="64" t="n"/>
      <c r="E2556" s="69">
        <f>MAX(0,ROUND(E2553+Materiales!$H$368-D2555-E2554,4))</f>
        <v/>
      </c>
      <c r="F2556" s="69">
        <f>MAX(0,ROUND(F2553+Materiales!$H$368-E2555-F2554,4))</f>
        <v/>
      </c>
      <c r="G2556" s="69">
        <f>MAX(0,ROUND(G2553+Materiales!$H$368-F2555-G2554,4))</f>
        <v/>
      </c>
      <c r="H2556" s="69">
        <f>MAX(0,ROUND(H2553+Materiales!$H$368-G2555-H2554,4))</f>
        <v/>
      </c>
      <c r="I2556" s="69">
        <f>MAX(0,ROUND(I2553+Materiales!$H$368-H2555-I2554,4))</f>
        <v/>
      </c>
      <c r="J2556" s="69">
        <f>MAX(0,ROUND(J2553+Materiales!$H$368-I2555-J2554,4))</f>
        <v/>
      </c>
      <c r="K2556" s="69">
        <f>MAX(0,ROUND(K2553+Materiales!$H$368-J2555-K2554,4))</f>
        <v/>
      </c>
      <c r="L2556" s="69">
        <f>MAX(0,ROUND(L2553+Materiales!$H$368-K2555-L2554,4))</f>
        <v/>
      </c>
      <c r="M2556" s="66" t="n"/>
    </row>
    <row r="2557">
      <c r="C2557" s="63" t="inlineStr">
        <is>
          <t>Recepcion de orden planificada</t>
        </is>
      </c>
      <c r="D2557" s="64" t="n"/>
      <c r="E2557" s="65">
        <f>IF(E2556&lt;=0,0,IF(Materiales!$G$368&lt;=0,E2556,ROUNDUP(E2556/Materiales!$G$368,0)*Materiales!$G$368))</f>
        <v/>
      </c>
      <c r="F2557" s="65">
        <f>IF(F2556&lt;=0,0,IF(Materiales!$G$368&lt;=0,F2556,ROUNDUP(F2556/Materiales!$G$368,0)*Materiales!$G$368))</f>
        <v/>
      </c>
      <c r="G2557" s="65">
        <f>IF(G2556&lt;=0,0,IF(Materiales!$G$368&lt;=0,G2556,ROUNDUP(G2556/Materiales!$G$368,0)*Materiales!$G$368))</f>
        <v/>
      </c>
      <c r="H2557" s="65">
        <f>IF(H2556&lt;=0,0,IF(Materiales!$G$368&lt;=0,H2556,ROUNDUP(H2556/Materiales!$G$368,0)*Materiales!$G$368))</f>
        <v/>
      </c>
      <c r="I2557" s="65">
        <f>IF(I2556&lt;=0,0,IF(Materiales!$G$368&lt;=0,I2556,ROUNDUP(I2556/Materiales!$G$368,0)*Materiales!$G$368))</f>
        <v/>
      </c>
      <c r="J2557" s="65">
        <f>IF(J2556&lt;=0,0,IF(Materiales!$G$368&lt;=0,J2556,ROUNDUP(J2556/Materiales!$G$368,0)*Materiales!$G$368))</f>
        <v/>
      </c>
      <c r="K2557" s="65">
        <f>IF(K2556&lt;=0,0,IF(Materiales!$G$368&lt;=0,K2556,ROUNDUP(K2556/Materiales!$G$368,0)*Materiales!$G$368))</f>
        <v/>
      </c>
      <c r="L2557" s="65">
        <f>IF(L2556&lt;=0,0,IF(Materiales!$G$368&lt;=0,L2556,ROUNDUP(L2556/Materiales!$G$368,0)*Materiales!$G$368))</f>
        <v/>
      </c>
      <c r="M2557" s="66" t="n"/>
    </row>
    <row r="2558">
      <c r="C2558" s="70" t="inlineStr">
        <is>
          <t>LANZAMIENTO DE ORDEN — pedir esta semana</t>
        </is>
      </c>
      <c r="D2558" s="64" t="n"/>
      <c r="E2558" s="71">
        <f>IF(1+Materiales!$F$368&gt;8,0,INDEX($E$2557:$L$2557,1,1+Materiales!$F$368))</f>
        <v/>
      </c>
      <c r="F2558" s="71">
        <f>IF(2+Materiales!$F$368&gt;8,0,INDEX($E$2557:$L$2557,1,2+Materiales!$F$368))</f>
        <v/>
      </c>
      <c r="G2558" s="71">
        <f>IF(3+Materiales!$F$368&gt;8,0,INDEX($E$2557:$L$2557,1,3+Materiales!$F$368))</f>
        <v/>
      </c>
      <c r="H2558" s="71">
        <f>IF(4+Materiales!$F$368&gt;8,0,INDEX($E$2557:$L$2557,1,4+Materiales!$F$368))</f>
        <v/>
      </c>
      <c r="I2558" s="71">
        <f>IF(5+Materiales!$F$368&gt;8,0,INDEX($E$2557:$L$2557,1,5+Materiales!$F$368))</f>
        <v/>
      </c>
      <c r="J2558" s="71">
        <f>IF(6+Materiales!$F$368&gt;8,0,INDEX($E$2557:$L$2557,1,6+Materiales!$F$368))</f>
        <v/>
      </c>
      <c r="K2558" s="71">
        <f>IF(7+Materiales!$F$368&gt;8,0,INDEX($E$2557:$L$2557,1,7+Materiales!$F$368))</f>
        <v/>
      </c>
      <c r="L2558" s="71">
        <f>IF(8+Materiales!$F$368&gt;8,0,INDEX($E$2557:$L$2557,1,8+Materiales!$F$368))</f>
        <v/>
      </c>
      <c r="M2558" s="72">
        <f>IF($A2553="","",IF(SUMPRODUCT((COLUMN($E$2557:$L$2557)-4&lt;=Materiales!$F$368)*$E$2557:$L$2557)&gt;0,"PEDIR YA (atrasado)","OK"))</f>
        <v/>
      </c>
    </row>
    <row r="2559" ht="6" customHeight="1"/>
    <row r="2560">
      <c r="A2560" s="62">
        <f>IF(Materiales!$A$369="","",Materiales!$A$369)</f>
        <v/>
      </c>
      <c r="B2560" s="62">
        <f>IF(Materiales!$B$369="","",Materiales!$B$369)</f>
        <v/>
      </c>
      <c r="C2560" s="63" t="inlineStr">
        <is>
          <t>Necesidad bruta</t>
        </is>
      </c>
      <c r="D2560" s="64" t="n"/>
      <c r="E2560" s="65">
        <f>ROUND(SUMIF(Consumo!$P$4:$P$189,"#"&amp;$A2560,Consumo!H$4:H$189),4)</f>
        <v/>
      </c>
      <c r="F2560" s="65">
        <f>ROUND(SUMIF(Consumo!$P$4:$P$189,"#"&amp;$A2560,Consumo!I$4:I$189),4)</f>
        <v/>
      </c>
      <c r="G2560" s="65">
        <f>ROUND(SUMIF(Consumo!$P$4:$P$189,"#"&amp;$A2560,Consumo!J$4:J$189),4)</f>
        <v/>
      </c>
      <c r="H2560" s="65">
        <f>ROUND(SUMIF(Consumo!$P$4:$P$189,"#"&amp;$A2560,Consumo!K$4:K$189),4)</f>
        <v/>
      </c>
      <c r="I2560" s="65">
        <f>ROUND(SUMIF(Consumo!$P$4:$P$189,"#"&amp;$A2560,Consumo!L$4:L$189),4)</f>
        <v/>
      </c>
      <c r="J2560" s="65">
        <f>ROUND(SUMIF(Consumo!$P$4:$P$189,"#"&amp;$A2560,Consumo!M$4:M$189),4)</f>
        <v/>
      </c>
      <c r="K2560" s="65">
        <f>ROUND(SUMIF(Consumo!$P$4:$P$189,"#"&amp;$A2560,Consumo!N$4:N$189),4)</f>
        <v/>
      </c>
      <c r="L2560" s="65">
        <f>ROUND(SUMIF(Consumo!$P$4:$P$189,"#"&amp;$A2560,Consumo!O$4:O$189),4)</f>
        <v/>
      </c>
      <c r="M2560" s="66" t="n"/>
    </row>
    <row r="2561">
      <c r="C2561" s="63" t="inlineStr">
        <is>
          <t>Recepciones programadas (ya pedido)</t>
        </is>
      </c>
      <c r="D2561" s="64" t="n"/>
      <c r="E2561" s="65">
        <f>SUMIF(Inventario!$M$5:$M$505,"#"&amp;$A2560,Inventario!E$5:E$505)</f>
        <v/>
      </c>
      <c r="F2561" s="65">
        <f>SUMIF(Inventario!$M$5:$M$505,"#"&amp;$A2560,Inventario!F$5:F$505)</f>
        <v/>
      </c>
      <c r="G2561" s="65">
        <f>SUMIF(Inventario!$M$5:$M$505,"#"&amp;$A2560,Inventario!G$5:G$505)</f>
        <v/>
      </c>
      <c r="H2561" s="65">
        <f>SUMIF(Inventario!$M$5:$M$505,"#"&amp;$A2560,Inventario!H$5:H$505)</f>
        <v/>
      </c>
      <c r="I2561" s="65">
        <f>SUMIF(Inventario!$M$5:$M$505,"#"&amp;$A2560,Inventario!I$5:I$505)</f>
        <v/>
      </c>
      <c r="J2561" s="65">
        <f>SUMIF(Inventario!$M$5:$M$505,"#"&amp;$A2560,Inventario!J$5:J$505)</f>
        <v/>
      </c>
      <c r="K2561" s="65">
        <f>SUMIF(Inventario!$M$5:$M$505,"#"&amp;$A2560,Inventario!K$5:K$505)</f>
        <v/>
      </c>
      <c r="L2561" s="65">
        <f>SUMIF(Inventario!$M$5:$M$505,"#"&amp;$A2560,Inventario!L$5:L$505)</f>
        <v/>
      </c>
      <c r="M2561" s="66" t="n"/>
    </row>
    <row r="2562">
      <c r="C2562" s="63" t="inlineStr">
        <is>
          <t>Stock proyectado disponible</t>
        </is>
      </c>
      <c r="D2562" s="67">
        <f>SUMIF(Inventario!$M$5:$M$505,"#"&amp;$A2560,Inventario!$C$5:$C$505)</f>
        <v/>
      </c>
      <c r="E2562" s="68">
        <f>D2562+E2561+E2564-E2560</f>
        <v/>
      </c>
      <c r="F2562" s="68">
        <f>E2562+F2561+F2564-F2560</f>
        <v/>
      </c>
      <c r="G2562" s="68">
        <f>F2562+G2561+G2564-G2560</f>
        <v/>
      </c>
      <c r="H2562" s="68">
        <f>G2562+H2561+H2564-H2560</f>
        <v/>
      </c>
      <c r="I2562" s="68">
        <f>H2562+I2561+I2564-I2560</f>
        <v/>
      </c>
      <c r="J2562" s="68">
        <f>I2562+J2561+J2564-J2560</f>
        <v/>
      </c>
      <c r="K2562" s="68">
        <f>J2562+K2561+K2564-K2560</f>
        <v/>
      </c>
      <c r="L2562" s="68">
        <f>K2562+L2561+L2564-L2560</f>
        <v/>
      </c>
      <c r="M2562" s="66" t="n"/>
    </row>
    <row r="2563">
      <c r="C2563" s="63" t="inlineStr">
        <is>
          <t>Necesidad neta</t>
        </is>
      </c>
      <c r="D2563" s="64" t="n"/>
      <c r="E2563" s="69">
        <f>MAX(0,ROUND(E2560+Materiales!$H$369-D2562-E2561,4))</f>
        <v/>
      </c>
      <c r="F2563" s="69">
        <f>MAX(0,ROUND(F2560+Materiales!$H$369-E2562-F2561,4))</f>
        <v/>
      </c>
      <c r="G2563" s="69">
        <f>MAX(0,ROUND(G2560+Materiales!$H$369-F2562-G2561,4))</f>
        <v/>
      </c>
      <c r="H2563" s="69">
        <f>MAX(0,ROUND(H2560+Materiales!$H$369-G2562-H2561,4))</f>
        <v/>
      </c>
      <c r="I2563" s="69">
        <f>MAX(0,ROUND(I2560+Materiales!$H$369-H2562-I2561,4))</f>
        <v/>
      </c>
      <c r="J2563" s="69">
        <f>MAX(0,ROUND(J2560+Materiales!$H$369-I2562-J2561,4))</f>
        <v/>
      </c>
      <c r="K2563" s="69">
        <f>MAX(0,ROUND(K2560+Materiales!$H$369-J2562-K2561,4))</f>
        <v/>
      </c>
      <c r="L2563" s="69">
        <f>MAX(0,ROUND(L2560+Materiales!$H$369-K2562-L2561,4))</f>
        <v/>
      </c>
      <c r="M2563" s="66" t="n"/>
    </row>
    <row r="2564">
      <c r="C2564" s="63" t="inlineStr">
        <is>
          <t>Recepcion de orden planificada</t>
        </is>
      </c>
      <c r="D2564" s="64" t="n"/>
      <c r="E2564" s="65">
        <f>IF(E2563&lt;=0,0,IF(Materiales!$G$369&lt;=0,E2563,ROUNDUP(E2563/Materiales!$G$369,0)*Materiales!$G$369))</f>
        <v/>
      </c>
      <c r="F2564" s="65">
        <f>IF(F2563&lt;=0,0,IF(Materiales!$G$369&lt;=0,F2563,ROUNDUP(F2563/Materiales!$G$369,0)*Materiales!$G$369))</f>
        <v/>
      </c>
      <c r="G2564" s="65">
        <f>IF(G2563&lt;=0,0,IF(Materiales!$G$369&lt;=0,G2563,ROUNDUP(G2563/Materiales!$G$369,0)*Materiales!$G$369))</f>
        <v/>
      </c>
      <c r="H2564" s="65">
        <f>IF(H2563&lt;=0,0,IF(Materiales!$G$369&lt;=0,H2563,ROUNDUP(H2563/Materiales!$G$369,0)*Materiales!$G$369))</f>
        <v/>
      </c>
      <c r="I2564" s="65">
        <f>IF(I2563&lt;=0,0,IF(Materiales!$G$369&lt;=0,I2563,ROUNDUP(I2563/Materiales!$G$369,0)*Materiales!$G$369))</f>
        <v/>
      </c>
      <c r="J2564" s="65">
        <f>IF(J2563&lt;=0,0,IF(Materiales!$G$369&lt;=0,J2563,ROUNDUP(J2563/Materiales!$G$369,0)*Materiales!$G$369))</f>
        <v/>
      </c>
      <c r="K2564" s="65">
        <f>IF(K2563&lt;=0,0,IF(Materiales!$G$369&lt;=0,K2563,ROUNDUP(K2563/Materiales!$G$369,0)*Materiales!$G$369))</f>
        <v/>
      </c>
      <c r="L2564" s="65">
        <f>IF(L2563&lt;=0,0,IF(Materiales!$G$369&lt;=0,L2563,ROUNDUP(L2563/Materiales!$G$369,0)*Materiales!$G$369))</f>
        <v/>
      </c>
      <c r="M2564" s="66" t="n"/>
    </row>
    <row r="2565">
      <c r="C2565" s="70" t="inlineStr">
        <is>
          <t>LANZAMIENTO DE ORDEN — pedir esta semana</t>
        </is>
      </c>
      <c r="D2565" s="64" t="n"/>
      <c r="E2565" s="71">
        <f>IF(1+Materiales!$F$369&gt;8,0,INDEX($E$2564:$L$2564,1,1+Materiales!$F$369))</f>
        <v/>
      </c>
      <c r="F2565" s="71">
        <f>IF(2+Materiales!$F$369&gt;8,0,INDEX($E$2564:$L$2564,1,2+Materiales!$F$369))</f>
        <v/>
      </c>
      <c r="G2565" s="71">
        <f>IF(3+Materiales!$F$369&gt;8,0,INDEX($E$2564:$L$2564,1,3+Materiales!$F$369))</f>
        <v/>
      </c>
      <c r="H2565" s="71">
        <f>IF(4+Materiales!$F$369&gt;8,0,INDEX($E$2564:$L$2564,1,4+Materiales!$F$369))</f>
        <v/>
      </c>
      <c r="I2565" s="71">
        <f>IF(5+Materiales!$F$369&gt;8,0,INDEX($E$2564:$L$2564,1,5+Materiales!$F$369))</f>
        <v/>
      </c>
      <c r="J2565" s="71">
        <f>IF(6+Materiales!$F$369&gt;8,0,INDEX($E$2564:$L$2564,1,6+Materiales!$F$369))</f>
        <v/>
      </c>
      <c r="K2565" s="71">
        <f>IF(7+Materiales!$F$369&gt;8,0,INDEX($E$2564:$L$2564,1,7+Materiales!$F$369))</f>
        <v/>
      </c>
      <c r="L2565" s="71">
        <f>IF(8+Materiales!$F$369&gt;8,0,INDEX($E$2564:$L$2564,1,8+Materiales!$F$369))</f>
        <v/>
      </c>
      <c r="M2565" s="72">
        <f>IF($A2560="","",IF(SUMPRODUCT((COLUMN($E$2564:$L$2564)-4&lt;=Materiales!$F$369)*$E$2564:$L$2564)&gt;0,"PEDIR YA (atrasado)","OK"))</f>
        <v/>
      </c>
    </row>
    <row r="2566" ht="6" customHeight="1"/>
    <row r="2567">
      <c r="A2567" s="62">
        <f>IF(Materiales!$A$370="","",Materiales!$A$370)</f>
        <v/>
      </c>
      <c r="B2567" s="62">
        <f>IF(Materiales!$B$370="","",Materiales!$B$370)</f>
        <v/>
      </c>
      <c r="C2567" s="63" t="inlineStr">
        <is>
          <t>Necesidad bruta</t>
        </is>
      </c>
      <c r="D2567" s="64" t="n"/>
      <c r="E2567" s="65">
        <f>ROUND(SUMIF(Consumo!$P$4:$P$189,"#"&amp;$A2567,Consumo!H$4:H$189),4)</f>
        <v/>
      </c>
      <c r="F2567" s="65">
        <f>ROUND(SUMIF(Consumo!$P$4:$P$189,"#"&amp;$A2567,Consumo!I$4:I$189),4)</f>
        <v/>
      </c>
      <c r="G2567" s="65">
        <f>ROUND(SUMIF(Consumo!$P$4:$P$189,"#"&amp;$A2567,Consumo!J$4:J$189),4)</f>
        <v/>
      </c>
      <c r="H2567" s="65">
        <f>ROUND(SUMIF(Consumo!$P$4:$P$189,"#"&amp;$A2567,Consumo!K$4:K$189),4)</f>
        <v/>
      </c>
      <c r="I2567" s="65">
        <f>ROUND(SUMIF(Consumo!$P$4:$P$189,"#"&amp;$A2567,Consumo!L$4:L$189),4)</f>
        <v/>
      </c>
      <c r="J2567" s="65">
        <f>ROUND(SUMIF(Consumo!$P$4:$P$189,"#"&amp;$A2567,Consumo!M$4:M$189),4)</f>
        <v/>
      </c>
      <c r="K2567" s="65">
        <f>ROUND(SUMIF(Consumo!$P$4:$P$189,"#"&amp;$A2567,Consumo!N$4:N$189),4)</f>
        <v/>
      </c>
      <c r="L2567" s="65">
        <f>ROUND(SUMIF(Consumo!$P$4:$P$189,"#"&amp;$A2567,Consumo!O$4:O$189),4)</f>
        <v/>
      </c>
      <c r="M2567" s="66" t="n"/>
    </row>
    <row r="2568">
      <c r="C2568" s="63" t="inlineStr">
        <is>
          <t>Recepciones programadas (ya pedido)</t>
        </is>
      </c>
      <c r="D2568" s="64" t="n"/>
      <c r="E2568" s="65">
        <f>SUMIF(Inventario!$M$5:$M$505,"#"&amp;$A2567,Inventario!E$5:E$505)</f>
        <v/>
      </c>
      <c r="F2568" s="65">
        <f>SUMIF(Inventario!$M$5:$M$505,"#"&amp;$A2567,Inventario!F$5:F$505)</f>
        <v/>
      </c>
      <c r="G2568" s="65">
        <f>SUMIF(Inventario!$M$5:$M$505,"#"&amp;$A2567,Inventario!G$5:G$505)</f>
        <v/>
      </c>
      <c r="H2568" s="65">
        <f>SUMIF(Inventario!$M$5:$M$505,"#"&amp;$A2567,Inventario!H$5:H$505)</f>
        <v/>
      </c>
      <c r="I2568" s="65">
        <f>SUMIF(Inventario!$M$5:$M$505,"#"&amp;$A2567,Inventario!I$5:I$505)</f>
        <v/>
      </c>
      <c r="J2568" s="65">
        <f>SUMIF(Inventario!$M$5:$M$505,"#"&amp;$A2567,Inventario!J$5:J$505)</f>
        <v/>
      </c>
      <c r="K2568" s="65">
        <f>SUMIF(Inventario!$M$5:$M$505,"#"&amp;$A2567,Inventario!K$5:K$505)</f>
        <v/>
      </c>
      <c r="L2568" s="65">
        <f>SUMIF(Inventario!$M$5:$M$505,"#"&amp;$A2567,Inventario!L$5:L$505)</f>
        <v/>
      </c>
      <c r="M2568" s="66" t="n"/>
    </row>
    <row r="2569">
      <c r="C2569" s="63" t="inlineStr">
        <is>
          <t>Stock proyectado disponible</t>
        </is>
      </c>
      <c r="D2569" s="67">
        <f>SUMIF(Inventario!$M$5:$M$505,"#"&amp;$A2567,Inventario!$C$5:$C$505)</f>
        <v/>
      </c>
      <c r="E2569" s="68">
        <f>D2569+E2568+E2571-E2567</f>
        <v/>
      </c>
      <c r="F2569" s="68">
        <f>E2569+F2568+F2571-F2567</f>
        <v/>
      </c>
      <c r="G2569" s="68">
        <f>F2569+G2568+G2571-G2567</f>
        <v/>
      </c>
      <c r="H2569" s="68">
        <f>G2569+H2568+H2571-H2567</f>
        <v/>
      </c>
      <c r="I2569" s="68">
        <f>H2569+I2568+I2571-I2567</f>
        <v/>
      </c>
      <c r="J2569" s="68">
        <f>I2569+J2568+J2571-J2567</f>
        <v/>
      </c>
      <c r="K2569" s="68">
        <f>J2569+K2568+K2571-K2567</f>
        <v/>
      </c>
      <c r="L2569" s="68">
        <f>K2569+L2568+L2571-L2567</f>
        <v/>
      </c>
      <c r="M2569" s="66" t="n"/>
    </row>
    <row r="2570">
      <c r="C2570" s="63" t="inlineStr">
        <is>
          <t>Necesidad neta</t>
        </is>
      </c>
      <c r="D2570" s="64" t="n"/>
      <c r="E2570" s="69">
        <f>MAX(0,ROUND(E2567+Materiales!$H$370-D2569-E2568,4))</f>
        <v/>
      </c>
      <c r="F2570" s="69">
        <f>MAX(0,ROUND(F2567+Materiales!$H$370-E2569-F2568,4))</f>
        <v/>
      </c>
      <c r="G2570" s="69">
        <f>MAX(0,ROUND(G2567+Materiales!$H$370-F2569-G2568,4))</f>
        <v/>
      </c>
      <c r="H2570" s="69">
        <f>MAX(0,ROUND(H2567+Materiales!$H$370-G2569-H2568,4))</f>
        <v/>
      </c>
      <c r="I2570" s="69">
        <f>MAX(0,ROUND(I2567+Materiales!$H$370-H2569-I2568,4))</f>
        <v/>
      </c>
      <c r="J2570" s="69">
        <f>MAX(0,ROUND(J2567+Materiales!$H$370-I2569-J2568,4))</f>
        <v/>
      </c>
      <c r="K2570" s="69">
        <f>MAX(0,ROUND(K2567+Materiales!$H$370-J2569-K2568,4))</f>
        <v/>
      </c>
      <c r="L2570" s="69">
        <f>MAX(0,ROUND(L2567+Materiales!$H$370-K2569-L2568,4))</f>
        <v/>
      </c>
      <c r="M2570" s="66" t="n"/>
    </row>
    <row r="2571">
      <c r="C2571" s="63" t="inlineStr">
        <is>
          <t>Recepcion de orden planificada</t>
        </is>
      </c>
      <c r="D2571" s="64" t="n"/>
      <c r="E2571" s="65">
        <f>IF(E2570&lt;=0,0,IF(Materiales!$G$370&lt;=0,E2570,ROUNDUP(E2570/Materiales!$G$370,0)*Materiales!$G$370))</f>
        <v/>
      </c>
      <c r="F2571" s="65">
        <f>IF(F2570&lt;=0,0,IF(Materiales!$G$370&lt;=0,F2570,ROUNDUP(F2570/Materiales!$G$370,0)*Materiales!$G$370))</f>
        <v/>
      </c>
      <c r="G2571" s="65">
        <f>IF(G2570&lt;=0,0,IF(Materiales!$G$370&lt;=0,G2570,ROUNDUP(G2570/Materiales!$G$370,0)*Materiales!$G$370))</f>
        <v/>
      </c>
      <c r="H2571" s="65">
        <f>IF(H2570&lt;=0,0,IF(Materiales!$G$370&lt;=0,H2570,ROUNDUP(H2570/Materiales!$G$370,0)*Materiales!$G$370))</f>
        <v/>
      </c>
      <c r="I2571" s="65">
        <f>IF(I2570&lt;=0,0,IF(Materiales!$G$370&lt;=0,I2570,ROUNDUP(I2570/Materiales!$G$370,0)*Materiales!$G$370))</f>
        <v/>
      </c>
      <c r="J2571" s="65">
        <f>IF(J2570&lt;=0,0,IF(Materiales!$G$370&lt;=0,J2570,ROUNDUP(J2570/Materiales!$G$370,0)*Materiales!$G$370))</f>
        <v/>
      </c>
      <c r="K2571" s="65">
        <f>IF(K2570&lt;=0,0,IF(Materiales!$G$370&lt;=0,K2570,ROUNDUP(K2570/Materiales!$G$370,0)*Materiales!$G$370))</f>
        <v/>
      </c>
      <c r="L2571" s="65">
        <f>IF(L2570&lt;=0,0,IF(Materiales!$G$370&lt;=0,L2570,ROUNDUP(L2570/Materiales!$G$370,0)*Materiales!$G$370))</f>
        <v/>
      </c>
      <c r="M2571" s="66" t="n"/>
    </row>
    <row r="2572">
      <c r="C2572" s="70" t="inlineStr">
        <is>
          <t>LANZAMIENTO DE ORDEN — pedir esta semana</t>
        </is>
      </c>
      <c r="D2572" s="64" t="n"/>
      <c r="E2572" s="71">
        <f>IF(1+Materiales!$F$370&gt;8,0,INDEX($E$2571:$L$2571,1,1+Materiales!$F$370))</f>
        <v/>
      </c>
      <c r="F2572" s="71">
        <f>IF(2+Materiales!$F$370&gt;8,0,INDEX($E$2571:$L$2571,1,2+Materiales!$F$370))</f>
        <v/>
      </c>
      <c r="G2572" s="71">
        <f>IF(3+Materiales!$F$370&gt;8,0,INDEX($E$2571:$L$2571,1,3+Materiales!$F$370))</f>
        <v/>
      </c>
      <c r="H2572" s="71">
        <f>IF(4+Materiales!$F$370&gt;8,0,INDEX($E$2571:$L$2571,1,4+Materiales!$F$370))</f>
        <v/>
      </c>
      <c r="I2572" s="71">
        <f>IF(5+Materiales!$F$370&gt;8,0,INDEX($E$2571:$L$2571,1,5+Materiales!$F$370))</f>
        <v/>
      </c>
      <c r="J2572" s="71">
        <f>IF(6+Materiales!$F$370&gt;8,0,INDEX($E$2571:$L$2571,1,6+Materiales!$F$370))</f>
        <v/>
      </c>
      <c r="K2572" s="71">
        <f>IF(7+Materiales!$F$370&gt;8,0,INDEX($E$2571:$L$2571,1,7+Materiales!$F$370))</f>
        <v/>
      </c>
      <c r="L2572" s="71">
        <f>IF(8+Materiales!$F$370&gt;8,0,INDEX($E$2571:$L$2571,1,8+Materiales!$F$370))</f>
        <v/>
      </c>
      <c r="M2572" s="72">
        <f>IF($A2567="","",IF(SUMPRODUCT((COLUMN($E$2571:$L$2571)-4&lt;=Materiales!$F$370)*$E$2571:$L$2571)&gt;0,"PEDIR YA (atrasado)","OK"))</f>
        <v/>
      </c>
    </row>
    <row r="2573" ht="6" customHeight="1"/>
    <row r="2574">
      <c r="A2574" s="62">
        <f>IF(Materiales!$A$371="","",Materiales!$A$371)</f>
        <v/>
      </c>
      <c r="B2574" s="62">
        <f>IF(Materiales!$B$371="","",Materiales!$B$371)</f>
        <v/>
      </c>
      <c r="C2574" s="63" t="inlineStr">
        <is>
          <t>Necesidad bruta</t>
        </is>
      </c>
      <c r="D2574" s="64" t="n"/>
      <c r="E2574" s="65">
        <f>ROUND(SUMIF(Consumo!$P$4:$P$189,"#"&amp;$A2574,Consumo!H$4:H$189),4)</f>
        <v/>
      </c>
      <c r="F2574" s="65">
        <f>ROUND(SUMIF(Consumo!$P$4:$P$189,"#"&amp;$A2574,Consumo!I$4:I$189),4)</f>
        <v/>
      </c>
      <c r="G2574" s="65">
        <f>ROUND(SUMIF(Consumo!$P$4:$P$189,"#"&amp;$A2574,Consumo!J$4:J$189),4)</f>
        <v/>
      </c>
      <c r="H2574" s="65">
        <f>ROUND(SUMIF(Consumo!$P$4:$P$189,"#"&amp;$A2574,Consumo!K$4:K$189),4)</f>
        <v/>
      </c>
      <c r="I2574" s="65">
        <f>ROUND(SUMIF(Consumo!$P$4:$P$189,"#"&amp;$A2574,Consumo!L$4:L$189),4)</f>
        <v/>
      </c>
      <c r="J2574" s="65">
        <f>ROUND(SUMIF(Consumo!$P$4:$P$189,"#"&amp;$A2574,Consumo!M$4:M$189),4)</f>
        <v/>
      </c>
      <c r="K2574" s="65">
        <f>ROUND(SUMIF(Consumo!$P$4:$P$189,"#"&amp;$A2574,Consumo!N$4:N$189),4)</f>
        <v/>
      </c>
      <c r="L2574" s="65">
        <f>ROUND(SUMIF(Consumo!$P$4:$P$189,"#"&amp;$A2574,Consumo!O$4:O$189),4)</f>
        <v/>
      </c>
      <c r="M2574" s="66" t="n"/>
    </row>
    <row r="2575">
      <c r="C2575" s="63" t="inlineStr">
        <is>
          <t>Recepciones programadas (ya pedido)</t>
        </is>
      </c>
      <c r="D2575" s="64" t="n"/>
      <c r="E2575" s="65">
        <f>SUMIF(Inventario!$M$5:$M$505,"#"&amp;$A2574,Inventario!E$5:E$505)</f>
        <v/>
      </c>
      <c r="F2575" s="65">
        <f>SUMIF(Inventario!$M$5:$M$505,"#"&amp;$A2574,Inventario!F$5:F$505)</f>
        <v/>
      </c>
      <c r="G2575" s="65">
        <f>SUMIF(Inventario!$M$5:$M$505,"#"&amp;$A2574,Inventario!G$5:G$505)</f>
        <v/>
      </c>
      <c r="H2575" s="65">
        <f>SUMIF(Inventario!$M$5:$M$505,"#"&amp;$A2574,Inventario!H$5:H$505)</f>
        <v/>
      </c>
      <c r="I2575" s="65">
        <f>SUMIF(Inventario!$M$5:$M$505,"#"&amp;$A2574,Inventario!I$5:I$505)</f>
        <v/>
      </c>
      <c r="J2575" s="65">
        <f>SUMIF(Inventario!$M$5:$M$505,"#"&amp;$A2574,Inventario!J$5:J$505)</f>
        <v/>
      </c>
      <c r="K2575" s="65">
        <f>SUMIF(Inventario!$M$5:$M$505,"#"&amp;$A2574,Inventario!K$5:K$505)</f>
        <v/>
      </c>
      <c r="L2575" s="65">
        <f>SUMIF(Inventario!$M$5:$M$505,"#"&amp;$A2574,Inventario!L$5:L$505)</f>
        <v/>
      </c>
      <c r="M2575" s="66" t="n"/>
    </row>
    <row r="2576">
      <c r="C2576" s="63" t="inlineStr">
        <is>
          <t>Stock proyectado disponible</t>
        </is>
      </c>
      <c r="D2576" s="67">
        <f>SUMIF(Inventario!$M$5:$M$505,"#"&amp;$A2574,Inventario!$C$5:$C$505)</f>
        <v/>
      </c>
      <c r="E2576" s="68">
        <f>D2576+E2575+E2578-E2574</f>
        <v/>
      </c>
      <c r="F2576" s="68">
        <f>E2576+F2575+F2578-F2574</f>
        <v/>
      </c>
      <c r="G2576" s="68">
        <f>F2576+G2575+G2578-G2574</f>
        <v/>
      </c>
      <c r="H2576" s="68">
        <f>G2576+H2575+H2578-H2574</f>
        <v/>
      </c>
      <c r="I2576" s="68">
        <f>H2576+I2575+I2578-I2574</f>
        <v/>
      </c>
      <c r="J2576" s="68">
        <f>I2576+J2575+J2578-J2574</f>
        <v/>
      </c>
      <c r="K2576" s="68">
        <f>J2576+K2575+K2578-K2574</f>
        <v/>
      </c>
      <c r="L2576" s="68">
        <f>K2576+L2575+L2578-L2574</f>
        <v/>
      </c>
      <c r="M2576" s="66" t="n"/>
    </row>
    <row r="2577">
      <c r="C2577" s="63" t="inlineStr">
        <is>
          <t>Necesidad neta</t>
        </is>
      </c>
      <c r="D2577" s="64" t="n"/>
      <c r="E2577" s="69">
        <f>MAX(0,ROUND(E2574+Materiales!$H$371-D2576-E2575,4))</f>
        <v/>
      </c>
      <c r="F2577" s="69">
        <f>MAX(0,ROUND(F2574+Materiales!$H$371-E2576-F2575,4))</f>
        <v/>
      </c>
      <c r="G2577" s="69">
        <f>MAX(0,ROUND(G2574+Materiales!$H$371-F2576-G2575,4))</f>
        <v/>
      </c>
      <c r="H2577" s="69">
        <f>MAX(0,ROUND(H2574+Materiales!$H$371-G2576-H2575,4))</f>
        <v/>
      </c>
      <c r="I2577" s="69">
        <f>MAX(0,ROUND(I2574+Materiales!$H$371-H2576-I2575,4))</f>
        <v/>
      </c>
      <c r="J2577" s="69">
        <f>MAX(0,ROUND(J2574+Materiales!$H$371-I2576-J2575,4))</f>
        <v/>
      </c>
      <c r="K2577" s="69">
        <f>MAX(0,ROUND(K2574+Materiales!$H$371-J2576-K2575,4))</f>
        <v/>
      </c>
      <c r="L2577" s="69">
        <f>MAX(0,ROUND(L2574+Materiales!$H$371-K2576-L2575,4))</f>
        <v/>
      </c>
      <c r="M2577" s="66" t="n"/>
    </row>
    <row r="2578">
      <c r="C2578" s="63" t="inlineStr">
        <is>
          <t>Recepcion de orden planificada</t>
        </is>
      </c>
      <c r="D2578" s="64" t="n"/>
      <c r="E2578" s="65">
        <f>IF(E2577&lt;=0,0,IF(Materiales!$G$371&lt;=0,E2577,ROUNDUP(E2577/Materiales!$G$371,0)*Materiales!$G$371))</f>
        <v/>
      </c>
      <c r="F2578" s="65">
        <f>IF(F2577&lt;=0,0,IF(Materiales!$G$371&lt;=0,F2577,ROUNDUP(F2577/Materiales!$G$371,0)*Materiales!$G$371))</f>
        <v/>
      </c>
      <c r="G2578" s="65">
        <f>IF(G2577&lt;=0,0,IF(Materiales!$G$371&lt;=0,G2577,ROUNDUP(G2577/Materiales!$G$371,0)*Materiales!$G$371))</f>
        <v/>
      </c>
      <c r="H2578" s="65">
        <f>IF(H2577&lt;=0,0,IF(Materiales!$G$371&lt;=0,H2577,ROUNDUP(H2577/Materiales!$G$371,0)*Materiales!$G$371))</f>
        <v/>
      </c>
      <c r="I2578" s="65">
        <f>IF(I2577&lt;=0,0,IF(Materiales!$G$371&lt;=0,I2577,ROUNDUP(I2577/Materiales!$G$371,0)*Materiales!$G$371))</f>
        <v/>
      </c>
      <c r="J2578" s="65">
        <f>IF(J2577&lt;=0,0,IF(Materiales!$G$371&lt;=0,J2577,ROUNDUP(J2577/Materiales!$G$371,0)*Materiales!$G$371))</f>
        <v/>
      </c>
      <c r="K2578" s="65">
        <f>IF(K2577&lt;=0,0,IF(Materiales!$G$371&lt;=0,K2577,ROUNDUP(K2577/Materiales!$G$371,0)*Materiales!$G$371))</f>
        <v/>
      </c>
      <c r="L2578" s="65">
        <f>IF(L2577&lt;=0,0,IF(Materiales!$G$371&lt;=0,L2577,ROUNDUP(L2577/Materiales!$G$371,0)*Materiales!$G$371))</f>
        <v/>
      </c>
      <c r="M2578" s="66" t="n"/>
    </row>
    <row r="2579">
      <c r="C2579" s="70" t="inlineStr">
        <is>
          <t>LANZAMIENTO DE ORDEN — pedir esta semana</t>
        </is>
      </c>
      <c r="D2579" s="64" t="n"/>
      <c r="E2579" s="71">
        <f>IF(1+Materiales!$F$371&gt;8,0,INDEX($E$2578:$L$2578,1,1+Materiales!$F$371))</f>
        <v/>
      </c>
      <c r="F2579" s="71">
        <f>IF(2+Materiales!$F$371&gt;8,0,INDEX($E$2578:$L$2578,1,2+Materiales!$F$371))</f>
        <v/>
      </c>
      <c r="G2579" s="71">
        <f>IF(3+Materiales!$F$371&gt;8,0,INDEX($E$2578:$L$2578,1,3+Materiales!$F$371))</f>
        <v/>
      </c>
      <c r="H2579" s="71">
        <f>IF(4+Materiales!$F$371&gt;8,0,INDEX($E$2578:$L$2578,1,4+Materiales!$F$371))</f>
        <v/>
      </c>
      <c r="I2579" s="71">
        <f>IF(5+Materiales!$F$371&gt;8,0,INDEX($E$2578:$L$2578,1,5+Materiales!$F$371))</f>
        <v/>
      </c>
      <c r="J2579" s="71">
        <f>IF(6+Materiales!$F$371&gt;8,0,INDEX($E$2578:$L$2578,1,6+Materiales!$F$371))</f>
        <v/>
      </c>
      <c r="K2579" s="71">
        <f>IF(7+Materiales!$F$371&gt;8,0,INDEX($E$2578:$L$2578,1,7+Materiales!$F$371))</f>
        <v/>
      </c>
      <c r="L2579" s="71">
        <f>IF(8+Materiales!$F$371&gt;8,0,INDEX($E$2578:$L$2578,1,8+Materiales!$F$371))</f>
        <v/>
      </c>
      <c r="M2579" s="72">
        <f>IF($A2574="","",IF(SUMPRODUCT((COLUMN($E$2578:$L$2578)-4&lt;=Materiales!$F$371)*$E$2578:$L$2578)&gt;0,"PEDIR YA (atrasado)","OK"))</f>
        <v/>
      </c>
    </row>
    <row r="2580" ht="6" customHeight="1"/>
    <row r="2581">
      <c r="A2581" s="62">
        <f>IF(Materiales!$A$372="","",Materiales!$A$372)</f>
        <v/>
      </c>
      <c r="B2581" s="62">
        <f>IF(Materiales!$B$372="","",Materiales!$B$372)</f>
        <v/>
      </c>
      <c r="C2581" s="63" t="inlineStr">
        <is>
          <t>Necesidad bruta</t>
        </is>
      </c>
      <c r="D2581" s="64" t="n"/>
      <c r="E2581" s="65">
        <f>ROUND(SUMIF(Consumo!$P$4:$P$189,"#"&amp;$A2581,Consumo!H$4:H$189),4)</f>
        <v/>
      </c>
      <c r="F2581" s="65">
        <f>ROUND(SUMIF(Consumo!$P$4:$P$189,"#"&amp;$A2581,Consumo!I$4:I$189),4)</f>
        <v/>
      </c>
      <c r="G2581" s="65">
        <f>ROUND(SUMIF(Consumo!$P$4:$P$189,"#"&amp;$A2581,Consumo!J$4:J$189),4)</f>
        <v/>
      </c>
      <c r="H2581" s="65">
        <f>ROUND(SUMIF(Consumo!$P$4:$P$189,"#"&amp;$A2581,Consumo!K$4:K$189),4)</f>
        <v/>
      </c>
      <c r="I2581" s="65">
        <f>ROUND(SUMIF(Consumo!$P$4:$P$189,"#"&amp;$A2581,Consumo!L$4:L$189),4)</f>
        <v/>
      </c>
      <c r="J2581" s="65">
        <f>ROUND(SUMIF(Consumo!$P$4:$P$189,"#"&amp;$A2581,Consumo!M$4:M$189),4)</f>
        <v/>
      </c>
      <c r="K2581" s="65">
        <f>ROUND(SUMIF(Consumo!$P$4:$P$189,"#"&amp;$A2581,Consumo!N$4:N$189),4)</f>
        <v/>
      </c>
      <c r="L2581" s="65">
        <f>ROUND(SUMIF(Consumo!$P$4:$P$189,"#"&amp;$A2581,Consumo!O$4:O$189),4)</f>
        <v/>
      </c>
      <c r="M2581" s="66" t="n"/>
    </row>
    <row r="2582">
      <c r="C2582" s="63" t="inlineStr">
        <is>
          <t>Recepciones programadas (ya pedido)</t>
        </is>
      </c>
      <c r="D2582" s="64" t="n"/>
      <c r="E2582" s="65">
        <f>SUMIF(Inventario!$M$5:$M$505,"#"&amp;$A2581,Inventario!E$5:E$505)</f>
        <v/>
      </c>
      <c r="F2582" s="65">
        <f>SUMIF(Inventario!$M$5:$M$505,"#"&amp;$A2581,Inventario!F$5:F$505)</f>
        <v/>
      </c>
      <c r="G2582" s="65">
        <f>SUMIF(Inventario!$M$5:$M$505,"#"&amp;$A2581,Inventario!G$5:G$505)</f>
        <v/>
      </c>
      <c r="H2582" s="65">
        <f>SUMIF(Inventario!$M$5:$M$505,"#"&amp;$A2581,Inventario!H$5:H$505)</f>
        <v/>
      </c>
      <c r="I2582" s="65">
        <f>SUMIF(Inventario!$M$5:$M$505,"#"&amp;$A2581,Inventario!I$5:I$505)</f>
        <v/>
      </c>
      <c r="J2582" s="65">
        <f>SUMIF(Inventario!$M$5:$M$505,"#"&amp;$A2581,Inventario!J$5:J$505)</f>
        <v/>
      </c>
      <c r="K2582" s="65">
        <f>SUMIF(Inventario!$M$5:$M$505,"#"&amp;$A2581,Inventario!K$5:K$505)</f>
        <v/>
      </c>
      <c r="L2582" s="65">
        <f>SUMIF(Inventario!$M$5:$M$505,"#"&amp;$A2581,Inventario!L$5:L$505)</f>
        <v/>
      </c>
      <c r="M2582" s="66" t="n"/>
    </row>
    <row r="2583">
      <c r="C2583" s="63" t="inlineStr">
        <is>
          <t>Stock proyectado disponible</t>
        </is>
      </c>
      <c r="D2583" s="67">
        <f>SUMIF(Inventario!$M$5:$M$505,"#"&amp;$A2581,Inventario!$C$5:$C$505)</f>
        <v/>
      </c>
      <c r="E2583" s="68">
        <f>D2583+E2582+E2585-E2581</f>
        <v/>
      </c>
      <c r="F2583" s="68">
        <f>E2583+F2582+F2585-F2581</f>
        <v/>
      </c>
      <c r="G2583" s="68">
        <f>F2583+G2582+G2585-G2581</f>
        <v/>
      </c>
      <c r="H2583" s="68">
        <f>G2583+H2582+H2585-H2581</f>
        <v/>
      </c>
      <c r="I2583" s="68">
        <f>H2583+I2582+I2585-I2581</f>
        <v/>
      </c>
      <c r="J2583" s="68">
        <f>I2583+J2582+J2585-J2581</f>
        <v/>
      </c>
      <c r="K2583" s="68">
        <f>J2583+K2582+K2585-K2581</f>
        <v/>
      </c>
      <c r="L2583" s="68">
        <f>K2583+L2582+L2585-L2581</f>
        <v/>
      </c>
      <c r="M2583" s="66" t="n"/>
    </row>
    <row r="2584">
      <c r="C2584" s="63" t="inlineStr">
        <is>
          <t>Necesidad neta</t>
        </is>
      </c>
      <c r="D2584" s="64" t="n"/>
      <c r="E2584" s="69">
        <f>MAX(0,ROUND(E2581+Materiales!$H$372-D2583-E2582,4))</f>
        <v/>
      </c>
      <c r="F2584" s="69">
        <f>MAX(0,ROUND(F2581+Materiales!$H$372-E2583-F2582,4))</f>
        <v/>
      </c>
      <c r="G2584" s="69">
        <f>MAX(0,ROUND(G2581+Materiales!$H$372-F2583-G2582,4))</f>
        <v/>
      </c>
      <c r="H2584" s="69">
        <f>MAX(0,ROUND(H2581+Materiales!$H$372-G2583-H2582,4))</f>
        <v/>
      </c>
      <c r="I2584" s="69">
        <f>MAX(0,ROUND(I2581+Materiales!$H$372-H2583-I2582,4))</f>
        <v/>
      </c>
      <c r="J2584" s="69">
        <f>MAX(0,ROUND(J2581+Materiales!$H$372-I2583-J2582,4))</f>
        <v/>
      </c>
      <c r="K2584" s="69">
        <f>MAX(0,ROUND(K2581+Materiales!$H$372-J2583-K2582,4))</f>
        <v/>
      </c>
      <c r="L2584" s="69">
        <f>MAX(0,ROUND(L2581+Materiales!$H$372-K2583-L2582,4))</f>
        <v/>
      </c>
      <c r="M2584" s="66" t="n"/>
    </row>
    <row r="2585">
      <c r="C2585" s="63" t="inlineStr">
        <is>
          <t>Recepcion de orden planificada</t>
        </is>
      </c>
      <c r="D2585" s="64" t="n"/>
      <c r="E2585" s="65">
        <f>IF(E2584&lt;=0,0,IF(Materiales!$G$372&lt;=0,E2584,ROUNDUP(E2584/Materiales!$G$372,0)*Materiales!$G$372))</f>
        <v/>
      </c>
      <c r="F2585" s="65">
        <f>IF(F2584&lt;=0,0,IF(Materiales!$G$372&lt;=0,F2584,ROUNDUP(F2584/Materiales!$G$372,0)*Materiales!$G$372))</f>
        <v/>
      </c>
      <c r="G2585" s="65">
        <f>IF(G2584&lt;=0,0,IF(Materiales!$G$372&lt;=0,G2584,ROUNDUP(G2584/Materiales!$G$372,0)*Materiales!$G$372))</f>
        <v/>
      </c>
      <c r="H2585" s="65">
        <f>IF(H2584&lt;=0,0,IF(Materiales!$G$372&lt;=0,H2584,ROUNDUP(H2584/Materiales!$G$372,0)*Materiales!$G$372))</f>
        <v/>
      </c>
      <c r="I2585" s="65">
        <f>IF(I2584&lt;=0,0,IF(Materiales!$G$372&lt;=0,I2584,ROUNDUP(I2584/Materiales!$G$372,0)*Materiales!$G$372))</f>
        <v/>
      </c>
      <c r="J2585" s="65">
        <f>IF(J2584&lt;=0,0,IF(Materiales!$G$372&lt;=0,J2584,ROUNDUP(J2584/Materiales!$G$372,0)*Materiales!$G$372))</f>
        <v/>
      </c>
      <c r="K2585" s="65">
        <f>IF(K2584&lt;=0,0,IF(Materiales!$G$372&lt;=0,K2584,ROUNDUP(K2584/Materiales!$G$372,0)*Materiales!$G$372))</f>
        <v/>
      </c>
      <c r="L2585" s="65">
        <f>IF(L2584&lt;=0,0,IF(Materiales!$G$372&lt;=0,L2584,ROUNDUP(L2584/Materiales!$G$372,0)*Materiales!$G$372))</f>
        <v/>
      </c>
      <c r="M2585" s="66" t="n"/>
    </row>
    <row r="2586">
      <c r="C2586" s="70" t="inlineStr">
        <is>
          <t>LANZAMIENTO DE ORDEN — pedir esta semana</t>
        </is>
      </c>
      <c r="D2586" s="64" t="n"/>
      <c r="E2586" s="71">
        <f>IF(1+Materiales!$F$372&gt;8,0,INDEX($E$2585:$L$2585,1,1+Materiales!$F$372))</f>
        <v/>
      </c>
      <c r="F2586" s="71">
        <f>IF(2+Materiales!$F$372&gt;8,0,INDEX($E$2585:$L$2585,1,2+Materiales!$F$372))</f>
        <v/>
      </c>
      <c r="G2586" s="71">
        <f>IF(3+Materiales!$F$372&gt;8,0,INDEX($E$2585:$L$2585,1,3+Materiales!$F$372))</f>
        <v/>
      </c>
      <c r="H2586" s="71">
        <f>IF(4+Materiales!$F$372&gt;8,0,INDEX($E$2585:$L$2585,1,4+Materiales!$F$372))</f>
        <v/>
      </c>
      <c r="I2586" s="71">
        <f>IF(5+Materiales!$F$372&gt;8,0,INDEX($E$2585:$L$2585,1,5+Materiales!$F$372))</f>
        <v/>
      </c>
      <c r="J2586" s="71">
        <f>IF(6+Materiales!$F$372&gt;8,0,INDEX($E$2585:$L$2585,1,6+Materiales!$F$372))</f>
        <v/>
      </c>
      <c r="K2586" s="71">
        <f>IF(7+Materiales!$F$372&gt;8,0,INDEX($E$2585:$L$2585,1,7+Materiales!$F$372))</f>
        <v/>
      </c>
      <c r="L2586" s="71">
        <f>IF(8+Materiales!$F$372&gt;8,0,INDEX($E$2585:$L$2585,1,8+Materiales!$F$372))</f>
        <v/>
      </c>
      <c r="M2586" s="72">
        <f>IF($A2581="","",IF(SUMPRODUCT((COLUMN($E$2585:$L$2585)-4&lt;=Materiales!$F$372)*$E$2585:$L$2585)&gt;0,"PEDIR YA (atrasado)","OK"))</f>
        <v/>
      </c>
    </row>
    <row r="2587" ht="6" customHeight="1"/>
    <row r="2588">
      <c r="A2588" s="62">
        <f>IF(Materiales!$A$373="","",Materiales!$A$373)</f>
        <v/>
      </c>
      <c r="B2588" s="62">
        <f>IF(Materiales!$B$373="","",Materiales!$B$373)</f>
        <v/>
      </c>
      <c r="C2588" s="63" t="inlineStr">
        <is>
          <t>Necesidad bruta</t>
        </is>
      </c>
      <c r="D2588" s="64" t="n"/>
      <c r="E2588" s="65">
        <f>ROUND(SUMIF(Consumo!$P$4:$P$189,"#"&amp;$A2588,Consumo!H$4:H$189),4)</f>
        <v/>
      </c>
      <c r="F2588" s="65">
        <f>ROUND(SUMIF(Consumo!$P$4:$P$189,"#"&amp;$A2588,Consumo!I$4:I$189),4)</f>
        <v/>
      </c>
      <c r="G2588" s="65">
        <f>ROUND(SUMIF(Consumo!$P$4:$P$189,"#"&amp;$A2588,Consumo!J$4:J$189),4)</f>
        <v/>
      </c>
      <c r="H2588" s="65">
        <f>ROUND(SUMIF(Consumo!$P$4:$P$189,"#"&amp;$A2588,Consumo!K$4:K$189),4)</f>
        <v/>
      </c>
      <c r="I2588" s="65">
        <f>ROUND(SUMIF(Consumo!$P$4:$P$189,"#"&amp;$A2588,Consumo!L$4:L$189),4)</f>
        <v/>
      </c>
      <c r="J2588" s="65">
        <f>ROUND(SUMIF(Consumo!$P$4:$P$189,"#"&amp;$A2588,Consumo!M$4:M$189),4)</f>
        <v/>
      </c>
      <c r="K2588" s="65">
        <f>ROUND(SUMIF(Consumo!$P$4:$P$189,"#"&amp;$A2588,Consumo!N$4:N$189),4)</f>
        <v/>
      </c>
      <c r="L2588" s="65">
        <f>ROUND(SUMIF(Consumo!$P$4:$P$189,"#"&amp;$A2588,Consumo!O$4:O$189),4)</f>
        <v/>
      </c>
      <c r="M2588" s="66" t="n"/>
    </row>
    <row r="2589">
      <c r="C2589" s="63" t="inlineStr">
        <is>
          <t>Recepciones programadas (ya pedido)</t>
        </is>
      </c>
      <c r="D2589" s="64" t="n"/>
      <c r="E2589" s="65">
        <f>SUMIF(Inventario!$M$5:$M$505,"#"&amp;$A2588,Inventario!E$5:E$505)</f>
        <v/>
      </c>
      <c r="F2589" s="65">
        <f>SUMIF(Inventario!$M$5:$M$505,"#"&amp;$A2588,Inventario!F$5:F$505)</f>
        <v/>
      </c>
      <c r="G2589" s="65">
        <f>SUMIF(Inventario!$M$5:$M$505,"#"&amp;$A2588,Inventario!G$5:G$505)</f>
        <v/>
      </c>
      <c r="H2589" s="65">
        <f>SUMIF(Inventario!$M$5:$M$505,"#"&amp;$A2588,Inventario!H$5:H$505)</f>
        <v/>
      </c>
      <c r="I2589" s="65">
        <f>SUMIF(Inventario!$M$5:$M$505,"#"&amp;$A2588,Inventario!I$5:I$505)</f>
        <v/>
      </c>
      <c r="J2589" s="65">
        <f>SUMIF(Inventario!$M$5:$M$505,"#"&amp;$A2588,Inventario!J$5:J$505)</f>
        <v/>
      </c>
      <c r="K2589" s="65">
        <f>SUMIF(Inventario!$M$5:$M$505,"#"&amp;$A2588,Inventario!K$5:K$505)</f>
        <v/>
      </c>
      <c r="L2589" s="65">
        <f>SUMIF(Inventario!$M$5:$M$505,"#"&amp;$A2588,Inventario!L$5:L$505)</f>
        <v/>
      </c>
      <c r="M2589" s="66" t="n"/>
    </row>
    <row r="2590">
      <c r="C2590" s="63" t="inlineStr">
        <is>
          <t>Stock proyectado disponible</t>
        </is>
      </c>
      <c r="D2590" s="67">
        <f>SUMIF(Inventario!$M$5:$M$505,"#"&amp;$A2588,Inventario!$C$5:$C$505)</f>
        <v/>
      </c>
      <c r="E2590" s="68">
        <f>D2590+E2589+E2592-E2588</f>
        <v/>
      </c>
      <c r="F2590" s="68">
        <f>E2590+F2589+F2592-F2588</f>
        <v/>
      </c>
      <c r="G2590" s="68">
        <f>F2590+G2589+G2592-G2588</f>
        <v/>
      </c>
      <c r="H2590" s="68">
        <f>G2590+H2589+H2592-H2588</f>
        <v/>
      </c>
      <c r="I2590" s="68">
        <f>H2590+I2589+I2592-I2588</f>
        <v/>
      </c>
      <c r="J2590" s="68">
        <f>I2590+J2589+J2592-J2588</f>
        <v/>
      </c>
      <c r="K2590" s="68">
        <f>J2590+K2589+K2592-K2588</f>
        <v/>
      </c>
      <c r="L2590" s="68">
        <f>K2590+L2589+L2592-L2588</f>
        <v/>
      </c>
      <c r="M2590" s="66" t="n"/>
    </row>
    <row r="2591">
      <c r="C2591" s="63" t="inlineStr">
        <is>
          <t>Necesidad neta</t>
        </is>
      </c>
      <c r="D2591" s="64" t="n"/>
      <c r="E2591" s="69">
        <f>MAX(0,ROUND(E2588+Materiales!$H$373-D2590-E2589,4))</f>
        <v/>
      </c>
      <c r="F2591" s="69">
        <f>MAX(0,ROUND(F2588+Materiales!$H$373-E2590-F2589,4))</f>
        <v/>
      </c>
      <c r="G2591" s="69">
        <f>MAX(0,ROUND(G2588+Materiales!$H$373-F2590-G2589,4))</f>
        <v/>
      </c>
      <c r="H2591" s="69">
        <f>MAX(0,ROUND(H2588+Materiales!$H$373-G2590-H2589,4))</f>
        <v/>
      </c>
      <c r="I2591" s="69">
        <f>MAX(0,ROUND(I2588+Materiales!$H$373-H2590-I2589,4))</f>
        <v/>
      </c>
      <c r="J2591" s="69">
        <f>MAX(0,ROUND(J2588+Materiales!$H$373-I2590-J2589,4))</f>
        <v/>
      </c>
      <c r="K2591" s="69">
        <f>MAX(0,ROUND(K2588+Materiales!$H$373-J2590-K2589,4))</f>
        <v/>
      </c>
      <c r="L2591" s="69">
        <f>MAX(0,ROUND(L2588+Materiales!$H$373-K2590-L2589,4))</f>
        <v/>
      </c>
      <c r="M2591" s="66" t="n"/>
    </row>
    <row r="2592">
      <c r="C2592" s="63" t="inlineStr">
        <is>
          <t>Recepcion de orden planificada</t>
        </is>
      </c>
      <c r="D2592" s="64" t="n"/>
      <c r="E2592" s="65">
        <f>IF(E2591&lt;=0,0,IF(Materiales!$G$373&lt;=0,E2591,ROUNDUP(E2591/Materiales!$G$373,0)*Materiales!$G$373))</f>
        <v/>
      </c>
      <c r="F2592" s="65">
        <f>IF(F2591&lt;=0,0,IF(Materiales!$G$373&lt;=0,F2591,ROUNDUP(F2591/Materiales!$G$373,0)*Materiales!$G$373))</f>
        <v/>
      </c>
      <c r="G2592" s="65">
        <f>IF(G2591&lt;=0,0,IF(Materiales!$G$373&lt;=0,G2591,ROUNDUP(G2591/Materiales!$G$373,0)*Materiales!$G$373))</f>
        <v/>
      </c>
      <c r="H2592" s="65">
        <f>IF(H2591&lt;=0,0,IF(Materiales!$G$373&lt;=0,H2591,ROUNDUP(H2591/Materiales!$G$373,0)*Materiales!$G$373))</f>
        <v/>
      </c>
      <c r="I2592" s="65">
        <f>IF(I2591&lt;=0,0,IF(Materiales!$G$373&lt;=0,I2591,ROUNDUP(I2591/Materiales!$G$373,0)*Materiales!$G$373))</f>
        <v/>
      </c>
      <c r="J2592" s="65">
        <f>IF(J2591&lt;=0,0,IF(Materiales!$G$373&lt;=0,J2591,ROUNDUP(J2591/Materiales!$G$373,0)*Materiales!$G$373))</f>
        <v/>
      </c>
      <c r="K2592" s="65">
        <f>IF(K2591&lt;=0,0,IF(Materiales!$G$373&lt;=0,K2591,ROUNDUP(K2591/Materiales!$G$373,0)*Materiales!$G$373))</f>
        <v/>
      </c>
      <c r="L2592" s="65">
        <f>IF(L2591&lt;=0,0,IF(Materiales!$G$373&lt;=0,L2591,ROUNDUP(L2591/Materiales!$G$373,0)*Materiales!$G$373))</f>
        <v/>
      </c>
      <c r="M2592" s="66" t="n"/>
    </row>
    <row r="2593">
      <c r="C2593" s="70" t="inlineStr">
        <is>
          <t>LANZAMIENTO DE ORDEN — pedir esta semana</t>
        </is>
      </c>
      <c r="D2593" s="64" t="n"/>
      <c r="E2593" s="71">
        <f>IF(1+Materiales!$F$373&gt;8,0,INDEX($E$2592:$L$2592,1,1+Materiales!$F$373))</f>
        <v/>
      </c>
      <c r="F2593" s="71">
        <f>IF(2+Materiales!$F$373&gt;8,0,INDEX($E$2592:$L$2592,1,2+Materiales!$F$373))</f>
        <v/>
      </c>
      <c r="G2593" s="71">
        <f>IF(3+Materiales!$F$373&gt;8,0,INDEX($E$2592:$L$2592,1,3+Materiales!$F$373))</f>
        <v/>
      </c>
      <c r="H2593" s="71">
        <f>IF(4+Materiales!$F$373&gt;8,0,INDEX($E$2592:$L$2592,1,4+Materiales!$F$373))</f>
        <v/>
      </c>
      <c r="I2593" s="71">
        <f>IF(5+Materiales!$F$373&gt;8,0,INDEX($E$2592:$L$2592,1,5+Materiales!$F$373))</f>
        <v/>
      </c>
      <c r="J2593" s="71">
        <f>IF(6+Materiales!$F$373&gt;8,0,INDEX($E$2592:$L$2592,1,6+Materiales!$F$373))</f>
        <v/>
      </c>
      <c r="K2593" s="71">
        <f>IF(7+Materiales!$F$373&gt;8,0,INDEX($E$2592:$L$2592,1,7+Materiales!$F$373))</f>
        <v/>
      </c>
      <c r="L2593" s="71">
        <f>IF(8+Materiales!$F$373&gt;8,0,INDEX($E$2592:$L$2592,1,8+Materiales!$F$373))</f>
        <v/>
      </c>
      <c r="M2593" s="72">
        <f>IF($A2588="","",IF(SUMPRODUCT((COLUMN($E$2592:$L$2592)-4&lt;=Materiales!$F$373)*$E$2592:$L$2592)&gt;0,"PEDIR YA (atrasado)","OK"))</f>
        <v/>
      </c>
    </row>
    <row r="2594" ht="6" customHeight="1"/>
    <row r="2595">
      <c r="A2595" s="62">
        <f>IF(Materiales!$A$374="","",Materiales!$A$374)</f>
        <v/>
      </c>
      <c r="B2595" s="62">
        <f>IF(Materiales!$B$374="","",Materiales!$B$374)</f>
        <v/>
      </c>
      <c r="C2595" s="63" t="inlineStr">
        <is>
          <t>Necesidad bruta</t>
        </is>
      </c>
      <c r="D2595" s="64" t="n"/>
      <c r="E2595" s="65">
        <f>ROUND(SUMIF(Consumo!$P$4:$P$189,"#"&amp;$A2595,Consumo!H$4:H$189),4)</f>
        <v/>
      </c>
      <c r="F2595" s="65">
        <f>ROUND(SUMIF(Consumo!$P$4:$P$189,"#"&amp;$A2595,Consumo!I$4:I$189),4)</f>
        <v/>
      </c>
      <c r="G2595" s="65">
        <f>ROUND(SUMIF(Consumo!$P$4:$P$189,"#"&amp;$A2595,Consumo!J$4:J$189),4)</f>
        <v/>
      </c>
      <c r="H2595" s="65">
        <f>ROUND(SUMIF(Consumo!$P$4:$P$189,"#"&amp;$A2595,Consumo!K$4:K$189),4)</f>
        <v/>
      </c>
      <c r="I2595" s="65">
        <f>ROUND(SUMIF(Consumo!$P$4:$P$189,"#"&amp;$A2595,Consumo!L$4:L$189),4)</f>
        <v/>
      </c>
      <c r="J2595" s="65">
        <f>ROUND(SUMIF(Consumo!$P$4:$P$189,"#"&amp;$A2595,Consumo!M$4:M$189),4)</f>
        <v/>
      </c>
      <c r="K2595" s="65">
        <f>ROUND(SUMIF(Consumo!$P$4:$P$189,"#"&amp;$A2595,Consumo!N$4:N$189),4)</f>
        <v/>
      </c>
      <c r="L2595" s="65">
        <f>ROUND(SUMIF(Consumo!$P$4:$P$189,"#"&amp;$A2595,Consumo!O$4:O$189),4)</f>
        <v/>
      </c>
      <c r="M2595" s="66" t="n"/>
    </row>
    <row r="2596">
      <c r="C2596" s="63" t="inlineStr">
        <is>
          <t>Recepciones programadas (ya pedido)</t>
        </is>
      </c>
      <c r="D2596" s="64" t="n"/>
      <c r="E2596" s="65">
        <f>SUMIF(Inventario!$M$5:$M$505,"#"&amp;$A2595,Inventario!E$5:E$505)</f>
        <v/>
      </c>
      <c r="F2596" s="65">
        <f>SUMIF(Inventario!$M$5:$M$505,"#"&amp;$A2595,Inventario!F$5:F$505)</f>
        <v/>
      </c>
      <c r="G2596" s="65">
        <f>SUMIF(Inventario!$M$5:$M$505,"#"&amp;$A2595,Inventario!G$5:G$505)</f>
        <v/>
      </c>
      <c r="H2596" s="65">
        <f>SUMIF(Inventario!$M$5:$M$505,"#"&amp;$A2595,Inventario!H$5:H$505)</f>
        <v/>
      </c>
      <c r="I2596" s="65">
        <f>SUMIF(Inventario!$M$5:$M$505,"#"&amp;$A2595,Inventario!I$5:I$505)</f>
        <v/>
      </c>
      <c r="J2596" s="65">
        <f>SUMIF(Inventario!$M$5:$M$505,"#"&amp;$A2595,Inventario!J$5:J$505)</f>
        <v/>
      </c>
      <c r="K2596" s="65">
        <f>SUMIF(Inventario!$M$5:$M$505,"#"&amp;$A2595,Inventario!K$5:K$505)</f>
        <v/>
      </c>
      <c r="L2596" s="65">
        <f>SUMIF(Inventario!$M$5:$M$505,"#"&amp;$A2595,Inventario!L$5:L$505)</f>
        <v/>
      </c>
      <c r="M2596" s="66" t="n"/>
    </row>
    <row r="2597">
      <c r="C2597" s="63" t="inlineStr">
        <is>
          <t>Stock proyectado disponible</t>
        </is>
      </c>
      <c r="D2597" s="67">
        <f>SUMIF(Inventario!$M$5:$M$505,"#"&amp;$A2595,Inventario!$C$5:$C$505)</f>
        <v/>
      </c>
      <c r="E2597" s="68">
        <f>D2597+E2596+E2599-E2595</f>
        <v/>
      </c>
      <c r="F2597" s="68">
        <f>E2597+F2596+F2599-F2595</f>
        <v/>
      </c>
      <c r="G2597" s="68">
        <f>F2597+G2596+G2599-G2595</f>
        <v/>
      </c>
      <c r="H2597" s="68">
        <f>G2597+H2596+H2599-H2595</f>
        <v/>
      </c>
      <c r="I2597" s="68">
        <f>H2597+I2596+I2599-I2595</f>
        <v/>
      </c>
      <c r="J2597" s="68">
        <f>I2597+J2596+J2599-J2595</f>
        <v/>
      </c>
      <c r="K2597" s="68">
        <f>J2597+K2596+K2599-K2595</f>
        <v/>
      </c>
      <c r="L2597" s="68">
        <f>K2597+L2596+L2599-L2595</f>
        <v/>
      </c>
      <c r="M2597" s="66" t="n"/>
    </row>
    <row r="2598">
      <c r="C2598" s="63" t="inlineStr">
        <is>
          <t>Necesidad neta</t>
        </is>
      </c>
      <c r="D2598" s="64" t="n"/>
      <c r="E2598" s="69">
        <f>MAX(0,ROUND(E2595+Materiales!$H$374-D2597-E2596,4))</f>
        <v/>
      </c>
      <c r="F2598" s="69">
        <f>MAX(0,ROUND(F2595+Materiales!$H$374-E2597-F2596,4))</f>
        <v/>
      </c>
      <c r="G2598" s="69">
        <f>MAX(0,ROUND(G2595+Materiales!$H$374-F2597-G2596,4))</f>
        <v/>
      </c>
      <c r="H2598" s="69">
        <f>MAX(0,ROUND(H2595+Materiales!$H$374-G2597-H2596,4))</f>
        <v/>
      </c>
      <c r="I2598" s="69">
        <f>MAX(0,ROUND(I2595+Materiales!$H$374-H2597-I2596,4))</f>
        <v/>
      </c>
      <c r="J2598" s="69">
        <f>MAX(0,ROUND(J2595+Materiales!$H$374-I2597-J2596,4))</f>
        <v/>
      </c>
      <c r="K2598" s="69">
        <f>MAX(0,ROUND(K2595+Materiales!$H$374-J2597-K2596,4))</f>
        <v/>
      </c>
      <c r="L2598" s="69">
        <f>MAX(0,ROUND(L2595+Materiales!$H$374-K2597-L2596,4))</f>
        <v/>
      </c>
      <c r="M2598" s="66" t="n"/>
    </row>
    <row r="2599">
      <c r="C2599" s="63" t="inlineStr">
        <is>
          <t>Recepcion de orden planificada</t>
        </is>
      </c>
      <c r="D2599" s="64" t="n"/>
      <c r="E2599" s="65">
        <f>IF(E2598&lt;=0,0,IF(Materiales!$G$374&lt;=0,E2598,ROUNDUP(E2598/Materiales!$G$374,0)*Materiales!$G$374))</f>
        <v/>
      </c>
      <c r="F2599" s="65">
        <f>IF(F2598&lt;=0,0,IF(Materiales!$G$374&lt;=0,F2598,ROUNDUP(F2598/Materiales!$G$374,0)*Materiales!$G$374))</f>
        <v/>
      </c>
      <c r="G2599" s="65">
        <f>IF(G2598&lt;=0,0,IF(Materiales!$G$374&lt;=0,G2598,ROUNDUP(G2598/Materiales!$G$374,0)*Materiales!$G$374))</f>
        <v/>
      </c>
      <c r="H2599" s="65">
        <f>IF(H2598&lt;=0,0,IF(Materiales!$G$374&lt;=0,H2598,ROUNDUP(H2598/Materiales!$G$374,0)*Materiales!$G$374))</f>
        <v/>
      </c>
      <c r="I2599" s="65">
        <f>IF(I2598&lt;=0,0,IF(Materiales!$G$374&lt;=0,I2598,ROUNDUP(I2598/Materiales!$G$374,0)*Materiales!$G$374))</f>
        <v/>
      </c>
      <c r="J2599" s="65">
        <f>IF(J2598&lt;=0,0,IF(Materiales!$G$374&lt;=0,J2598,ROUNDUP(J2598/Materiales!$G$374,0)*Materiales!$G$374))</f>
        <v/>
      </c>
      <c r="K2599" s="65">
        <f>IF(K2598&lt;=0,0,IF(Materiales!$G$374&lt;=0,K2598,ROUNDUP(K2598/Materiales!$G$374,0)*Materiales!$G$374))</f>
        <v/>
      </c>
      <c r="L2599" s="65">
        <f>IF(L2598&lt;=0,0,IF(Materiales!$G$374&lt;=0,L2598,ROUNDUP(L2598/Materiales!$G$374,0)*Materiales!$G$374))</f>
        <v/>
      </c>
      <c r="M2599" s="66" t="n"/>
    </row>
    <row r="2600">
      <c r="C2600" s="70" t="inlineStr">
        <is>
          <t>LANZAMIENTO DE ORDEN — pedir esta semana</t>
        </is>
      </c>
      <c r="D2600" s="64" t="n"/>
      <c r="E2600" s="71">
        <f>IF(1+Materiales!$F$374&gt;8,0,INDEX($E$2599:$L$2599,1,1+Materiales!$F$374))</f>
        <v/>
      </c>
      <c r="F2600" s="71">
        <f>IF(2+Materiales!$F$374&gt;8,0,INDEX($E$2599:$L$2599,1,2+Materiales!$F$374))</f>
        <v/>
      </c>
      <c r="G2600" s="71">
        <f>IF(3+Materiales!$F$374&gt;8,0,INDEX($E$2599:$L$2599,1,3+Materiales!$F$374))</f>
        <v/>
      </c>
      <c r="H2600" s="71">
        <f>IF(4+Materiales!$F$374&gt;8,0,INDEX($E$2599:$L$2599,1,4+Materiales!$F$374))</f>
        <v/>
      </c>
      <c r="I2600" s="71">
        <f>IF(5+Materiales!$F$374&gt;8,0,INDEX($E$2599:$L$2599,1,5+Materiales!$F$374))</f>
        <v/>
      </c>
      <c r="J2600" s="71">
        <f>IF(6+Materiales!$F$374&gt;8,0,INDEX($E$2599:$L$2599,1,6+Materiales!$F$374))</f>
        <v/>
      </c>
      <c r="K2600" s="71">
        <f>IF(7+Materiales!$F$374&gt;8,0,INDEX($E$2599:$L$2599,1,7+Materiales!$F$374))</f>
        <v/>
      </c>
      <c r="L2600" s="71">
        <f>IF(8+Materiales!$F$374&gt;8,0,INDEX($E$2599:$L$2599,1,8+Materiales!$F$374))</f>
        <v/>
      </c>
      <c r="M2600" s="72">
        <f>IF($A2595="","",IF(SUMPRODUCT((COLUMN($E$2599:$L$2599)-4&lt;=Materiales!$F$374)*$E$2599:$L$2599)&gt;0,"PEDIR YA (atrasado)","OK"))</f>
        <v/>
      </c>
    </row>
    <row r="2601" ht="6" customHeight="1"/>
    <row r="2602">
      <c r="A2602" s="62">
        <f>IF(Materiales!$A$375="","",Materiales!$A$375)</f>
        <v/>
      </c>
      <c r="B2602" s="62">
        <f>IF(Materiales!$B$375="","",Materiales!$B$375)</f>
        <v/>
      </c>
      <c r="C2602" s="63" t="inlineStr">
        <is>
          <t>Necesidad bruta</t>
        </is>
      </c>
      <c r="D2602" s="64" t="n"/>
      <c r="E2602" s="65">
        <f>ROUND(SUMIF(Consumo!$P$4:$P$189,"#"&amp;$A2602,Consumo!H$4:H$189),4)</f>
        <v/>
      </c>
      <c r="F2602" s="65">
        <f>ROUND(SUMIF(Consumo!$P$4:$P$189,"#"&amp;$A2602,Consumo!I$4:I$189),4)</f>
        <v/>
      </c>
      <c r="G2602" s="65">
        <f>ROUND(SUMIF(Consumo!$P$4:$P$189,"#"&amp;$A2602,Consumo!J$4:J$189),4)</f>
        <v/>
      </c>
      <c r="H2602" s="65">
        <f>ROUND(SUMIF(Consumo!$P$4:$P$189,"#"&amp;$A2602,Consumo!K$4:K$189),4)</f>
        <v/>
      </c>
      <c r="I2602" s="65">
        <f>ROUND(SUMIF(Consumo!$P$4:$P$189,"#"&amp;$A2602,Consumo!L$4:L$189),4)</f>
        <v/>
      </c>
      <c r="J2602" s="65">
        <f>ROUND(SUMIF(Consumo!$P$4:$P$189,"#"&amp;$A2602,Consumo!M$4:M$189),4)</f>
        <v/>
      </c>
      <c r="K2602" s="65">
        <f>ROUND(SUMIF(Consumo!$P$4:$P$189,"#"&amp;$A2602,Consumo!N$4:N$189),4)</f>
        <v/>
      </c>
      <c r="L2602" s="65">
        <f>ROUND(SUMIF(Consumo!$P$4:$P$189,"#"&amp;$A2602,Consumo!O$4:O$189),4)</f>
        <v/>
      </c>
      <c r="M2602" s="66" t="n"/>
    </row>
    <row r="2603">
      <c r="C2603" s="63" t="inlineStr">
        <is>
          <t>Recepciones programadas (ya pedido)</t>
        </is>
      </c>
      <c r="D2603" s="64" t="n"/>
      <c r="E2603" s="65">
        <f>SUMIF(Inventario!$M$5:$M$505,"#"&amp;$A2602,Inventario!E$5:E$505)</f>
        <v/>
      </c>
      <c r="F2603" s="65">
        <f>SUMIF(Inventario!$M$5:$M$505,"#"&amp;$A2602,Inventario!F$5:F$505)</f>
        <v/>
      </c>
      <c r="G2603" s="65">
        <f>SUMIF(Inventario!$M$5:$M$505,"#"&amp;$A2602,Inventario!G$5:G$505)</f>
        <v/>
      </c>
      <c r="H2603" s="65">
        <f>SUMIF(Inventario!$M$5:$M$505,"#"&amp;$A2602,Inventario!H$5:H$505)</f>
        <v/>
      </c>
      <c r="I2603" s="65">
        <f>SUMIF(Inventario!$M$5:$M$505,"#"&amp;$A2602,Inventario!I$5:I$505)</f>
        <v/>
      </c>
      <c r="J2603" s="65">
        <f>SUMIF(Inventario!$M$5:$M$505,"#"&amp;$A2602,Inventario!J$5:J$505)</f>
        <v/>
      </c>
      <c r="K2603" s="65">
        <f>SUMIF(Inventario!$M$5:$M$505,"#"&amp;$A2602,Inventario!K$5:K$505)</f>
        <v/>
      </c>
      <c r="L2603" s="65">
        <f>SUMIF(Inventario!$M$5:$M$505,"#"&amp;$A2602,Inventario!L$5:L$505)</f>
        <v/>
      </c>
      <c r="M2603" s="66" t="n"/>
    </row>
    <row r="2604">
      <c r="C2604" s="63" t="inlineStr">
        <is>
          <t>Stock proyectado disponible</t>
        </is>
      </c>
      <c r="D2604" s="67">
        <f>SUMIF(Inventario!$M$5:$M$505,"#"&amp;$A2602,Inventario!$C$5:$C$505)</f>
        <v/>
      </c>
      <c r="E2604" s="68">
        <f>D2604+E2603+E2606-E2602</f>
        <v/>
      </c>
      <c r="F2604" s="68">
        <f>E2604+F2603+F2606-F2602</f>
        <v/>
      </c>
      <c r="G2604" s="68">
        <f>F2604+G2603+G2606-G2602</f>
        <v/>
      </c>
      <c r="H2604" s="68">
        <f>G2604+H2603+H2606-H2602</f>
        <v/>
      </c>
      <c r="I2604" s="68">
        <f>H2604+I2603+I2606-I2602</f>
        <v/>
      </c>
      <c r="J2604" s="68">
        <f>I2604+J2603+J2606-J2602</f>
        <v/>
      </c>
      <c r="K2604" s="68">
        <f>J2604+K2603+K2606-K2602</f>
        <v/>
      </c>
      <c r="L2604" s="68">
        <f>K2604+L2603+L2606-L2602</f>
        <v/>
      </c>
      <c r="M2604" s="66" t="n"/>
    </row>
    <row r="2605">
      <c r="C2605" s="63" t="inlineStr">
        <is>
          <t>Necesidad neta</t>
        </is>
      </c>
      <c r="D2605" s="64" t="n"/>
      <c r="E2605" s="69">
        <f>MAX(0,ROUND(E2602+Materiales!$H$375-D2604-E2603,4))</f>
        <v/>
      </c>
      <c r="F2605" s="69">
        <f>MAX(0,ROUND(F2602+Materiales!$H$375-E2604-F2603,4))</f>
        <v/>
      </c>
      <c r="G2605" s="69">
        <f>MAX(0,ROUND(G2602+Materiales!$H$375-F2604-G2603,4))</f>
        <v/>
      </c>
      <c r="H2605" s="69">
        <f>MAX(0,ROUND(H2602+Materiales!$H$375-G2604-H2603,4))</f>
        <v/>
      </c>
      <c r="I2605" s="69">
        <f>MAX(0,ROUND(I2602+Materiales!$H$375-H2604-I2603,4))</f>
        <v/>
      </c>
      <c r="J2605" s="69">
        <f>MAX(0,ROUND(J2602+Materiales!$H$375-I2604-J2603,4))</f>
        <v/>
      </c>
      <c r="K2605" s="69">
        <f>MAX(0,ROUND(K2602+Materiales!$H$375-J2604-K2603,4))</f>
        <v/>
      </c>
      <c r="L2605" s="69">
        <f>MAX(0,ROUND(L2602+Materiales!$H$375-K2604-L2603,4))</f>
        <v/>
      </c>
      <c r="M2605" s="66" t="n"/>
    </row>
    <row r="2606">
      <c r="C2606" s="63" t="inlineStr">
        <is>
          <t>Recepcion de orden planificada</t>
        </is>
      </c>
      <c r="D2606" s="64" t="n"/>
      <c r="E2606" s="65">
        <f>IF(E2605&lt;=0,0,IF(Materiales!$G$375&lt;=0,E2605,ROUNDUP(E2605/Materiales!$G$375,0)*Materiales!$G$375))</f>
        <v/>
      </c>
      <c r="F2606" s="65">
        <f>IF(F2605&lt;=0,0,IF(Materiales!$G$375&lt;=0,F2605,ROUNDUP(F2605/Materiales!$G$375,0)*Materiales!$G$375))</f>
        <v/>
      </c>
      <c r="G2606" s="65">
        <f>IF(G2605&lt;=0,0,IF(Materiales!$G$375&lt;=0,G2605,ROUNDUP(G2605/Materiales!$G$375,0)*Materiales!$G$375))</f>
        <v/>
      </c>
      <c r="H2606" s="65">
        <f>IF(H2605&lt;=0,0,IF(Materiales!$G$375&lt;=0,H2605,ROUNDUP(H2605/Materiales!$G$375,0)*Materiales!$G$375))</f>
        <v/>
      </c>
      <c r="I2606" s="65">
        <f>IF(I2605&lt;=0,0,IF(Materiales!$G$375&lt;=0,I2605,ROUNDUP(I2605/Materiales!$G$375,0)*Materiales!$G$375))</f>
        <v/>
      </c>
      <c r="J2606" s="65">
        <f>IF(J2605&lt;=0,0,IF(Materiales!$G$375&lt;=0,J2605,ROUNDUP(J2605/Materiales!$G$375,0)*Materiales!$G$375))</f>
        <v/>
      </c>
      <c r="K2606" s="65">
        <f>IF(K2605&lt;=0,0,IF(Materiales!$G$375&lt;=0,K2605,ROUNDUP(K2605/Materiales!$G$375,0)*Materiales!$G$375))</f>
        <v/>
      </c>
      <c r="L2606" s="65">
        <f>IF(L2605&lt;=0,0,IF(Materiales!$G$375&lt;=0,L2605,ROUNDUP(L2605/Materiales!$G$375,0)*Materiales!$G$375))</f>
        <v/>
      </c>
      <c r="M2606" s="66" t="n"/>
    </row>
    <row r="2607">
      <c r="C2607" s="70" t="inlineStr">
        <is>
          <t>LANZAMIENTO DE ORDEN — pedir esta semana</t>
        </is>
      </c>
      <c r="D2607" s="64" t="n"/>
      <c r="E2607" s="71">
        <f>IF(1+Materiales!$F$375&gt;8,0,INDEX($E$2606:$L$2606,1,1+Materiales!$F$375))</f>
        <v/>
      </c>
      <c r="F2607" s="71">
        <f>IF(2+Materiales!$F$375&gt;8,0,INDEX($E$2606:$L$2606,1,2+Materiales!$F$375))</f>
        <v/>
      </c>
      <c r="G2607" s="71">
        <f>IF(3+Materiales!$F$375&gt;8,0,INDEX($E$2606:$L$2606,1,3+Materiales!$F$375))</f>
        <v/>
      </c>
      <c r="H2607" s="71">
        <f>IF(4+Materiales!$F$375&gt;8,0,INDEX($E$2606:$L$2606,1,4+Materiales!$F$375))</f>
        <v/>
      </c>
      <c r="I2607" s="71">
        <f>IF(5+Materiales!$F$375&gt;8,0,INDEX($E$2606:$L$2606,1,5+Materiales!$F$375))</f>
        <v/>
      </c>
      <c r="J2607" s="71">
        <f>IF(6+Materiales!$F$375&gt;8,0,INDEX($E$2606:$L$2606,1,6+Materiales!$F$375))</f>
        <v/>
      </c>
      <c r="K2607" s="71">
        <f>IF(7+Materiales!$F$375&gt;8,0,INDEX($E$2606:$L$2606,1,7+Materiales!$F$375))</f>
        <v/>
      </c>
      <c r="L2607" s="71">
        <f>IF(8+Materiales!$F$375&gt;8,0,INDEX($E$2606:$L$2606,1,8+Materiales!$F$375))</f>
        <v/>
      </c>
      <c r="M2607" s="72">
        <f>IF($A2602="","",IF(SUMPRODUCT((COLUMN($E$2606:$L$2606)-4&lt;=Materiales!$F$375)*$E$2606:$L$2606)&gt;0,"PEDIR YA (atrasado)","OK"))</f>
        <v/>
      </c>
    </row>
    <row r="2608" ht="6" customHeight="1"/>
    <row r="2609">
      <c r="A2609" s="62">
        <f>IF(Materiales!$A$376="","",Materiales!$A$376)</f>
        <v/>
      </c>
      <c r="B2609" s="62">
        <f>IF(Materiales!$B$376="","",Materiales!$B$376)</f>
        <v/>
      </c>
      <c r="C2609" s="63" t="inlineStr">
        <is>
          <t>Necesidad bruta</t>
        </is>
      </c>
      <c r="D2609" s="64" t="n"/>
      <c r="E2609" s="65">
        <f>ROUND(SUMIF(Consumo!$P$4:$P$189,"#"&amp;$A2609,Consumo!H$4:H$189),4)</f>
        <v/>
      </c>
      <c r="F2609" s="65">
        <f>ROUND(SUMIF(Consumo!$P$4:$P$189,"#"&amp;$A2609,Consumo!I$4:I$189),4)</f>
        <v/>
      </c>
      <c r="G2609" s="65">
        <f>ROUND(SUMIF(Consumo!$P$4:$P$189,"#"&amp;$A2609,Consumo!J$4:J$189),4)</f>
        <v/>
      </c>
      <c r="H2609" s="65">
        <f>ROUND(SUMIF(Consumo!$P$4:$P$189,"#"&amp;$A2609,Consumo!K$4:K$189),4)</f>
        <v/>
      </c>
      <c r="I2609" s="65">
        <f>ROUND(SUMIF(Consumo!$P$4:$P$189,"#"&amp;$A2609,Consumo!L$4:L$189),4)</f>
        <v/>
      </c>
      <c r="J2609" s="65">
        <f>ROUND(SUMIF(Consumo!$P$4:$P$189,"#"&amp;$A2609,Consumo!M$4:M$189),4)</f>
        <v/>
      </c>
      <c r="K2609" s="65">
        <f>ROUND(SUMIF(Consumo!$P$4:$P$189,"#"&amp;$A2609,Consumo!N$4:N$189),4)</f>
        <v/>
      </c>
      <c r="L2609" s="65">
        <f>ROUND(SUMIF(Consumo!$P$4:$P$189,"#"&amp;$A2609,Consumo!O$4:O$189),4)</f>
        <v/>
      </c>
      <c r="M2609" s="66" t="n"/>
    </row>
    <row r="2610">
      <c r="C2610" s="63" t="inlineStr">
        <is>
          <t>Recepciones programadas (ya pedido)</t>
        </is>
      </c>
      <c r="D2610" s="64" t="n"/>
      <c r="E2610" s="65">
        <f>SUMIF(Inventario!$M$5:$M$505,"#"&amp;$A2609,Inventario!E$5:E$505)</f>
        <v/>
      </c>
      <c r="F2610" s="65">
        <f>SUMIF(Inventario!$M$5:$M$505,"#"&amp;$A2609,Inventario!F$5:F$505)</f>
        <v/>
      </c>
      <c r="G2610" s="65">
        <f>SUMIF(Inventario!$M$5:$M$505,"#"&amp;$A2609,Inventario!G$5:G$505)</f>
        <v/>
      </c>
      <c r="H2610" s="65">
        <f>SUMIF(Inventario!$M$5:$M$505,"#"&amp;$A2609,Inventario!H$5:H$505)</f>
        <v/>
      </c>
      <c r="I2610" s="65">
        <f>SUMIF(Inventario!$M$5:$M$505,"#"&amp;$A2609,Inventario!I$5:I$505)</f>
        <v/>
      </c>
      <c r="J2610" s="65">
        <f>SUMIF(Inventario!$M$5:$M$505,"#"&amp;$A2609,Inventario!J$5:J$505)</f>
        <v/>
      </c>
      <c r="K2610" s="65">
        <f>SUMIF(Inventario!$M$5:$M$505,"#"&amp;$A2609,Inventario!K$5:K$505)</f>
        <v/>
      </c>
      <c r="L2610" s="65">
        <f>SUMIF(Inventario!$M$5:$M$505,"#"&amp;$A2609,Inventario!L$5:L$505)</f>
        <v/>
      </c>
      <c r="M2610" s="66" t="n"/>
    </row>
    <row r="2611">
      <c r="C2611" s="63" t="inlineStr">
        <is>
          <t>Stock proyectado disponible</t>
        </is>
      </c>
      <c r="D2611" s="67">
        <f>SUMIF(Inventario!$M$5:$M$505,"#"&amp;$A2609,Inventario!$C$5:$C$505)</f>
        <v/>
      </c>
      <c r="E2611" s="68">
        <f>D2611+E2610+E2613-E2609</f>
        <v/>
      </c>
      <c r="F2611" s="68">
        <f>E2611+F2610+F2613-F2609</f>
        <v/>
      </c>
      <c r="G2611" s="68">
        <f>F2611+G2610+G2613-G2609</f>
        <v/>
      </c>
      <c r="H2611" s="68">
        <f>G2611+H2610+H2613-H2609</f>
        <v/>
      </c>
      <c r="I2611" s="68">
        <f>H2611+I2610+I2613-I2609</f>
        <v/>
      </c>
      <c r="J2611" s="68">
        <f>I2611+J2610+J2613-J2609</f>
        <v/>
      </c>
      <c r="K2611" s="68">
        <f>J2611+K2610+K2613-K2609</f>
        <v/>
      </c>
      <c r="L2611" s="68">
        <f>K2611+L2610+L2613-L2609</f>
        <v/>
      </c>
      <c r="M2611" s="66" t="n"/>
    </row>
    <row r="2612">
      <c r="C2612" s="63" t="inlineStr">
        <is>
          <t>Necesidad neta</t>
        </is>
      </c>
      <c r="D2612" s="64" t="n"/>
      <c r="E2612" s="69">
        <f>MAX(0,ROUND(E2609+Materiales!$H$376-D2611-E2610,4))</f>
        <v/>
      </c>
      <c r="F2612" s="69">
        <f>MAX(0,ROUND(F2609+Materiales!$H$376-E2611-F2610,4))</f>
        <v/>
      </c>
      <c r="G2612" s="69">
        <f>MAX(0,ROUND(G2609+Materiales!$H$376-F2611-G2610,4))</f>
        <v/>
      </c>
      <c r="H2612" s="69">
        <f>MAX(0,ROUND(H2609+Materiales!$H$376-G2611-H2610,4))</f>
        <v/>
      </c>
      <c r="I2612" s="69">
        <f>MAX(0,ROUND(I2609+Materiales!$H$376-H2611-I2610,4))</f>
        <v/>
      </c>
      <c r="J2612" s="69">
        <f>MAX(0,ROUND(J2609+Materiales!$H$376-I2611-J2610,4))</f>
        <v/>
      </c>
      <c r="K2612" s="69">
        <f>MAX(0,ROUND(K2609+Materiales!$H$376-J2611-K2610,4))</f>
        <v/>
      </c>
      <c r="L2612" s="69">
        <f>MAX(0,ROUND(L2609+Materiales!$H$376-K2611-L2610,4))</f>
        <v/>
      </c>
      <c r="M2612" s="66" t="n"/>
    </row>
    <row r="2613">
      <c r="C2613" s="63" t="inlineStr">
        <is>
          <t>Recepcion de orden planificada</t>
        </is>
      </c>
      <c r="D2613" s="64" t="n"/>
      <c r="E2613" s="65">
        <f>IF(E2612&lt;=0,0,IF(Materiales!$G$376&lt;=0,E2612,ROUNDUP(E2612/Materiales!$G$376,0)*Materiales!$G$376))</f>
        <v/>
      </c>
      <c r="F2613" s="65">
        <f>IF(F2612&lt;=0,0,IF(Materiales!$G$376&lt;=0,F2612,ROUNDUP(F2612/Materiales!$G$376,0)*Materiales!$G$376))</f>
        <v/>
      </c>
      <c r="G2613" s="65">
        <f>IF(G2612&lt;=0,0,IF(Materiales!$G$376&lt;=0,G2612,ROUNDUP(G2612/Materiales!$G$376,0)*Materiales!$G$376))</f>
        <v/>
      </c>
      <c r="H2613" s="65">
        <f>IF(H2612&lt;=0,0,IF(Materiales!$G$376&lt;=0,H2612,ROUNDUP(H2612/Materiales!$G$376,0)*Materiales!$G$376))</f>
        <v/>
      </c>
      <c r="I2613" s="65">
        <f>IF(I2612&lt;=0,0,IF(Materiales!$G$376&lt;=0,I2612,ROUNDUP(I2612/Materiales!$G$376,0)*Materiales!$G$376))</f>
        <v/>
      </c>
      <c r="J2613" s="65">
        <f>IF(J2612&lt;=0,0,IF(Materiales!$G$376&lt;=0,J2612,ROUNDUP(J2612/Materiales!$G$376,0)*Materiales!$G$376))</f>
        <v/>
      </c>
      <c r="K2613" s="65">
        <f>IF(K2612&lt;=0,0,IF(Materiales!$G$376&lt;=0,K2612,ROUNDUP(K2612/Materiales!$G$376,0)*Materiales!$G$376))</f>
        <v/>
      </c>
      <c r="L2613" s="65">
        <f>IF(L2612&lt;=0,0,IF(Materiales!$G$376&lt;=0,L2612,ROUNDUP(L2612/Materiales!$G$376,0)*Materiales!$G$376))</f>
        <v/>
      </c>
      <c r="M2613" s="66" t="n"/>
    </row>
    <row r="2614">
      <c r="C2614" s="70" t="inlineStr">
        <is>
          <t>LANZAMIENTO DE ORDEN — pedir esta semana</t>
        </is>
      </c>
      <c r="D2614" s="64" t="n"/>
      <c r="E2614" s="71">
        <f>IF(1+Materiales!$F$376&gt;8,0,INDEX($E$2613:$L$2613,1,1+Materiales!$F$376))</f>
        <v/>
      </c>
      <c r="F2614" s="71">
        <f>IF(2+Materiales!$F$376&gt;8,0,INDEX($E$2613:$L$2613,1,2+Materiales!$F$376))</f>
        <v/>
      </c>
      <c r="G2614" s="71">
        <f>IF(3+Materiales!$F$376&gt;8,0,INDEX($E$2613:$L$2613,1,3+Materiales!$F$376))</f>
        <v/>
      </c>
      <c r="H2614" s="71">
        <f>IF(4+Materiales!$F$376&gt;8,0,INDEX($E$2613:$L$2613,1,4+Materiales!$F$376))</f>
        <v/>
      </c>
      <c r="I2614" s="71">
        <f>IF(5+Materiales!$F$376&gt;8,0,INDEX($E$2613:$L$2613,1,5+Materiales!$F$376))</f>
        <v/>
      </c>
      <c r="J2614" s="71">
        <f>IF(6+Materiales!$F$376&gt;8,0,INDEX($E$2613:$L$2613,1,6+Materiales!$F$376))</f>
        <v/>
      </c>
      <c r="K2614" s="71">
        <f>IF(7+Materiales!$F$376&gt;8,0,INDEX($E$2613:$L$2613,1,7+Materiales!$F$376))</f>
        <v/>
      </c>
      <c r="L2614" s="71">
        <f>IF(8+Materiales!$F$376&gt;8,0,INDEX($E$2613:$L$2613,1,8+Materiales!$F$376))</f>
        <v/>
      </c>
      <c r="M2614" s="72">
        <f>IF($A2609="","",IF(SUMPRODUCT((COLUMN($E$2613:$L$2613)-4&lt;=Materiales!$F$376)*$E$2613:$L$2613)&gt;0,"PEDIR YA (atrasado)","OK"))</f>
        <v/>
      </c>
    </row>
    <row r="2615" ht="6" customHeight="1"/>
    <row r="2616">
      <c r="A2616" s="62">
        <f>IF(Materiales!$A$377="","",Materiales!$A$377)</f>
        <v/>
      </c>
      <c r="B2616" s="62">
        <f>IF(Materiales!$B$377="","",Materiales!$B$377)</f>
        <v/>
      </c>
      <c r="C2616" s="63" t="inlineStr">
        <is>
          <t>Necesidad bruta</t>
        </is>
      </c>
      <c r="D2616" s="64" t="n"/>
      <c r="E2616" s="65">
        <f>ROUND(SUMIF(Consumo!$P$4:$P$189,"#"&amp;$A2616,Consumo!H$4:H$189),4)</f>
        <v/>
      </c>
      <c r="F2616" s="65">
        <f>ROUND(SUMIF(Consumo!$P$4:$P$189,"#"&amp;$A2616,Consumo!I$4:I$189),4)</f>
        <v/>
      </c>
      <c r="G2616" s="65">
        <f>ROUND(SUMIF(Consumo!$P$4:$P$189,"#"&amp;$A2616,Consumo!J$4:J$189),4)</f>
        <v/>
      </c>
      <c r="H2616" s="65">
        <f>ROUND(SUMIF(Consumo!$P$4:$P$189,"#"&amp;$A2616,Consumo!K$4:K$189),4)</f>
        <v/>
      </c>
      <c r="I2616" s="65">
        <f>ROUND(SUMIF(Consumo!$P$4:$P$189,"#"&amp;$A2616,Consumo!L$4:L$189),4)</f>
        <v/>
      </c>
      <c r="J2616" s="65">
        <f>ROUND(SUMIF(Consumo!$P$4:$P$189,"#"&amp;$A2616,Consumo!M$4:M$189),4)</f>
        <v/>
      </c>
      <c r="K2616" s="65">
        <f>ROUND(SUMIF(Consumo!$P$4:$P$189,"#"&amp;$A2616,Consumo!N$4:N$189),4)</f>
        <v/>
      </c>
      <c r="L2616" s="65">
        <f>ROUND(SUMIF(Consumo!$P$4:$P$189,"#"&amp;$A2616,Consumo!O$4:O$189),4)</f>
        <v/>
      </c>
      <c r="M2616" s="66" t="n"/>
    </row>
    <row r="2617">
      <c r="C2617" s="63" t="inlineStr">
        <is>
          <t>Recepciones programadas (ya pedido)</t>
        </is>
      </c>
      <c r="D2617" s="64" t="n"/>
      <c r="E2617" s="65">
        <f>SUMIF(Inventario!$M$5:$M$505,"#"&amp;$A2616,Inventario!E$5:E$505)</f>
        <v/>
      </c>
      <c r="F2617" s="65">
        <f>SUMIF(Inventario!$M$5:$M$505,"#"&amp;$A2616,Inventario!F$5:F$505)</f>
        <v/>
      </c>
      <c r="G2617" s="65">
        <f>SUMIF(Inventario!$M$5:$M$505,"#"&amp;$A2616,Inventario!G$5:G$505)</f>
        <v/>
      </c>
      <c r="H2617" s="65">
        <f>SUMIF(Inventario!$M$5:$M$505,"#"&amp;$A2616,Inventario!H$5:H$505)</f>
        <v/>
      </c>
      <c r="I2617" s="65">
        <f>SUMIF(Inventario!$M$5:$M$505,"#"&amp;$A2616,Inventario!I$5:I$505)</f>
        <v/>
      </c>
      <c r="J2617" s="65">
        <f>SUMIF(Inventario!$M$5:$M$505,"#"&amp;$A2616,Inventario!J$5:J$505)</f>
        <v/>
      </c>
      <c r="K2617" s="65">
        <f>SUMIF(Inventario!$M$5:$M$505,"#"&amp;$A2616,Inventario!K$5:K$505)</f>
        <v/>
      </c>
      <c r="L2617" s="65">
        <f>SUMIF(Inventario!$M$5:$M$505,"#"&amp;$A2616,Inventario!L$5:L$505)</f>
        <v/>
      </c>
      <c r="M2617" s="66" t="n"/>
    </row>
    <row r="2618">
      <c r="C2618" s="63" t="inlineStr">
        <is>
          <t>Stock proyectado disponible</t>
        </is>
      </c>
      <c r="D2618" s="67">
        <f>SUMIF(Inventario!$M$5:$M$505,"#"&amp;$A2616,Inventario!$C$5:$C$505)</f>
        <v/>
      </c>
      <c r="E2618" s="68">
        <f>D2618+E2617+E2620-E2616</f>
        <v/>
      </c>
      <c r="F2618" s="68">
        <f>E2618+F2617+F2620-F2616</f>
        <v/>
      </c>
      <c r="G2618" s="68">
        <f>F2618+G2617+G2620-G2616</f>
        <v/>
      </c>
      <c r="H2618" s="68">
        <f>G2618+H2617+H2620-H2616</f>
        <v/>
      </c>
      <c r="I2618" s="68">
        <f>H2618+I2617+I2620-I2616</f>
        <v/>
      </c>
      <c r="J2618" s="68">
        <f>I2618+J2617+J2620-J2616</f>
        <v/>
      </c>
      <c r="K2618" s="68">
        <f>J2618+K2617+K2620-K2616</f>
        <v/>
      </c>
      <c r="L2618" s="68">
        <f>K2618+L2617+L2620-L2616</f>
        <v/>
      </c>
      <c r="M2618" s="66" t="n"/>
    </row>
    <row r="2619">
      <c r="C2619" s="63" t="inlineStr">
        <is>
          <t>Necesidad neta</t>
        </is>
      </c>
      <c r="D2619" s="64" t="n"/>
      <c r="E2619" s="69">
        <f>MAX(0,ROUND(E2616+Materiales!$H$377-D2618-E2617,4))</f>
        <v/>
      </c>
      <c r="F2619" s="69">
        <f>MAX(0,ROUND(F2616+Materiales!$H$377-E2618-F2617,4))</f>
        <v/>
      </c>
      <c r="G2619" s="69">
        <f>MAX(0,ROUND(G2616+Materiales!$H$377-F2618-G2617,4))</f>
        <v/>
      </c>
      <c r="H2619" s="69">
        <f>MAX(0,ROUND(H2616+Materiales!$H$377-G2618-H2617,4))</f>
        <v/>
      </c>
      <c r="I2619" s="69">
        <f>MAX(0,ROUND(I2616+Materiales!$H$377-H2618-I2617,4))</f>
        <v/>
      </c>
      <c r="J2619" s="69">
        <f>MAX(0,ROUND(J2616+Materiales!$H$377-I2618-J2617,4))</f>
        <v/>
      </c>
      <c r="K2619" s="69">
        <f>MAX(0,ROUND(K2616+Materiales!$H$377-J2618-K2617,4))</f>
        <v/>
      </c>
      <c r="L2619" s="69">
        <f>MAX(0,ROUND(L2616+Materiales!$H$377-K2618-L2617,4))</f>
        <v/>
      </c>
      <c r="M2619" s="66" t="n"/>
    </row>
    <row r="2620">
      <c r="C2620" s="63" t="inlineStr">
        <is>
          <t>Recepcion de orden planificada</t>
        </is>
      </c>
      <c r="D2620" s="64" t="n"/>
      <c r="E2620" s="65">
        <f>IF(E2619&lt;=0,0,IF(Materiales!$G$377&lt;=0,E2619,ROUNDUP(E2619/Materiales!$G$377,0)*Materiales!$G$377))</f>
        <v/>
      </c>
      <c r="F2620" s="65">
        <f>IF(F2619&lt;=0,0,IF(Materiales!$G$377&lt;=0,F2619,ROUNDUP(F2619/Materiales!$G$377,0)*Materiales!$G$377))</f>
        <v/>
      </c>
      <c r="G2620" s="65">
        <f>IF(G2619&lt;=0,0,IF(Materiales!$G$377&lt;=0,G2619,ROUNDUP(G2619/Materiales!$G$377,0)*Materiales!$G$377))</f>
        <v/>
      </c>
      <c r="H2620" s="65">
        <f>IF(H2619&lt;=0,0,IF(Materiales!$G$377&lt;=0,H2619,ROUNDUP(H2619/Materiales!$G$377,0)*Materiales!$G$377))</f>
        <v/>
      </c>
      <c r="I2620" s="65">
        <f>IF(I2619&lt;=0,0,IF(Materiales!$G$377&lt;=0,I2619,ROUNDUP(I2619/Materiales!$G$377,0)*Materiales!$G$377))</f>
        <v/>
      </c>
      <c r="J2620" s="65">
        <f>IF(J2619&lt;=0,0,IF(Materiales!$G$377&lt;=0,J2619,ROUNDUP(J2619/Materiales!$G$377,0)*Materiales!$G$377))</f>
        <v/>
      </c>
      <c r="K2620" s="65">
        <f>IF(K2619&lt;=0,0,IF(Materiales!$G$377&lt;=0,K2619,ROUNDUP(K2619/Materiales!$G$377,0)*Materiales!$G$377))</f>
        <v/>
      </c>
      <c r="L2620" s="65">
        <f>IF(L2619&lt;=0,0,IF(Materiales!$G$377&lt;=0,L2619,ROUNDUP(L2619/Materiales!$G$377,0)*Materiales!$G$377))</f>
        <v/>
      </c>
      <c r="M2620" s="66" t="n"/>
    </row>
    <row r="2621">
      <c r="C2621" s="70" t="inlineStr">
        <is>
          <t>LANZAMIENTO DE ORDEN — pedir esta semana</t>
        </is>
      </c>
      <c r="D2621" s="64" t="n"/>
      <c r="E2621" s="71">
        <f>IF(1+Materiales!$F$377&gt;8,0,INDEX($E$2620:$L$2620,1,1+Materiales!$F$377))</f>
        <v/>
      </c>
      <c r="F2621" s="71">
        <f>IF(2+Materiales!$F$377&gt;8,0,INDEX($E$2620:$L$2620,1,2+Materiales!$F$377))</f>
        <v/>
      </c>
      <c r="G2621" s="71">
        <f>IF(3+Materiales!$F$377&gt;8,0,INDEX($E$2620:$L$2620,1,3+Materiales!$F$377))</f>
        <v/>
      </c>
      <c r="H2621" s="71">
        <f>IF(4+Materiales!$F$377&gt;8,0,INDEX($E$2620:$L$2620,1,4+Materiales!$F$377))</f>
        <v/>
      </c>
      <c r="I2621" s="71">
        <f>IF(5+Materiales!$F$377&gt;8,0,INDEX($E$2620:$L$2620,1,5+Materiales!$F$377))</f>
        <v/>
      </c>
      <c r="J2621" s="71">
        <f>IF(6+Materiales!$F$377&gt;8,0,INDEX($E$2620:$L$2620,1,6+Materiales!$F$377))</f>
        <v/>
      </c>
      <c r="K2621" s="71">
        <f>IF(7+Materiales!$F$377&gt;8,0,INDEX($E$2620:$L$2620,1,7+Materiales!$F$377))</f>
        <v/>
      </c>
      <c r="L2621" s="71">
        <f>IF(8+Materiales!$F$377&gt;8,0,INDEX($E$2620:$L$2620,1,8+Materiales!$F$377))</f>
        <v/>
      </c>
      <c r="M2621" s="72">
        <f>IF($A2616="","",IF(SUMPRODUCT((COLUMN($E$2620:$L$2620)-4&lt;=Materiales!$F$377)*$E$2620:$L$2620)&gt;0,"PEDIR YA (atrasado)","OK"))</f>
        <v/>
      </c>
    </row>
    <row r="2622" ht="6" customHeight="1"/>
    <row r="2623">
      <c r="A2623" s="62">
        <f>IF(Materiales!$A$378="","",Materiales!$A$378)</f>
        <v/>
      </c>
      <c r="B2623" s="62">
        <f>IF(Materiales!$B$378="","",Materiales!$B$378)</f>
        <v/>
      </c>
      <c r="C2623" s="63" t="inlineStr">
        <is>
          <t>Necesidad bruta</t>
        </is>
      </c>
      <c r="D2623" s="64" t="n"/>
      <c r="E2623" s="65">
        <f>ROUND(SUMIF(Consumo!$P$4:$P$189,"#"&amp;$A2623,Consumo!H$4:H$189),4)</f>
        <v/>
      </c>
      <c r="F2623" s="65">
        <f>ROUND(SUMIF(Consumo!$P$4:$P$189,"#"&amp;$A2623,Consumo!I$4:I$189),4)</f>
        <v/>
      </c>
      <c r="G2623" s="65">
        <f>ROUND(SUMIF(Consumo!$P$4:$P$189,"#"&amp;$A2623,Consumo!J$4:J$189),4)</f>
        <v/>
      </c>
      <c r="H2623" s="65">
        <f>ROUND(SUMIF(Consumo!$P$4:$P$189,"#"&amp;$A2623,Consumo!K$4:K$189),4)</f>
        <v/>
      </c>
      <c r="I2623" s="65">
        <f>ROUND(SUMIF(Consumo!$P$4:$P$189,"#"&amp;$A2623,Consumo!L$4:L$189),4)</f>
        <v/>
      </c>
      <c r="J2623" s="65">
        <f>ROUND(SUMIF(Consumo!$P$4:$P$189,"#"&amp;$A2623,Consumo!M$4:M$189),4)</f>
        <v/>
      </c>
      <c r="K2623" s="65">
        <f>ROUND(SUMIF(Consumo!$P$4:$P$189,"#"&amp;$A2623,Consumo!N$4:N$189),4)</f>
        <v/>
      </c>
      <c r="L2623" s="65">
        <f>ROUND(SUMIF(Consumo!$P$4:$P$189,"#"&amp;$A2623,Consumo!O$4:O$189),4)</f>
        <v/>
      </c>
      <c r="M2623" s="66" t="n"/>
    </row>
    <row r="2624">
      <c r="C2624" s="63" t="inlineStr">
        <is>
          <t>Recepciones programadas (ya pedido)</t>
        </is>
      </c>
      <c r="D2624" s="64" t="n"/>
      <c r="E2624" s="65">
        <f>SUMIF(Inventario!$M$5:$M$505,"#"&amp;$A2623,Inventario!E$5:E$505)</f>
        <v/>
      </c>
      <c r="F2624" s="65">
        <f>SUMIF(Inventario!$M$5:$M$505,"#"&amp;$A2623,Inventario!F$5:F$505)</f>
        <v/>
      </c>
      <c r="G2624" s="65">
        <f>SUMIF(Inventario!$M$5:$M$505,"#"&amp;$A2623,Inventario!G$5:G$505)</f>
        <v/>
      </c>
      <c r="H2624" s="65">
        <f>SUMIF(Inventario!$M$5:$M$505,"#"&amp;$A2623,Inventario!H$5:H$505)</f>
        <v/>
      </c>
      <c r="I2624" s="65">
        <f>SUMIF(Inventario!$M$5:$M$505,"#"&amp;$A2623,Inventario!I$5:I$505)</f>
        <v/>
      </c>
      <c r="J2624" s="65">
        <f>SUMIF(Inventario!$M$5:$M$505,"#"&amp;$A2623,Inventario!J$5:J$505)</f>
        <v/>
      </c>
      <c r="K2624" s="65">
        <f>SUMIF(Inventario!$M$5:$M$505,"#"&amp;$A2623,Inventario!K$5:K$505)</f>
        <v/>
      </c>
      <c r="L2624" s="65">
        <f>SUMIF(Inventario!$M$5:$M$505,"#"&amp;$A2623,Inventario!L$5:L$505)</f>
        <v/>
      </c>
      <c r="M2624" s="66" t="n"/>
    </row>
    <row r="2625">
      <c r="C2625" s="63" t="inlineStr">
        <is>
          <t>Stock proyectado disponible</t>
        </is>
      </c>
      <c r="D2625" s="67">
        <f>SUMIF(Inventario!$M$5:$M$505,"#"&amp;$A2623,Inventario!$C$5:$C$505)</f>
        <v/>
      </c>
      <c r="E2625" s="68">
        <f>D2625+E2624+E2627-E2623</f>
        <v/>
      </c>
      <c r="F2625" s="68">
        <f>E2625+F2624+F2627-F2623</f>
        <v/>
      </c>
      <c r="G2625" s="68">
        <f>F2625+G2624+G2627-G2623</f>
        <v/>
      </c>
      <c r="H2625" s="68">
        <f>G2625+H2624+H2627-H2623</f>
        <v/>
      </c>
      <c r="I2625" s="68">
        <f>H2625+I2624+I2627-I2623</f>
        <v/>
      </c>
      <c r="J2625" s="68">
        <f>I2625+J2624+J2627-J2623</f>
        <v/>
      </c>
      <c r="K2625" s="68">
        <f>J2625+K2624+K2627-K2623</f>
        <v/>
      </c>
      <c r="L2625" s="68">
        <f>K2625+L2624+L2627-L2623</f>
        <v/>
      </c>
      <c r="M2625" s="66" t="n"/>
    </row>
    <row r="2626">
      <c r="C2626" s="63" t="inlineStr">
        <is>
          <t>Necesidad neta</t>
        </is>
      </c>
      <c r="D2626" s="64" t="n"/>
      <c r="E2626" s="69">
        <f>MAX(0,ROUND(E2623+Materiales!$H$378-D2625-E2624,4))</f>
        <v/>
      </c>
      <c r="F2626" s="69">
        <f>MAX(0,ROUND(F2623+Materiales!$H$378-E2625-F2624,4))</f>
        <v/>
      </c>
      <c r="G2626" s="69">
        <f>MAX(0,ROUND(G2623+Materiales!$H$378-F2625-G2624,4))</f>
        <v/>
      </c>
      <c r="H2626" s="69">
        <f>MAX(0,ROUND(H2623+Materiales!$H$378-G2625-H2624,4))</f>
        <v/>
      </c>
      <c r="I2626" s="69">
        <f>MAX(0,ROUND(I2623+Materiales!$H$378-H2625-I2624,4))</f>
        <v/>
      </c>
      <c r="J2626" s="69">
        <f>MAX(0,ROUND(J2623+Materiales!$H$378-I2625-J2624,4))</f>
        <v/>
      </c>
      <c r="K2626" s="69">
        <f>MAX(0,ROUND(K2623+Materiales!$H$378-J2625-K2624,4))</f>
        <v/>
      </c>
      <c r="L2626" s="69">
        <f>MAX(0,ROUND(L2623+Materiales!$H$378-K2625-L2624,4))</f>
        <v/>
      </c>
      <c r="M2626" s="66" t="n"/>
    </row>
    <row r="2627">
      <c r="C2627" s="63" t="inlineStr">
        <is>
          <t>Recepcion de orden planificada</t>
        </is>
      </c>
      <c r="D2627" s="64" t="n"/>
      <c r="E2627" s="65">
        <f>IF(E2626&lt;=0,0,IF(Materiales!$G$378&lt;=0,E2626,ROUNDUP(E2626/Materiales!$G$378,0)*Materiales!$G$378))</f>
        <v/>
      </c>
      <c r="F2627" s="65">
        <f>IF(F2626&lt;=0,0,IF(Materiales!$G$378&lt;=0,F2626,ROUNDUP(F2626/Materiales!$G$378,0)*Materiales!$G$378))</f>
        <v/>
      </c>
      <c r="G2627" s="65">
        <f>IF(G2626&lt;=0,0,IF(Materiales!$G$378&lt;=0,G2626,ROUNDUP(G2626/Materiales!$G$378,0)*Materiales!$G$378))</f>
        <v/>
      </c>
      <c r="H2627" s="65">
        <f>IF(H2626&lt;=0,0,IF(Materiales!$G$378&lt;=0,H2626,ROUNDUP(H2626/Materiales!$G$378,0)*Materiales!$G$378))</f>
        <v/>
      </c>
      <c r="I2627" s="65">
        <f>IF(I2626&lt;=0,0,IF(Materiales!$G$378&lt;=0,I2626,ROUNDUP(I2626/Materiales!$G$378,0)*Materiales!$G$378))</f>
        <v/>
      </c>
      <c r="J2627" s="65">
        <f>IF(J2626&lt;=0,0,IF(Materiales!$G$378&lt;=0,J2626,ROUNDUP(J2626/Materiales!$G$378,0)*Materiales!$G$378))</f>
        <v/>
      </c>
      <c r="K2627" s="65">
        <f>IF(K2626&lt;=0,0,IF(Materiales!$G$378&lt;=0,K2626,ROUNDUP(K2626/Materiales!$G$378,0)*Materiales!$G$378))</f>
        <v/>
      </c>
      <c r="L2627" s="65">
        <f>IF(L2626&lt;=0,0,IF(Materiales!$G$378&lt;=0,L2626,ROUNDUP(L2626/Materiales!$G$378,0)*Materiales!$G$378))</f>
        <v/>
      </c>
      <c r="M2627" s="66" t="n"/>
    </row>
    <row r="2628">
      <c r="C2628" s="70" t="inlineStr">
        <is>
          <t>LANZAMIENTO DE ORDEN — pedir esta semana</t>
        </is>
      </c>
      <c r="D2628" s="64" t="n"/>
      <c r="E2628" s="71">
        <f>IF(1+Materiales!$F$378&gt;8,0,INDEX($E$2627:$L$2627,1,1+Materiales!$F$378))</f>
        <v/>
      </c>
      <c r="F2628" s="71">
        <f>IF(2+Materiales!$F$378&gt;8,0,INDEX($E$2627:$L$2627,1,2+Materiales!$F$378))</f>
        <v/>
      </c>
      <c r="G2628" s="71">
        <f>IF(3+Materiales!$F$378&gt;8,0,INDEX($E$2627:$L$2627,1,3+Materiales!$F$378))</f>
        <v/>
      </c>
      <c r="H2628" s="71">
        <f>IF(4+Materiales!$F$378&gt;8,0,INDEX($E$2627:$L$2627,1,4+Materiales!$F$378))</f>
        <v/>
      </c>
      <c r="I2628" s="71">
        <f>IF(5+Materiales!$F$378&gt;8,0,INDEX($E$2627:$L$2627,1,5+Materiales!$F$378))</f>
        <v/>
      </c>
      <c r="J2628" s="71">
        <f>IF(6+Materiales!$F$378&gt;8,0,INDEX($E$2627:$L$2627,1,6+Materiales!$F$378))</f>
        <v/>
      </c>
      <c r="K2628" s="71">
        <f>IF(7+Materiales!$F$378&gt;8,0,INDEX($E$2627:$L$2627,1,7+Materiales!$F$378))</f>
        <v/>
      </c>
      <c r="L2628" s="71">
        <f>IF(8+Materiales!$F$378&gt;8,0,INDEX($E$2627:$L$2627,1,8+Materiales!$F$378))</f>
        <v/>
      </c>
      <c r="M2628" s="72">
        <f>IF($A2623="","",IF(SUMPRODUCT((COLUMN($E$2627:$L$2627)-4&lt;=Materiales!$F$378)*$E$2627:$L$2627)&gt;0,"PEDIR YA (atrasado)","OK"))</f>
        <v/>
      </c>
    </row>
    <row r="2629" ht="6" customHeight="1"/>
    <row r="2630">
      <c r="A2630" s="62">
        <f>IF(Materiales!$A$379="","",Materiales!$A$379)</f>
        <v/>
      </c>
      <c r="B2630" s="62">
        <f>IF(Materiales!$B$379="","",Materiales!$B$379)</f>
        <v/>
      </c>
      <c r="C2630" s="63" t="inlineStr">
        <is>
          <t>Necesidad bruta</t>
        </is>
      </c>
      <c r="D2630" s="64" t="n"/>
      <c r="E2630" s="65">
        <f>ROUND(SUMIF(Consumo!$P$4:$P$189,"#"&amp;$A2630,Consumo!H$4:H$189),4)</f>
        <v/>
      </c>
      <c r="F2630" s="65">
        <f>ROUND(SUMIF(Consumo!$P$4:$P$189,"#"&amp;$A2630,Consumo!I$4:I$189),4)</f>
        <v/>
      </c>
      <c r="G2630" s="65">
        <f>ROUND(SUMIF(Consumo!$P$4:$P$189,"#"&amp;$A2630,Consumo!J$4:J$189),4)</f>
        <v/>
      </c>
      <c r="H2630" s="65">
        <f>ROUND(SUMIF(Consumo!$P$4:$P$189,"#"&amp;$A2630,Consumo!K$4:K$189),4)</f>
        <v/>
      </c>
      <c r="I2630" s="65">
        <f>ROUND(SUMIF(Consumo!$P$4:$P$189,"#"&amp;$A2630,Consumo!L$4:L$189),4)</f>
        <v/>
      </c>
      <c r="J2630" s="65">
        <f>ROUND(SUMIF(Consumo!$P$4:$P$189,"#"&amp;$A2630,Consumo!M$4:M$189),4)</f>
        <v/>
      </c>
      <c r="K2630" s="65">
        <f>ROUND(SUMIF(Consumo!$P$4:$P$189,"#"&amp;$A2630,Consumo!N$4:N$189),4)</f>
        <v/>
      </c>
      <c r="L2630" s="65">
        <f>ROUND(SUMIF(Consumo!$P$4:$P$189,"#"&amp;$A2630,Consumo!O$4:O$189),4)</f>
        <v/>
      </c>
      <c r="M2630" s="66" t="n"/>
    </row>
    <row r="2631">
      <c r="C2631" s="63" t="inlineStr">
        <is>
          <t>Recepciones programadas (ya pedido)</t>
        </is>
      </c>
      <c r="D2631" s="64" t="n"/>
      <c r="E2631" s="65">
        <f>SUMIF(Inventario!$M$5:$M$505,"#"&amp;$A2630,Inventario!E$5:E$505)</f>
        <v/>
      </c>
      <c r="F2631" s="65">
        <f>SUMIF(Inventario!$M$5:$M$505,"#"&amp;$A2630,Inventario!F$5:F$505)</f>
        <v/>
      </c>
      <c r="G2631" s="65">
        <f>SUMIF(Inventario!$M$5:$M$505,"#"&amp;$A2630,Inventario!G$5:G$505)</f>
        <v/>
      </c>
      <c r="H2631" s="65">
        <f>SUMIF(Inventario!$M$5:$M$505,"#"&amp;$A2630,Inventario!H$5:H$505)</f>
        <v/>
      </c>
      <c r="I2631" s="65">
        <f>SUMIF(Inventario!$M$5:$M$505,"#"&amp;$A2630,Inventario!I$5:I$505)</f>
        <v/>
      </c>
      <c r="J2631" s="65">
        <f>SUMIF(Inventario!$M$5:$M$505,"#"&amp;$A2630,Inventario!J$5:J$505)</f>
        <v/>
      </c>
      <c r="K2631" s="65">
        <f>SUMIF(Inventario!$M$5:$M$505,"#"&amp;$A2630,Inventario!K$5:K$505)</f>
        <v/>
      </c>
      <c r="L2631" s="65">
        <f>SUMIF(Inventario!$M$5:$M$505,"#"&amp;$A2630,Inventario!L$5:L$505)</f>
        <v/>
      </c>
      <c r="M2631" s="66" t="n"/>
    </row>
    <row r="2632">
      <c r="C2632" s="63" t="inlineStr">
        <is>
          <t>Stock proyectado disponible</t>
        </is>
      </c>
      <c r="D2632" s="67">
        <f>SUMIF(Inventario!$M$5:$M$505,"#"&amp;$A2630,Inventario!$C$5:$C$505)</f>
        <v/>
      </c>
      <c r="E2632" s="68">
        <f>D2632+E2631+E2634-E2630</f>
        <v/>
      </c>
      <c r="F2632" s="68">
        <f>E2632+F2631+F2634-F2630</f>
        <v/>
      </c>
      <c r="G2632" s="68">
        <f>F2632+G2631+G2634-G2630</f>
        <v/>
      </c>
      <c r="H2632" s="68">
        <f>G2632+H2631+H2634-H2630</f>
        <v/>
      </c>
      <c r="I2632" s="68">
        <f>H2632+I2631+I2634-I2630</f>
        <v/>
      </c>
      <c r="J2632" s="68">
        <f>I2632+J2631+J2634-J2630</f>
        <v/>
      </c>
      <c r="K2632" s="68">
        <f>J2632+K2631+K2634-K2630</f>
        <v/>
      </c>
      <c r="L2632" s="68">
        <f>K2632+L2631+L2634-L2630</f>
        <v/>
      </c>
      <c r="M2632" s="66" t="n"/>
    </row>
    <row r="2633">
      <c r="C2633" s="63" t="inlineStr">
        <is>
          <t>Necesidad neta</t>
        </is>
      </c>
      <c r="D2633" s="64" t="n"/>
      <c r="E2633" s="69">
        <f>MAX(0,ROUND(E2630+Materiales!$H$379-D2632-E2631,4))</f>
        <v/>
      </c>
      <c r="F2633" s="69">
        <f>MAX(0,ROUND(F2630+Materiales!$H$379-E2632-F2631,4))</f>
        <v/>
      </c>
      <c r="G2633" s="69">
        <f>MAX(0,ROUND(G2630+Materiales!$H$379-F2632-G2631,4))</f>
        <v/>
      </c>
      <c r="H2633" s="69">
        <f>MAX(0,ROUND(H2630+Materiales!$H$379-G2632-H2631,4))</f>
        <v/>
      </c>
      <c r="I2633" s="69">
        <f>MAX(0,ROUND(I2630+Materiales!$H$379-H2632-I2631,4))</f>
        <v/>
      </c>
      <c r="J2633" s="69">
        <f>MAX(0,ROUND(J2630+Materiales!$H$379-I2632-J2631,4))</f>
        <v/>
      </c>
      <c r="K2633" s="69">
        <f>MAX(0,ROUND(K2630+Materiales!$H$379-J2632-K2631,4))</f>
        <v/>
      </c>
      <c r="L2633" s="69">
        <f>MAX(0,ROUND(L2630+Materiales!$H$379-K2632-L2631,4))</f>
        <v/>
      </c>
      <c r="M2633" s="66" t="n"/>
    </row>
    <row r="2634">
      <c r="C2634" s="63" t="inlineStr">
        <is>
          <t>Recepcion de orden planificada</t>
        </is>
      </c>
      <c r="D2634" s="64" t="n"/>
      <c r="E2634" s="65">
        <f>IF(E2633&lt;=0,0,IF(Materiales!$G$379&lt;=0,E2633,ROUNDUP(E2633/Materiales!$G$379,0)*Materiales!$G$379))</f>
        <v/>
      </c>
      <c r="F2634" s="65">
        <f>IF(F2633&lt;=0,0,IF(Materiales!$G$379&lt;=0,F2633,ROUNDUP(F2633/Materiales!$G$379,0)*Materiales!$G$379))</f>
        <v/>
      </c>
      <c r="G2634" s="65">
        <f>IF(G2633&lt;=0,0,IF(Materiales!$G$379&lt;=0,G2633,ROUNDUP(G2633/Materiales!$G$379,0)*Materiales!$G$379))</f>
        <v/>
      </c>
      <c r="H2634" s="65">
        <f>IF(H2633&lt;=0,0,IF(Materiales!$G$379&lt;=0,H2633,ROUNDUP(H2633/Materiales!$G$379,0)*Materiales!$G$379))</f>
        <v/>
      </c>
      <c r="I2634" s="65">
        <f>IF(I2633&lt;=0,0,IF(Materiales!$G$379&lt;=0,I2633,ROUNDUP(I2633/Materiales!$G$379,0)*Materiales!$G$379))</f>
        <v/>
      </c>
      <c r="J2634" s="65">
        <f>IF(J2633&lt;=0,0,IF(Materiales!$G$379&lt;=0,J2633,ROUNDUP(J2633/Materiales!$G$379,0)*Materiales!$G$379))</f>
        <v/>
      </c>
      <c r="K2634" s="65">
        <f>IF(K2633&lt;=0,0,IF(Materiales!$G$379&lt;=0,K2633,ROUNDUP(K2633/Materiales!$G$379,0)*Materiales!$G$379))</f>
        <v/>
      </c>
      <c r="L2634" s="65">
        <f>IF(L2633&lt;=0,0,IF(Materiales!$G$379&lt;=0,L2633,ROUNDUP(L2633/Materiales!$G$379,0)*Materiales!$G$379))</f>
        <v/>
      </c>
      <c r="M2634" s="66" t="n"/>
    </row>
    <row r="2635">
      <c r="C2635" s="70" t="inlineStr">
        <is>
          <t>LANZAMIENTO DE ORDEN — pedir esta semana</t>
        </is>
      </c>
      <c r="D2635" s="64" t="n"/>
      <c r="E2635" s="71">
        <f>IF(1+Materiales!$F$379&gt;8,0,INDEX($E$2634:$L$2634,1,1+Materiales!$F$379))</f>
        <v/>
      </c>
      <c r="F2635" s="71">
        <f>IF(2+Materiales!$F$379&gt;8,0,INDEX($E$2634:$L$2634,1,2+Materiales!$F$379))</f>
        <v/>
      </c>
      <c r="G2635" s="71">
        <f>IF(3+Materiales!$F$379&gt;8,0,INDEX($E$2634:$L$2634,1,3+Materiales!$F$379))</f>
        <v/>
      </c>
      <c r="H2635" s="71">
        <f>IF(4+Materiales!$F$379&gt;8,0,INDEX($E$2634:$L$2634,1,4+Materiales!$F$379))</f>
        <v/>
      </c>
      <c r="I2635" s="71">
        <f>IF(5+Materiales!$F$379&gt;8,0,INDEX($E$2634:$L$2634,1,5+Materiales!$F$379))</f>
        <v/>
      </c>
      <c r="J2635" s="71">
        <f>IF(6+Materiales!$F$379&gt;8,0,INDEX($E$2634:$L$2634,1,6+Materiales!$F$379))</f>
        <v/>
      </c>
      <c r="K2635" s="71">
        <f>IF(7+Materiales!$F$379&gt;8,0,INDEX($E$2634:$L$2634,1,7+Materiales!$F$379))</f>
        <v/>
      </c>
      <c r="L2635" s="71">
        <f>IF(8+Materiales!$F$379&gt;8,0,INDEX($E$2634:$L$2634,1,8+Materiales!$F$379))</f>
        <v/>
      </c>
      <c r="M2635" s="72">
        <f>IF($A2630="","",IF(SUMPRODUCT((COLUMN($E$2634:$L$2634)-4&lt;=Materiales!$F$379)*$E$2634:$L$2634)&gt;0,"PEDIR YA (atrasado)","OK"))</f>
        <v/>
      </c>
    </row>
    <row r="2636" ht="6" customHeight="1"/>
    <row r="2637">
      <c r="A2637" s="62">
        <f>IF(Materiales!$A$380="","",Materiales!$A$380)</f>
        <v/>
      </c>
      <c r="B2637" s="62">
        <f>IF(Materiales!$B$380="","",Materiales!$B$380)</f>
        <v/>
      </c>
      <c r="C2637" s="63" t="inlineStr">
        <is>
          <t>Necesidad bruta</t>
        </is>
      </c>
      <c r="D2637" s="64" t="n"/>
      <c r="E2637" s="65">
        <f>ROUND(SUMIF(Consumo!$P$4:$P$189,"#"&amp;$A2637,Consumo!H$4:H$189),4)</f>
        <v/>
      </c>
      <c r="F2637" s="65">
        <f>ROUND(SUMIF(Consumo!$P$4:$P$189,"#"&amp;$A2637,Consumo!I$4:I$189),4)</f>
        <v/>
      </c>
      <c r="G2637" s="65">
        <f>ROUND(SUMIF(Consumo!$P$4:$P$189,"#"&amp;$A2637,Consumo!J$4:J$189),4)</f>
        <v/>
      </c>
      <c r="H2637" s="65">
        <f>ROUND(SUMIF(Consumo!$P$4:$P$189,"#"&amp;$A2637,Consumo!K$4:K$189),4)</f>
        <v/>
      </c>
      <c r="I2637" s="65">
        <f>ROUND(SUMIF(Consumo!$P$4:$P$189,"#"&amp;$A2637,Consumo!L$4:L$189),4)</f>
        <v/>
      </c>
      <c r="J2637" s="65">
        <f>ROUND(SUMIF(Consumo!$P$4:$P$189,"#"&amp;$A2637,Consumo!M$4:M$189),4)</f>
        <v/>
      </c>
      <c r="K2637" s="65">
        <f>ROUND(SUMIF(Consumo!$P$4:$P$189,"#"&amp;$A2637,Consumo!N$4:N$189),4)</f>
        <v/>
      </c>
      <c r="L2637" s="65">
        <f>ROUND(SUMIF(Consumo!$P$4:$P$189,"#"&amp;$A2637,Consumo!O$4:O$189),4)</f>
        <v/>
      </c>
      <c r="M2637" s="66" t="n"/>
    </row>
    <row r="2638">
      <c r="C2638" s="63" t="inlineStr">
        <is>
          <t>Recepciones programadas (ya pedido)</t>
        </is>
      </c>
      <c r="D2638" s="64" t="n"/>
      <c r="E2638" s="65">
        <f>SUMIF(Inventario!$M$5:$M$505,"#"&amp;$A2637,Inventario!E$5:E$505)</f>
        <v/>
      </c>
      <c r="F2638" s="65">
        <f>SUMIF(Inventario!$M$5:$M$505,"#"&amp;$A2637,Inventario!F$5:F$505)</f>
        <v/>
      </c>
      <c r="G2638" s="65">
        <f>SUMIF(Inventario!$M$5:$M$505,"#"&amp;$A2637,Inventario!G$5:G$505)</f>
        <v/>
      </c>
      <c r="H2638" s="65">
        <f>SUMIF(Inventario!$M$5:$M$505,"#"&amp;$A2637,Inventario!H$5:H$505)</f>
        <v/>
      </c>
      <c r="I2638" s="65">
        <f>SUMIF(Inventario!$M$5:$M$505,"#"&amp;$A2637,Inventario!I$5:I$505)</f>
        <v/>
      </c>
      <c r="J2638" s="65">
        <f>SUMIF(Inventario!$M$5:$M$505,"#"&amp;$A2637,Inventario!J$5:J$505)</f>
        <v/>
      </c>
      <c r="K2638" s="65">
        <f>SUMIF(Inventario!$M$5:$M$505,"#"&amp;$A2637,Inventario!K$5:K$505)</f>
        <v/>
      </c>
      <c r="L2638" s="65">
        <f>SUMIF(Inventario!$M$5:$M$505,"#"&amp;$A2637,Inventario!L$5:L$505)</f>
        <v/>
      </c>
      <c r="M2638" s="66" t="n"/>
    </row>
    <row r="2639">
      <c r="C2639" s="63" t="inlineStr">
        <is>
          <t>Stock proyectado disponible</t>
        </is>
      </c>
      <c r="D2639" s="67">
        <f>SUMIF(Inventario!$M$5:$M$505,"#"&amp;$A2637,Inventario!$C$5:$C$505)</f>
        <v/>
      </c>
      <c r="E2639" s="68">
        <f>D2639+E2638+E2641-E2637</f>
        <v/>
      </c>
      <c r="F2639" s="68">
        <f>E2639+F2638+F2641-F2637</f>
        <v/>
      </c>
      <c r="G2639" s="68">
        <f>F2639+G2638+G2641-G2637</f>
        <v/>
      </c>
      <c r="H2639" s="68">
        <f>G2639+H2638+H2641-H2637</f>
        <v/>
      </c>
      <c r="I2639" s="68">
        <f>H2639+I2638+I2641-I2637</f>
        <v/>
      </c>
      <c r="J2639" s="68">
        <f>I2639+J2638+J2641-J2637</f>
        <v/>
      </c>
      <c r="K2639" s="68">
        <f>J2639+K2638+K2641-K2637</f>
        <v/>
      </c>
      <c r="L2639" s="68">
        <f>K2639+L2638+L2641-L2637</f>
        <v/>
      </c>
      <c r="M2639" s="66" t="n"/>
    </row>
    <row r="2640">
      <c r="C2640" s="63" t="inlineStr">
        <is>
          <t>Necesidad neta</t>
        </is>
      </c>
      <c r="D2640" s="64" t="n"/>
      <c r="E2640" s="69">
        <f>MAX(0,ROUND(E2637+Materiales!$H$380-D2639-E2638,4))</f>
        <v/>
      </c>
      <c r="F2640" s="69">
        <f>MAX(0,ROUND(F2637+Materiales!$H$380-E2639-F2638,4))</f>
        <v/>
      </c>
      <c r="G2640" s="69">
        <f>MAX(0,ROUND(G2637+Materiales!$H$380-F2639-G2638,4))</f>
        <v/>
      </c>
      <c r="H2640" s="69">
        <f>MAX(0,ROUND(H2637+Materiales!$H$380-G2639-H2638,4))</f>
        <v/>
      </c>
      <c r="I2640" s="69">
        <f>MAX(0,ROUND(I2637+Materiales!$H$380-H2639-I2638,4))</f>
        <v/>
      </c>
      <c r="J2640" s="69">
        <f>MAX(0,ROUND(J2637+Materiales!$H$380-I2639-J2638,4))</f>
        <v/>
      </c>
      <c r="K2640" s="69">
        <f>MAX(0,ROUND(K2637+Materiales!$H$380-J2639-K2638,4))</f>
        <v/>
      </c>
      <c r="L2640" s="69">
        <f>MAX(0,ROUND(L2637+Materiales!$H$380-K2639-L2638,4))</f>
        <v/>
      </c>
      <c r="M2640" s="66" t="n"/>
    </row>
    <row r="2641">
      <c r="C2641" s="63" t="inlineStr">
        <is>
          <t>Recepcion de orden planificada</t>
        </is>
      </c>
      <c r="D2641" s="64" t="n"/>
      <c r="E2641" s="65">
        <f>IF(E2640&lt;=0,0,IF(Materiales!$G$380&lt;=0,E2640,ROUNDUP(E2640/Materiales!$G$380,0)*Materiales!$G$380))</f>
        <v/>
      </c>
      <c r="F2641" s="65">
        <f>IF(F2640&lt;=0,0,IF(Materiales!$G$380&lt;=0,F2640,ROUNDUP(F2640/Materiales!$G$380,0)*Materiales!$G$380))</f>
        <v/>
      </c>
      <c r="G2641" s="65">
        <f>IF(G2640&lt;=0,0,IF(Materiales!$G$380&lt;=0,G2640,ROUNDUP(G2640/Materiales!$G$380,0)*Materiales!$G$380))</f>
        <v/>
      </c>
      <c r="H2641" s="65">
        <f>IF(H2640&lt;=0,0,IF(Materiales!$G$380&lt;=0,H2640,ROUNDUP(H2640/Materiales!$G$380,0)*Materiales!$G$380))</f>
        <v/>
      </c>
      <c r="I2641" s="65">
        <f>IF(I2640&lt;=0,0,IF(Materiales!$G$380&lt;=0,I2640,ROUNDUP(I2640/Materiales!$G$380,0)*Materiales!$G$380))</f>
        <v/>
      </c>
      <c r="J2641" s="65">
        <f>IF(J2640&lt;=0,0,IF(Materiales!$G$380&lt;=0,J2640,ROUNDUP(J2640/Materiales!$G$380,0)*Materiales!$G$380))</f>
        <v/>
      </c>
      <c r="K2641" s="65">
        <f>IF(K2640&lt;=0,0,IF(Materiales!$G$380&lt;=0,K2640,ROUNDUP(K2640/Materiales!$G$380,0)*Materiales!$G$380))</f>
        <v/>
      </c>
      <c r="L2641" s="65">
        <f>IF(L2640&lt;=0,0,IF(Materiales!$G$380&lt;=0,L2640,ROUNDUP(L2640/Materiales!$G$380,0)*Materiales!$G$380))</f>
        <v/>
      </c>
      <c r="M2641" s="66" t="n"/>
    </row>
    <row r="2642">
      <c r="C2642" s="70" t="inlineStr">
        <is>
          <t>LANZAMIENTO DE ORDEN — pedir esta semana</t>
        </is>
      </c>
      <c r="D2642" s="64" t="n"/>
      <c r="E2642" s="71">
        <f>IF(1+Materiales!$F$380&gt;8,0,INDEX($E$2641:$L$2641,1,1+Materiales!$F$380))</f>
        <v/>
      </c>
      <c r="F2642" s="71">
        <f>IF(2+Materiales!$F$380&gt;8,0,INDEX($E$2641:$L$2641,1,2+Materiales!$F$380))</f>
        <v/>
      </c>
      <c r="G2642" s="71">
        <f>IF(3+Materiales!$F$380&gt;8,0,INDEX($E$2641:$L$2641,1,3+Materiales!$F$380))</f>
        <v/>
      </c>
      <c r="H2642" s="71">
        <f>IF(4+Materiales!$F$380&gt;8,0,INDEX($E$2641:$L$2641,1,4+Materiales!$F$380))</f>
        <v/>
      </c>
      <c r="I2642" s="71">
        <f>IF(5+Materiales!$F$380&gt;8,0,INDEX($E$2641:$L$2641,1,5+Materiales!$F$380))</f>
        <v/>
      </c>
      <c r="J2642" s="71">
        <f>IF(6+Materiales!$F$380&gt;8,0,INDEX($E$2641:$L$2641,1,6+Materiales!$F$380))</f>
        <v/>
      </c>
      <c r="K2642" s="71">
        <f>IF(7+Materiales!$F$380&gt;8,0,INDEX($E$2641:$L$2641,1,7+Materiales!$F$380))</f>
        <v/>
      </c>
      <c r="L2642" s="71">
        <f>IF(8+Materiales!$F$380&gt;8,0,INDEX($E$2641:$L$2641,1,8+Materiales!$F$380))</f>
        <v/>
      </c>
      <c r="M2642" s="72">
        <f>IF($A2637="","",IF(SUMPRODUCT((COLUMN($E$2641:$L$2641)-4&lt;=Materiales!$F$380)*$E$2641:$L$2641)&gt;0,"PEDIR YA (atrasado)","OK"))</f>
        <v/>
      </c>
    </row>
    <row r="2643" ht="6" customHeight="1"/>
    <row r="2644">
      <c r="A2644" s="62">
        <f>IF(Materiales!$A$381="","",Materiales!$A$381)</f>
        <v/>
      </c>
      <c r="B2644" s="62">
        <f>IF(Materiales!$B$381="","",Materiales!$B$381)</f>
        <v/>
      </c>
      <c r="C2644" s="63" t="inlineStr">
        <is>
          <t>Necesidad bruta</t>
        </is>
      </c>
      <c r="D2644" s="64" t="n"/>
      <c r="E2644" s="65">
        <f>ROUND(SUMIF(Consumo!$P$4:$P$189,"#"&amp;$A2644,Consumo!H$4:H$189),4)</f>
        <v/>
      </c>
      <c r="F2644" s="65">
        <f>ROUND(SUMIF(Consumo!$P$4:$P$189,"#"&amp;$A2644,Consumo!I$4:I$189),4)</f>
        <v/>
      </c>
      <c r="G2644" s="65">
        <f>ROUND(SUMIF(Consumo!$P$4:$P$189,"#"&amp;$A2644,Consumo!J$4:J$189),4)</f>
        <v/>
      </c>
      <c r="H2644" s="65">
        <f>ROUND(SUMIF(Consumo!$P$4:$P$189,"#"&amp;$A2644,Consumo!K$4:K$189),4)</f>
        <v/>
      </c>
      <c r="I2644" s="65">
        <f>ROUND(SUMIF(Consumo!$P$4:$P$189,"#"&amp;$A2644,Consumo!L$4:L$189),4)</f>
        <v/>
      </c>
      <c r="J2644" s="65">
        <f>ROUND(SUMIF(Consumo!$P$4:$P$189,"#"&amp;$A2644,Consumo!M$4:M$189),4)</f>
        <v/>
      </c>
      <c r="K2644" s="65">
        <f>ROUND(SUMIF(Consumo!$P$4:$P$189,"#"&amp;$A2644,Consumo!N$4:N$189),4)</f>
        <v/>
      </c>
      <c r="L2644" s="65">
        <f>ROUND(SUMIF(Consumo!$P$4:$P$189,"#"&amp;$A2644,Consumo!O$4:O$189),4)</f>
        <v/>
      </c>
      <c r="M2644" s="66" t="n"/>
    </row>
    <row r="2645">
      <c r="C2645" s="63" t="inlineStr">
        <is>
          <t>Recepciones programadas (ya pedido)</t>
        </is>
      </c>
      <c r="D2645" s="64" t="n"/>
      <c r="E2645" s="65">
        <f>SUMIF(Inventario!$M$5:$M$505,"#"&amp;$A2644,Inventario!E$5:E$505)</f>
        <v/>
      </c>
      <c r="F2645" s="65">
        <f>SUMIF(Inventario!$M$5:$M$505,"#"&amp;$A2644,Inventario!F$5:F$505)</f>
        <v/>
      </c>
      <c r="G2645" s="65">
        <f>SUMIF(Inventario!$M$5:$M$505,"#"&amp;$A2644,Inventario!G$5:G$505)</f>
        <v/>
      </c>
      <c r="H2645" s="65">
        <f>SUMIF(Inventario!$M$5:$M$505,"#"&amp;$A2644,Inventario!H$5:H$505)</f>
        <v/>
      </c>
      <c r="I2645" s="65">
        <f>SUMIF(Inventario!$M$5:$M$505,"#"&amp;$A2644,Inventario!I$5:I$505)</f>
        <v/>
      </c>
      <c r="J2645" s="65">
        <f>SUMIF(Inventario!$M$5:$M$505,"#"&amp;$A2644,Inventario!J$5:J$505)</f>
        <v/>
      </c>
      <c r="K2645" s="65">
        <f>SUMIF(Inventario!$M$5:$M$505,"#"&amp;$A2644,Inventario!K$5:K$505)</f>
        <v/>
      </c>
      <c r="L2645" s="65">
        <f>SUMIF(Inventario!$M$5:$M$505,"#"&amp;$A2644,Inventario!L$5:L$505)</f>
        <v/>
      </c>
      <c r="M2645" s="66" t="n"/>
    </row>
    <row r="2646">
      <c r="C2646" s="63" t="inlineStr">
        <is>
          <t>Stock proyectado disponible</t>
        </is>
      </c>
      <c r="D2646" s="67">
        <f>SUMIF(Inventario!$M$5:$M$505,"#"&amp;$A2644,Inventario!$C$5:$C$505)</f>
        <v/>
      </c>
      <c r="E2646" s="68">
        <f>D2646+E2645+E2648-E2644</f>
        <v/>
      </c>
      <c r="F2646" s="68">
        <f>E2646+F2645+F2648-F2644</f>
        <v/>
      </c>
      <c r="G2646" s="68">
        <f>F2646+G2645+G2648-G2644</f>
        <v/>
      </c>
      <c r="H2646" s="68">
        <f>G2646+H2645+H2648-H2644</f>
        <v/>
      </c>
      <c r="I2646" s="68">
        <f>H2646+I2645+I2648-I2644</f>
        <v/>
      </c>
      <c r="J2646" s="68">
        <f>I2646+J2645+J2648-J2644</f>
        <v/>
      </c>
      <c r="K2646" s="68">
        <f>J2646+K2645+K2648-K2644</f>
        <v/>
      </c>
      <c r="L2646" s="68">
        <f>K2646+L2645+L2648-L2644</f>
        <v/>
      </c>
      <c r="M2646" s="66" t="n"/>
    </row>
    <row r="2647">
      <c r="C2647" s="63" t="inlineStr">
        <is>
          <t>Necesidad neta</t>
        </is>
      </c>
      <c r="D2647" s="64" t="n"/>
      <c r="E2647" s="69">
        <f>MAX(0,ROUND(E2644+Materiales!$H$381-D2646-E2645,4))</f>
        <v/>
      </c>
      <c r="F2647" s="69">
        <f>MAX(0,ROUND(F2644+Materiales!$H$381-E2646-F2645,4))</f>
        <v/>
      </c>
      <c r="G2647" s="69">
        <f>MAX(0,ROUND(G2644+Materiales!$H$381-F2646-G2645,4))</f>
        <v/>
      </c>
      <c r="H2647" s="69">
        <f>MAX(0,ROUND(H2644+Materiales!$H$381-G2646-H2645,4))</f>
        <v/>
      </c>
      <c r="I2647" s="69">
        <f>MAX(0,ROUND(I2644+Materiales!$H$381-H2646-I2645,4))</f>
        <v/>
      </c>
      <c r="J2647" s="69">
        <f>MAX(0,ROUND(J2644+Materiales!$H$381-I2646-J2645,4))</f>
        <v/>
      </c>
      <c r="K2647" s="69">
        <f>MAX(0,ROUND(K2644+Materiales!$H$381-J2646-K2645,4))</f>
        <v/>
      </c>
      <c r="L2647" s="69">
        <f>MAX(0,ROUND(L2644+Materiales!$H$381-K2646-L2645,4))</f>
        <v/>
      </c>
      <c r="M2647" s="66" t="n"/>
    </row>
    <row r="2648">
      <c r="C2648" s="63" t="inlineStr">
        <is>
          <t>Recepcion de orden planificada</t>
        </is>
      </c>
      <c r="D2648" s="64" t="n"/>
      <c r="E2648" s="65">
        <f>IF(E2647&lt;=0,0,IF(Materiales!$G$381&lt;=0,E2647,ROUNDUP(E2647/Materiales!$G$381,0)*Materiales!$G$381))</f>
        <v/>
      </c>
      <c r="F2648" s="65">
        <f>IF(F2647&lt;=0,0,IF(Materiales!$G$381&lt;=0,F2647,ROUNDUP(F2647/Materiales!$G$381,0)*Materiales!$G$381))</f>
        <v/>
      </c>
      <c r="G2648" s="65">
        <f>IF(G2647&lt;=0,0,IF(Materiales!$G$381&lt;=0,G2647,ROUNDUP(G2647/Materiales!$G$381,0)*Materiales!$G$381))</f>
        <v/>
      </c>
      <c r="H2648" s="65">
        <f>IF(H2647&lt;=0,0,IF(Materiales!$G$381&lt;=0,H2647,ROUNDUP(H2647/Materiales!$G$381,0)*Materiales!$G$381))</f>
        <v/>
      </c>
      <c r="I2648" s="65">
        <f>IF(I2647&lt;=0,0,IF(Materiales!$G$381&lt;=0,I2647,ROUNDUP(I2647/Materiales!$G$381,0)*Materiales!$G$381))</f>
        <v/>
      </c>
      <c r="J2648" s="65">
        <f>IF(J2647&lt;=0,0,IF(Materiales!$G$381&lt;=0,J2647,ROUNDUP(J2647/Materiales!$G$381,0)*Materiales!$G$381))</f>
        <v/>
      </c>
      <c r="K2648" s="65">
        <f>IF(K2647&lt;=0,0,IF(Materiales!$G$381&lt;=0,K2647,ROUNDUP(K2647/Materiales!$G$381,0)*Materiales!$G$381))</f>
        <v/>
      </c>
      <c r="L2648" s="65">
        <f>IF(L2647&lt;=0,0,IF(Materiales!$G$381&lt;=0,L2647,ROUNDUP(L2647/Materiales!$G$381,0)*Materiales!$G$381))</f>
        <v/>
      </c>
      <c r="M2648" s="66" t="n"/>
    </row>
    <row r="2649">
      <c r="C2649" s="70" t="inlineStr">
        <is>
          <t>LANZAMIENTO DE ORDEN — pedir esta semana</t>
        </is>
      </c>
      <c r="D2649" s="64" t="n"/>
      <c r="E2649" s="71">
        <f>IF(1+Materiales!$F$381&gt;8,0,INDEX($E$2648:$L$2648,1,1+Materiales!$F$381))</f>
        <v/>
      </c>
      <c r="F2649" s="71">
        <f>IF(2+Materiales!$F$381&gt;8,0,INDEX($E$2648:$L$2648,1,2+Materiales!$F$381))</f>
        <v/>
      </c>
      <c r="G2649" s="71">
        <f>IF(3+Materiales!$F$381&gt;8,0,INDEX($E$2648:$L$2648,1,3+Materiales!$F$381))</f>
        <v/>
      </c>
      <c r="H2649" s="71">
        <f>IF(4+Materiales!$F$381&gt;8,0,INDEX($E$2648:$L$2648,1,4+Materiales!$F$381))</f>
        <v/>
      </c>
      <c r="I2649" s="71">
        <f>IF(5+Materiales!$F$381&gt;8,0,INDEX($E$2648:$L$2648,1,5+Materiales!$F$381))</f>
        <v/>
      </c>
      <c r="J2649" s="71">
        <f>IF(6+Materiales!$F$381&gt;8,0,INDEX($E$2648:$L$2648,1,6+Materiales!$F$381))</f>
        <v/>
      </c>
      <c r="K2649" s="71">
        <f>IF(7+Materiales!$F$381&gt;8,0,INDEX($E$2648:$L$2648,1,7+Materiales!$F$381))</f>
        <v/>
      </c>
      <c r="L2649" s="71">
        <f>IF(8+Materiales!$F$381&gt;8,0,INDEX($E$2648:$L$2648,1,8+Materiales!$F$381))</f>
        <v/>
      </c>
      <c r="M2649" s="72">
        <f>IF($A2644="","",IF(SUMPRODUCT((COLUMN($E$2648:$L$2648)-4&lt;=Materiales!$F$381)*$E$2648:$L$2648)&gt;0,"PEDIR YA (atrasado)","OK"))</f>
        <v/>
      </c>
    </row>
    <row r="2650" ht="6" customHeight="1"/>
    <row r="2651">
      <c r="A2651" s="62">
        <f>IF(Materiales!$A$382="","",Materiales!$A$382)</f>
        <v/>
      </c>
      <c r="B2651" s="62">
        <f>IF(Materiales!$B$382="","",Materiales!$B$382)</f>
        <v/>
      </c>
      <c r="C2651" s="63" t="inlineStr">
        <is>
          <t>Necesidad bruta</t>
        </is>
      </c>
      <c r="D2651" s="64" t="n"/>
      <c r="E2651" s="65">
        <f>ROUND(SUMIF(Consumo!$P$4:$P$189,"#"&amp;$A2651,Consumo!H$4:H$189),4)</f>
        <v/>
      </c>
      <c r="F2651" s="65">
        <f>ROUND(SUMIF(Consumo!$P$4:$P$189,"#"&amp;$A2651,Consumo!I$4:I$189),4)</f>
        <v/>
      </c>
      <c r="G2651" s="65">
        <f>ROUND(SUMIF(Consumo!$P$4:$P$189,"#"&amp;$A2651,Consumo!J$4:J$189),4)</f>
        <v/>
      </c>
      <c r="H2651" s="65">
        <f>ROUND(SUMIF(Consumo!$P$4:$P$189,"#"&amp;$A2651,Consumo!K$4:K$189),4)</f>
        <v/>
      </c>
      <c r="I2651" s="65">
        <f>ROUND(SUMIF(Consumo!$P$4:$P$189,"#"&amp;$A2651,Consumo!L$4:L$189),4)</f>
        <v/>
      </c>
      <c r="J2651" s="65">
        <f>ROUND(SUMIF(Consumo!$P$4:$P$189,"#"&amp;$A2651,Consumo!M$4:M$189),4)</f>
        <v/>
      </c>
      <c r="K2651" s="65">
        <f>ROUND(SUMIF(Consumo!$P$4:$P$189,"#"&amp;$A2651,Consumo!N$4:N$189),4)</f>
        <v/>
      </c>
      <c r="L2651" s="65">
        <f>ROUND(SUMIF(Consumo!$P$4:$P$189,"#"&amp;$A2651,Consumo!O$4:O$189),4)</f>
        <v/>
      </c>
      <c r="M2651" s="66" t="n"/>
    </row>
    <row r="2652">
      <c r="C2652" s="63" t="inlineStr">
        <is>
          <t>Recepciones programadas (ya pedido)</t>
        </is>
      </c>
      <c r="D2652" s="64" t="n"/>
      <c r="E2652" s="65">
        <f>SUMIF(Inventario!$M$5:$M$505,"#"&amp;$A2651,Inventario!E$5:E$505)</f>
        <v/>
      </c>
      <c r="F2652" s="65">
        <f>SUMIF(Inventario!$M$5:$M$505,"#"&amp;$A2651,Inventario!F$5:F$505)</f>
        <v/>
      </c>
      <c r="G2652" s="65">
        <f>SUMIF(Inventario!$M$5:$M$505,"#"&amp;$A2651,Inventario!G$5:G$505)</f>
        <v/>
      </c>
      <c r="H2652" s="65">
        <f>SUMIF(Inventario!$M$5:$M$505,"#"&amp;$A2651,Inventario!H$5:H$505)</f>
        <v/>
      </c>
      <c r="I2652" s="65">
        <f>SUMIF(Inventario!$M$5:$M$505,"#"&amp;$A2651,Inventario!I$5:I$505)</f>
        <v/>
      </c>
      <c r="J2652" s="65">
        <f>SUMIF(Inventario!$M$5:$M$505,"#"&amp;$A2651,Inventario!J$5:J$505)</f>
        <v/>
      </c>
      <c r="K2652" s="65">
        <f>SUMIF(Inventario!$M$5:$M$505,"#"&amp;$A2651,Inventario!K$5:K$505)</f>
        <v/>
      </c>
      <c r="L2652" s="65">
        <f>SUMIF(Inventario!$M$5:$M$505,"#"&amp;$A2651,Inventario!L$5:L$505)</f>
        <v/>
      </c>
      <c r="M2652" s="66" t="n"/>
    </row>
    <row r="2653">
      <c r="C2653" s="63" t="inlineStr">
        <is>
          <t>Stock proyectado disponible</t>
        </is>
      </c>
      <c r="D2653" s="67">
        <f>SUMIF(Inventario!$M$5:$M$505,"#"&amp;$A2651,Inventario!$C$5:$C$505)</f>
        <v/>
      </c>
      <c r="E2653" s="68">
        <f>D2653+E2652+E2655-E2651</f>
        <v/>
      </c>
      <c r="F2653" s="68">
        <f>E2653+F2652+F2655-F2651</f>
        <v/>
      </c>
      <c r="G2653" s="68">
        <f>F2653+G2652+G2655-G2651</f>
        <v/>
      </c>
      <c r="H2653" s="68">
        <f>G2653+H2652+H2655-H2651</f>
        <v/>
      </c>
      <c r="I2653" s="68">
        <f>H2653+I2652+I2655-I2651</f>
        <v/>
      </c>
      <c r="J2653" s="68">
        <f>I2653+J2652+J2655-J2651</f>
        <v/>
      </c>
      <c r="K2653" s="68">
        <f>J2653+K2652+K2655-K2651</f>
        <v/>
      </c>
      <c r="L2653" s="68">
        <f>K2653+L2652+L2655-L2651</f>
        <v/>
      </c>
      <c r="M2653" s="66" t="n"/>
    </row>
    <row r="2654">
      <c r="C2654" s="63" t="inlineStr">
        <is>
          <t>Necesidad neta</t>
        </is>
      </c>
      <c r="D2654" s="64" t="n"/>
      <c r="E2654" s="69">
        <f>MAX(0,ROUND(E2651+Materiales!$H$382-D2653-E2652,4))</f>
        <v/>
      </c>
      <c r="F2654" s="69">
        <f>MAX(0,ROUND(F2651+Materiales!$H$382-E2653-F2652,4))</f>
        <v/>
      </c>
      <c r="G2654" s="69">
        <f>MAX(0,ROUND(G2651+Materiales!$H$382-F2653-G2652,4))</f>
        <v/>
      </c>
      <c r="H2654" s="69">
        <f>MAX(0,ROUND(H2651+Materiales!$H$382-G2653-H2652,4))</f>
        <v/>
      </c>
      <c r="I2654" s="69">
        <f>MAX(0,ROUND(I2651+Materiales!$H$382-H2653-I2652,4))</f>
        <v/>
      </c>
      <c r="J2654" s="69">
        <f>MAX(0,ROUND(J2651+Materiales!$H$382-I2653-J2652,4))</f>
        <v/>
      </c>
      <c r="K2654" s="69">
        <f>MAX(0,ROUND(K2651+Materiales!$H$382-J2653-K2652,4))</f>
        <v/>
      </c>
      <c r="L2654" s="69">
        <f>MAX(0,ROUND(L2651+Materiales!$H$382-K2653-L2652,4))</f>
        <v/>
      </c>
      <c r="M2654" s="66" t="n"/>
    </row>
    <row r="2655">
      <c r="C2655" s="63" t="inlineStr">
        <is>
          <t>Recepcion de orden planificada</t>
        </is>
      </c>
      <c r="D2655" s="64" t="n"/>
      <c r="E2655" s="65">
        <f>IF(E2654&lt;=0,0,IF(Materiales!$G$382&lt;=0,E2654,ROUNDUP(E2654/Materiales!$G$382,0)*Materiales!$G$382))</f>
        <v/>
      </c>
      <c r="F2655" s="65">
        <f>IF(F2654&lt;=0,0,IF(Materiales!$G$382&lt;=0,F2654,ROUNDUP(F2654/Materiales!$G$382,0)*Materiales!$G$382))</f>
        <v/>
      </c>
      <c r="G2655" s="65">
        <f>IF(G2654&lt;=0,0,IF(Materiales!$G$382&lt;=0,G2654,ROUNDUP(G2654/Materiales!$G$382,0)*Materiales!$G$382))</f>
        <v/>
      </c>
      <c r="H2655" s="65">
        <f>IF(H2654&lt;=0,0,IF(Materiales!$G$382&lt;=0,H2654,ROUNDUP(H2654/Materiales!$G$382,0)*Materiales!$G$382))</f>
        <v/>
      </c>
      <c r="I2655" s="65">
        <f>IF(I2654&lt;=0,0,IF(Materiales!$G$382&lt;=0,I2654,ROUNDUP(I2654/Materiales!$G$382,0)*Materiales!$G$382))</f>
        <v/>
      </c>
      <c r="J2655" s="65">
        <f>IF(J2654&lt;=0,0,IF(Materiales!$G$382&lt;=0,J2654,ROUNDUP(J2654/Materiales!$G$382,0)*Materiales!$G$382))</f>
        <v/>
      </c>
      <c r="K2655" s="65">
        <f>IF(K2654&lt;=0,0,IF(Materiales!$G$382&lt;=0,K2654,ROUNDUP(K2654/Materiales!$G$382,0)*Materiales!$G$382))</f>
        <v/>
      </c>
      <c r="L2655" s="65">
        <f>IF(L2654&lt;=0,0,IF(Materiales!$G$382&lt;=0,L2654,ROUNDUP(L2654/Materiales!$G$382,0)*Materiales!$G$382))</f>
        <v/>
      </c>
      <c r="M2655" s="66" t="n"/>
    </row>
    <row r="2656">
      <c r="C2656" s="70" t="inlineStr">
        <is>
          <t>LANZAMIENTO DE ORDEN — pedir esta semana</t>
        </is>
      </c>
      <c r="D2656" s="64" t="n"/>
      <c r="E2656" s="71">
        <f>IF(1+Materiales!$F$382&gt;8,0,INDEX($E$2655:$L$2655,1,1+Materiales!$F$382))</f>
        <v/>
      </c>
      <c r="F2656" s="71">
        <f>IF(2+Materiales!$F$382&gt;8,0,INDEX($E$2655:$L$2655,1,2+Materiales!$F$382))</f>
        <v/>
      </c>
      <c r="G2656" s="71">
        <f>IF(3+Materiales!$F$382&gt;8,0,INDEX($E$2655:$L$2655,1,3+Materiales!$F$382))</f>
        <v/>
      </c>
      <c r="H2656" s="71">
        <f>IF(4+Materiales!$F$382&gt;8,0,INDEX($E$2655:$L$2655,1,4+Materiales!$F$382))</f>
        <v/>
      </c>
      <c r="I2656" s="71">
        <f>IF(5+Materiales!$F$382&gt;8,0,INDEX($E$2655:$L$2655,1,5+Materiales!$F$382))</f>
        <v/>
      </c>
      <c r="J2656" s="71">
        <f>IF(6+Materiales!$F$382&gt;8,0,INDEX($E$2655:$L$2655,1,6+Materiales!$F$382))</f>
        <v/>
      </c>
      <c r="K2656" s="71">
        <f>IF(7+Materiales!$F$382&gt;8,0,INDEX($E$2655:$L$2655,1,7+Materiales!$F$382))</f>
        <v/>
      </c>
      <c r="L2656" s="71">
        <f>IF(8+Materiales!$F$382&gt;8,0,INDEX($E$2655:$L$2655,1,8+Materiales!$F$382))</f>
        <v/>
      </c>
      <c r="M2656" s="72">
        <f>IF($A2651="","",IF(SUMPRODUCT((COLUMN($E$2655:$L$2655)-4&lt;=Materiales!$F$382)*$E$2655:$L$2655)&gt;0,"PEDIR YA (atrasado)","OK"))</f>
        <v/>
      </c>
    </row>
    <row r="2657" ht="6" customHeight="1"/>
    <row r="2658">
      <c r="A2658" s="62">
        <f>IF(Materiales!$A$383="","",Materiales!$A$383)</f>
        <v/>
      </c>
      <c r="B2658" s="62">
        <f>IF(Materiales!$B$383="","",Materiales!$B$383)</f>
        <v/>
      </c>
      <c r="C2658" s="63" t="inlineStr">
        <is>
          <t>Necesidad bruta</t>
        </is>
      </c>
      <c r="D2658" s="64" t="n"/>
      <c r="E2658" s="65">
        <f>ROUND(SUMIF(Consumo!$P$4:$P$189,"#"&amp;$A2658,Consumo!H$4:H$189),4)</f>
        <v/>
      </c>
      <c r="F2658" s="65">
        <f>ROUND(SUMIF(Consumo!$P$4:$P$189,"#"&amp;$A2658,Consumo!I$4:I$189),4)</f>
        <v/>
      </c>
      <c r="G2658" s="65">
        <f>ROUND(SUMIF(Consumo!$P$4:$P$189,"#"&amp;$A2658,Consumo!J$4:J$189),4)</f>
        <v/>
      </c>
      <c r="H2658" s="65">
        <f>ROUND(SUMIF(Consumo!$P$4:$P$189,"#"&amp;$A2658,Consumo!K$4:K$189),4)</f>
        <v/>
      </c>
      <c r="I2658" s="65">
        <f>ROUND(SUMIF(Consumo!$P$4:$P$189,"#"&amp;$A2658,Consumo!L$4:L$189),4)</f>
        <v/>
      </c>
      <c r="J2658" s="65">
        <f>ROUND(SUMIF(Consumo!$P$4:$P$189,"#"&amp;$A2658,Consumo!M$4:M$189),4)</f>
        <v/>
      </c>
      <c r="K2658" s="65">
        <f>ROUND(SUMIF(Consumo!$P$4:$P$189,"#"&amp;$A2658,Consumo!N$4:N$189),4)</f>
        <v/>
      </c>
      <c r="L2658" s="65">
        <f>ROUND(SUMIF(Consumo!$P$4:$P$189,"#"&amp;$A2658,Consumo!O$4:O$189),4)</f>
        <v/>
      </c>
      <c r="M2658" s="66" t="n"/>
    </row>
    <row r="2659">
      <c r="C2659" s="63" t="inlineStr">
        <is>
          <t>Recepciones programadas (ya pedido)</t>
        </is>
      </c>
      <c r="D2659" s="64" t="n"/>
      <c r="E2659" s="65">
        <f>SUMIF(Inventario!$M$5:$M$505,"#"&amp;$A2658,Inventario!E$5:E$505)</f>
        <v/>
      </c>
      <c r="F2659" s="65">
        <f>SUMIF(Inventario!$M$5:$M$505,"#"&amp;$A2658,Inventario!F$5:F$505)</f>
        <v/>
      </c>
      <c r="G2659" s="65">
        <f>SUMIF(Inventario!$M$5:$M$505,"#"&amp;$A2658,Inventario!G$5:G$505)</f>
        <v/>
      </c>
      <c r="H2659" s="65">
        <f>SUMIF(Inventario!$M$5:$M$505,"#"&amp;$A2658,Inventario!H$5:H$505)</f>
        <v/>
      </c>
      <c r="I2659" s="65">
        <f>SUMIF(Inventario!$M$5:$M$505,"#"&amp;$A2658,Inventario!I$5:I$505)</f>
        <v/>
      </c>
      <c r="J2659" s="65">
        <f>SUMIF(Inventario!$M$5:$M$505,"#"&amp;$A2658,Inventario!J$5:J$505)</f>
        <v/>
      </c>
      <c r="K2659" s="65">
        <f>SUMIF(Inventario!$M$5:$M$505,"#"&amp;$A2658,Inventario!K$5:K$505)</f>
        <v/>
      </c>
      <c r="L2659" s="65">
        <f>SUMIF(Inventario!$M$5:$M$505,"#"&amp;$A2658,Inventario!L$5:L$505)</f>
        <v/>
      </c>
      <c r="M2659" s="66" t="n"/>
    </row>
    <row r="2660">
      <c r="C2660" s="63" t="inlineStr">
        <is>
          <t>Stock proyectado disponible</t>
        </is>
      </c>
      <c r="D2660" s="67">
        <f>SUMIF(Inventario!$M$5:$M$505,"#"&amp;$A2658,Inventario!$C$5:$C$505)</f>
        <v/>
      </c>
      <c r="E2660" s="68">
        <f>D2660+E2659+E2662-E2658</f>
        <v/>
      </c>
      <c r="F2660" s="68">
        <f>E2660+F2659+F2662-F2658</f>
        <v/>
      </c>
      <c r="G2660" s="68">
        <f>F2660+G2659+G2662-G2658</f>
        <v/>
      </c>
      <c r="H2660" s="68">
        <f>G2660+H2659+H2662-H2658</f>
        <v/>
      </c>
      <c r="I2660" s="68">
        <f>H2660+I2659+I2662-I2658</f>
        <v/>
      </c>
      <c r="J2660" s="68">
        <f>I2660+J2659+J2662-J2658</f>
        <v/>
      </c>
      <c r="K2660" s="68">
        <f>J2660+K2659+K2662-K2658</f>
        <v/>
      </c>
      <c r="L2660" s="68">
        <f>K2660+L2659+L2662-L2658</f>
        <v/>
      </c>
      <c r="M2660" s="66" t="n"/>
    </row>
    <row r="2661">
      <c r="C2661" s="63" t="inlineStr">
        <is>
          <t>Necesidad neta</t>
        </is>
      </c>
      <c r="D2661" s="64" t="n"/>
      <c r="E2661" s="69">
        <f>MAX(0,ROUND(E2658+Materiales!$H$383-D2660-E2659,4))</f>
        <v/>
      </c>
      <c r="F2661" s="69">
        <f>MAX(0,ROUND(F2658+Materiales!$H$383-E2660-F2659,4))</f>
        <v/>
      </c>
      <c r="G2661" s="69">
        <f>MAX(0,ROUND(G2658+Materiales!$H$383-F2660-G2659,4))</f>
        <v/>
      </c>
      <c r="H2661" s="69">
        <f>MAX(0,ROUND(H2658+Materiales!$H$383-G2660-H2659,4))</f>
        <v/>
      </c>
      <c r="I2661" s="69">
        <f>MAX(0,ROUND(I2658+Materiales!$H$383-H2660-I2659,4))</f>
        <v/>
      </c>
      <c r="J2661" s="69">
        <f>MAX(0,ROUND(J2658+Materiales!$H$383-I2660-J2659,4))</f>
        <v/>
      </c>
      <c r="K2661" s="69">
        <f>MAX(0,ROUND(K2658+Materiales!$H$383-J2660-K2659,4))</f>
        <v/>
      </c>
      <c r="L2661" s="69">
        <f>MAX(0,ROUND(L2658+Materiales!$H$383-K2660-L2659,4))</f>
        <v/>
      </c>
      <c r="M2661" s="66" t="n"/>
    </row>
    <row r="2662">
      <c r="C2662" s="63" t="inlineStr">
        <is>
          <t>Recepcion de orden planificada</t>
        </is>
      </c>
      <c r="D2662" s="64" t="n"/>
      <c r="E2662" s="65">
        <f>IF(E2661&lt;=0,0,IF(Materiales!$G$383&lt;=0,E2661,ROUNDUP(E2661/Materiales!$G$383,0)*Materiales!$G$383))</f>
        <v/>
      </c>
      <c r="F2662" s="65">
        <f>IF(F2661&lt;=0,0,IF(Materiales!$G$383&lt;=0,F2661,ROUNDUP(F2661/Materiales!$G$383,0)*Materiales!$G$383))</f>
        <v/>
      </c>
      <c r="G2662" s="65">
        <f>IF(G2661&lt;=0,0,IF(Materiales!$G$383&lt;=0,G2661,ROUNDUP(G2661/Materiales!$G$383,0)*Materiales!$G$383))</f>
        <v/>
      </c>
      <c r="H2662" s="65">
        <f>IF(H2661&lt;=0,0,IF(Materiales!$G$383&lt;=0,H2661,ROUNDUP(H2661/Materiales!$G$383,0)*Materiales!$G$383))</f>
        <v/>
      </c>
      <c r="I2662" s="65">
        <f>IF(I2661&lt;=0,0,IF(Materiales!$G$383&lt;=0,I2661,ROUNDUP(I2661/Materiales!$G$383,0)*Materiales!$G$383))</f>
        <v/>
      </c>
      <c r="J2662" s="65">
        <f>IF(J2661&lt;=0,0,IF(Materiales!$G$383&lt;=0,J2661,ROUNDUP(J2661/Materiales!$G$383,0)*Materiales!$G$383))</f>
        <v/>
      </c>
      <c r="K2662" s="65">
        <f>IF(K2661&lt;=0,0,IF(Materiales!$G$383&lt;=0,K2661,ROUNDUP(K2661/Materiales!$G$383,0)*Materiales!$G$383))</f>
        <v/>
      </c>
      <c r="L2662" s="65">
        <f>IF(L2661&lt;=0,0,IF(Materiales!$G$383&lt;=0,L2661,ROUNDUP(L2661/Materiales!$G$383,0)*Materiales!$G$383))</f>
        <v/>
      </c>
      <c r="M2662" s="66" t="n"/>
    </row>
    <row r="2663">
      <c r="C2663" s="70" t="inlineStr">
        <is>
          <t>LANZAMIENTO DE ORDEN — pedir esta semana</t>
        </is>
      </c>
      <c r="D2663" s="64" t="n"/>
      <c r="E2663" s="71">
        <f>IF(1+Materiales!$F$383&gt;8,0,INDEX($E$2662:$L$2662,1,1+Materiales!$F$383))</f>
        <v/>
      </c>
      <c r="F2663" s="71">
        <f>IF(2+Materiales!$F$383&gt;8,0,INDEX($E$2662:$L$2662,1,2+Materiales!$F$383))</f>
        <v/>
      </c>
      <c r="G2663" s="71">
        <f>IF(3+Materiales!$F$383&gt;8,0,INDEX($E$2662:$L$2662,1,3+Materiales!$F$383))</f>
        <v/>
      </c>
      <c r="H2663" s="71">
        <f>IF(4+Materiales!$F$383&gt;8,0,INDEX($E$2662:$L$2662,1,4+Materiales!$F$383))</f>
        <v/>
      </c>
      <c r="I2663" s="71">
        <f>IF(5+Materiales!$F$383&gt;8,0,INDEX($E$2662:$L$2662,1,5+Materiales!$F$383))</f>
        <v/>
      </c>
      <c r="J2663" s="71">
        <f>IF(6+Materiales!$F$383&gt;8,0,INDEX($E$2662:$L$2662,1,6+Materiales!$F$383))</f>
        <v/>
      </c>
      <c r="K2663" s="71">
        <f>IF(7+Materiales!$F$383&gt;8,0,INDEX($E$2662:$L$2662,1,7+Materiales!$F$383))</f>
        <v/>
      </c>
      <c r="L2663" s="71">
        <f>IF(8+Materiales!$F$383&gt;8,0,INDEX($E$2662:$L$2662,1,8+Materiales!$F$383))</f>
        <v/>
      </c>
      <c r="M2663" s="72">
        <f>IF($A2658="","",IF(SUMPRODUCT((COLUMN($E$2662:$L$2662)-4&lt;=Materiales!$F$383)*$E$2662:$L$2662)&gt;0,"PEDIR YA (atrasado)","OK"))</f>
        <v/>
      </c>
    </row>
    <row r="2664" ht="6" customHeight="1"/>
    <row r="2665">
      <c r="A2665" s="62">
        <f>IF(Materiales!$A$384="","",Materiales!$A$384)</f>
        <v/>
      </c>
      <c r="B2665" s="62">
        <f>IF(Materiales!$B$384="","",Materiales!$B$384)</f>
        <v/>
      </c>
      <c r="C2665" s="63" t="inlineStr">
        <is>
          <t>Necesidad bruta</t>
        </is>
      </c>
      <c r="D2665" s="64" t="n"/>
      <c r="E2665" s="65">
        <f>ROUND(SUMIF(Consumo!$P$4:$P$189,"#"&amp;$A2665,Consumo!H$4:H$189),4)</f>
        <v/>
      </c>
      <c r="F2665" s="65">
        <f>ROUND(SUMIF(Consumo!$P$4:$P$189,"#"&amp;$A2665,Consumo!I$4:I$189),4)</f>
        <v/>
      </c>
      <c r="G2665" s="65">
        <f>ROUND(SUMIF(Consumo!$P$4:$P$189,"#"&amp;$A2665,Consumo!J$4:J$189),4)</f>
        <v/>
      </c>
      <c r="H2665" s="65">
        <f>ROUND(SUMIF(Consumo!$P$4:$P$189,"#"&amp;$A2665,Consumo!K$4:K$189),4)</f>
        <v/>
      </c>
      <c r="I2665" s="65">
        <f>ROUND(SUMIF(Consumo!$P$4:$P$189,"#"&amp;$A2665,Consumo!L$4:L$189),4)</f>
        <v/>
      </c>
      <c r="J2665" s="65">
        <f>ROUND(SUMIF(Consumo!$P$4:$P$189,"#"&amp;$A2665,Consumo!M$4:M$189),4)</f>
        <v/>
      </c>
      <c r="K2665" s="65">
        <f>ROUND(SUMIF(Consumo!$P$4:$P$189,"#"&amp;$A2665,Consumo!N$4:N$189),4)</f>
        <v/>
      </c>
      <c r="L2665" s="65">
        <f>ROUND(SUMIF(Consumo!$P$4:$P$189,"#"&amp;$A2665,Consumo!O$4:O$189),4)</f>
        <v/>
      </c>
      <c r="M2665" s="66" t="n"/>
    </row>
    <row r="2666">
      <c r="C2666" s="63" t="inlineStr">
        <is>
          <t>Recepciones programadas (ya pedido)</t>
        </is>
      </c>
      <c r="D2666" s="64" t="n"/>
      <c r="E2666" s="65">
        <f>SUMIF(Inventario!$M$5:$M$505,"#"&amp;$A2665,Inventario!E$5:E$505)</f>
        <v/>
      </c>
      <c r="F2666" s="65">
        <f>SUMIF(Inventario!$M$5:$M$505,"#"&amp;$A2665,Inventario!F$5:F$505)</f>
        <v/>
      </c>
      <c r="G2666" s="65">
        <f>SUMIF(Inventario!$M$5:$M$505,"#"&amp;$A2665,Inventario!G$5:G$505)</f>
        <v/>
      </c>
      <c r="H2666" s="65">
        <f>SUMIF(Inventario!$M$5:$M$505,"#"&amp;$A2665,Inventario!H$5:H$505)</f>
        <v/>
      </c>
      <c r="I2666" s="65">
        <f>SUMIF(Inventario!$M$5:$M$505,"#"&amp;$A2665,Inventario!I$5:I$505)</f>
        <v/>
      </c>
      <c r="J2666" s="65">
        <f>SUMIF(Inventario!$M$5:$M$505,"#"&amp;$A2665,Inventario!J$5:J$505)</f>
        <v/>
      </c>
      <c r="K2666" s="65">
        <f>SUMIF(Inventario!$M$5:$M$505,"#"&amp;$A2665,Inventario!K$5:K$505)</f>
        <v/>
      </c>
      <c r="L2666" s="65">
        <f>SUMIF(Inventario!$M$5:$M$505,"#"&amp;$A2665,Inventario!L$5:L$505)</f>
        <v/>
      </c>
      <c r="M2666" s="66" t="n"/>
    </row>
    <row r="2667">
      <c r="C2667" s="63" t="inlineStr">
        <is>
          <t>Stock proyectado disponible</t>
        </is>
      </c>
      <c r="D2667" s="67">
        <f>SUMIF(Inventario!$M$5:$M$505,"#"&amp;$A2665,Inventario!$C$5:$C$505)</f>
        <v/>
      </c>
      <c r="E2667" s="68">
        <f>D2667+E2666+E2669-E2665</f>
        <v/>
      </c>
      <c r="F2667" s="68">
        <f>E2667+F2666+F2669-F2665</f>
        <v/>
      </c>
      <c r="G2667" s="68">
        <f>F2667+G2666+G2669-G2665</f>
        <v/>
      </c>
      <c r="H2667" s="68">
        <f>G2667+H2666+H2669-H2665</f>
        <v/>
      </c>
      <c r="I2667" s="68">
        <f>H2667+I2666+I2669-I2665</f>
        <v/>
      </c>
      <c r="J2667" s="68">
        <f>I2667+J2666+J2669-J2665</f>
        <v/>
      </c>
      <c r="K2667" s="68">
        <f>J2667+K2666+K2669-K2665</f>
        <v/>
      </c>
      <c r="L2667" s="68">
        <f>K2667+L2666+L2669-L2665</f>
        <v/>
      </c>
      <c r="M2667" s="66" t="n"/>
    </row>
    <row r="2668">
      <c r="C2668" s="63" t="inlineStr">
        <is>
          <t>Necesidad neta</t>
        </is>
      </c>
      <c r="D2668" s="64" t="n"/>
      <c r="E2668" s="69">
        <f>MAX(0,ROUND(E2665+Materiales!$H$384-D2667-E2666,4))</f>
        <v/>
      </c>
      <c r="F2668" s="69">
        <f>MAX(0,ROUND(F2665+Materiales!$H$384-E2667-F2666,4))</f>
        <v/>
      </c>
      <c r="G2668" s="69">
        <f>MAX(0,ROUND(G2665+Materiales!$H$384-F2667-G2666,4))</f>
        <v/>
      </c>
      <c r="H2668" s="69">
        <f>MAX(0,ROUND(H2665+Materiales!$H$384-G2667-H2666,4))</f>
        <v/>
      </c>
      <c r="I2668" s="69">
        <f>MAX(0,ROUND(I2665+Materiales!$H$384-H2667-I2666,4))</f>
        <v/>
      </c>
      <c r="J2668" s="69">
        <f>MAX(0,ROUND(J2665+Materiales!$H$384-I2667-J2666,4))</f>
        <v/>
      </c>
      <c r="K2668" s="69">
        <f>MAX(0,ROUND(K2665+Materiales!$H$384-J2667-K2666,4))</f>
        <v/>
      </c>
      <c r="L2668" s="69">
        <f>MAX(0,ROUND(L2665+Materiales!$H$384-K2667-L2666,4))</f>
        <v/>
      </c>
      <c r="M2668" s="66" t="n"/>
    </row>
    <row r="2669">
      <c r="C2669" s="63" t="inlineStr">
        <is>
          <t>Recepcion de orden planificada</t>
        </is>
      </c>
      <c r="D2669" s="64" t="n"/>
      <c r="E2669" s="65">
        <f>IF(E2668&lt;=0,0,IF(Materiales!$G$384&lt;=0,E2668,ROUNDUP(E2668/Materiales!$G$384,0)*Materiales!$G$384))</f>
        <v/>
      </c>
      <c r="F2669" s="65">
        <f>IF(F2668&lt;=0,0,IF(Materiales!$G$384&lt;=0,F2668,ROUNDUP(F2668/Materiales!$G$384,0)*Materiales!$G$384))</f>
        <v/>
      </c>
      <c r="G2669" s="65">
        <f>IF(G2668&lt;=0,0,IF(Materiales!$G$384&lt;=0,G2668,ROUNDUP(G2668/Materiales!$G$384,0)*Materiales!$G$384))</f>
        <v/>
      </c>
      <c r="H2669" s="65">
        <f>IF(H2668&lt;=0,0,IF(Materiales!$G$384&lt;=0,H2668,ROUNDUP(H2668/Materiales!$G$384,0)*Materiales!$G$384))</f>
        <v/>
      </c>
      <c r="I2669" s="65">
        <f>IF(I2668&lt;=0,0,IF(Materiales!$G$384&lt;=0,I2668,ROUNDUP(I2668/Materiales!$G$384,0)*Materiales!$G$384))</f>
        <v/>
      </c>
      <c r="J2669" s="65">
        <f>IF(J2668&lt;=0,0,IF(Materiales!$G$384&lt;=0,J2668,ROUNDUP(J2668/Materiales!$G$384,0)*Materiales!$G$384))</f>
        <v/>
      </c>
      <c r="K2669" s="65">
        <f>IF(K2668&lt;=0,0,IF(Materiales!$G$384&lt;=0,K2668,ROUNDUP(K2668/Materiales!$G$384,0)*Materiales!$G$384))</f>
        <v/>
      </c>
      <c r="L2669" s="65">
        <f>IF(L2668&lt;=0,0,IF(Materiales!$G$384&lt;=0,L2668,ROUNDUP(L2668/Materiales!$G$384,0)*Materiales!$G$384))</f>
        <v/>
      </c>
      <c r="M2669" s="66" t="n"/>
    </row>
    <row r="2670">
      <c r="C2670" s="70" t="inlineStr">
        <is>
          <t>LANZAMIENTO DE ORDEN — pedir esta semana</t>
        </is>
      </c>
      <c r="D2670" s="64" t="n"/>
      <c r="E2670" s="71">
        <f>IF(1+Materiales!$F$384&gt;8,0,INDEX($E$2669:$L$2669,1,1+Materiales!$F$384))</f>
        <v/>
      </c>
      <c r="F2670" s="71">
        <f>IF(2+Materiales!$F$384&gt;8,0,INDEX($E$2669:$L$2669,1,2+Materiales!$F$384))</f>
        <v/>
      </c>
      <c r="G2670" s="71">
        <f>IF(3+Materiales!$F$384&gt;8,0,INDEX($E$2669:$L$2669,1,3+Materiales!$F$384))</f>
        <v/>
      </c>
      <c r="H2670" s="71">
        <f>IF(4+Materiales!$F$384&gt;8,0,INDEX($E$2669:$L$2669,1,4+Materiales!$F$384))</f>
        <v/>
      </c>
      <c r="I2670" s="71">
        <f>IF(5+Materiales!$F$384&gt;8,0,INDEX($E$2669:$L$2669,1,5+Materiales!$F$384))</f>
        <v/>
      </c>
      <c r="J2670" s="71">
        <f>IF(6+Materiales!$F$384&gt;8,0,INDEX($E$2669:$L$2669,1,6+Materiales!$F$384))</f>
        <v/>
      </c>
      <c r="K2670" s="71">
        <f>IF(7+Materiales!$F$384&gt;8,0,INDEX($E$2669:$L$2669,1,7+Materiales!$F$384))</f>
        <v/>
      </c>
      <c r="L2670" s="71">
        <f>IF(8+Materiales!$F$384&gt;8,0,INDEX($E$2669:$L$2669,1,8+Materiales!$F$384))</f>
        <v/>
      </c>
      <c r="M2670" s="72">
        <f>IF($A2665="","",IF(SUMPRODUCT((COLUMN($E$2669:$L$2669)-4&lt;=Materiales!$F$384)*$E$2669:$L$2669)&gt;0,"PEDIR YA (atrasado)","OK"))</f>
        <v/>
      </c>
    </row>
    <row r="2671" ht="6" customHeight="1"/>
    <row r="2672">
      <c r="A2672" s="62">
        <f>IF(Materiales!$A$385="","",Materiales!$A$385)</f>
        <v/>
      </c>
      <c r="B2672" s="62">
        <f>IF(Materiales!$B$385="","",Materiales!$B$385)</f>
        <v/>
      </c>
      <c r="C2672" s="63" t="inlineStr">
        <is>
          <t>Necesidad bruta</t>
        </is>
      </c>
      <c r="D2672" s="64" t="n"/>
      <c r="E2672" s="65">
        <f>ROUND(SUMIF(Consumo!$P$4:$P$189,"#"&amp;$A2672,Consumo!H$4:H$189),4)</f>
        <v/>
      </c>
      <c r="F2672" s="65">
        <f>ROUND(SUMIF(Consumo!$P$4:$P$189,"#"&amp;$A2672,Consumo!I$4:I$189),4)</f>
        <v/>
      </c>
      <c r="G2672" s="65">
        <f>ROUND(SUMIF(Consumo!$P$4:$P$189,"#"&amp;$A2672,Consumo!J$4:J$189),4)</f>
        <v/>
      </c>
      <c r="H2672" s="65">
        <f>ROUND(SUMIF(Consumo!$P$4:$P$189,"#"&amp;$A2672,Consumo!K$4:K$189),4)</f>
        <v/>
      </c>
      <c r="I2672" s="65">
        <f>ROUND(SUMIF(Consumo!$P$4:$P$189,"#"&amp;$A2672,Consumo!L$4:L$189),4)</f>
        <v/>
      </c>
      <c r="J2672" s="65">
        <f>ROUND(SUMIF(Consumo!$P$4:$P$189,"#"&amp;$A2672,Consumo!M$4:M$189),4)</f>
        <v/>
      </c>
      <c r="K2672" s="65">
        <f>ROUND(SUMIF(Consumo!$P$4:$P$189,"#"&amp;$A2672,Consumo!N$4:N$189),4)</f>
        <v/>
      </c>
      <c r="L2672" s="65">
        <f>ROUND(SUMIF(Consumo!$P$4:$P$189,"#"&amp;$A2672,Consumo!O$4:O$189),4)</f>
        <v/>
      </c>
      <c r="M2672" s="66" t="n"/>
    </row>
    <row r="2673">
      <c r="C2673" s="63" t="inlineStr">
        <is>
          <t>Recepciones programadas (ya pedido)</t>
        </is>
      </c>
      <c r="D2673" s="64" t="n"/>
      <c r="E2673" s="65">
        <f>SUMIF(Inventario!$M$5:$M$505,"#"&amp;$A2672,Inventario!E$5:E$505)</f>
        <v/>
      </c>
      <c r="F2673" s="65">
        <f>SUMIF(Inventario!$M$5:$M$505,"#"&amp;$A2672,Inventario!F$5:F$505)</f>
        <v/>
      </c>
      <c r="G2673" s="65">
        <f>SUMIF(Inventario!$M$5:$M$505,"#"&amp;$A2672,Inventario!G$5:G$505)</f>
        <v/>
      </c>
      <c r="H2673" s="65">
        <f>SUMIF(Inventario!$M$5:$M$505,"#"&amp;$A2672,Inventario!H$5:H$505)</f>
        <v/>
      </c>
      <c r="I2673" s="65">
        <f>SUMIF(Inventario!$M$5:$M$505,"#"&amp;$A2672,Inventario!I$5:I$505)</f>
        <v/>
      </c>
      <c r="J2673" s="65">
        <f>SUMIF(Inventario!$M$5:$M$505,"#"&amp;$A2672,Inventario!J$5:J$505)</f>
        <v/>
      </c>
      <c r="K2673" s="65">
        <f>SUMIF(Inventario!$M$5:$M$505,"#"&amp;$A2672,Inventario!K$5:K$505)</f>
        <v/>
      </c>
      <c r="L2673" s="65">
        <f>SUMIF(Inventario!$M$5:$M$505,"#"&amp;$A2672,Inventario!L$5:L$505)</f>
        <v/>
      </c>
      <c r="M2673" s="66" t="n"/>
    </row>
    <row r="2674">
      <c r="C2674" s="63" t="inlineStr">
        <is>
          <t>Stock proyectado disponible</t>
        </is>
      </c>
      <c r="D2674" s="67">
        <f>SUMIF(Inventario!$M$5:$M$505,"#"&amp;$A2672,Inventario!$C$5:$C$505)</f>
        <v/>
      </c>
      <c r="E2674" s="68">
        <f>D2674+E2673+E2676-E2672</f>
        <v/>
      </c>
      <c r="F2674" s="68">
        <f>E2674+F2673+F2676-F2672</f>
        <v/>
      </c>
      <c r="G2674" s="68">
        <f>F2674+G2673+G2676-G2672</f>
        <v/>
      </c>
      <c r="H2674" s="68">
        <f>G2674+H2673+H2676-H2672</f>
        <v/>
      </c>
      <c r="I2674" s="68">
        <f>H2674+I2673+I2676-I2672</f>
        <v/>
      </c>
      <c r="J2674" s="68">
        <f>I2674+J2673+J2676-J2672</f>
        <v/>
      </c>
      <c r="K2674" s="68">
        <f>J2674+K2673+K2676-K2672</f>
        <v/>
      </c>
      <c r="L2674" s="68">
        <f>K2674+L2673+L2676-L2672</f>
        <v/>
      </c>
      <c r="M2674" s="66" t="n"/>
    </row>
    <row r="2675">
      <c r="C2675" s="63" t="inlineStr">
        <is>
          <t>Necesidad neta</t>
        </is>
      </c>
      <c r="D2675" s="64" t="n"/>
      <c r="E2675" s="69">
        <f>MAX(0,ROUND(E2672+Materiales!$H$385-D2674-E2673,4))</f>
        <v/>
      </c>
      <c r="F2675" s="69">
        <f>MAX(0,ROUND(F2672+Materiales!$H$385-E2674-F2673,4))</f>
        <v/>
      </c>
      <c r="G2675" s="69">
        <f>MAX(0,ROUND(G2672+Materiales!$H$385-F2674-G2673,4))</f>
        <v/>
      </c>
      <c r="H2675" s="69">
        <f>MAX(0,ROUND(H2672+Materiales!$H$385-G2674-H2673,4))</f>
        <v/>
      </c>
      <c r="I2675" s="69">
        <f>MAX(0,ROUND(I2672+Materiales!$H$385-H2674-I2673,4))</f>
        <v/>
      </c>
      <c r="J2675" s="69">
        <f>MAX(0,ROUND(J2672+Materiales!$H$385-I2674-J2673,4))</f>
        <v/>
      </c>
      <c r="K2675" s="69">
        <f>MAX(0,ROUND(K2672+Materiales!$H$385-J2674-K2673,4))</f>
        <v/>
      </c>
      <c r="L2675" s="69">
        <f>MAX(0,ROUND(L2672+Materiales!$H$385-K2674-L2673,4))</f>
        <v/>
      </c>
      <c r="M2675" s="66" t="n"/>
    </row>
    <row r="2676">
      <c r="C2676" s="63" t="inlineStr">
        <is>
          <t>Recepcion de orden planificada</t>
        </is>
      </c>
      <c r="D2676" s="64" t="n"/>
      <c r="E2676" s="65">
        <f>IF(E2675&lt;=0,0,IF(Materiales!$G$385&lt;=0,E2675,ROUNDUP(E2675/Materiales!$G$385,0)*Materiales!$G$385))</f>
        <v/>
      </c>
      <c r="F2676" s="65">
        <f>IF(F2675&lt;=0,0,IF(Materiales!$G$385&lt;=0,F2675,ROUNDUP(F2675/Materiales!$G$385,0)*Materiales!$G$385))</f>
        <v/>
      </c>
      <c r="G2676" s="65">
        <f>IF(G2675&lt;=0,0,IF(Materiales!$G$385&lt;=0,G2675,ROUNDUP(G2675/Materiales!$G$385,0)*Materiales!$G$385))</f>
        <v/>
      </c>
      <c r="H2676" s="65">
        <f>IF(H2675&lt;=0,0,IF(Materiales!$G$385&lt;=0,H2675,ROUNDUP(H2675/Materiales!$G$385,0)*Materiales!$G$385))</f>
        <v/>
      </c>
      <c r="I2676" s="65">
        <f>IF(I2675&lt;=0,0,IF(Materiales!$G$385&lt;=0,I2675,ROUNDUP(I2675/Materiales!$G$385,0)*Materiales!$G$385))</f>
        <v/>
      </c>
      <c r="J2676" s="65">
        <f>IF(J2675&lt;=0,0,IF(Materiales!$G$385&lt;=0,J2675,ROUNDUP(J2675/Materiales!$G$385,0)*Materiales!$G$385))</f>
        <v/>
      </c>
      <c r="K2676" s="65">
        <f>IF(K2675&lt;=0,0,IF(Materiales!$G$385&lt;=0,K2675,ROUNDUP(K2675/Materiales!$G$385,0)*Materiales!$G$385))</f>
        <v/>
      </c>
      <c r="L2676" s="65">
        <f>IF(L2675&lt;=0,0,IF(Materiales!$G$385&lt;=0,L2675,ROUNDUP(L2675/Materiales!$G$385,0)*Materiales!$G$385))</f>
        <v/>
      </c>
      <c r="M2676" s="66" t="n"/>
    </row>
    <row r="2677">
      <c r="C2677" s="70" t="inlineStr">
        <is>
          <t>LANZAMIENTO DE ORDEN — pedir esta semana</t>
        </is>
      </c>
      <c r="D2677" s="64" t="n"/>
      <c r="E2677" s="71">
        <f>IF(1+Materiales!$F$385&gt;8,0,INDEX($E$2676:$L$2676,1,1+Materiales!$F$385))</f>
        <v/>
      </c>
      <c r="F2677" s="71">
        <f>IF(2+Materiales!$F$385&gt;8,0,INDEX($E$2676:$L$2676,1,2+Materiales!$F$385))</f>
        <v/>
      </c>
      <c r="G2677" s="71">
        <f>IF(3+Materiales!$F$385&gt;8,0,INDEX($E$2676:$L$2676,1,3+Materiales!$F$385))</f>
        <v/>
      </c>
      <c r="H2677" s="71">
        <f>IF(4+Materiales!$F$385&gt;8,0,INDEX($E$2676:$L$2676,1,4+Materiales!$F$385))</f>
        <v/>
      </c>
      <c r="I2677" s="71">
        <f>IF(5+Materiales!$F$385&gt;8,0,INDEX($E$2676:$L$2676,1,5+Materiales!$F$385))</f>
        <v/>
      </c>
      <c r="J2677" s="71">
        <f>IF(6+Materiales!$F$385&gt;8,0,INDEX($E$2676:$L$2676,1,6+Materiales!$F$385))</f>
        <v/>
      </c>
      <c r="K2677" s="71">
        <f>IF(7+Materiales!$F$385&gt;8,0,INDEX($E$2676:$L$2676,1,7+Materiales!$F$385))</f>
        <v/>
      </c>
      <c r="L2677" s="71">
        <f>IF(8+Materiales!$F$385&gt;8,0,INDEX($E$2676:$L$2676,1,8+Materiales!$F$385))</f>
        <v/>
      </c>
      <c r="M2677" s="72">
        <f>IF($A2672="","",IF(SUMPRODUCT((COLUMN($E$2676:$L$2676)-4&lt;=Materiales!$F$385)*$E$2676:$L$2676)&gt;0,"PEDIR YA (atrasado)","OK"))</f>
        <v/>
      </c>
    </row>
    <row r="2678" ht="6" customHeight="1"/>
    <row r="2679">
      <c r="A2679" s="62">
        <f>IF(Materiales!$A$386="","",Materiales!$A$386)</f>
        <v/>
      </c>
      <c r="B2679" s="62">
        <f>IF(Materiales!$B$386="","",Materiales!$B$386)</f>
        <v/>
      </c>
      <c r="C2679" s="63" t="inlineStr">
        <is>
          <t>Necesidad bruta</t>
        </is>
      </c>
      <c r="D2679" s="64" t="n"/>
      <c r="E2679" s="65">
        <f>ROUND(SUMIF(Consumo!$P$4:$P$189,"#"&amp;$A2679,Consumo!H$4:H$189),4)</f>
        <v/>
      </c>
      <c r="F2679" s="65">
        <f>ROUND(SUMIF(Consumo!$P$4:$P$189,"#"&amp;$A2679,Consumo!I$4:I$189),4)</f>
        <v/>
      </c>
      <c r="G2679" s="65">
        <f>ROUND(SUMIF(Consumo!$P$4:$P$189,"#"&amp;$A2679,Consumo!J$4:J$189),4)</f>
        <v/>
      </c>
      <c r="H2679" s="65">
        <f>ROUND(SUMIF(Consumo!$P$4:$P$189,"#"&amp;$A2679,Consumo!K$4:K$189),4)</f>
        <v/>
      </c>
      <c r="I2679" s="65">
        <f>ROUND(SUMIF(Consumo!$P$4:$P$189,"#"&amp;$A2679,Consumo!L$4:L$189),4)</f>
        <v/>
      </c>
      <c r="J2679" s="65">
        <f>ROUND(SUMIF(Consumo!$P$4:$P$189,"#"&amp;$A2679,Consumo!M$4:M$189),4)</f>
        <v/>
      </c>
      <c r="K2679" s="65">
        <f>ROUND(SUMIF(Consumo!$P$4:$P$189,"#"&amp;$A2679,Consumo!N$4:N$189),4)</f>
        <v/>
      </c>
      <c r="L2679" s="65">
        <f>ROUND(SUMIF(Consumo!$P$4:$P$189,"#"&amp;$A2679,Consumo!O$4:O$189),4)</f>
        <v/>
      </c>
      <c r="M2679" s="66" t="n"/>
    </row>
    <row r="2680">
      <c r="C2680" s="63" t="inlineStr">
        <is>
          <t>Recepciones programadas (ya pedido)</t>
        </is>
      </c>
      <c r="D2680" s="64" t="n"/>
      <c r="E2680" s="65">
        <f>SUMIF(Inventario!$M$5:$M$505,"#"&amp;$A2679,Inventario!E$5:E$505)</f>
        <v/>
      </c>
      <c r="F2680" s="65">
        <f>SUMIF(Inventario!$M$5:$M$505,"#"&amp;$A2679,Inventario!F$5:F$505)</f>
        <v/>
      </c>
      <c r="G2680" s="65">
        <f>SUMIF(Inventario!$M$5:$M$505,"#"&amp;$A2679,Inventario!G$5:G$505)</f>
        <v/>
      </c>
      <c r="H2680" s="65">
        <f>SUMIF(Inventario!$M$5:$M$505,"#"&amp;$A2679,Inventario!H$5:H$505)</f>
        <v/>
      </c>
      <c r="I2680" s="65">
        <f>SUMIF(Inventario!$M$5:$M$505,"#"&amp;$A2679,Inventario!I$5:I$505)</f>
        <v/>
      </c>
      <c r="J2680" s="65">
        <f>SUMIF(Inventario!$M$5:$M$505,"#"&amp;$A2679,Inventario!J$5:J$505)</f>
        <v/>
      </c>
      <c r="K2680" s="65">
        <f>SUMIF(Inventario!$M$5:$M$505,"#"&amp;$A2679,Inventario!K$5:K$505)</f>
        <v/>
      </c>
      <c r="L2680" s="65">
        <f>SUMIF(Inventario!$M$5:$M$505,"#"&amp;$A2679,Inventario!L$5:L$505)</f>
        <v/>
      </c>
      <c r="M2680" s="66" t="n"/>
    </row>
    <row r="2681">
      <c r="C2681" s="63" t="inlineStr">
        <is>
          <t>Stock proyectado disponible</t>
        </is>
      </c>
      <c r="D2681" s="67">
        <f>SUMIF(Inventario!$M$5:$M$505,"#"&amp;$A2679,Inventario!$C$5:$C$505)</f>
        <v/>
      </c>
      <c r="E2681" s="68">
        <f>D2681+E2680+E2683-E2679</f>
        <v/>
      </c>
      <c r="F2681" s="68">
        <f>E2681+F2680+F2683-F2679</f>
        <v/>
      </c>
      <c r="G2681" s="68">
        <f>F2681+G2680+G2683-G2679</f>
        <v/>
      </c>
      <c r="H2681" s="68">
        <f>G2681+H2680+H2683-H2679</f>
        <v/>
      </c>
      <c r="I2681" s="68">
        <f>H2681+I2680+I2683-I2679</f>
        <v/>
      </c>
      <c r="J2681" s="68">
        <f>I2681+J2680+J2683-J2679</f>
        <v/>
      </c>
      <c r="K2681" s="68">
        <f>J2681+K2680+K2683-K2679</f>
        <v/>
      </c>
      <c r="L2681" s="68">
        <f>K2681+L2680+L2683-L2679</f>
        <v/>
      </c>
      <c r="M2681" s="66" t="n"/>
    </row>
    <row r="2682">
      <c r="C2682" s="63" t="inlineStr">
        <is>
          <t>Necesidad neta</t>
        </is>
      </c>
      <c r="D2682" s="64" t="n"/>
      <c r="E2682" s="69">
        <f>MAX(0,ROUND(E2679+Materiales!$H$386-D2681-E2680,4))</f>
        <v/>
      </c>
      <c r="F2682" s="69">
        <f>MAX(0,ROUND(F2679+Materiales!$H$386-E2681-F2680,4))</f>
        <v/>
      </c>
      <c r="G2682" s="69">
        <f>MAX(0,ROUND(G2679+Materiales!$H$386-F2681-G2680,4))</f>
        <v/>
      </c>
      <c r="H2682" s="69">
        <f>MAX(0,ROUND(H2679+Materiales!$H$386-G2681-H2680,4))</f>
        <v/>
      </c>
      <c r="I2682" s="69">
        <f>MAX(0,ROUND(I2679+Materiales!$H$386-H2681-I2680,4))</f>
        <v/>
      </c>
      <c r="J2682" s="69">
        <f>MAX(0,ROUND(J2679+Materiales!$H$386-I2681-J2680,4))</f>
        <v/>
      </c>
      <c r="K2682" s="69">
        <f>MAX(0,ROUND(K2679+Materiales!$H$386-J2681-K2680,4))</f>
        <v/>
      </c>
      <c r="L2682" s="69">
        <f>MAX(0,ROUND(L2679+Materiales!$H$386-K2681-L2680,4))</f>
        <v/>
      </c>
      <c r="M2682" s="66" t="n"/>
    </row>
    <row r="2683">
      <c r="C2683" s="63" t="inlineStr">
        <is>
          <t>Recepcion de orden planificada</t>
        </is>
      </c>
      <c r="D2683" s="64" t="n"/>
      <c r="E2683" s="65">
        <f>IF(E2682&lt;=0,0,IF(Materiales!$G$386&lt;=0,E2682,ROUNDUP(E2682/Materiales!$G$386,0)*Materiales!$G$386))</f>
        <v/>
      </c>
      <c r="F2683" s="65">
        <f>IF(F2682&lt;=0,0,IF(Materiales!$G$386&lt;=0,F2682,ROUNDUP(F2682/Materiales!$G$386,0)*Materiales!$G$386))</f>
        <v/>
      </c>
      <c r="G2683" s="65">
        <f>IF(G2682&lt;=0,0,IF(Materiales!$G$386&lt;=0,G2682,ROUNDUP(G2682/Materiales!$G$386,0)*Materiales!$G$386))</f>
        <v/>
      </c>
      <c r="H2683" s="65">
        <f>IF(H2682&lt;=0,0,IF(Materiales!$G$386&lt;=0,H2682,ROUNDUP(H2682/Materiales!$G$386,0)*Materiales!$G$386))</f>
        <v/>
      </c>
      <c r="I2683" s="65">
        <f>IF(I2682&lt;=0,0,IF(Materiales!$G$386&lt;=0,I2682,ROUNDUP(I2682/Materiales!$G$386,0)*Materiales!$G$386))</f>
        <v/>
      </c>
      <c r="J2683" s="65">
        <f>IF(J2682&lt;=0,0,IF(Materiales!$G$386&lt;=0,J2682,ROUNDUP(J2682/Materiales!$G$386,0)*Materiales!$G$386))</f>
        <v/>
      </c>
      <c r="K2683" s="65">
        <f>IF(K2682&lt;=0,0,IF(Materiales!$G$386&lt;=0,K2682,ROUNDUP(K2682/Materiales!$G$386,0)*Materiales!$G$386))</f>
        <v/>
      </c>
      <c r="L2683" s="65">
        <f>IF(L2682&lt;=0,0,IF(Materiales!$G$386&lt;=0,L2682,ROUNDUP(L2682/Materiales!$G$386,0)*Materiales!$G$386))</f>
        <v/>
      </c>
      <c r="M2683" s="66" t="n"/>
    </row>
    <row r="2684">
      <c r="C2684" s="70" t="inlineStr">
        <is>
          <t>LANZAMIENTO DE ORDEN — pedir esta semana</t>
        </is>
      </c>
      <c r="D2684" s="64" t="n"/>
      <c r="E2684" s="71">
        <f>IF(1+Materiales!$F$386&gt;8,0,INDEX($E$2683:$L$2683,1,1+Materiales!$F$386))</f>
        <v/>
      </c>
      <c r="F2684" s="71">
        <f>IF(2+Materiales!$F$386&gt;8,0,INDEX($E$2683:$L$2683,1,2+Materiales!$F$386))</f>
        <v/>
      </c>
      <c r="G2684" s="71">
        <f>IF(3+Materiales!$F$386&gt;8,0,INDEX($E$2683:$L$2683,1,3+Materiales!$F$386))</f>
        <v/>
      </c>
      <c r="H2684" s="71">
        <f>IF(4+Materiales!$F$386&gt;8,0,INDEX($E$2683:$L$2683,1,4+Materiales!$F$386))</f>
        <v/>
      </c>
      <c r="I2684" s="71">
        <f>IF(5+Materiales!$F$386&gt;8,0,INDEX($E$2683:$L$2683,1,5+Materiales!$F$386))</f>
        <v/>
      </c>
      <c r="J2684" s="71">
        <f>IF(6+Materiales!$F$386&gt;8,0,INDEX($E$2683:$L$2683,1,6+Materiales!$F$386))</f>
        <v/>
      </c>
      <c r="K2684" s="71">
        <f>IF(7+Materiales!$F$386&gt;8,0,INDEX($E$2683:$L$2683,1,7+Materiales!$F$386))</f>
        <v/>
      </c>
      <c r="L2684" s="71">
        <f>IF(8+Materiales!$F$386&gt;8,0,INDEX($E$2683:$L$2683,1,8+Materiales!$F$386))</f>
        <v/>
      </c>
      <c r="M2684" s="72">
        <f>IF($A2679="","",IF(SUMPRODUCT((COLUMN($E$2683:$L$2683)-4&lt;=Materiales!$F$386)*$E$2683:$L$2683)&gt;0,"PEDIR YA (atrasado)","OK"))</f>
        <v/>
      </c>
    </row>
    <row r="2685" ht="6" customHeight="1"/>
    <row r="2686">
      <c r="A2686" s="62">
        <f>IF(Materiales!$A$387="","",Materiales!$A$387)</f>
        <v/>
      </c>
      <c r="B2686" s="62">
        <f>IF(Materiales!$B$387="","",Materiales!$B$387)</f>
        <v/>
      </c>
      <c r="C2686" s="63" t="inlineStr">
        <is>
          <t>Necesidad bruta</t>
        </is>
      </c>
      <c r="D2686" s="64" t="n"/>
      <c r="E2686" s="65">
        <f>ROUND(SUMIF(Consumo!$P$4:$P$189,"#"&amp;$A2686,Consumo!H$4:H$189),4)</f>
        <v/>
      </c>
      <c r="F2686" s="65">
        <f>ROUND(SUMIF(Consumo!$P$4:$P$189,"#"&amp;$A2686,Consumo!I$4:I$189),4)</f>
        <v/>
      </c>
      <c r="G2686" s="65">
        <f>ROUND(SUMIF(Consumo!$P$4:$P$189,"#"&amp;$A2686,Consumo!J$4:J$189),4)</f>
        <v/>
      </c>
      <c r="H2686" s="65">
        <f>ROUND(SUMIF(Consumo!$P$4:$P$189,"#"&amp;$A2686,Consumo!K$4:K$189),4)</f>
        <v/>
      </c>
      <c r="I2686" s="65">
        <f>ROUND(SUMIF(Consumo!$P$4:$P$189,"#"&amp;$A2686,Consumo!L$4:L$189),4)</f>
        <v/>
      </c>
      <c r="J2686" s="65">
        <f>ROUND(SUMIF(Consumo!$P$4:$P$189,"#"&amp;$A2686,Consumo!M$4:M$189),4)</f>
        <v/>
      </c>
      <c r="K2686" s="65">
        <f>ROUND(SUMIF(Consumo!$P$4:$P$189,"#"&amp;$A2686,Consumo!N$4:N$189),4)</f>
        <v/>
      </c>
      <c r="L2686" s="65">
        <f>ROUND(SUMIF(Consumo!$P$4:$P$189,"#"&amp;$A2686,Consumo!O$4:O$189),4)</f>
        <v/>
      </c>
      <c r="M2686" s="66" t="n"/>
    </row>
    <row r="2687">
      <c r="C2687" s="63" t="inlineStr">
        <is>
          <t>Recepciones programadas (ya pedido)</t>
        </is>
      </c>
      <c r="D2687" s="64" t="n"/>
      <c r="E2687" s="65">
        <f>SUMIF(Inventario!$M$5:$M$505,"#"&amp;$A2686,Inventario!E$5:E$505)</f>
        <v/>
      </c>
      <c r="F2687" s="65">
        <f>SUMIF(Inventario!$M$5:$M$505,"#"&amp;$A2686,Inventario!F$5:F$505)</f>
        <v/>
      </c>
      <c r="G2687" s="65">
        <f>SUMIF(Inventario!$M$5:$M$505,"#"&amp;$A2686,Inventario!G$5:G$505)</f>
        <v/>
      </c>
      <c r="H2687" s="65">
        <f>SUMIF(Inventario!$M$5:$M$505,"#"&amp;$A2686,Inventario!H$5:H$505)</f>
        <v/>
      </c>
      <c r="I2687" s="65">
        <f>SUMIF(Inventario!$M$5:$M$505,"#"&amp;$A2686,Inventario!I$5:I$505)</f>
        <v/>
      </c>
      <c r="J2687" s="65">
        <f>SUMIF(Inventario!$M$5:$M$505,"#"&amp;$A2686,Inventario!J$5:J$505)</f>
        <v/>
      </c>
      <c r="K2687" s="65">
        <f>SUMIF(Inventario!$M$5:$M$505,"#"&amp;$A2686,Inventario!K$5:K$505)</f>
        <v/>
      </c>
      <c r="L2687" s="65">
        <f>SUMIF(Inventario!$M$5:$M$505,"#"&amp;$A2686,Inventario!L$5:L$505)</f>
        <v/>
      </c>
      <c r="M2687" s="66" t="n"/>
    </row>
    <row r="2688">
      <c r="C2688" s="63" t="inlineStr">
        <is>
          <t>Stock proyectado disponible</t>
        </is>
      </c>
      <c r="D2688" s="67">
        <f>SUMIF(Inventario!$M$5:$M$505,"#"&amp;$A2686,Inventario!$C$5:$C$505)</f>
        <v/>
      </c>
      <c r="E2688" s="68">
        <f>D2688+E2687+E2690-E2686</f>
        <v/>
      </c>
      <c r="F2688" s="68">
        <f>E2688+F2687+F2690-F2686</f>
        <v/>
      </c>
      <c r="G2688" s="68">
        <f>F2688+G2687+G2690-G2686</f>
        <v/>
      </c>
      <c r="H2688" s="68">
        <f>G2688+H2687+H2690-H2686</f>
        <v/>
      </c>
      <c r="I2688" s="68">
        <f>H2688+I2687+I2690-I2686</f>
        <v/>
      </c>
      <c r="J2688" s="68">
        <f>I2688+J2687+J2690-J2686</f>
        <v/>
      </c>
      <c r="K2688" s="68">
        <f>J2688+K2687+K2690-K2686</f>
        <v/>
      </c>
      <c r="L2688" s="68">
        <f>K2688+L2687+L2690-L2686</f>
        <v/>
      </c>
      <c r="M2688" s="66" t="n"/>
    </row>
    <row r="2689">
      <c r="C2689" s="63" t="inlineStr">
        <is>
          <t>Necesidad neta</t>
        </is>
      </c>
      <c r="D2689" s="64" t="n"/>
      <c r="E2689" s="69">
        <f>MAX(0,ROUND(E2686+Materiales!$H$387-D2688-E2687,4))</f>
        <v/>
      </c>
      <c r="F2689" s="69">
        <f>MAX(0,ROUND(F2686+Materiales!$H$387-E2688-F2687,4))</f>
        <v/>
      </c>
      <c r="G2689" s="69">
        <f>MAX(0,ROUND(G2686+Materiales!$H$387-F2688-G2687,4))</f>
        <v/>
      </c>
      <c r="H2689" s="69">
        <f>MAX(0,ROUND(H2686+Materiales!$H$387-G2688-H2687,4))</f>
        <v/>
      </c>
      <c r="I2689" s="69">
        <f>MAX(0,ROUND(I2686+Materiales!$H$387-H2688-I2687,4))</f>
        <v/>
      </c>
      <c r="J2689" s="69">
        <f>MAX(0,ROUND(J2686+Materiales!$H$387-I2688-J2687,4))</f>
        <v/>
      </c>
      <c r="K2689" s="69">
        <f>MAX(0,ROUND(K2686+Materiales!$H$387-J2688-K2687,4))</f>
        <v/>
      </c>
      <c r="L2689" s="69">
        <f>MAX(0,ROUND(L2686+Materiales!$H$387-K2688-L2687,4))</f>
        <v/>
      </c>
      <c r="M2689" s="66" t="n"/>
    </row>
    <row r="2690">
      <c r="C2690" s="63" t="inlineStr">
        <is>
          <t>Recepcion de orden planificada</t>
        </is>
      </c>
      <c r="D2690" s="64" t="n"/>
      <c r="E2690" s="65">
        <f>IF(E2689&lt;=0,0,IF(Materiales!$G$387&lt;=0,E2689,ROUNDUP(E2689/Materiales!$G$387,0)*Materiales!$G$387))</f>
        <v/>
      </c>
      <c r="F2690" s="65">
        <f>IF(F2689&lt;=0,0,IF(Materiales!$G$387&lt;=0,F2689,ROUNDUP(F2689/Materiales!$G$387,0)*Materiales!$G$387))</f>
        <v/>
      </c>
      <c r="G2690" s="65">
        <f>IF(G2689&lt;=0,0,IF(Materiales!$G$387&lt;=0,G2689,ROUNDUP(G2689/Materiales!$G$387,0)*Materiales!$G$387))</f>
        <v/>
      </c>
      <c r="H2690" s="65">
        <f>IF(H2689&lt;=0,0,IF(Materiales!$G$387&lt;=0,H2689,ROUNDUP(H2689/Materiales!$G$387,0)*Materiales!$G$387))</f>
        <v/>
      </c>
      <c r="I2690" s="65">
        <f>IF(I2689&lt;=0,0,IF(Materiales!$G$387&lt;=0,I2689,ROUNDUP(I2689/Materiales!$G$387,0)*Materiales!$G$387))</f>
        <v/>
      </c>
      <c r="J2690" s="65">
        <f>IF(J2689&lt;=0,0,IF(Materiales!$G$387&lt;=0,J2689,ROUNDUP(J2689/Materiales!$G$387,0)*Materiales!$G$387))</f>
        <v/>
      </c>
      <c r="K2690" s="65">
        <f>IF(K2689&lt;=0,0,IF(Materiales!$G$387&lt;=0,K2689,ROUNDUP(K2689/Materiales!$G$387,0)*Materiales!$G$387))</f>
        <v/>
      </c>
      <c r="L2690" s="65">
        <f>IF(L2689&lt;=0,0,IF(Materiales!$G$387&lt;=0,L2689,ROUNDUP(L2689/Materiales!$G$387,0)*Materiales!$G$387))</f>
        <v/>
      </c>
      <c r="M2690" s="66" t="n"/>
    </row>
    <row r="2691">
      <c r="C2691" s="70" t="inlineStr">
        <is>
          <t>LANZAMIENTO DE ORDEN — pedir esta semana</t>
        </is>
      </c>
      <c r="D2691" s="64" t="n"/>
      <c r="E2691" s="71">
        <f>IF(1+Materiales!$F$387&gt;8,0,INDEX($E$2690:$L$2690,1,1+Materiales!$F$387))</f>
        <v/>
      </c>
      <c r="F2691" s="71">
        <f>IF(2+Materiales!$F$387&gt;8,0,INDEX($E$2690:$L$2690,1,2+Materiales!$F$387))</f>
        <v/>
      </c>
      <c r="G2691" s="71">
        <f>IF(3+Materiales!$F$387&gt;8,0,INDEX($E$2690:$L$2690,1,3+Materiales!$F$387))</f>
        <v/>
      </c>
      <c r="H2691" s="71">
        <f>IF(4+Materiales!$F$387&gt;8,0,INDEX($E$2690:$L$2690,1,4+Materiales!$F$387))</f>
        <v/>
      </c>
      <c r="I2691" s="71">
        <f>IF(5+Materiales!$F$387&gt;8,0,INDEX($E$2690:$L$2690,1,5+Materiales!$F$387))</f>
        <v/>
      </c>
      <c r="J2691" s="71">
        <f>IF(6+Materiales!$F$387&gt;8,0,INDEX($E$2690:$L$2690,1,6+Materiales!$F$387))</f>
        <v/>
      </c>
      <c r="K2691" s="71">
        <f>IF(7+Materiales!$F$387&gt;8,0,INDEX($E$2690:$L$2690,1,7+Materiales!$F$387))</f>
        <v/>
      </c>
      <c r="L2691" s="71">
        <f>IF(8+Materiales!$F$387&gt;8,0,INDEX($E$2690:$L$2690,1,8+Materiales!$F$387))</f>
        <v/>
      </c>
      <c r="M2691" s="72">
        <f>IF($A2686="","",IF(SUMPRODUCT((COLUMN($E$2690:$L$2690)-4&lt;=Materiales!$F$387)*$E$2690:$L$2690)&gt;0,"PEDIR YA (atrasado)","OK"))</f>
        <v/>
      </c>
    </row>
    <row r="2692" ht="6" customHeight="1"/>
    <row r="2693">
      <c r="A2693" s="62">
        <f>IF(Materiales!$A$388="","",Materiales!$A$388)</f>
        <v/>
      </c>
      <c r="B2693" s="62">
        <f>IF(Materiales!$B$388="","",Materiales!$B$388)</f>
        <v/>
      </c>
      <c r="C2693" s="63" t="inlineStr">
        <is>
          <t>Necesidad bruta</t>
        </is>
      </c>
      <c r="D2693" s="64" t="n"/>
      <c r="E2693" s="65">
        <f>ROUND(SUMIF(Consumo!$P$4:$P$189,"#"&amp;$A2693,Consumo!H$4:H$189),4)</f>
        <v/>
      </c>
      <c r="F2693" s="65">
        <f>ROUND(SUMIF(Consumo!$P$4:$P$189,"#"&amp;$A2693,Consumo!I$4:I$189),4)</f>
        <v/>
      </c>
      <c r="G2693" s="65">
        <f>ROUND(SUMIF(Consumo!$P$4:$P$189,"#"&amp;$A2693,Consumo!J$4:J$189),4)</f>
        <v/>
      </c>
      <c r="H2693" s="65">
        <f>ROUND(SUMIF(Consumo!$P$4:$P$189,"#"&amp;$A2693,Consumo!K$4:K$189),4)</f>
        <v/>
      </c>
      <c r="I2693" s="65">
        <f>ROUND(SUMIF(Consumo!$P$4:$P$189,"#"&amp;$A2693,Consumo!L$4:L$189),4)</f>
        <v/>
      </c>
      <c r="J2693" s="65">
        <f>ROUND(SUMIF(Consumo!$P$4:$P$189,"#"&amp;$A2693,Consumo!M$4:M$189),4)</f>
        <v/>
      </c>
      <c r="K2693" s="65">
        <f>ROUND(SUMIF(Consumo!$P$4:$P$189,"#"&amp;$A2693,Consumo!N$4:N$189),4)</f>
        <v/>
      </c>
      <c r="L2693" s="65">
        <f>ROUND(SUMIF(Consumo!$P$4:$P$189,"#"&amp;$A2693,Consumo!O$4:O$189),4)</f>
        <v/>
      </c>
      <c r="M2693" s="66" t="n"/>
    </row>
    <row r="2694">
      <c r="C2694" s="63" t="inlineStr">
        <is>
          <t>Recepciones programadas (ya pedido)</t>
        </is>
      </c>
      <c r="D2694" s="64" t="n"/>
      <c r="E2694" s="65">
        <f>SUMIF(Inventario!$M$5:$M$505,"#"&amp;$A2693,Inventario!E$5:E$505)</f>
        <v/>
      </c>
      <c r="F2694" s="65">
        <f>SUMIF(Inventario!$M$5:$M$505,"#"&amp;$A2693,Inventario!F$5:F$505)</f>
        <v/>
      </c>
      <c r="G2694" s="65">
        <f>SUMIF(Inventario!$M$5:$M$505,"#"&amp;$A2693,Inventario!G$5:G$505)</f>
        <v/>
      </c>
      <c r="H2694" s="65">
        <f>SUMIF(Inventario!$M$5:$M$505,"#"&amp;$A2693,Inventario!H$5:H$505)</f>
        <v/>
      </c>
      <c r="I2694" s="65">
        <f>SUMIF(Inventario!$M$5:$M$505,"#"&amp;$A2693,Inventario!I$5:I$505)</f>
        <v/>
      </c>
      <c r="J2694" s="65">
        <f>SUMIF(Inventario!$M$5:$M$505,"#"&amp;$A2693,Inventario!J$5:J$505)</f>
        <v/>
      </c>
      <c r="K2694" s="65">
        <f>SUMIF(Inventario!$M$5:$M$505,"#"&amp;$A2693,Inventario!K$5:K$505)</f>
        <v/>
      </c>
      <c r="L2694" s="65">
        <f>SUMIF(Inventario!$M$5:$M$505,"#"&amp;$A2693,Inventario!L$5:L$505)</f>
        <v/>
      </c>
      <c r="M2694" s="66" t="n"/>
    </row>
    <row r="2695">
      <c r="C2695" s="63" t="inlineStr">
        <is>
          <t>Stock proyectado disponible</t>
        </is>
      </c>
      <c r="D2695" s="67">
        <f>SUMIF(Inventario!$M$5:$M$505,"#"&amp;$A2693,Inventario!$C$5:$C$505)</f>
        <v/>
      </c>
      <c r="E2695" s="68">
        <f>D2695+E2694+E2697-E2693</f>
        <v/>
      </c>
      <c r="F2695" s="68">
        <f>E2695+F2694+F2697-F2693</f>
        <v/>
      </c>
      <c r="G2695" s="68">
        <f>F2695+G2694+G2697-G2693</f>
        <v/>
      </c>
      <c r="H2695" s="68">
        <f>G2695+H2694+H2697-H2693</f>
        <v/>
      </c>
      <c r="I2695" s="68">
        <f>H2695+I2694+I2697-I2693</f>
        <v/>
      </c>
      <c r="J2695" s="68">
        <f>I2695+J2694+J2697-J2693</f>
        <v/>
      </c>
      <c r="K2695" s="68">
        <f>J2695+K2694+K2697-K2693</f>
        <v/>
      </c>
      <c r="L2695" s="68">
        <f>K2695+L2694+L2697-L2693</f>
        <v/>
      </c>
      <c r="M2695" s="66" t="n"/>
    </row>
    <row r="2696">
      <c r="C2696" s="63" t="inlineStr">
        <is>
          <t>Necesidad neta</t>
        </is>
      </c>
      <c r="D2696" s="64" t="n"/>
      <c r="E2696" s="69">
        <f>MAX(0,ROUND(E2693+Materiales!$H$388-D2695-E2694,4))</f>
        <v/>
      </c>
      <c r="F2696" s="69">
        <f>MAX(0,ROUND(F2693+Materiales!$H$388-E2695-F2694,4))</f>
        <v/>
      </c>
      <c r="G2696" s="69">
        <f>MAX(0,ROUND(G2693+Materiales!$H$388-F2695-G2694,4))</f>
        <v/>
      </c>
      <c r="H2696" s="69">
        <f>MAX(0,ROUND(H2693+Materiales!$H$388-G2695-H2694,4))</f>
        <v/>
      </c>
      <c r="I2696" s="69">
        <f>MAX(0,ROUND(I2693+Materiales!$H$388-H2695-I2694,4))</f>
        <v/>
      </c>
      <c r="J2696" s="69">
        <f>MAX(0,ROUND(J2693+Materiales!$H$388-I2695-J2694,4))</f>
        <v/>
      </c>
      <c r="K2696" s="69">
        <f>MAX(0,ROUND(K2693+Materiales!$H$388-J2695-K2694,4))</f>
        <v/>
      </c>
      <c r="L2696" s="69">
        <f>MAX(0,ROUND(L2693+Materiales!$H$388-K2695-L2694,4))</f>
        <v/>
      </c>
      <c r="M2696" s="66" t="n"/>
    </row>
    <row r="2697">
      <c r="C2697" s="63" t="inlineStr">
        <is>
          <t>Recepcion de orden planificada</t>
        </is>
      </c>
      <c r="D2697" s="64" t="n"/>
      <c r="E2697" s="65">
        <f>IF(E2696&lt;=0,0,IF(Materiales!$G$388&lt;=0,E2696,ROUNDUP(E2696/Materiales!$G$388,0)*Materiales!$G$388))</f>
        <v/>
      </c>
      <c r="F2697" s="65">
        <f>IF(F2696&lt;=0,0,IF(Materiales!$G$388&lt;=0,F2696,ROUNDUP(F2696/Materiales!$G$388,0)*Materiales!$G$388))</f>
        <v/>
      </c>
      <c r="G2697" s="65">
        <f>IF(G2696&lt;=0,0,IF(Materiales!$G$388&lt;=0,G2696,ROUNDUP(G2696/Materiales!$G$388,0)*Materiales!$G$388))</f>
        <v/>
      </c>
      <c r="H2697" s="65">
        <f>IF(H2696&lt;=0,0,IF(Materiales!$G$388&lt;=0,H2696,ROUNDUP(H2696/Materiales!$G$388,0)*Materiales!$G$388))</f>
        <v/>
      </c>
      <c r="I2697" s="65">
        <f>IF(I2696&lt;=0,0,IF(Materiales!$G$388&lt;=0,I2696,ROUNDUP(I2696/Materiales!$G$388,0)*Materiales!$G$388))</f>
        <v/>
      </c>
      <c r="J2697" s="65">
        <f>IF(J2696&lt;=0,0,IF(Materiales!$G$388&lt;=0,J2696,ROUNDUP(J2696/Materiales!$G$388,0)*Materiales!$G$388))</f>
        <v/>
      </c>
      <c r="K2697" s="65">
        <f>IF(K2696&lt;=0,0,IF(Materiales!$G$388&lt;=0,K2696,ROUNDUP(K2696/Materiales!$G$388,0)*Materiales!$G$388))</f>
        <v/>
      </c>
      <c r="L2697" s="65">
        <f>IF(L2696&lt;=0,0,IF(Materiales!$G$388&lt;=0,L2696,ROUNDUP(L2696/Materiales!$G$388,0)*Materiales!$G$388))</f>
        <v/>
      </c>
      <c r="M2697" s="66" t="n"/>
    </row>
    <row r="2698">
      <c r="C2698" s="70" t="inlineStr">
        <is>
          <t>LANZAMIENTO DE ORDEN — pedir esta semana</t>
        </is>
      </c>
      <c r="D2698" s="64" t="n"/>
      <c r="E2698" s="71">
        <f>IF(1+Materiales!$F$388&gt;8,0,INDEX($E$2697:$L$2697,1,1+Materiales!$F$388))</f>
        <v/>
      </c>
      <c r="F2698" s="71">
        <f>IF(2+Materiales!$F$388&gt;8,0,INDEX($E$2697:$L$2697,1,2+Materiales!$F$388))</f>
        <v/>
      </c>
      <c r="G2698" s="71">
        <f>IF(3+Materiales!$F$388&gt;8,0,INDEX($E$2697:$L$2697,1,3+Materiales!$F$388))</f>
        <v/>
      </c>
      <c r="H2698" s="71">
        <f>IF(4+Materiales!$F$388&gt;8,0,INDEX($E$2697:$L$2697,1,4+Materiales!$F$388))</f>
        <v/>
      </c>
      <c r="I2698" s="71">
        <f>IF(5+Materiales!$F$388&gt;8,0,INDEX($E$2697:$L$2697,1,5+Materiales!$F$388))</f>
        <v/>
      </c>
      <c r="J2698" s="71">
        <f>IF(6+Materiales!$F$388&gt;8,0,INDEX($E$2697:$L$2697,1,6+Materiales!$F$388))</f>
        <v/>
      </c>
      <c r="K2698" s="71">
        <f>IF(7+Materiales!$F$388&gt;8,0,INDEX($E$2697:$L$2697,1,7+Materiales!$F$388))</f>
        <v/>
      </c>
      <c r="L2698" s="71">
        <f>IF(8+Materiales!$F$388&gt;8,0,INDEX($E$2697:$L$2697,1,8+Materiales!$F$388))</f>
        <v/>
      </c>
      <c r="M2698" s="72">
        <f>IF($A2693="","",IF(SUMPRODUCT((COLUMN($E$2697:$L$2697)-4&lt;=Materiales!$F$388)*$E$2697:$L$2697)&gt;0,"PEDIR YA (atrasado)","OK"))</f>
        <v/>
      </c>
    </row>
    <row r="2699" ht="6" customHeight="1"/>
    <row r="2700">
      <c r="A2700" s="62">
        <f>IF(Materiales!$A$389="","",Materiales!$A$389)</f>
        <v/>
      </c>
      <c r="B2700" s="62">
        <f>IF(Materiales!$B$389="","",Materiales!$B$389)</f>
        <v/>
      </c>
      <c r="C2700" s="63" t="inlineStr">
        <is>
          <t>Necesidad bruta</t>
        </is>
      </c>
      <c r="D2700" s="64" t="n"/>
      <c r="E2700" s="65">
        <f>ROUND(SUMIF(Consumo!$P$4:$P$189,"#"&amp;$A2700,Consumo!H$4:H$189),4)</f>
        <v/>
      </c>
      <c r="F2700" s="65">
        <f>ROUND(SUMIF(Consumo!$P$4:$P$189,"#"&amp;$A2700,Consumo!I$4:I$189),4)</f>
        <v/>
      </c>
      <c r="G2700" s="65">
        <f>ROUND(SUMIF(Consumo!$P$4:$P$189,"#"&amp;$A2700,Consumo!J$4:J$189),4)</f>
        <v/>
      </c>
      <c r="H2700" s="65">
        <f>ROUND(SUMIF(Consumo!$P$4:$P$189,"#"&amp;$A2700,Consumo!K$4:K$189),4)</f>
        <v/>
      </c>
      <c r="I2700" s="65">
        <f>ROUND(SUMIF(Consumo!$P$4:$P$189,"#"&amp;$A2700,Consumo!L$4:L$189),4)</f>
        <v/>
      </c>
      <c r="J2700" s="65">
        <f>ROUND(SUMIF(Consumo!$P$4:$P$189,"#"&amp;$A2700,Consumo!M$4:M$189),4)</f>
        <v/>
      </c>
      <c r="K2700" s="65">
        <f>ROUND(SUMIF(Consumo!$P$4:$P$189,"#"&amp;$A2700,Consumo!N$4:N$189),4)</f>
        <v/>
      </c>
      <c r="L2700" s="65">
        <f>ROUND(SUMIF(Consumo!$P$4:$P$189,"#"&amp;$A2700,Consumo!O$4:O$189),4)</f>
        <v/>
      </c>
      <c r="M2700" s="66" t="n"/>
    </row>
    <row r="2701">
      <c r="C2701" s="63" t="inlineStr">
        <is>
          <t>Recepciones programadas (ya pedido)</t>
        </is>
      </c>
      <c r="D2701" s="64" t="n"/>
      <c r="E2701" s="65">
        <f>SUMIF(Inventario!$M$5:$M$505,"#"&amp;$A2700,Inventario!E$5:E$505)</f>
        <v/>
      </c>
      <c r="F2701" s="65">
        <f>SUMIF(Inventario!$M$5:$M$505,"#"&amp;$A2700,Inventario!F$5:F$505)</f>
        <v/>
      </c>
      <c r="G2701" s="65">
        <f>SUMIF(Inventario!$M$5:$M$505,"#"&amp;$A2700,Inventario!G$5:G$505)</f>
        <v/>
      </c>
      <c r="H2701" s="65">
        <f>SUMIF(Inventario!$M$5:$M$505,"#"&amp;$A2700,Inventario!H$5:H$505)</f>
        <v/>
      </c>
      <c r="I2701" s="65">
        <f>SUMIF(Inventario!$M$5:$M$505,"#"&amp;$A2700,Inventario!I$5:I$505)</f>
        <v/>
      </c>
      <c r="J2701" s="65">
        <f>SUMIF(Inventario!$M$5:$M$505,"#"&amp;$A2700,Inventario!J$5:J$505)</f>
        <v/>
      </c>
      <c r="K2701" s="65">
        <f>SUMIF(Inventario!$M$5:$M$505,"#"&amp;$A2700,Inventario!K$5:K$505)</f>
        <v/>
      </c>
      <c r="L2701" s="65">
        <f>SUMIF(Inventario!$M$5:$M$505,"#"&amp;$A2700,Inventario!L$5:L$505)</f>
        <v/>
      </c>
      <c r="M2701" s="66" t="n"/>
    </row>
    <row r="2702">
      <c r="C2702" s="63" t="inlineStr">
        <is>
          <t>Stock proyectado disponible</t>
        </is>
      </c>
      <c r="D2702" s="67">
        <f>SUMIF(Inventario!$M$5:$M$505,"#"&amp;$A2700,Inventario!$C$5:$C$505)</f>
        <v/>
      </c>
      <c r="E2702" s="68">
        <f>D2702+E2701+E2704-E2700</f>
        <v/>
      </c>
      <c r="F2702" s="68">
        <f>E2702+F2701+F2704-F2700</f>
        <v/>
      </c>
      <c r="G2702" s="68">
        <f>F2702+G2701+G2704-G2700</f>
        <v/>
      </c>
      <c r="H2702" s="68">
        <f>G2702+H2701+H2704-H2700</f>
        <v/>
      </c>
      <c r="I2702" s="68">
        <f>H2702+I2701+I2704-I2700</f>
        <v/>
      </c>
      <c r="J2702" s="68">
        <f>I2702+J2701+J2704-J2700</f>
        <v/>
      </c>
      <c r="K2702" s="68">
        <f>J2702+K2701+K2704-K2700</f>
        <v/>
      </c>
      <c r="L2702" s="68">
        <f>K2702+L2701+L2704-L2700</f>
        <v/>
      </c>
      <c r="M2702" s="66" t="n"/>
    </row>
    <row r="2703">
      <c r="C2703" s="63" t="inlineStr">
        <is>
          <t>Necesidad neta</t>
        </is>
      </c>
      <c r="D2703" s="64" t="n"/>
      <c r="E2703" s="69">
        <f>MAX(0,ROUND(E2700+Materiales!$H$389-D2702-E2701,4))</f>
        <v/>
      </c>
      <c r="F2703" s="69">
        <f>MAX(0,ROUND(F2700+Materiales!$H$389-E2702-F2701,4))</f>
        <v/>
      </c>
      <c r="G2703" s="69">
        <f>MAX(0,ROUND(G2700+Materiales!$H$389-F2702-G2701,4))</f>
        <v/>
      </c>
      <c r="H2703" s="69">
        <f>MAX(0,ROUND(H2700+Materiales!$H$389-G2702-H2701,4))</f>
        <v/>
      </c>
      <c r="I2703" s="69">
        <f>MAX(0,ROUND(I2700+Materiales!$H$389-H2702-I2701,4))</f>
        <v/>
      </c>
      <c r="J2703" s="69">
        <f>MAX(0,ROUND(J2700+Materiales!$H$389-I2702-J2701,4))</f>
        <v/>
      </c>
      <c r="K2703" s="69">
        <f>MAX(0,ROUND(K2700+Materiales!$H$389-J2702-K2701,4))</f>
        <v/>
      </c>
      <c r="L2703" s="69">
        <f>MAX(0,ROUND(L2700+Materiales!$H$389-K2702-L2701,4))</f>
        <v/>
      </c>
      <c r="M2703" s="66" t="n"/>
    </row>
    <row r="2704">
      <c r="C2704" s="63" t="inlineStr">
        <is>
          <t>Recepcion de orden planificada</t>
        </is>
      </c>
      <c r="D2704" s="64" t="n"/>
      <c r="E2704" s="65">
        <f>IF(E2703&lt;=0,0,IF(Materiales!$G$389&lt;=0,E2703,ROUNDUP(E2703/Materiales!$G$389,0)*Materiales!$G$389))</f>
        <v/>
      </c>
      <c r="F2704" s="65">
        <f>IF(F2703&lt;=0,0,IF(Materiales!$G$389&lt;=0,F2703,ROUNDUP(F2703/Materiales!$G$389,0)*Materiales!$G$389))</f>
        <v/>
      </c>
      <c r="G2704" s="65">
        <f>IF(G2703&lt;=0,0,IF(Materiales!$G$389&lt;=0,G2703,ROUNDUP(G2703/Materiales!$G$389,0)*Materiales!$G$389))</f>
        <v/>
      </c>
      <c r="H2704" s="65">
        <f>IF(H2703&lt;=0,0,IF(Materiales!$G$389&lt;=0,H2703,ROUNDUP(H2703/Materiales!$G$389,0)*Materiales!$G$389))</f>
        <v/>
      </c>
      <c r="I2704" s="65">
        <f>IF(I2703&lt;=0,0,IF(Materiales!$G$389&lt;=0,I2703,ROUNDUP(I2703/Materiales!$G$389,0)*Materiales!$G$389))</f>
        <v/>
      </c>
      <c r="J2704" s="65">
        <f>IF(J2703&lt;=0,0,IF(Materiales!$G$389&lt;=0,J2703,ROUNDUP(J2703/Materiales!$G$389,0)*Materiales!$G$389))</f>
        <v/>
      </c>
      <c r="K2704" s="65">
        <f>IF(K2703&lt;=0,0,IF(Materiales!$G$389&lt;=0,K2703,ROUNDUP(K2703/Materiales!$G$389,0)*Materiales!$G$389))</f>
        <v/>
      </c>
      <c r="L2704" s="65">
        <f>IF(L2703&lt;=0,0,IF(Materiales!$G$389&lt;=0,L2703,ROUNDUP(L2703/Materiales!$G$389,0)*Materiales!$G$389))</f>
        <v/>
      </c>
      <c r="M2704" s="66" t="n"/>
    </row>
    <row r="2705">
      <c r="C2705" s="70" t="inlineStr">
        <is>
          <t>LANZAMIENTO DE ORDEN — pedir esta semana</t>
        </is>
      </c>
      <c r="D2705" s="64" t="n"/>
      <c r="E2705" s="71">
        <f>IF(1+Materiales!$F$389&gt;8,0,INDEX($E$2704:$L$2704,1,1+Materiales!$F$389))</f>
        <v/>
      </c>
      <c r="F2705" s="71">
        <f>IF(2+Materiales!$F$389&gt;8,0,INDEX($E$2704:$L$2704,1,2+Materiales!$F$389))</f>
        <v/>
      </c>
      <c r="G2705" s="71">
        <f>IF(3+Materiales!$F$389&gt;8,0,INDEX($E$2704:$L$2704,1,3+Materiales!$F$389))</f>
        <v/>
      </c>
      <c r="H2705" s="71">
        <f>IF(4+Materiales!$F$389&gt;8,0,INDEX($E$2704:$L$2704,1,4+Materiales!$F$389))</f>
        <v/>
      </c>
      <c r="I2705" s="71">
        <f>IF(5+Materiales!$F$389&gt;8,0,INDEX($E$2704:$L$2704,1,5+Materiales!$F$389))</f>
        <v/>
      </c>
      <c r="J2705" s="71">
        <f>IF(6+Materiales!$F$389&gt;8,0,INDEX($E$2704:$L$2704,1,6+Materiales!$F$389))</f>
        <v/>
      </c>
      <c r="K2705" s="71">
        <f>IF(7+Materiales!$F$389&gt;8,0,INDEX($E$2704:$L$2704,1,7+Materiales!$F$389))</f>
        <v/>
      </c>
      <c r="L2705" s="71">
        <f>IF(8+Materiales!$F$389&gt;8,0,INDEX($E$2704:$L$2704,1,8+Materiales!$F$389))</f>
        <v/>
      </c>
      <c r="M2705" s="72">
        <f>IF($A2700="","",IF(SUMPRODUCT((COLUMN($E$2704:$L$2704)-4&lt;=Materiales!$F$389)*$E$2704:$L$2704)&gt;0,"PEDIR YA (atrasado)","OK"))</f>
        <v/>
      </c>
    </row>
    <row r="2706" ht="6" customHeight="1"/>
    <row r="2707">
      <c r="A2707" s="62">
        <f>IF(Materiales!$A$390="","",Materiales!$A$390)</f>
        <v/>
      </c>
      <c r="B2707" s="62">
        <f>IF(Materiales!$B$390="","",Materiales!$B$390)</f>
        <v/>
      </c>
      <c r="C2707" s="63" t="inlineStr">
        <is>
          <t>Necesidad bruta</t>
        </is>
      </c>
      <c r="D2707" s="64" t="n"/>
      <c r="E2707" s="65">
        <f>ROUND(SUMIF(Consumo!$P$4:$P$189,"#"&amp;$A2707,Consumo!H$4:H$189),4)</f>
        <v/>
      </c>
      <c r="F2707" s="65">
        <f>ROUND(SUMIF(Consumo!$P$4:$P$189,"#"&amp;$A2707,Consumo!I$4:I$189),4)</f>
        <v/>
      </c>
      <c r="G2707" s="65">
        <f>ROUND(SUMIF(Consumo!$P$4:$P$189,"#"&amp;$A2707,Consumo!J$4:J$189),4)</f>
        <v/>
      </c>
      <c r="H2707" s="65">
        <f>ROUND(SUMIF(Consumo!$P$4:$P$189,"#"&amp;$A2707,Consumo!K$4:K$189),4)</f>
        <v/>
      </c>
      <c r="I2707" s="65">
        <f>ROUND(SUMIF(Consumo!$P$4:$P$189,"#"&amp;$A2707,Consumo!L$4:L$189),4)</f>
        <v/>
      </c>
      <c r="J2707" s="65">
        <f>ROUND(SUMIF(Consumo!$P$4:$P$189,"#"&amp;$A2707,Consumo!M$4:M$189),4)</f>
        <v/>
      </c>
      <c r="K2707" s="65">
        <f>ROUND(SUMIF(Consumo!$P$4:$P$189,"#"&amp;$A2707,Consumo!N$4:N$189),4)</f>
        <v/>
      </c>
      <c r="L2707" s="65">
        <f>ROUND(SUMIF(Consumo!$P$4:$P$189,"#"&amp;$A2707,Consumo!O$4:O$189),4)</f>
        <v/>
      </c>
      <c r="M2707" s="66" t="n"/>
    </row>
    <row r="2708">
      <c r="C2708" s="63" t="inlineStr">
        <is>
          <t>Recepciones programadas (ya pedido)</t>
        </is>
      </c>
      <c r="D2708" s="64" t="n"/>
      <c r="E2708" s="65">
        <f>SUMIF(Inventario!$M$5:$M$505,"#"&amp;$A2707,Inventario!E$5:E$505)</f>
        <v/>
      </c>
      <c r="F2708" s="65">
        <f>SUMIF(Inventario!$M$5:$M$505,"#"&amp;$A2707,Inventario!F$5:F$505)</f>
        <v/>
      </c>
      <c r="G2708" s="65">
        <f>SUMIF(Inventario!$M$5:$M$505,"#"&amp;$A2707,Inventario!G$5:G$505)</f>
        <v/>
      </c>
      <c r="H2708" s="65">
        <f>SUMIF(Inventario!$M$5:$M$505,"#"&amp;$A2707,Inventario!H$5:H$505)</f>
        <v/>
      </c>
      <c r="I2708" s="65">
        <f>SUMIF(Inventario!$M$5:$M$505,"#"&amp;$A2707,Inventario!I$5:I$505)</f>
        <v/>
      </c>
      <c r="J2708" s="65">
        <f>SUMIF(Inventario!$M$5:$M$505,"#"&amp;$A2707,Inventario!J$5:J$505)</f>
        <v/>
      </c>
      <c r="K2708" s="65">
        <f>SUMIF(Inventario!$M$5:$M$505,"#"&amp;$A2707,Inventario!K$5:K$505)</f>
        <v/>
      </c>
      <c r="L2708" s="65">
        <f>SUMIF(Inventario!$M$5:$M$505,"#"&amp;$A2707,Inventario!L$5:L$505)</f>
        <v/>
      </c>
      <c r="M2708" s="66" t="n"/>
    </row>
    <row r="2709">
      <c r="C2709" s="63" t="inlineStr">
        <is>
          <t>Stock proyectado disponible</t>
        </is>
      </c>
      <c r="D2709" s="67">
        <f>SUMIF(Inventario!$M$5:$M$505,"#"&amp;$A2707,Inventario!$C$5:$C$505)</f>
        <v/>
      </c>
      <c r="E2709" s="68">
        <f>D2709+E2708+E2711-E2707</f>
        <v/>
      </c>
      <c r="F2709" s="68">
        <f>E2709+F2708+F2711-F2707</f>
        <v/>
      </c>
      <c r="G2709" s="68">
        <f>F2709+G2708+G2711-G2707</f>
        <v/>
      </c>
      <c r="H2709" s="68">
        <f>G2709+H2708+H2711-H2707</f>
        <v/>
      </c>
      <c r="I2709" s="68">
        <f>H2709+I2708+I2711-I2707</f>
        <v/>
      </c>
      <c r="J2709" s="68">
        <f>I2709+J2708+J2711-J2707</f>
        <v/>
      </c>
      <c r="K2709" s="68">
        <f>J2709+K2708+K2711-K2707</f>
        <v/>
      </c>
      <c r="L2709" s="68">
        <f>K2709+L2708+L2711-L2707</f>
        <v/>
      </c>
      <c r="M2709" s="66" t="n"/>
    </row>
    <row r="2710">
      <c r="C2710" s="63" t="inlineStr">
        <is>
          <t>Necesidad neta</t>
        </is>
      </c>
      <c r="D2710" s="64" t="n"/>
      <c r="E2710" s="69">
        <f>MAX(0,ROUND(E2707+Materiales!$H$390-D2709-E2708,4))</f>
        <v/>
      </c>
      <c r="F2710" s="69">
        <f>MAX(0,ROUND(F2707+Materiales!$H$390-E2709-F2708,4))</f>
        <v/>
      </c>
      <c r="G2710" s="69">
        <f>MAX(0,ROUND(G2707+Materiales!$H$390-F2709-G2708,4))</f>
        <v/>
      </c>
      <c r="H2710" s="69">
        <f>MAX(0,ROUND(H2707+Materiales!$H$390-G2709-H2708,4))</f>
        <v/>
      </c>
      <c r="I2710" s="69">
        <f>MAX(0,ROUND(I2707+Materiales!$H$390-H2709-I2708,4))</f>
        <v/>
      </c>
      <c r="J2710" s="69">
        <f>MAX(0,ROUND(J2707+Materiales!$H$390-I2709-J2708,4))</f>
        <v/>
      </c>
      <c r="K2710" s="69">
        <f>MAX(0,ROUND(K2707+Materiales!$H$390-J2709-K2708,4))</f>
        <v/>
      </c>
      <c r="L2710" s="69">
        <f>MAX(0,ROUND(L2707+Materiales!$H$390-K2709-L2708,4))</f>
        <v/>
      </c>
      <c r="M2710" s="66" t="n"/>
    </row>
    <row r="2711">
      <c r="C2711" s="63" t="inlineStr">
        <is>
          <t>Recepcion de orden planificada</t>
        </is>
      </c>
      <c r="D2711" s="64" t="n"/>
      <c r="E2711" s="65">
        <f>IF(E2710&lt;=0,0,IF(Materiales!$G$390&lt;=0,E2710,ROUNDUP(E2710/Materiales!$G$390,0)*Materiales!$G$390))</f>
        <v/>
      </c>
      <c r="F2711" s="65">
        <f>IF(F2710&lt;=0,0,IF(Materiales!$G$390&lt;=0,F2710,ROUNDUP(F2710/Materiales!$G$390,0)*Materiales!$G$390))</f>
        <v/>
      </c>
      <c r="G2711" s="65">
        <f>IF(G2710&lt;=0,0,IF(Materiales!$G$390&lt;=0,G2710,ROUNDUP(G2710/Materiales!$G$390,0)*Materiales!$G$390))</f>
        <v/>
      </c>
      <c r="H2711" s="65">
        <f>IF(H2710&lt;=0,0,IF(Materiales!$G$390&lt;=0,H2710,ROUNDUP(H2710/Materiales!$G$390,0)*Materiales!$G$390))</f>
        <v/>
      </c>
      <c r="I2711" s="65">
        <f>IF(I2710&lt;=0,0,IF(Materiales!$G$390&lt;=0,I2710,ROUNDUP(I2710/Materiales!$G$390,0)*Materiales!$G$390))</f>
        <v/>
      </c>
      <c r="J2711" s="65">
        <f>IF(J2710&lt;=0,0,IF(Materiales!$G$390&lt;=0,J2710,ROUNDUP(J2710/Materiales!$G$390,0)*Materiales!$G$390))</f>
        <v/>
      </c>
      <c r="K2711" s="65">
        <f>IF(K2710&lt;=0,0,IF(Materiales!$G$390&lt;=0,K2710,ROUNDUP(K2710/Materiales!$G$390,0)*Materiales!$G$390))</f>
        <v/>
      </c>
      <c r="L2711" s="65">
        <f>IF(L2710&lt;=0,0,IF(Materiales!$G$390&lt;=0,L2710,ROUNDUP(L2710/Materiales!$G$390,0)*Materiales!$G$390))</f>
        <v/>
      </c>
      <c r="M2711" s="66" t="n"/>
    </row>
    <row r="2712">
      <c r="C2712" s="70" t="inlineStr">
        <is>
          <t>LANZAMIENTO DE ORDEN — pedir esta semana</t>
        </is>
      </c>
      <c r="D2712" s="64" t="n"/>
      <c r="E2712" s="71">
        <f>IF(1+Materiales!$F$390&gt;8,0,INDEX($E$2711:$L$2711,1,1+Materiales!$F$390))</f>
        <v/>
      </c>
      <c r="F2712" s="71">
        <f>IF(2+Materiales!$F$390&gt;8,0,INDEX($E$2711:$L$2711,1,2+Materiales!$F$390))</f>
        <v/>
      </c>
      <c r="G2712" s="71">
        <f>IF(3+Materiales!$F$390&gt;8,0,INDEX($E$2711:$L$2711,1,3+Materiales!$F$390))</f>
        <v/>
      </c>
      <c r="H2712" s="71">
        <f>IF(4+Materiales!$F$390&gt;8,0,INDEX($E$2711:$L$2711,1,4+Materiales!$F$390))</f>
        <v/>
      </c>
      <c r="I2712" s="71">
        <f>IF(5+Materiales!$F$390&gt;8,0,INDEX($E$2711:$L$2711,1,5+Materiales!$F$390))</f>
        <v/>
      </c>
      <c r="J2712" s="71">
        <f>IF(6+Materiales!$F$390&gt;8,0,INDEX($E$2711:$L$2711,1,6+Materiales!$F$390))</f>
        <v/>
      </c>
      <c r="K2712" s="71">
        <f>IF(7+Materiales!$F$390&gt;8,0,INDEX($E$2711:$L$2711,1,7+Materiales!$F$390))</f>
        <v/>
      </c>
      <c r="L2712" s="71">
        <f>IF(8+Materiales!$F$390&gt;8,0,INDEX($E$2711:$L$2711,1,8+Materiales!$F$390))</f>
        <v/>
      </c>
      <c r="M2712" s="72">
        <f>IF($A2707="","",IF(SUMPRODUCT((COLUMN($E$2711:$L$2711)-4&lt;=Materiales!$F$390)*$E$2711:$L$2711)&gt;0,"PEDIR YA (atrasado)","OK"))</f>
        <v/>
      </c>
    </row>
    <row r="2713" ht="6" customHeight="1"/>
    <row r="2714">
      <c r="A2714" s="62">
        <f>IF(Materiales!$A$391="","",Materiales!$A$391)</f>
        <v/>
      </c>
      <c r="B2714" s="62">
        <f>IF(Materiales!$B$391="","",Materiales!$B$391)</f>
        <v/>
      </c>
      <c r="C2714" s="63" t="inlineStr">
        <is>
          <t>Necesidad bruta</t>
        </is>
      </c>
      <c r="D2714" s="64" t="n"/>
      <c r="E2714" s="65">
        <f>ROUND(SUMIF(Consumo!$P$4:$P$189,"#"&amp;$A2714,Consumo!H$4:H$189),4)</f>
        <v/>
      </c>
      <c r="F2714" s="65">
        <f>ROUND(SUMIF(Consumo!$P$4:$P$189,"#"&amp;$A2714,Consumo!I$4:I$189),4)</f>
        <v/>
      </c>
      <c r="G2714" s="65">
        <f>ROUND(SUMIF(Consumo!$P$4:$P$189,"#"&amp;$A2714,Consumo!J$4:J$189),4)</f>
        <v/>
      </c>
      <c r="H2714" s="65">
        <f>ROUND(SUMIF(Consumo!$P$4:$P$189,"#"&amp;$A2714,Consumo!K$4:K$189),4)</f>
        <v/>
      </c>
      <c r="I2714" s="65">
        <f>ROUND(SUMIF(Consumo!$P$4:$P$189,"#"&amp;$A2714,Consumo!L$4:L$189),4)</f>
        <v/>
      </c>
      <c r="J2714" s="65">
        <f>ROUND(SUMIF(Consumo!$P$4:$P$189,"#"&amp;$A2714,Consumo!M$4:M$189),4)</f>
        <v/>
      </c>
      <c r="K2714" s="65">
        <f>ROUND(SUMIF(Consumo!$P$4:$P$189,"#"&amp;$A2714,Consumo!N$4:N$189),4)</f>
        <v/>
      </c>
      <c r="L2714" s="65">
        <f>ROUND(SUMIF(Consumo!$P$4:$P$189,"#"&amp;$A2714,Consumo!O$4:O$189),4)</f>
        <v/>
      </c>
      <c r="M2714" s="66" t="n"/>
    </row>
    <row r="2715">
      <c r="C2715" s="63" t="inlineStr">
        <is>
          <t>Recepciones programadas (ya pedido)</t>
        </is>
      </c>
      <c r="D2715" s="64" t="n"/>
      <c r="E2715" s="65">
        <f>SUMIF(Inventario!$M$5:$M$505,"#"&amp;$A2714,Inventario!E$5:E$505)</f>
        <v/>
      </c>
      <c r="F2715" s="65">
        <f>SUMIF(Inventario!$M$5:$M$505,"#"&amp;$A2714,Inventario!F$5:F$505)</f>
        <v/>
      </c>
      <c r="G2715" s="65">
        <f>SUMIF(Inventario!$M$5:$M$505,"#"&amp;$A2714,Inventario!G$5:G$505)</f>
        <v/>
      </c>
      <c r="H2715" s="65">
        <f>SUMIF(Inventario!$M$5:$M$505,"#"&amp;$A2714,Inventario!H$5:H$505)</f>
        <v/>
      </c>
      <c r="I2715" s="65">
        <f>SUMIF(Inventario!$M$5:$M$505,"#"&amp;$A2714,Inventario!I$5:I$505)</f>
        <v/>
      </c>
      <c r="J2715" s="65">
        <f>SUMIF(Inventario!$M$5:$M$505,"#"&amp;$A2714,Inventario!J$5:J$505)</f>
        <v/>
      </c>
      <c r="K2715" s="65">
        <f>SUMIF(Inventario!$M$5:$M$505,"#"&amp;$A2714,Inventario!K$5:K$505)</f>
        <v/>
      </c>
      <c r="L2715" s="65">
        <f>SUMIF(Inventario!$M$5:$M$505,"#"&amp;$A2714,Inventario!L$5:L$505)</f>
        <v/>
      </c>
      <c r="M2715" s="66" t="n"/>
    </row>
    <row r="2716">
      <c r="C2716" s="63" t="inlineStr">
        <is>
          <t>Stock proyectado disponible</t>
        </is>
      </c>
      <c r="D2716" s="67">
        <f>SUMIF(Inventario!$M$5:$M$505,"#"&amp;$A2714,Inventario!$C$5:$C$505)</f>
        <v/>
      </c>
      <c r="E2716" s="68">
        <f>D2716+E2715+E2718-E2714</f>
        <v/>
      </c>
      <c r="F2716" s="68">
        <f>E2716+F2715+F2718-F2714</f>
        <v/>
      </c>
      <c r="G2716" s="68">
        <f>F2716+G2715+G2718-G2714</f>
        <v/>
      </c>
      <c r="H2716" s="68">
        <f>G2716+H2715+H2718-H2714</f>
        <v/>
      </c>
      <c r="I2716" s="68">
        <f>H2716+I2715+I2718-I2714</f>
        <v/>
      </c>
      <c r="J2716" s="68">
        <f>I2716+J2715+J2718-J2714</f>
        <v/>
      </c>
      <c r="K2716" s="68">
        <f>J2716+K2715+K2718-K2714</f>
        <v/>
      </c>
      <c r="L2716" s="68">
        <f>K2716+L2715+L2718-L2714</f>
        <v/>
      </c>
      <c r="M2716" s="66" t="n"/>
    </row>
    <row r="2717">
      <c r="C2717" s="63" t="inlineStr">
        <is>
          <t>Necesidad neta</t>
        </is>
      </c>
      <c r="D2717" s="64" t="n"/>
      <c r="E2717" s="69">
        <f>MAX(0,ROUND(E2714+Materiales!$H$391-D2716-E2715,4))</f>
        <v/>
      </c>
      <c r="F2717" s="69">
        <f>MAX(0,ROUND(F2714+Materiales!$H$391-E2716-F2715,4))</f>
        <v/>
      </c>
      <c r="G2717" s="69">
        <f>MAX(0,ROUND(G2714+Materiales!$H$391-F2716-G2715,4))</f>
        <v/>
      </c>
      <c r="H2717" s="69">
        <f>MAX(0,ROUND(H2714+Materiales!$H$391-G2716-H2715,4))</f>
        <v/>
      </c>
      <c r="I2717" s="69">
        <f>MAX(0,ROUND(I2714+Materiales!$H$391-H2716-I2715,4))</f>
        <v/>
      </c>
      <c r="J2717" s="69">
        <f>MAX(0,ROUND(J2714+Materiales!$H$391-I2716-J2715,4))</f>
        <v/>
      </c>
      <c r="K2717" s="69">
        <f>MAX(0,ROUND(K2714+Materiales!$H$391-J2716-K2715,4))</f>
        <v/>
      </c>
      <c r="L2717" s="69">
        <f>MAX(0,ROUND(L2714+Materiales!$H$391-K2716-L2715,4))</f>
        <v/>
      </c>
      <c r="M2717" s="66" t="n"/>
    </row>
    <row r="2718">
      <c r="C2718" s="63" t="inlineStr">
        <is>
          <t>Recepcion de orden planificada</t>
        </is>
      </c>
      <c r="D2718" s="64" t="n"/>
      <c r="E2718" s="65">
        <f>IF(E2717&lt;=0,0,IF(Materiales!$G$391&lt;=0,E2717,ROUNDUP(E2717/Materiales!$G$391,0)*Materiales!$G$391))</f>
        <v/>
      </c>
      <c r="F2718" s="65">
        <f>IF(F2717&lt;=0,0,IF(Materiales!$G$391&lt;=0,F2717,ROUNDUP(F2717/Materiales!$G$391,0)*Materiales!$G$391))</f>
        <v/>
      </c>
      <c r="G2718" s="65">
        <f>IF(G2717&lt;=0,0,IF(Materiales!$G$391&lt;=0,G2717,ROUNDUP(G2717/Materiales!$G$391,0)*Materiales!$G$391))</f>
        <v/>
      </c>
      <c r="H2718" s="65">
        <f>IF(H2717&lt;=0,0,IF(Materiales!$G$391&lt;=0,H2717,ROUNDUP(H2717/Materiales!$G$391,0)*Materiales!$G$391))</f>
        <v/>
      </c>
      <c r="I2718" s="65">
        <f>IF(I2717&lt;=0,0,IF(Materiales!$G$391&lt;=0,I2717,ROUNDUP(I2717/Materiales!$G$391,0)*Materiales!$G$391))</f>
        <v/>
      </c>
      <c r="J2718" s="65">
        <f>IF(J2717&lt;=0,0,IF(Materiales!$G$391&lt;=0,J2717,ROUNDUP(J2717/Materiales!$G$391,0)*Materiales!$G$391))</f>
        <v/>
      </c>
      <c r="K2718" s="65">
        <f>IF(K2717&lt;=0,0,IF(Materiales!$G$391&lt;=0,K2717,ROUNDUP(K2717/Materiales!$G$391,0)*Materiales!$G$391))</f>
        <v/>
      </c>
      <c r="L2718" s="65">
        <f>IF(L2717&lt;=0,0,IF(Materiales!$G$391&lt;=0,L2717,ROUNDUP(L2717/Materiales!$G$391,0)*Materiales!$G$391))</f>
        <v/>
      </c>
      <c r="M2718" s="66" t="n"/>
    </row>
    <row r="2719">
      <c r="C2719" s="70" t="inlineStr">
        <is>
          <t>LANZAMIENTO DE ORDEN — pedir esta semana</t>
        </is>
      </c>
      <c r="D2719" s="64" t="n"/>
      <c r="E2719" s="71">
        <f>IF(1+Materiales!$F$391&gt;8,0,INDEX($E$2718:$L$2718,1,1+Materiales!$F$391))</f>
        <v/>
      </c>
      <c r="F2719" s="71">
        <f>IF(2+Materiales!$F$391&gt;8,0,INDEX($E$2718:$L$2718,1,2+Materiales!$F$391))</f>
        <v/>
      </c>
      <c r="G2719" s="71">
        <f>IF(3+Materiales!$F$391&gt;8,0,INDEX($E$2718:$L$2718,1,3+Materiales!$F$391))</f>
        <v/>
      </c>
      <c r="H2719" s="71">
        <f>IF(4+Materiales!$F$391&gt;8,0,INDEX($E$2718:$L$2718,1,4+Materiales!$F$391))</f>
        <v/>
      </c>
      <c r="I2719" s="71">
        <f>IF(5+Materiales!$F$391&gt;8,0,INDEX($E$2718:$L$2718,1,5+Materiales!$F$391))</f>
        <v/>
      </c>
      <c r="J2719" s="71">
        <f>IF(6+Materiales!$F$391&gt;8,0,INDEX($E$2718:$L$2718,1,6+Materiales!$F$391))</f>
        <v/>
      </c>
      <c r="K2719" s="71">
        <f>IF(7+Materiales!$F$391&gt;8,0,INDEX($E$2718:$L$2718,1,7+Materiales!$F$391))</f>
        <v/>
      </c>
      <c r="L2719" s="71">
        <f>IF(8+Materiales!$F$391&gt;8,0,INDEX($E$2718:$L$2718,1,8+Materiales!$F$391))</f>
        <v/>
      </c>
      <c r="M2719" s="72">
        <f>IF($A2714="","",IF(SUMPRODUCT((COLUMN($E$2718:$L$2718)-4&lt;=Materiales!$F$391)*$E$2718:$L$2718)&gt;0,"PEDIR YA (atrasado)","OK"))</f>
        <v/>
      </c>
    </row>
    <row r="2720" ht="6" customHeight="1"/>
    <row r="2721">
      <c r="A2721" s="62">
        <f>IF(Materiales!$A$392="","",Materiales!$A$392)</f>
        <v/>
      </c>
      <c r="B2721" s="62">
        <f>IF(Materiales!$B$392="","",Materiales!$B$392)</f>
        <v/>
      </c>
      <c r="C2721" s="63" t="inlineStr">
        <is>
          <t>Necesidad bruta</t>
        </is>
      </c>
      <c r="D2721" s="64" t="n"/>
      <c r="E2721" s="65">
        <f>ROUND(SUMIF(Consumo!$P$4:$P$189,"#"&amp;$A2721,Consumo!H$4:H$189),4)</f>
        <v/>
      </c>
      <c r="F2721" s="65">
        <f>ROUND(SUMIF(Consumo!$P$4:$P$189,"#"&amp;$A2721,Consumo!I$4:I$189),4)</f>
        <v/>
      </c>
      <c r="G2721" s="65">
        <f>ROUND(SUMIF(Consumo!$P$4:$P$189,"#"&amp;$A2721,Consumo!J$4:J$189),4)</f>
        <v/>
      </c>
      <c r="H2721" s="65">
        <f>ROUND(SUMIF(Consumo!$P$4:$P$189,"#"&amp;$A2721,Consumo!K$4:K$189),4)</f>
        <v/>
      </c>
      <c r="I2721" s="65">
        <f>ROUND(SUMIF(Consumo!$P$4:$P$189,"#"&amp;$A2721,Consumo!L$4:L$189),4)</f>
        <v/>
      </c>
      <c r="J2721" s="65">
        <f>ROUND(SUMIF(Consumo!$P$4:$P$189,"#"&amp;$A2721,Consumo!M$4:M$189),4)</f>
        <v/>
      </c>
      <c r="K2721" s="65">
        <f>ROUND(SUMIF(Consumo!$P$4:$P$189,"#"&amp;$A2721,Consumo!N$4:N$189),4)</f>
        <v/>
      </c>
      <c r="L2721" s="65">
        <f>ROUND(SUMIF(Consumo!$P$4:$P$189,"#"&amp;$A2721,Consumo!O$4:O$189),4)</f>
        <v/>
      </c>
      <c r="M2721" s="66" t="n"/>
    </row>
    <row r="2722">
      <c r="C2722" s="63" t="inlineStr">
        <is>
          <t>Recepciones programadas (ya pedido)</t>
        </is>
      </c>
      <c r="D2722" s="64" t="n"/>
      <c r="E2722" s="65">
        <f>SUMIF(Inventario!$M$5:$M$505,"#"&amp;$A2721,Inventario!E$5:E$505)</f>
        <v/>
      </c>
      <c r="F2722" s="65">
        <f>SUMIF(Inventario!$M$5:$M$505,"#"&amp;$A2721,Inventario!F$5:F$505)</f>
        <v/>
      </c>
      <c r="G2722" s="65">
        <f>SUMIF(Inventario!$M$5:$M$505,"#"&amp;$A2721,Inventario!G$5:G$505)</f>
        <v/>
      </c>
      <c r="H2722" s="65">
        <f>SUMIF(Inventario!$M$5:$M$505,"#"&amp;$A2721,Inventario!H$5:H$505)</f>
        <v/>
      </c>
      <c r="I2722" s="65">
        <f>SUMIF(Inventario!$M$5:$M$505,"#"&amp;$A2721,Inventario!I$5:I$505)</f>
        <v/>
      </c>
      <c r="J2722" s="65">
        <f>SUMIF(Inventario!$M$5:$M$505,"#"&amp;$A2721,Inventario!J$5:J$505)</f>
        <v/>
      </c>
      <c r="K2722" s="65">
        <f>SUMIF(Inventario!$M$5:$M$505,"#"&amp;$A2721,Inventario!K$5:K$505)</f>
        <v/>
      </c>
      <c r="L2722" s="65">
        <f>SUMIF(Inventario!$M$5:$M$505,"#"&amp;$A2721,Inventario!L$5:L$505)</f>
        <v/>
      </c>
      <c r="M2722" s="66" t="n"/>
    </row>
    <row r="2723">
      <c r="C2723" s="63" t="inlineStr">
        <is>
          <t>Stock proyectado disponible</t>
        </is>
      </c>
      <c r="D2723" s="67">
        <f>SUMIF(Inventario!$M$5:$M$505,"#"&amp;$A2721,Inventario!$C$5:$C$505)</f>
        <v/>
      </c>
      <c r="E2723" s="68">
        <f>D2723+E2722+E2725-E2721</f>
        <v/>
      </c>
      <c r="F2723" s="68">
        <f>E2723+F2722+F2725-F2721</f>
        <v/>
      </c>
      <c r="G2723" s="68">
        <f>F2723+G2722+G2725-G2721</f>
        <v/>
      </c>
      <c r="H2723" s="68">
        <f>G2723+H2722+H2725-H2721</f>
        <v/>
      </c>
      <c r="I2723" s="68">
        <f>H2723+I2722+I2725-I2721</f>
        <v/>
      </c>
      <c r="J2723" s="68">
        <f>I2723+J2722+J2725-J2721</f>
        <v/>
      </c>
      <c r="K2723" s="68">
        <f>J2723+K2722+K2725-K2721</f>
        <v/>
      </c>
      <c r="L2723" s="68">
        <f>K2723+L2722+L2725-L2721</f>
        <v/>
      </c>
      <c r="M2723" s="66" t="n"/>
    </row>
    <row r="2724">
      <c r="C2724" s="63" t="inlineStr">
        <is>
          <t>Necesidad neta</t>
        </is>
      </c>
      <c r="D2724" s="64" t="n"/>
      <c r="E2724" s="69">
        <f>MAX(0,ROUND(E2721+Materiales!$H$392-D2723-E2722,4))</f>
        <v/>
      </c>
      <c r="F2724" s="69">
        <f>MAX(0,ROUND(F2721+Materiales!$H$392-E2723-F2722,4))</f>
        <v/>
      </c>
      <c r="G2724" s="69">
        <f>MAX(0,ROUND(G2721+Materiales!$H$392-F2723-G2722,4))</f>
        <v/>
      </c>
      <c r="H2724" s="69">
        <f>MAX(0,ROUND(H2721+Materiales!$H$392-G2723-H2722,4))</f>
        <v/>
      </c>
      <c r="I2724" s="69">
        <f>MAX(0,ROUND(I2721+Materiales!$H$392-H2723-I2722,4))</f>
        <v/>
      </c>
      <c r="J2724" s="69">
        <f>MAX(0,ROUND(J2721+Materiales!$H$392-I2723-J2722,4))</f>
        <v/>
      </c>
      <c r="K2724" s="69">
        <f>MAX(0,ROUND(K2721+Materiales!$H$392-J2723-K2722,4))</f>
        <v/>
      </c>
      <c r="L2724" s="69">
        <f>MAX(0,ROUND(L2721+Materiales!$H$392-K2723-L2722,4))</f>
        <v/>
      </c>
      <c r="M2724" s="66" t="n"/>
    </row>
    <row r="2725">
      <c r="C2725" s="63" t="inlineStr">
        <is>
          <t>Recepcion de orden planificada</t>
        </is>
      </c>
      <c r="D2725" s="64" t="n"/>
      <c r="E2725" s="65">
        <f>IF(E2724&lt;=0,0,IF(Materiales!$G$392&lt;=0,E2724,ROUNDUP(E2724/Materiales!$G$392,0)*Materiales!$G$392))</f>
        <v/>
      </c>
      <c r="F2725" s="65">
        <f>IF(F2724&lt;=0,0,IF(Materiales!$G$392&lt;=0,F2724,ROUNDUP(F2724/Materiales!$G$392,0)*Materiales!$G$392))</f>
        <v/>
      </c>
      <c r="G2725" s="65">
        <f>IF(G2724&lt;=0,0,IF(Materiales!$G$392&lt;=0,G2724,ROUNDUP(G2724/Materiales!$G$392,0)*Materiales!$G$392))</f>
        <v/>
      </c>
      <c r="H2725" s="65">
        <f>IF(H2724&lt;=0,0,IF(Materiales!$G$392&lt;=0,H2724,ROUNDUP(H2724/Materiales!$G$392,0)*Materiales!$G$392))</f>
        <v/>
      </c>
      <c r="I2725" s="65">
        <f>IF(I2724&lt;=0,0,IF(Materiales!$G$392&lt;=0,I2724,ROUNDUP(I2724/Materiales!$G$392,0)*Materiales!$G$392))</f>
        <v/>
      </c>
      <c r="J2725" s="65">
        <f>IF(J2724&lt;=0,0,IF(Materiales!$G$392&lt;=0,J2724,ROUNDUP(J2724/Materiales!$G$392,0)*Materiales!$G$392))</f>
        <v/>
      </c>
      <c r="K2725" s="65">
        <f>IF(K2724&lt;=0,0,IF(Materiales!$G$392&lt;=0,K2724,ROUNDUP(K2724/Materiales!$G$392,0)*Materiales!$G$392))</f>
        <v/>
      </c>
      <c r="L2725" s="65">
        <f>IF(L2724&lt;=0,0,IF(Materiales!$G$392&lt;=0,L2724,ROUNDUP(L2724/Materiales!$G$392,0)*Materiales!$G$392))</f>
        <v/>
      </c>
      <c r="M2725" s="66" t="n"/>
    </row>
    <row r="2726">
      <c r="C2726" s="70" t="inlineStr">
        <is>
          <t>LANZAMIENTO DE ORDEN — pedir esta semana</t>
        </is>
      </c>
      <c r="D2726" s="64" t="n"/>
      <c r="E2726" s="71">
        <f>IF(1+Materiales!$F$392&gt;8,0,INDEX($E$2725:$L$2725,1,1+Materiales!$F$392))</f>
        <v/>
      </c>
      <c r="F2726" s="71">
        <f>IF(2+Materiales!$F$392&gt;8,0,INDEX($E$2725:$L$2725,1,2+Materiales!$F$392))</f>
        <v/>
      </c>
      <c r="G2726" s="71">
        <f>IF(3+Materiales!$F$392&gt;8,0,INDEX($E$2725:$L$2725,1,3+Materiales!$F$392))</f>
        <v/>
      </c>
      <c r="H2726" s="71">
        <f>IF(4+Materiales!$F$392&gt;8,0,INDEX($E$2725:$L$2725,1,4+Materiales!$F$392))</f>
        <v/>
      </c>
      <c r="I2726" s="71">
        <f>IF(5+Materiales!$F$392&gt;8,0,INDEX($E$2725:$L$2725,1,5+Materiales!$F$392))</f>
        <v/>
      </c>
      <c r="J2726" s="71">
        <f>IF(6+Materiales!$F$392&gt;8,0,INDEX($E$2725:$L$2725,1,6+Materiales!$F$392))</f>
        <v/>
      </c>
      <c r="K2726" s="71">
        <f>IF(7+Materiales!$F$392&gt;8,0,INDEX($E$2725:$L$2725,1,7+Materiales!$F$392))</f>
        <v/>
      </c>
      <c r="L2726" s="71">
        <f>IF(8+Materiales!$F$392&gt;8,0,INDEX($E$2725:$L$2725,1,8+Materiales!$F$392))</f>
        <v/>
      </c>
      <c r="M2726" s="72">
        <f>IF($A2721="","",IF(SUMPRODUCT((COLUMN($E$2725:$L$2725)-4&lt;=Materiales!$F$392)*$E$2725:$L$2725)&gt;0,"PEDIR YA (atrasado)","OK"))</f>
        <v/>
      </c>
    </row>
    <row r="2727" ht="6" customHeight="1"/>
    <row r="2728">
      <c r="A2728" s="62">
        <f>IF(Materiales!$A$393="","",Materiales!$A$393)</f>
        <v/>
      </c>
      <c r="B2728" s="62">
        <f>IF(Materiales!$B$393="","",Materiales!$B$393)</f>
        <v/>
      </c>
      <c r="C2728" s="63" t="inlineStr">
        <is>
          <t>Necesidad bruta</t>
        </is>
      </c>
      <c r="D2728" s="64" t="n"/>
      <c r="E2728" s="65">
        <f>ROUND(SUMIF(Consumo!$P$4:$P$189,"#"&amp;$A2728,Consumo!H$4:H$189),4)</f>
        <v/>
      </c>
      <c r="F2728" s="65">
        <f>ROUND(SUMIF(Consumo!$P$4:$P$189,"#"&amp;$A2728,Consumo!I$4:I$189),4)</f>
        <v/>
      </c>
      <c r="G2728" s="65">
        <f>ROUND(SUMIF(Consumo!$P$4:$P$189,"#"&amp;$A2728,Consumo!J$4:J$189),4)</f>
        <v/>
      </c>
      <c r="H2728" s="65">
        <f>ROUND(SUMIF(Consumo!$P$4:$P$189,"#"&amp;$A2728,Consumo!K$4:K$189),4)</f>
        <v/>
      </c>
      <c r="I2728" s="65">
        <f>ROUND(SUMIF(Consumo!$P$4:$P$189,"#"&amp;$A2728,Consumo!L$4:L$189),4)</f>
        <v/>
      </c>
      <c r="J2728" s="65">
        <f>ROUND(SUMIF(Consumo!$P$4:$P$189,"#"&amp;$A2728,Consumo!M$4:M$189),4)</f>
        <v/>
      </c>
      <c r="K2728" s="65">
        <f>ROUND(SUMIF(Consumo!$P$4:$P$189,"#"&amp;$A2728,Consumo!N$4:N$189),4)</f>
        <v/>
      </c>
      <c r="L2728" s="65">
        <f>ROUND(SUMIF(Consumo!$P$4:$P$189,"#"&amp;$A2728,Consumo!O$4:O$189),4)</f>
        <v/>
      </c>
      <c r="M2728" s="66" t="n"/>
    </row>
    <row r="2729">
      <c r="C2729" s="63" t="inlineStr">
        <is>
          <t>Recepciones programadas (ya pedido)</t>
        </is>
      </c>
      <c r="D2729" s="64" t="n"/>
      <c r="E2729" s="65">
        <f>SUMIF(Inventario!$M$5:$M$505,"#"&amp;$A2728,Inventario!E$5:E$505)</f>
        <v/>
      </c>
      <c r="F2729" s="65">
        <f>SUMIF(Inventario!$M$5:$M$505,"#"&amp;$A2728,Inventario!F$5:F$505)</f>
        <v/>
      </c>
      <c r="G2729" s="65">
        <f>SUMIF(Inventario!$M$5:$M$505,"#"&amp;$A2728,Inventario!G$5:G$505)</f>
        <v/>
      </c>
      <c r="H2729" s="65">
        <f>SUMIF(Inventario!$M$5:$M$505,"#"&amp;$A2728,Inventario!H$5:H$505)</f>
        <v/>
      </c>
      <c r="I2729" s="65">
        <f>SUMIF(Inventario!$M$5:$M$505,"#"&amp;$A2728,Inventario!I$5:I$505)</f>
        <v/>
      </c>
      <c r="J2729" s="65">
        <f>SUMIF(Inventario!$M$5:$M$505,"#"&amp;$A2728,Inventario!J$5:J$505)</f>
        <v/>
      </c>
      <c r="K2729" s="65">
        <f>SUMIF(Inventario!$M$5:$M$505,"#"&amp;$A2728,Inventario!K$5:K$505)</f>
        <v/>
      </c>
      <c r="L2729" s="65">
        <f>SUMIF(Inventario!$M$5:$M$505,"#"&amp;$A2728,Inventario!L$5:L$505)</f>
        <v/>
      </c>
      <c r="M2729" s="66" t="n"/>
    </row>
    <row r="2730">
      <c r="C2730" s="63" t="inlineStr">
        <is>
          <t>Stock proyectado disponible</t>
        </is>
      </c>
      <c r="D2730" s="67">
        <f>SUMIF(Inventario!$M$5:$M$505,"#"&amp;$A2728,Inventario!$C$5:$C$505)</f>
        <v/>
      </c>
      <c r="E2730" s="68">
        <f>D2730+E2729+E2732-E2728</f>
        <v/>
      </c>
      <c r="F2730" s="68">
        <f>E2730+F2729+F2732-F2728</f>
        <v/>
      </c>
      <c r="G2730" s="68">
        <f>F2730+G2729+G2732-G2728</f>
        <v/>
      </c>
      <c r="H2730" s="68">
        <f>G2730+H2729+H2732-H2728</f>
        <v/>
      </c>
      <c r="I2730" s="68">
        <f>H2730+I2729+I2732-I2728</f>
        <v/>
      </c>
      <c r="J2730" s="68">
        <f>I2730+J2729+J2732-J2728</f>
        <v/>
      </c>
      <c r="K2730" s="68">
        <f>J2730+K2729+K2732-K2728</f>
        <v/>
      </c>
      <c r="L2730" s="68">
        <f>K2730+L2729+L2732-L2728</f>
        <v/>
      </c>
      <c r="M2730" s="66" t="n"/>
    </row>
    <row r="2731">
      <c r="C2731" s="63" t="inlineStr">
        <is>
          <t>Necesidad neta</t>
        </is>
      </c>
      <c r="D2731" s="64" t="n"/>
      <c r="E2731" s="69">
        <f>MAX(0,ROUND(E2728+Materiales!$H$393-D2730-E2729,4))</f>
        <v/>
      </c>
      <c r="F2731" s="69">
        <f>MAX(0,ROUND(F2728+Materiales!$H$393-E2730-F2729,4))</f>
        <v/>
      </c>
      <c r="G2731" s="69">
        <f>MAX(0,ROUND(G2728+Materiales!$H$393-F2730-G2729,4))</f>
        <v/>
      </c>
      <c r="H2731" s="69">
        <f>MAX(0,ROUND(H2728+Materiales!$H$393-G2730-H2729,4))</f>
        <v/>
      </c>
      <c r="I2731" s="69">
        <f>MAX(0,ROUND(I2728+Materiales!$H$393-H2730-I2729,4))</f>
        <v/>
      </c>
      <c r="J2731" s="69">
        <f>MAX(0,ROUND(J2728+Materiales!$H$393-I2730-J2729,4))</f>
        <v/>
      </c>
      <c r="K2731" s="69">
        <f>MAX(0,ROUND(K2728+Materiales!$H$393-J2730-K2729,4))</f>
        <v/>
      </c>
      <c r="L2731" s="69">
        <f>MAX(0,ROUND(L2728+Materiales!$H$393-K2730-L2729,4))</f>
        <v/>
      </c>
      <c r="M2731" s="66" t="n"/>
    </row>
    <row r="2732">
      <c r="C2732" s="63" t="inlineStr">
        <is>
          <t>Recepcion de orden planificada</t>
        </is>
      </c>
      <c r="D2732" s="64" t="n"/>
      <c r="E2732" s="65">
        <f>IF(E2731&lt;=0,0,IF(Materiales!$G$393&lt;=0,E2731,ROUNDUP(E2731/Materiales!$G$393,0)*Materiales!$G$393))</f>
        <v/>
      </c>
      <c r="F2732" s="65">
        <f>IF(F2731&lt;=0,0,IF(Materiales!$G$393&lt;=0,F2731,ROUNDUP(F2731/Materiales!$G$393,0)*Materiales!$G$393))</f>
        <v/>
      </c>
      <c r="G2732" s="65">
        <f>IF(G2731&lt;=0,0,IF(Materiales!$G$393&lt;=0,G2731,ROUNDUP(G2731/Materiales!$G$393,0)*Materiales!$G$393))</f>
        <v/>
      </c>
      <c r="H2732" s="65">
        <f>IF(H2731&lt;=0,0,IF(Materiales!$G$393&lt;=0,H2731,ROUNDUP(H2731/Materiales!$G$393,0)*Materiales!$G$393))</f>
        <v/>
      </c>
      <c r="I2732" s="65">
        <f>IF(I2731&lt;=0,0,IF(Materiales!$G$393&lt;=0,I2731,ROUNDUP(I2731/Materiales!$G$393,0)*Materiales!$G$393))</f>
        <v/>
      </c>
      <c r="J2732" s="65">
        <f>IF(J2731&lt;=0,0,IF(Materiales!$G$393&lt;=0,J2731,ROUNDUP(J2731/Materiales!$G$393,0)*Materiales!$G$393))</f>
        <v/>
      </c>
      <c r="K2732" s="65">
        <f>IF(K2731&lt;=0,0,IF(Materiales!$G$393&lt;=0,K2731,ROUNDUP(K2731/Materiales!$G$393,0)*Materiales!$G$393))</f>
        <v/>
      </c>
      <c r="L2732" s="65">
        <f>IF(L2731&lt;=0,0,IF(Materiales!$G$393&lt;=0,L2731,ROUNDUP(L2731/Materiales!$G$393,0)*Materiales!$G$393))</f>
        <v/>
      </c>
      <c r="M2732" s="66" t="n"/>
    </row>
    <row r="2733">
      <c r="C2733" s="70" t="inlineStr">
        <is>
          <t>LANZAMIENTO DE ORDEN — pedir esta semana</t>
        </is>
      </c>
      <c r="D2733" s="64" t="n"/>
      <c r="E2733" s="71">
        <f>IF(1+Materiales!$F$393&gt;8,0,INDEX($E$2732:$L$2732,1,1+Materiales!$F$393))</f>
        <v/>
      </c>
      <c r="F2733" s="71">
        <f>IF(2+Materiales!$F$393&gt;8,0,INDEX($E$2732:$L$2732,1,2+Materiales!$F$393))</f>
        <v/>
      </c>
      <c r="G2733" s="71">
        <f>IF(3+Materiales!$F$393&gt;8,0,INDEX($E$2732:$L$2732,1,3+Materiales!$F$393))</f>
        <v/>
      </c>
      <c r="H2733" s="71">
        <f>IF(4+Materiales!$F$393&gt;8,0,INDEX($E$2732:$L$2732,1,4+Materiales!$F$393))</f>
        <v/>
      </c>
      <c r="I2733" s="71">
        <f>IF(5+Materiales!$F$393&gt;8,0,INDEX($E$2732:$L$2732,1,5+Materiales!$F$393))</f>
        <v/>
      </c>
      <c r="J2733" s="71">
        <f>IF(6+Materiales!$F$393&gt;8,0,INDEX($E$2732:$L$2732,1,6+Materiales!$F$393))</f>
        <v/>
      </c>
      <c r="K2733" s="71">
        <f>IF(7+Materiales!$F$393&gt;8,0,INDEX($E$2732:$L$2732,1,7+Materiales!$F$393))</f>
        <v/>
      </c>
      <c r="L2733" s="71">
        <f>IF(8+Materiales!$F$393&gt;8,0,INDEX($E$2732:$L$2732,1,8+Materiales!$F$393))</f>
        <v/>
      </c>
      <c r="M2733" s="72">
        <f>IF($A2728="","",IF(SUMPRODUCT((COLUMN($E$2732:$L$2732)-4&lt;=Materiales!$F$393)*$E$2732:$L$2732)&gt;0,"PEDIR YA (atrasado)","OK"))</f>
        <v/>
      </c>
    </row>
    <row r="2734" ht="6" customHeight="1"/>
    <row r="2735">
      <c r="A2735" s="62">
        <f>IF(Materiales!$A$394="","",Materiales!$A$394)</f>
        <v/>
      </c>
      <c r="B2735" s="62">
        <f>IF(Materiales!$B$394="","",Materiales!$B$394)</f>
        <v/>
      </c>
      <c r="C2735" s="63" t="inlineStr">
        <is>
          <t>Necesidad bruta</t>
        </is>
      </c>
      <c r="D2735" s="64" t="n"/>
      <c r="E2735" s="65">
        <f>ROUND(SUMIF(Consumo!$P$4:$P$189,"#"&amp;$A2735,Consumo!H$4:H$189),4)</f>
        <v/>
      </c>
      <c r="F2735" s="65">
        <f>ROUND(SUMIF(Consumo!$P$4:$P$189,"#"&amp;$A2735,Consumo!I$4:I$189),4)</f>
        <v/>
      </c>
      <c r="G2735" s="65">
        <f>ROUND(SUMIF(Consumo!$P$4:$P$189,"#"&amp;$A2735,Consumo!J$4:J$189),4)</f>
        <v/>
      </c>
      <c r="H2735" s="65">
        <f>ROUND(SUMIF(Consumo!$P$4:$P$189,"#"&amp;$A2735,Consumo!K$4:K$189),4)</f>
        <v/>
      </c>
      <c r="I2735" s="65">
        <f>ROUND(SUMIF(Consumo!$P$4:$P$189,"#"&amp;$A2735,Consumo!L$4:L$189),4)</f>
        <v/>
      </c>
      <c r="J2735" s="65">
        <f>ROUND(SUMIF(Consumo!$P$4:$P$189,"#"&amp;$A2735,Consumo!M$4:M$189),4)</f>
        <v/>
      </c>
      <c r="K2735" s="65">
        <f>ROUND(SUMIF(Consumo!$P$4:$P$189,"#"&amp;$A2735,Consumo!N$4:N$189),4)</f>
        <v/>
      </c>
      <c r="L2735" s="65">
        <f>ROUND(SUMIF(Consumo!$P$4:$P$189,"#"&amp;$A2735,Consumo!O$4:O$189),4)</f>
        <v/>
      </c>
      <c r="M2735" s="66" t="n"/>
    </row>
    <row r="2736">
      <c r="C2736" s="63" t="inlineStr">
        <is>
          <t>Recepciones programadas (ya pedido)</t>
        </is>
      </c>
      <c r="D2736" s="64" t="n"/>
      <c r="E2736" s="65">
        <f>SUMIF(Inventario!$M$5:$M$505,"#"&amp;$A2735,Inventario!E$5:E$505)</f>
        <v/>
      </c>
      <c r="F2736" s="65">
        <f>SUMIF(Inventario!$M$5:$M$505,"#"&amp;$A2735,Inventario!F$5:F$505)</f>
        <v/>
      </c>
      <c r="G2736" s="65">
        <f>SUMIF(Inventario!$M$5:$M$505,"#"&amp;$A2735,Inventario!G$5:G$505)</f>
        <v/>
      </c>
      <c r="H2736" s="65">
        <f>SUMIF(Inventario!$M$5:$M$505,"#"&amp;$A2735,Inventario!H$5:H$505)</f>
        <v/>
      </c>
      <c r="I2736" s="65">
        <f>SUMIF(Inventario!$M$5:$M$505,"#"&amp;$A2735,Inventario!I$5:I$505)</f>
        <v/>
      </c>
      <c r="J2736" s="65">
        <f>SUMIF(Inventario!$M$5:$M$505,"#"&amp;$A2735,Inventario!J$5:J$505)</f>
        <v/>
      </c>
      <c r="K2736" s="65">
        <f>SUMIF(Inventario!$M$5:$M$505,"#"&amp;$A2735,Inventario!K$5:K$505)</f>
        <v/>
      </c>
      <c r="L2736" s="65">
        <f>SUMIF(Inventario!$M$5:$M$505,"#"&amp;$A2735,Inventario!L$5:L$505)</f>
        <v/>
      </c>
      <c r="M2736" s="66" t="n"/>
    </row>
    <row r="2737">
      <c r="C2737" s="63" t="inlineStr">
        <is>
          <t>Stock proyectado disponible</t>
        </is>
      </c>
      <c r="D2737" s="67">
        <f>SUMIF(Inventario!$M$5:$M$505,"#"&amp;$A2735,Inventario!$C$5:$C$505)</f>
        <v/>
      </c>
      <c r="E2737" s="68">
        <f>D2737+E2736+E2739-E2735</f>
        <v/>
      </c>
      <c r="F2737" s="68">
        <f>E2737+F2736+F2739-F2735</f>
        <v/>
      </c>
      <c r="G2737" s="68">
        <f>F2737+G2736+G2739-G2735</f>
        <v/>
      </c>
      <c r="H2737" s="68">
        <f>G2737+H2736+H2739-H2735</f>
        <v/>
      </c>
      <c r="I2737" s="68">
        <f>H2737+I2736+I2739-I2735</f>
        <v/>
      </c>
      <c r="J2737" s="68">
        <f>I2737+J2736+J2739-J2735</f>
        <v/>
      </c>
      <c r="K2737" s="68">
        <f>J2737+K2736+K2739-K2735</f>
        <v/>
      </c>
      <c r="L2737" s="68">
        <f>K2737+L2736+L2739-L2735</f>
        <v/>
      </c>
      <c r="M2737" s="66" t="n"/>
    </row>
    <row r="2738">
      <c r="C2738" s="63" t="inlineStr">
        <is>
          <t>Necesidad neta</t>
        </is>
      </c>
      <c r="D2738" s="64" t="n"/>
      <c r="E2738" s="69">
        <f>MAX(0,ROUND(E2735+Materiales!$H$394-D2737-E2736,4))</f>
        <v/>
      </c>
      <c r="F2738" s="69">
        <f>MAX(0,ROUND(F2735+Materiales!$H$394-E2737-F2736,4))</f>
        <v/>
      </c>
      <c r="G2738" s="69">
        <f>MAX(0,ROUND(G2735+Materiales!$H$394-F2737-G2736,4))</f>
        <v/>
      </c>
      <c r="H2738" s="69">
        <f>MAX(0,ROUND(H2735+Materiales!$H$394-G2737-H2736,4))</f>
        <v/>
      </c>
      <c r="I2738" s="69">
        <f>MAX(0,ROUND(I2735+Materiales!$H$394-H2737-I2736,4))</f>
        <v/>
      </c>
      <c r="J2738" s="69">
        <f>MAX(0,ROUND(J2735+Materiales!$H$394-I2737-J2736,4))</f>
        <v/>
      </c>
      <c r="K2738" s="69">
        <f>MAX(0,ROUND(K2735+Materiales!$H$394-J2737-K2736,4))</f>
        <v/>
      </c>
      <c r="L2738" s="69">
        <f>MAX(0,ROUND(L2735+Materiales!$H$394-K2737-L2736,4))</f>
        <v/>
      </c>
      <c r="M2738" s="66" t="n"/>
    </row>
    <row r="2739">
      <c r="C2739" s="63" t="inlineStr">
        <is>
          <t>Recepcion de orden planificada</t>
        </is>
      </c>
      <c r="D2739" s="64" t="n"/>
      <c r="E2739" s="65">
        <f>IF(E2738&lt;=0,0,IF(Materiales!$G$394&lt;=0,E2738,ROUNDUP(E2738/Materiales!$G$394,0)*Materiales!$G$394))</f>
        <v/>
      </c>
      <c r="F2739" s="65">
        <f>IF(F2738&lt;=0,0,IF(Materiales!$G$394&lt;=0,F2738,ROUNDUP(F2738/Materiales!$G$394,0)*Materiales!$G$394))</f>
        <v/>
      </c>
      <c r="G2739" s="65">
        <f>IF(G2738&lt;=0,0,IF(Materiales!$G$394&lt;=0,G2738,ROUNDUP(G2738/Materiales!$G$394,0)*Materiales!$G$394))</f>
        <v/>
      </c>
      <c r="H2739" s="65">
        <f>IF(H2738&lt;=0,0,IF(Materiales!$G$394&lt;=0,H2738,ROUNDUP(H2738/Materiales!$G$394,0)*Materiales!$G$394))</f>
        <v/>
      </c>
      <c r="I2739" s="65">
        <f>IF(I2738&lt;=0,0,IF(Materiales!$G$394&lt;=0,I2738,ROUNDUP(I2738/Materiales!$G$394,0)*Materiales!$G$394))</f>
        <v/>
      </c>
      <c r="J2739" s="65">
        <f>IF(J2738&lt;=0,0,IF(Materiales!$G$394&lt;=0,J2738,ROUNDUP(J2738/Materiales!$G$394,0)*Materiales!$G$394))</f>
        <v/>
      </c>
      <c r="K2739" s="65">
        <f>IF(K2738&lt;=0,0,IF(Materiales!$G$394&lt;=0,K2738,ROUNDUP(K2738/Materiales!$G$394,0)*Materiales!$G$394))</f>
        <v/>
      </c>
      <c r="L2739" s="65">
        <f>IF(L2738&lt;=0,0,IF(Materiales!$G$394&lt;=0,L2738,ROUNDUP(L2738/Materiales!$G$394,0)*Materiales!$G$394))</f>
        <v/>
      </c>
      <c r="M2739" s="66" t="n"/>
    </row>
    <row r="2740">
      <c r="C2740" s="70" t="inlineStr">
        <is>
          <t>LANZAMIENTO DE ORDEN — pedir esta semana</t>
        </is>
      </c>
      <c r="D2740" s="64" t="n"/>
      <c r="E2740" s="71">
        <f>IF(1+Materiales!$F$394&gt;8,0,INDEX($E$2739:$L$2739,1,1+Materiales!$F$394))</f>
        <v/>
      </c>
      <c r="F2740" s="71">
        <f>IF(2+Materiales!$F$394&gt;8,0,INDEX($E$2739:$L$2739,1,2+Materiales!$F$394))</f>
        <v/>
      </c>
      <c r="G2740" s="71">
        <f>IF(3+Materiales!$F$394&gt;8,0,INDEX($E$2739:$L$2739,1,3+Materiales!$F$394))</f>
        <v/>
      </c>
      <c r="H2740" s="71">
        <f>IF(4+Materiales!$F$394&gt;8,0,INDEX($E$2739:$L$2739,1,4+Materiales!$F$394))</f>
        <v/>
      </c>
      <c r="I2740" s="71">
        <f>IF(5+Materiales!$F$394&gt;8,0,INDEX($E$2739:$L$2739,1,5+Materiales!$F$394))</f>
        <v/>
      </c>
      <c r="J2740" s="71">
        <f>IF(6+Materiales!$F$394&gt;8,0,INDEX($E$2739:$L$2739,1,6+Materiales!$F$394))</f>
        <v/>
      </c>
      <c r="K2740" s="71">
        <f>IF(7+Materiales!$F$394&gt;8,0,INDEX($E$2739:$L$2739,1,7+Materiales!$F$394))</f>
        <v/>
      </c>
      <c r="L2740" s="71">
        <f>IF(8+Materiales!$F$394&gt;8,0,INDEX($E$2739:$L$2739,1,8+Materiales!$F$394))</f>
        <v/>
      </c>
      <c r="M2740" s="72">
        <f>IF($A2735="","",IF(SUMPRODUCT((COLUMN($E$2739:$L$2739)-4&lt;=Materiales!$F$394)*$E$2739:$L$2739)&gt;0,"PEDIR YA (atrasado)","OK"))</f>
        <v/>
      </c>
    </row>
    <row r="2741" ht="6" customHeight="1"/>
    <row r="2742">
      <c r="A2742" s="62">
        <f>IF(Materiales!$A$395="","",Materiales!$A$395)</f>
        <v/>
      </c>
      <c r="B2742" s="62">
        <f>IF(Materiales!$B$395="","",Materiales!$B$395)</f>
        <v/>
      </c>
      <c r="C2742" s="63" t="inlineStr">
        <is>
          <t>Necesidad bruta</t>
        </is>
      </c>
      <c r="D2742" s="64" t="n"/>
      <c r="E2742" s="65">
        <f>ROUND(SUMIF(Consumo!$P$4:$P$189,"#"&amp;$A2742,Consumo!H$4:H$189),4)</f>
        <v/>
      </c>
      <c r="F2742" s="65">
        <f>ROUND(SUMIF(Consumo!$P$4:$P$189,"#"&amp;$A2742,Consumo!I$4:I$189),4)</f>
        <v/>
      </c>
      <c r="G2742" s="65">
        <f>ROUND(SUMIF(Consumo!$P$4:$P$189,"#"&amp;$A2742,Consumo!J$4:J$189),4)</f>
        <v/>
      </c>
      <c r="H2742" s="65">
        <f>ROUND(SUMIF(Consumo!$P$4:$P$189,"#"&amp;$A2742,Consumo!K$4:K$189),4)</f>
        <v/>
      </c>
      <c r="I2742" s="65">
        <f>ROUND(SUMIF(Consumo!$P$4:$P$189,"#"&amp;$A2742,Consumo!L$4:L$189),4)</f>
        <v/>
      </c>
      <c r="J2742" s="65">
        <f>ROUND(SUMIF(Consumo!$P$4:$P$189,"#"&amp;$A2742,Consumo!M$4:M$189),4)</f>
        <v/>
      </c>
      <c r="K2742" s="65">
        <f>ROUND(SUMIF(Consumo!$P$4:$P$189,"#"&amp;$A2742,Consumo!N$4:N$189),4)</f>
        <v/>
      </c>
      <c r="L2742" s="65">
        <f>ROUND(SUMIF(Consumo!$P$4:$P$189,"#"&amp;$A2742,Consumo!O$4:O$189),4)</f>
        <v/>
      </c>
      <c r="M2742" s="66" t="n"/>
    </row>
    <row r="2743">
      <c r="C2743" s="63" t="inlineStr">
        <is>
          <t>Recepciones programadas (ya pedido)</t>
        </is>
      </c>
      <c r="D2743" s="64" t="n"/>
      <c r="E2743" s="65">
        <f>SUMIF(Inventario!$M$5:$M$505,"#"&amp;$A2742,Inventario!E$5:E$505)</f>
        <v/>
      </c>
      <c r="F2743" s="65">
        <f>SUMIF(Inventario!$M$5:$M$505,"#"&amp;$A2742,Inventario!F$5:F$505)</f>
        <v/>
      </c>
      <c r="G2743" s="65">
        <f>SUMIF(Inventario!$M$5:$M$505,"#"&amp;$A2742,Inventario!G$5:G$505)</f>
        <v/>
      </c>
      <c r="H2743" s="65">
        <f>SUMIF(Inventario!$M$5:$M$505,"#"&amp;$A2742,Inventario!H$5:H$505)</f>
        <v/>
      </c>
      <c r="I2743" s="65">
        <f>SUMIF(Inventario!$M$5:$M$505,"#"&amp;$A2742,Inventario!I$5:I$505)</f>
        <v/>
      </c>
      <c r="J2743" s="65">
        <f>SUMIF(Inventario!$M$5:$M$505,"#"&amp;$A2742,Inventario!J$5:J$505)</f>
        <v/>
      </c>
      <c r="K2743" s="65">
        <f>SUMIF(Inventario!$M$5:$M$505,"#"&amp;$A2742,Inventario!K$5:K$505)</f>
        <v/>
      </c>
      <c r="L2743" s="65">
        <f>SUMIF(Inventario!$M$5:$M$505,"#"&amp;$A2742,Inventario!L$5:L$505)</f>
        <v/>
      </c>
      <c r="M2743" s="66" t="n"/>
    </row>
    <row r="2744">
      <c r="C2744" s="63" t="inlineStr">
        <is>
          <t>Stock proyectado disponible</t>
        </is>
      </c>
      <c r="D2744" s="67">
        <f>SUMIF(Inventario!$M$5:$M$505,"#"&amp;$A2742,Inventario!$C$5:$C$505)</f>
        <v/>
      </c>
      <c r="E2744" s="68">
        <f>D2744+E2743+E2746-E2742</f>
        <v/>
      </c>
      <c r="F2744" s="68">
        <f>E2744+F2743+F2746-F2742</f>
        <v/>
      </c>
      <c r="G2744" s="68">
        <f>F2744+G2743+G2746-G2742</f>
        <v/>
      </c>
      <c r="H2744" s="68">
        <f>G2744+H2743+H2746-H2742</f>
        <v/>
      </c>
      <c r="I2744" s="68">
        <f>H2744+I2743+I2746-I2742</f>
        <v/>
      </c>
      <c r="J2744" s="68">
        <f>I2744+J2743+J2746-J2742</f>
        <v/>
      </c>
      <c r="K2744" s="68">
        <f>J2744+K2743+K2746-K2742</f>
        <v/>
      </c>
      <c r="L2744" s="68">
        <f>K2744+L2743+L2746-L2742</f>
        <v/>
      </c>
      <c r="M2744" s="66" t="n"/>
    </row>
    <row r="2745">
      <c r="C2745" s="63" t="inlineStr">
        <is>
          <t>Necesidad neta</t>
        </is>
      </c>
      <c r="D2745" s="64" t="n"/>
      <c r="E2745" s="69">
        <f>MAX(0,ROUND(E2742+Materiales!$H$395-D2744-E2743,4))</f>
        <v/>
      </c>
      <c r="F2745" s="69">
        <f>MAX(0,ROUND(F2742+Materiales!$H$395-E2744-F2743,4))</f>
        <v/>
      </c>
      <c r="G2745" s="69">
        <f>MAX(0,ROUND(G2742+Materiales!$H$395-F2744-G2743,4))</f>
        <v/>
      </c>
      <c r="H2745" s="69">
        <f>MAX(0,ROUND(H2742+Materiales!$H$395-G2744-H2743,4))</f>
        <v/>
      </c>
      <c r="I2745" s="69">
        <f>MAX(0,ROUND(I2742+Materiales!$H$395-H2744-I2743,4))</f>
        <v/>
      </c>
      <c r="J2745" s="69">
        <f>MAX(0,ROUND(J2742+Materiales!$H$395-I2744-J2743,4))</f>
        <v/>
      </c>
      <c r="K2745" s="69">
        <f>MAX(0,ROUND(K2742+Materiales!$H$395-J2744-K2743,4))</f>
        <v/>
      </c>
      <c r="L2745" s="69">
        <f>MAX(0,ROUND(L2742+Materiales!$H$395-K2744-L2743,4))</f>
        <v/>
      </c>
      <c r="M2745" s="66" t="n"/>
    </row>
    <row r="2746">
      <c r="C2746" s="63" t="inlineStr">
        <is>
          <t>Recepcion de orden planificada</t>
        </is>
      </c>
      <c r="D2746" s="64" t="n"/>
      <c r="E2746" s="65">
        <f>IF(E2745&lt;=0,0,IF(Materiales!$G$395&lt;=0,E2745,ROUNDUP(E2745/Materiales!$G$395,0)*Materiales!$G$395))</f>
        <v/>
      </c>
      <c r="F2746" s="65">
        <f>IF(F2745&lt;=0,0,IF(Materiales!$G$395&lt;=0,F2745,ROUNDUP(F2745/Materiales!$G$395,0)*Materiales!$G$395))</f>
        <v/>
      </c>
      <c r="G2746" s="65">
        <f>IF(G2745&lt;=0,0,IF(Materiales!$G$395&lt;=0,G2745,ROUNDUP(G2745/Materiales!$G$395,0)*Materiales!$G$395))</f>
        <v/>
      </c>
      <c r="H2746" s="65">
        <f>IF(H2745&lt;=0,0,IF(Materiales!$G$395&lt;=0,H2745,ROUNDUP(H2745/Materiales!$G$395,0)*Materiales!$G$395))</f>
        <v/>
      </c>
      <c r="I2746" s="65">
        <f>IF(I2745&lt;=0,0,IF(Materiales!$G$395&lt;=0,I2745,ROUNDUP(I2745/Materiales!$G$395,0)*Materiales!$G$395))</f>
        <v/>
      </c>
      <c r="J2746" s="65">
        <f>IF(J2745&lt;=0,0,IF(Materiales!$G$395&lt;=0,J2745,ROUNDUP(J2745/Materiales!$G$395,0)*Materiales!$G$395))</f>
        <v/>
      </c>
      <c r="K2746" s="65">
        <f>IF(K2745&lt;=0,0,IF(Materiales!$G$395&lt;=0,K2745,ROUNDUP(K2745/Materiales!$G$395,0)*Materiales!$G$395))</f>
        <v/>
      </c>
      <c r="L2746" s="65">
        <f>IF(L2745&lt;=0,0,IF(Materiales!$G$395&lt;=0,L2745,ROUNDUP(L2745/Materiales!$G$395,0)*Materiales!$G$395))</f>
        <v/>
      </c>
      <c r="M2746" s="66" t="n"/>
    </row>
    <row r="2747">
      <c r="C2747" s="70" t="inlineStr">
        <is>
          <t>LANZAMIENTO DE ORDEN — pedir esta semana</t>
        </is>
      </c>
      <c r="D2747" s="64" t="n"/>
      <c r="E2747" s="71">
        <f>IF(1+Materiales!$F$395&gt;8,0,INDEX($E$2746:$L$2746,1,1+Materiales!$F$395))</f>
        <v/>
      </c>
      <c r="F2747" s="71">
        <f>IF(2+Materiales!$F$395&gt;8,0,INDEX($E$2746:$L$2746,1,2+Materiales!$F$395))</f>
        <v/>
      </c>
      <c r="G2747" s="71">
        <f>IF(3+Materiales!$F$395&gt;8,0,INDEX($E$2746:$L$2746,1,3+Materiales!$F$395))</f>
        <v/>
      </c>
      <c r="H2747" s="71">
        <f>IF(4+Materiales!$F$395&gt;8,0,INDEX($E$2746:$L$2746,1,4+Materiales!$F$395))</f>
        <v/>
      </c>
      <c r="I2747" s="71">
        <f>IF(5+Materiales!$F$395&gt;8,0,INDEX($E$2746:$L$2746,1,5+Materiales!$F$395))</f>
        <v/>
      </c>
      <c r="J2747" s="71">
        <f>IF(6+Materiales!$F$395&gt;8,0,INDEX($E$2746:$L$2746,1,6+Materiales!$F$395))</f>
        <v/>
      </c>
      <c r="K2747" s="71">
        <f>IF(7+Materiales!$F$395&gt;8,0,INDEX($E$2746:$L$2746,1,7+Materiales!$F$395))</f>
        <v/>
      </c>
      <c r="L2747" s="71">
        <f>IF(8+Materiales!$F$395&gt;8,0,INDEX($E$2746:$L$2746,1,8+Materiales!$F$395))</f>
        <v/>
      </c>
      <c r="M2747" s="72">
        <f>IF($A2742="","",IF(SUMPRODUCT((COLUMN($E$2746:$L$2746)-4&lt;=Materiales!$F$395)*$E$2746:$L$2746)&gt;0,"PEDIR YA (atrasado)","OK"))</f>
        <v/>
      </c>
    </row>
    <row r="2748" ht="6" customHeight="1"/>
    <row r="2749">
      <c r="A2749" s="62">
        <f>IF(Materiales!$A$396="","",Materiales!$A$396)</f>
        <v/>
      </c>
      <c r="B2749" s="62">
        <f>IF(Materiales!$B$396="","",Materiales!$B$396)</f>
        <v/>
      </c>
      <c r="C2749" s="63" t="inlineStr">
        <is>
          <t>Necesidad bruta</t>
        </is>
      </c>
      <c r="D2749" s="64" t="n"/>
      <c r="E2749" s="65">
        <f>ROUND(SUMIF(Consumo!$P$4:$P$189,"#"&amp;$A2749,Consumo!H$4:H$189),4)</f>
        <v/>
      </c>
      <c r="F2749" s="65">
        <f>ROUND(SUMIF(Consumo!$P$4:$P$189,"#"&amp;$A2749,Consumo!I$4:I$189),4)</f>
        <v/>
      </c>
      <c r="G2749" s="65">
        <f>ROUND(SUMIF(Consumo!$P$4:$P$189,"#"&amp;$A2749,Consumo!J$4:J$189),4)</f>
        <v/>
      </c>
      <c r="H2749" s="65">
        <f>ROUND(SUMIF(Consumo!$P$4:$P$189,"#"&amp;$A2749,Consumo!K$4:K$189),4)</f>
        <v/>
      </c>
      <c r="I2749" s="65">
        <f>ROUND(SUMIF(Consumo!$P$4:$P$189,"#"&amp;$A2749,Consumo!L$4:L$189),4)</f>
        <v/>
      </c>
      <c r="J2749" s="65">
        <f>ROUND(SUMIF(Consumo!$P$4:$P$189,"#"&amp;$A2749,Consumo!M$4:M$189),4)</f>
        <v/>
      </c>
      <c r="K2749" s="65">
        <f>ROUND(SUMIF(Consumo!$P$4:$P$189,"#"&amp;$A2749,Consumo!N$4:N$189),4)</f>
        <v/>
      </c>
      <c r="L2749" s="65">
        <f>ROUND(SUMIF(Consumo!$P$4:$P$189,"#"&amp;$A2749,Consumo!O$4:O$189),4)</f>
        <v/>
      </c>
      <c r="M2749" s="66" t="n"/>
    </row>
    <row r="2750">
      <c r="C2750" s="63" t="inlineStr">
        <is>
          <t>Recepciones programadas (ya pedido)</t>
        </is>
      </c>
      <c r="D2750" s="64" t="n"/>
      <c r="E2750" s="65">
        <f>SUMIF(Inventario!$M$5:$M$505,"#"&amp;$A2749,Inventario!E$5:E$505)</f>
        <v/>
      </c>
      <c r="F2750" s="65">
        <f>SUMIF(Inventario!$M$5:$M$505,"#"&amp;$A2749,Inventario!F$5:F$505)</f>
        <v/>
      </c>
      <c r="G2750" s="65">
        <f>SUMIF(Inventario!$M$5:$M$505,"#"&amp;$A2749,Inventario!G$5:G$505)</f>
        <v/>
      </c>
      <c r="H2750" s="65">
        <f>SUMIF(Inventario!$M$5:$M$505,"#"&amp;$A2749,Inventario!H$5:H$505)</f>
        <v/>
      </c>
      <c r="I2750" s="65">
        <f>SUMIF(Inventario!$M$5:$M$505,"#"&amp;$A2749,Inventario!I$5:I$505)</f>
        <v/>
      </c>
      <c r="J2750" s="65">
        <f>SUMIF(Inventario!$M$5:$M$505,"#"&amp;$A2749,Inventario!J$5:J$505)</f>
        <v/>
      </c>
      <c r="K2750" s="65">
        <f>SUMIF(Inventario!$M$5:$M$505,"#"&amp;$A2749,Inventario!K$5:K$505)</f>
        <v/>
      </c>
      <c r="L2750" s="65">
        <f>SUMIF(Inventario!$M$5:$M$505,"#"&amp;$A2749,Inventario!L$5:L$505)</f>
        <v/>
      </c>
      <c r="M2750" s="66" t="n"/>
    </row>
    <row r="2751">
      <c r="C2751" s="63" t="inlineStr">
        <is>
          <t>Stock proyectado disponible</t>
        </is>
      </c>
      <c r="D2751" s="67">
        <f>SUMIF(Inventario!$M$5:$M$505,"#"&amp;$A2749,Inventario!$C$5:$C$505)</f>
        <v/>
      </c>
      <c r="E2751" s="68">
        <f>D2751+E2750+E2753-E2749</f>
        <v/>
      </c>
      <c r="F2751" s="68">
        <f>E2751+F2750+F2753-F2749</f>
        <v/>
      </c>
      <c r="G2751" s="68">
        <f>F2751+G2750+G2753-G2749</f>
        <v/>
      </c>
      <c r="H2751" s="68">
        <f>G2751+H2750+H2753-H2749</f>
        <v/>
      </c>
      <c r="I2751" s="68">
        <f>H2751+I2750+I2753-I2749</f>
        <v/>
      </c>
      <c r="J2751" s="68">
        <f>I2751+J2750+J2753-J2749</f>
        <v/>
      </c>
      <c r="K2751" s="68">
        <f>J2751+K2750+K2753-K2749</f>
        <v/>
      </c>
      <c r="L2751" s="68">
        <f>K2751+L2750+L2753-L2749</f>
        <v/>
      </c>
      <c r="M2751" s="66" t="n"/>
    </row>
    <row r="2752">
      <c r="C2752" s="63" t="inlineStr">
        <is>
          <t>Necesidad neta</t>
        </is>
      </c>
      <c r="D2752" s="64" t="n"/>
      <c r="E2752" s="69">
        <f>MAX(0,ROUND(E2749+Materiales!$H$396-D2751-E2750,4))</f>
        <v/>
      </c>
      <c r="F2752" s="69">
        <f>MAX(0,ROUND(F2749+Materiales!$H$396-E2751-F2750,4))</f>
        <v/>
      </c>
      <c r="G2752" s="69">
        <f>MAX(0,ROUND(G2749+Materiales!$H$396-F2751-G2750,4))</f>
        <v/>
      </c>
      <c r="H2752" s="69">
        <f>MAX(0,ROUND(H2749+Materiales!$H$396-G2751-H2750,4))</f>
        <v/>
      </c>
      <c r="I2752" s="69">
        <f>MAX(0,ROUND(I2749+Materiales!$H$396-H2751-I2750,4))</f>
        <v/>
      </c>
      <c r="J2752" s="69">
        <f>MAX(0,ROUND(J2749+Materiales!$H$396-I2751-J2750,4))</f>
        <v/>
      </c>
      <c r="K2752" s="69">
        <f>MAX(0,ROUND(K2749+Materiales!$H$396-J2751-K2750,4))</f>
        <v/>
      </c>
      <c r="L2752" s="69">
        <f>MAX(0,ROUND(L2749+Materiales!$H$396-K2751-L2750,4))</f>
        <v/>
      </c>
      <c r="M2752" s="66" t="n"/>
    </row>
    <row r="2753">
      <c r="C2753" s="63" t="inlineStr">
        <is>
          <t>Recepcion de orden planificada</t>
        </is>
      </c>
      <c r="D2753" s="64" t="n"/>
      <c r="E2753" s="65">
        <f>IF(E2752&lt;=0,0,IF(Materiales!$G$396&lt;=0,E2752,ROUNDUP(E2752/Materiales!$G$396,0)*Materiales!$G$396))</f>
        <v/>
      </c>
      <c r="F2753" s="65">
        <f>IF(F2752&lt;=0,0,IF(Materiales!$G$396&lt;=0,F2752,ROUNDUP(F2752/Materiales!$G$396,0)*Materiales!$G$396))</f>
        <v/>
      </c>
      <c r="G2753" s="65">
        <f>IF(G2752&lt;=0,0,IF(Materiales!$G$396&lt;=0,G2752,ROUNDUP(G2752/Materiales!$G$396,0)*Materiales!$G$396))</f>
        <v/>
      </c>
      <c r="H2753" s="65">
        <f>IF(H2752&lt;=0,0,IF(Materiales!$G$396&lt;=0,H2752,ROUNDUP(H2752/Materiales!$G$396,0)*Materiales!$G$396))</f>
        <v/>
      </c>
      <c r="I2753" s="65">
        <f>IF(I2752&lt;=0,0,IF(Materiales!$G$396&lt;=0,I2752,ROUNDUP(I2752/Materiales!$G$396,0)*Materiales!$G$396))</f>
        <v/>
      </c>
      <c r="J2753" s="65">
        <f>IF(J2752&lt;=0,0,IF(Materiales!$G$396&lt;=0,J2752,ROUNDUP(J2752/Materiales!$G$396,0)*Materiales!$G$396))</f>
        <v/>
      </c>
      <c r="K2753" s="65">
        <f>IF(K2752&lt;=0,0,IF(Materiales!$G$396&lt;=0,K2752,ROUNDUP(K2752/Materiales!$G$396,0)*Materiales!$G$396))</f>
        <v/>
      </c>
      <c r="L2753" s="65">
        <f>IF(L2752&lt;=0,0,IF(Materiales!$G$396&lt;=0,L2752,ROUNDUP(L2752/Materiales!$G$396,0)*Materiales!$G$396))</f>
        <v/>
      </c>
      <c r="M2753" s="66" t="n"/>
    </row>
    <row r="2754">
      <c r="C2754" s="70" t="inlineStr">
        <is>
          <t>LANZAMIENTO DE ORDEN — pedir esta semana</t>
        </is>
      </c>
      <c r="D2754" s="64" t="n"/>
      <c r="E2754" s="71">
        <f>IF(1+Materiales!$F$396&gt;8,0,INDEX($E$2753:$L$2753,1,1+Materiales!$F$396))</f>
        <v/>
      </c>
      <c r="F2754" s="71">
        <f>IF(2+Materiales!$F$396&gt;8,0,INDEX($E$2753:$L$2753,1,2+Materiales!$F$396))</f>
        <v/>
      </c>
      <c r="G2754" s="71">
        <f>IF(3+Materiales!$F$396&gt;8,0,INDEX($E$2753:$L$2753,1,3+Materiales!$F$396))</f>
        <v/>
      </c>
      <c r="H2754" s="71">
        <f>IF(4+Materiales!$F$396&gt;8,0,INDEX($E$2753:$L$2753,1,4+Materiales!$F$396))</f>
        <v/>
      </c>
      <c r="I2754" s="71">
        <f>IF(5+Materiales!$F$396&gt;8,0,INDEX($E$2753:$L$2753,1,5+Materiales!$F$396))</f>
        <v/>
      </c>
      <c r="J2754" s="71">
        <f>IF(6+Materiales!$F$396&gt;8,0,INDEX($E$2753:$L$2753,1,6+Materiales!$F$396))</f>
        <v/>
      </c>
      <c r="K2754" s="71">
        <f>IF(7+Materiales!$F$396&gt;8,0,INDEX($E$2753:$L$2753,1,7+Materiales!$F$396))</f>
        <v/>
      </c>
      <c r="L2754" s="71">
        <f>IF(8+Materiales!$F$396&gt;8,0,INDEX($E$2753:$L$2753,1,8+Materiales!$F$396))</f>
        <v/>
      </c>
      <c r="M2754" s="72">
        <f>IF($A2749="","",IF(SUMPRODUCT((COLUMN($E$2753:$L$2753)-4&lt;=Materiales!$F$396)*$E$2753:$L$2753)&gt;0,"PEDIR YA (atrasado)","OK"))</f>
        <v/>
      </c>
    </row>
    <row r="2755" ht="6" customHeight="1"/>
    <row r="2756">
      <c r="A2756" s="62">
        <f>IF(Materiales!$A$397="","",Materiales!$A$397)</f>
        <v/>
      </c>
      <c r="B2756" s="62">
        <f>IF(Materiales!$B$397="","",Materiales!$B$397)</f>
        <v/>
      </c>
      <c r="C2756" s="63" t="inlineStr">
        <is>
          <t>Necesidad bruta</t>
        </is>
      </c>
      <c r="D2756" s="64" t="n"/>
      <c r="E2756" s="65">
        <f>ROUND(SUMIF(Consumo!$P$4:$P$189,"#"&amp;$A2756,Consumo!H$4:H$189),4)</f>
        <v/>
      </c>
      <c r="F2756" s="65">
        <f>ROUND(SUMIF(Consumo!$P$4:$P$189,"#"&amp;$A2756,Consumo!I$4:I$189),4)</f>
        <v/>
      </c>
      <c r="G2756" s="65">
        <f>ROUND(SUMIF(Consumo!$P$4:$P$189,"#"&amp;$A2756,Consumo!J$4:J$189),4)</f>
        <v/>
      </c>
      <c r="H2756" s="65">
        <f>ROUND(SUMIF(Consumo!$P$4:$P$189,"#"&amp;$A2756,Consumo!K$4:K$189),4)</f>
        <v/>
      </c>
      <c r="I2756" s="65">
        <f>ROUND(SUMIF(Consumo!$P$4:$P$189,"#"&amp;$A2756,Consumo!L$4:L$189),4)</f>
        <v/>
      </c>
      <c r="J2756" s="65">
        <f>ROUND(SUMIF(Consumo!$P$4:$P$189,"#"&amp;$A2756,Consumo!M$4:M$189),4)</f>
        <v/>
      </c>
      <c r="K2756" s="65">
        <f>ROUND(SUMIF(Consumo!$P$4:$P$189,"#"&amp;$A2756,Consumo!N$4:N$189),4)</f>
        <v/>
      </c>
      <c r="L2756" s="65">
        <f>ROUND(SUMIF(Consumo!$P$4:$P$189,"#"&amp;$A2756,Consumo!O$4:O$189),4)</f>
        <v/>
      </c>
      <c r="M2756" s="66" t="n"/>
    </row>
    <row r="2757">
      <c r="C2757" s="63" t="inlineStr">
        <is>
          <t>Recepciones programadas (ya pedido)</t>
        </is>
      </c>
      <c r="D2757" s="64" t="n"/>
      <c r="E2757" s="65">
        <f>SUMIF(Inventario!$M$5:$M$505,"#"&amp;$A2756,Inventario!E$5:E$505)</f>
        <v/>
      </c>
      <c r="F2757" s="65">
        <f>SUMIF(Inventario!$M$5:$M$505,"#"&amp;$A2756,Inventario!F$5:F$505)</f>
        <v/>
      </c>
      <c r="G2757" s="65">
        <f>SUMIF(Inventario!$M$5:$M$505,"#"&amp;$A2756,Inventario!G$5:G$505)</f>
        <v/>
      </c>
      <c r="H2757" s="65">
        <f>SUMIF(Inventario!$M$5:$M$505,"#"&amp;$A2756,Inventario!H$5:H$505)</f>
        <v/>
      </c>
      <c r="I2757" s="65">
        <f>SUMIF(Inventario!$M$5:$M$505,"#"&amp;$A2756,Inventario!I$5:I$505)</f>
        <v/>
      </c>
      <c r="J2757" s="65">
        <f>SUMIF(Inventario!$M$5:$M$505,"#"&amp;$A2756,Inventario!J$5:J$505)</f>
        <v/>
      </c>
      <c r="K2757" s="65">
        <f>SUMIF(Inventario!$M$5:$M$505,"#"&amp;$A2756,Inventario!K$5:K$505)</f>
        <v/>
      </c>
      <c r="L2757" s="65">
        <f>SUMIF(Inventario!$M$5:$M$505,"#"&amp;$A2756,Inventario!L$5:L$505)</f>
        <v/>
      </c>
      <c r="M2757" s="66" t="n"/>
    </row>
    <row r="2758">
      <c r="C2758" s="63" t="inlineStr">
        <is>
          <t>Stock proyectado disponible</t>
        </is>
      </c>
      <c r="D2758" s="67">
        <f>SUMIF(Inventario!$M$5:$M$505,"#"&amp;$A2756,Inventario!$C$5:$C$505)</f>
        <v/>
      </c>
      <c r="E2758" s="68">
        <f>D2758+E2757+E2760-E2756</f>
        <v/>
      </c>
      <c r="F2758" s="68">
        <f>E2758+F2757+F2760-F2756</f>
        <v/>
      </c>
      <c r="G2758" s="68">
        <f>F2758+G2757+G2760-G2756</f>
        <v/>
      </c>
      <c r="H2758" s="68">
        <f>G2758+H2757+H2760-H2756</f>
        <v/>
      </c>
      <c r="I2758" s="68">
        <f>H2758+I2757+I2760-I2756</f>
        <v/>
      </c>
      <c r="J2758" s="68">
        <f>I2758+J2757+J2760-J2756</f>
        <v/>
      </c>
      <c r="K2758" s="68">
        <f>J2758+K2757+K2760-K2756</f>
        <v/>
      </c>
      <c r="L2758" s="68">
        <f>K2758+L2757+L2760-L2756</f>
        <v/>
      </c>
      <c r="M2758" s="66" t="n"/>
    </row>
    <row r="2759">
      <c r="C2759" s="63" t="inlineStr">
        <is>
          <t>Necesidad neta</t>
        </is>
      </c>
      <c r="D2759" s="64" t="n"/>
      <c r="E2759" s="69">
        <f>MAX(0,ROUND(E2756+Materiales!$H$397-D2758-E2757,4))</f>
        <v/>
      </c>
      <c r="F2759" s="69">
        <f>MAX(0,ROUND(F2756+Materiales!$H$397-E2758-F2757,4))</f>
        <v/>
      </c>
      <c r="G2759" s="69">
        <f>MAX(0,ROUND(G2756+Materiales!$H$397-F2758-G2757,4))</f>
        <v/>
      </c>
      <c r="H2759" s="69">
        <f>MAX(0,ROUND(H2756+Materiales!$H$397-G2758-H2757,4))</f>
        <v/>
      </c>
      <c r="I2759" s="69">
        <f>MAX(0,ROUND(I2756+Materiales!$H$397-H2758-I2757,4))</f>
        <v/>
      </c>
      <c r="J2759" s="69">
        <f>MAX(0,ROUND(J2756+Materiales!$H$397-I2758-J2757,4))</f>
        <v/>
      </c>
      <c r="K2759" s="69">
        <f>MAX(0,ROUND(K2756+Materiales!$H$397-J2758-K2757,4))</f>
        <v/>
      </c>
      <c r="L2759" s="69">
        <f>MAX(0,ROUND(L2756+Materiales!$H$397-K2758-L2757,4))</f>
        <v/>
      </c>
      <c r="M2759" s="66" t="n"/>
    </row>
    <row r="2760">
      <c r="C2760" s="63" t="inlineStr">
        <is>
          <t>Recepcion de orden planificada</t>
        </is>
      </c>
      <c r="D2760" s="64" t="n"/>
      <c r="E2760" s="65">
        <f>IF(E2759&lt;=0,0,IF(Materiales!$G$397&lt;=0,E2759,ROUNDUP(E2759/Materiales!$G$397,0)*Materiales!$G$397))</f>
        <v/>
      </c>
      <c r="F2760" s="65">
        <f>IF(F2759&lt;=0,0,IF(Materiales!$G$397&lt;=0,F2759,ROUNDUP(F2759/Materiales!$G$397,0)*Materiales!$G$397))</f>
        <v/>
      </c>
      <c r="G2760" s="65">
        <f>IF(G2759&lt;=0,0,IF(Materiales!$G$397&lt;=0,G2759,ROUNDUP(G2759/Materiales!$G$397,0)*Materiales!$G$397))</f>
        <v/>
      </c>
      <c r="H2760" s="65">
        <f>IF(H2759&lt;=0,0,IF(Materiales!$G$397&lt;=0,H2759,ROUNDUP(H2759/Materiales!$G$397,0)*Materiales!$G$397))</f>
        <v/>
      </c>
      <c r="I2760" s="65">
        <f>IF(I2759&lt;=0,0,IF(Materiales!$G$397&lt;=0,I2759,ROUNDUP(I2759/Materiales!$G$397,0)*Materiales!$G$397))</f>
        <v/>
      </c>
      <c r="J2760" s="65">
        <f>IF(J2759&lt;=0,0,IF(Materiales!$G$397&lt;=0,J2759,ROUNDUP(J2759/Materiales!$G$397,0)*Materiales!$G$397))</f>
        <v/>
      </c>
      <c r="K2760" s="65">
        <f>IF(K2759&lt;=0,0,IF(Materiales!$G$397&lt;=0,K2759,ROUNDUP(K2759/Materiales!$G$397,0)*Materiales!$G$397))</f>
        <v/>
      </c>
      <c r="L2760" s="65">
        <f>IF(L2759&lt;=0,0,IF(Materiales!$G$397&lt;=0,L2759,ROUNDUP(L2759/Materiales!$G$397,0)*Materiales!$G$397))</f>
        <v/>
      </c>
      <c r="M2760" s="66" t="n"/>
    </row>
    <row r="2761">
      <c r="C2761" s="70" t="inlineStr">
        <is>
          <t>LANZAMIENTO DE ORDEN — pedir esta semana</t>
        </is>
      </c>
      <c r="D2761" s="64" t="n"/>
      <c r="E2761" s="71">
        <f>IF(1+Materiales!$F$397&gt;8,0,INDEX($E$2760:$L$2760,1,1+Materiales!$F$397))</f>
        <v/>
      </c>
      <c r="F2761" s="71">
        <f>IF(2+Materiales!$F$397&gt;8,0,INDEX($E$2760:$L$2760,1,2+Materiales!$F$397))</f>
        <v/>
      </c>
      <c r="G2761" s="71">
        <f>IF(3+Materiales!$F$397&gt;8,0,INDEX($E$2760:$L$2760,1,3+Materiales!$F$397))</f>
        <v/>
      </c>
      <c r="H2761" s="71">
        <f>IF(4+Materiales!$F$397&gt;8,0,INDEX($E$2760:$L$2760,1,4+Materiales!$F$397))</f>
        <v/>
      </c>
      <c r="I2761" s="71">
        <f>IF(5+Materiales!$F$397&gt;8,0,INDEX($E$2760:$L$2760,1,5+Materiales!$F$397))</f>
        <v/>
      </c>
      <c r="J2761" s="71">
        <f>IF(6+Materiales!$F$397&gt;8,0,INDEX($E$2760:$L$2760,1,6+Materiales!$F$397))</f>
        <v/>
      </c>
      <c r="K2761" s="71">
        <f>IF(7+Materiales!$F$397&gt;8,0,INDEX($E$2760:$L$2760,1,7+Materiales!$F$397))</f>
        <v/>
      </c>
      <c r="L2761" s="71">
        <f>IF(8+Materiales!$F$397&gt;8,0,INDEX($E$2760:$L$2760,1,8+Materiales!$F$397))</f>
        <v/>
      </c>
      <c r="M2761" s="72">
        <f>IF($A2756="","",IF(SUMPRODUCT((COLUMN($E$2760:$L$2760)-4&lt;=Materiales!$F$397)*$E$2760:$L$2760)&gt;0,"PEDIR YA (atrasado)","OK"))</f>
        <v/>
      </c>
    </row>
    <row r="2762" ht="6" customHeight="1"/>
    <row r="2763">
      <c r="A2763" s="62">
        <f>IF(Materiales!$A$398="","",Materiales!$A$398)</f>
        <v/>
      </c>
      <c r="B2763" s="62">
        <f>IF(Materiales!$B$398="","",Materiales!$B$398)</f>
        <v/>
      </c>
      <c r="C2763" s="63" t="inlineStr">
        <is>
          <t>Necesidad bruta</t>
        </is>
      </c>
      <c r="D2763" s="64" t="n"/>
      <c r="E2763" s="65">
        <f>ROUND(SUMIF(Consumo!$P$4:$P$189,"#"&amp;$A2763,Consumo!H$4:H$189),4)</f>
        <v/>
      </c>
      <c r="F2763" s="65">
        <f>ROUND(SUMIF(Consumo!$P$4:$P$189,"#"&amp;$A2763,Consumo!I$4:I$189),4)</f>
        <v/>
      </c>
      <c r="G2763" s="65">
        <f>ROUND(SUMIF(Consumo!$P$4:$P$189,"#"&amp;$A2763,Consumo!J$4:J$189),4)</f>
        <v/>
      </c>
      <c r="H2763" s="65">
        <f>ROUND(SUMIF(Consumo!$P$4:$P$189,"#"&amp;$A2763,Consumo!K$4:K$189),4)</f>
        <v/>
      </c>
      <c r="I2763" s="65">
        <f>ROUND(SUMIF(Consumo!$P$4:$P$189,"#"&amp;$A2763,Consumo!L$4:L$189),4)</f>
        <v/>
      </c>
      <c r="J2763" s="65">
        <f>ROUND(SUMIF(Consumo!$P$4:$P$189,"#"&amp;$A2763,Consumo!M$4:M$189),4)</f>
        <v/>
      </c>
      <c r="K2763" s="65">
        <f>ROUND(SUMIF(Consumo!$P$4:$P$189,"#"&amp;$A2763,Consumo!N$4:N$189),4)</f>
        <v/>
      </c>
      <c r="L2763" s="65">
        <f>ROUND(SUMIF(Consumo!$P$4:$P$189,"#"&amp;$A2763,Consumo!O$4:O$189),4)</f>
        <v/>
      </c>
      <c r="M2763" s="66" t="n"/>
    </row>
    <row r="2764">
      <c r="C2764" s="63" t="inlineStr">
        <is>
          <t>Recepciones programadas (ya pedido)</t>
        </is>
      </c>
      <c r="D2764" s="64" t="n"/>
      <c r="E2764" s="65">
        <f>SUMIF(Inventario!$M$5:$M$505,"#"&amp;$A2763,Inventario!E$5:E$505)</f>
        <v/>
      </c>
      <c r="F2764" s="65">
        <f>SUMIF(Inventario!$M$5:$M$505,"#"&amp;$A2763,Inventario!F$5:F$505)</f>
        <v/>
      </c>
      <c r="G2764" s="65">
        <f>SUMIF(Inventario!$M$5:$M$505,"#"&amp;$A2763,Inventario!G$5:G$505)</f>
        <v/>
      </c>
      <c r="H2764" s="65">
        <f>SUMIF(Inventario!$M$5:$M$505,"#"&amp;$A2763,Inventario!H$5:H$505)</f>
        <v/>
      </c>
      <c r="I2764" s="65">
        <f>SUMIF(Inventario!$M$5:$M$505,"#"&amp;$A2763,Inventario!I$5:I$505)</f>
        <v/>
      </c>
      <c r="J2764" s="65">
        <f>SUMIF(Inventario!$M$5:$M$505,"#"&amp;$A2763,Inventario!J$5:J$505)</f>
        <v/>
      </c>
      <c r="K2764" s="65">
        <f>SUMIF(Inventario!$M$5:$M$505,"#"&amp;$A2763,Inventario!K$5:K$505)</f>
        <v/>
      </c>
      <c r="L2764" s="65">
        <f>SUMIF(Inventario!$M$5:$M$505,"#"&amp;$A2763,Inventario!L$5:L$505)</f>
        <v/>
      </c>
      <c r="M2764" s="66" t="n"/>
    </row>
    <row r="2765">
      <c r="C2765" s="63" t="inlineStr">
        <is>
          <t>Stock proyectado disponible</t>
        </is>
      </c>
      <c r="D2765" s="67">
        <f>SUMIF(Inventario!$M$5:$M$505,"#"&amp;$A2763,Inventario!$C$5:$C$505)</f>
        <v/>
      </c>
      <c r="E2765" s="68">
        <f>D2765+E2764+E2767-E2763</f>
        <v/>
      </c>
      <c r="F2765" s="68">
        <f>E2765+F2764+F2767-F2763</f>
        <v/>
      </c>
      <c r="G2765" s="68">
        <f>F2765+G2764+G2767-G2763</f>
        <v/>
      </c>
      <c r="H2765" s="68">
        <f>G2765+H2764+H2767-H2763</f>
        <v/>
      </c>
      <c r="I2765" s="68">
        <f>H2765+I2764+I2767-I2763</f>
        <v/>
      </c>
      <c r="J2765" s="68">
        <f>I2765+J2764+J2767-J2763</f>
        <v/>
      </c>
      <c r="K2765" s="68">
        <f>J2765+K2764+K2767-K2763</f>
        <v/>
      </c>
      <c r="L2765" s="68">
        <f>K2765+L2764+L2767-L2763</f>
        <v/>
      </c>
      <c r="M2765" s="66" t="n"/>
    </row>
    <row r="2766">
      <c r="C2766" s="63" t="inlineStr">
        <is>
          <t>Necesidad neta</t>
        </is>
      </c>
      <c r="D2766" s="64" t="n"/>
      <c r="E2766" s="69">
        <f>MAX(0,ROUND(E2763+Materiales!$H$398-D2765-E2764,4))</f>
        <v/>
      </c>
      <c r="F2766" s="69">
        <f>MAX(0,ROUND(F2763+Materiales!$H$398-E2765-F2764,4))</f>
        <v/>
      </c>
      <c r="G2766" s="69">
        <f>MAX(0,ROUND(G2763+Materiales!$H$398-F2765-G2764,4))</f>
        <v/>
      </c>
      <c r="H2766" s="69">
        <f>MAX(0,ROUND(H2763+Materiales!$H$398-G2765-H2764,4))</f>
        <v/>
      </c>
      <c r="I2766" s="69">
        <f>MAX(0,ROUND(I2763+Materiales!$H$398-H2765-I2764,4))</f>
        <v/>
      </c>
      <c r="J2766" s="69">
        <f>MAX(0,ROUND(J2763+Materiales!$H$398-I2765-J2764,4))</f>
        <v/>
      </c>
      <c r="K2766" s="69">
        <f>MAX(0,ROUND(K2763+Materiales!$H$398-J2765-K2764,4))</f>
        <v/>
      </c>
      <c r="L2766" s="69">
        <f>MAX(0,ROUND(L2763+Materiales!$H$398-K2765-L2764,4))</f>
        <v/>
      </c>
      <c r="M2766" s="66" t="n"/>
    </row>
    <row r="2767">
      <c r="C2767" s="63" t="inlineStr">
        <is>
          <t>Recepcion de orden planificada</t>
        </is>
      </c>
      <c r="D2767" s="64" t="n"/>
      <c r="E2767" s="65">
        <f>IF(E2766&lt;=0,0,IF(Materiales!$G$398&lt;=0,E2766,ROUNDUP(E2766/Materiales!$G$398,0)*Materiales!$G$398))</f>
        <v/>
      </c>
      <c r="F2767" s="65">
        <f>IF(F2766&lt;=0,0,IF(Materiales!$G$398&lt;=0,F2766,ROUNDUP(F2766/Materiales!$G$398,0)*Materiales!$G$398))</f>
        <v/>
      </c>
      <c r="G2767" s="65">
        <f>IF(G2766&lt;=0,0,IF(Materiales!$G$398&lt;=0,G2766,ROUNDUP(G2766/Materiales!$G$398,0)*Materiales!$G$398))</f>
        <v/>
      </c>
      <c r="H2767" s="65">
        <f>IF(H2766&lt;=0,0,IF(Materiales!$G$398&lt;=0,H2766,ROUNDUP(H2766/Materiales!$G$398,0)*Materiales!$G$398))</f>
        <v/>
      </c>
      <c r="I2767" s="65">
        <f>IF(I2766&lt;=0,0,IF(Materiales!$G$398&lt;=0,I2766,ROUNDUP(I2766/Materiales!$G$398,0)*Materiales!$G$398))</f>
        <v/>
      </c>
      <c r="J2767" s="65">
        <f>IF(J2766&lt;=0,0,IF(Materiales!$G$398&lt;=0,J2766,ROUNDUP(J2766/Materiales!$G$398,0)*Materiales!$G$398))</f>
        <v/>
      </c>
      <c r="K2767" s="65">
        <f>IF(K2766&lt;=0,0,IF(Materiales!$G$398&lt;=0,K2766,ROUNDUP(K2766/Materiales!$G$398,0)*Materiales!$G$398))</f>
        <v/>
      </c>
      <c r="L2767" s="65">
        <f>IF(L2766&lt;=0,0,IF(Materiales!$G$398&lt;=0,L2766,ROUNDUP(L2766/Materiales!$G$398,0)*Materiales!$G$398))</f>
        <v/>
      </c>
      <c r="M2767" s="66" t="n"/>
    </row>
    <row r="2768">
      <c r="C2768" s="70" t="inlineStr">
        <is>
          <t>LANZAMIENTO DE ORDEN — pedir esta semana</t>
        </is>
      </c>
      <c r="D2768" s="64" t="n"/>
      <c r="E2768" s="71">
        <f>IF(1+Materiales!$F$398&gt;8,0,INDEX($E$2767:$L$2767,1,1+Materiales!$F$398))</f>
        <v/>
      </c>
      <c r="F2768" s="71">
        <f>IF(2+Materiales!$F$398&gt;8,0,INDEX($E$2767:$L$2767,1,2+Materiales!$F$398))</f>
        <v/>
      </c>
      <c r="G2768" s="71">
        <f>IF(3+Materiales!$F$398&gt;8,0,INDEX($E$2767:$L$2767,1,3+Materiales!$F$398))</f>
        <v/>
      </c>
      <c r="H2768" s="71">
        <f>IF(4+Materiales!$F$398&gt;8,0,INDEX($E$2767:$L$2767,1,4+Materiales!$F$398))</f>
        <v/>
      </c>
      <c r="I2768" s="71">
        <f>IF(5+Materiales!$F$398&gt;8,0,INDEX($E$2767:$L$2767,1,5+Materiales!$F$398))</f>
        <v/>
      </c>
      <c r="J2768" s="71">
        <f>IF(6+Materiales!$F$398&gt;8,0,INDEX($E$2767:$L$2767,1,6+Materiales!$F$398))</f>
        <v/>
      </c>
      <c r="K2768" s="71">
        <f>IF(7+Materiales!$F$398&gt;8,0,INDEX($E$2767:$L$2767,1,7+Materiales!$F$398))</f>
        <v/>
      </c>
      <c r="L2768" s="71">
        <f>IF(8+Materiales!$F$398&gt;8,0,INDEX($E$2767:$L$2767,1,8+Materiales!$F$398))</f>
        <v/>
      </c>
      <c r="M2768" s="72">
        <f>IF($A2763="","",IF(SUMPRODUCT((COLUMN($E$2767:$L$2767)-4&lt;=Materiales!$F$398)*$E$2767:$L$2767)&gt;0,"PEDIR YA (atrasado)","OK"))</f>
        <v/>
      </c>
    </row>
    <row r="2769" ht="6" customHeight="1"/>
    <row r="2770">
      <c r="A2770" s="62">
        <f>IF(Materiales!$A$399="","",Materiales!$A$399)</f>
        <v/>
      </c>
      <c r="B2770" s="62">
        <f>IF(Materiales!$B$399="","",Materiales!$B$399)</f>
        <v/>
      </c>
      <c r="C2770" s="63" t="inlineStr">
        <is>
          <t>Necesidad bruta</t>
        </is>
      </c>
      <c r="D2770" s="64" t="n"/>
      <c r="E2770" s="65">
        <f>ROUND(SUMIF(Consumo!$P$4:$P$189,"#"&amp;$A2770,Consumo!H$4:H$189),4)</f>
        <v/>
      </c>
      <c r="F2770" s="65">
        <f>ROUND(SUMIF(Consumo!$P$4:$P$189,"#"&amp;$A2770,Consumo!I$4:I$189),4)</f>
        <v/>
      </c>
      <c r="G2770" s="65">
        <f>ROUND(SUMIF(Consumo!$P$4:$P$189,"#"&amp;$A2770,Consumo!J$4:J$189),4)</f>
        <v/>
      </c>
      <c r="H2770" s="65">
        <f>ROUND(SUMIF(Consumo!$P$4:$P$189,"#"&amp;$A2770,Consumo!K$4:K$189),4)</f>
        <v/>
      </c>
      <c r="I2770" s="65">
        <f>ROUND(SUMIF(Consumo!$P$4:$P$189,"#"&amp;$A2770,Consumo!L$4:L$189),4)</f>
        <v/>
      </c>
      <c r="J2770" s="65">
        <f>ROUND(SUMIF(Consumo!$P$4:$P$189,"#"&amp;$A2770,Consumo!M$4:M$189),4)</f>
        <v/>
      </c>
      <c r="K2770" s="65">
        <f>ROUND(SUMIF(Consumo!$P$4:$P$189,"#"&amp;$A2770,Consumo!N$4:N$189),4)</f>
        <v/>
      </c>
      <c r="L2770" s="65">
        <f>ROUND(SUMIF(Consumo!$P$4:$P$189,"#"&amp;$A2770,Consumo!O$4:O$189),4)</f>
        <v/>
      </c>
      <c r="M2770" s="66" t="n"/>
    </row>
    <row r="2771">
      <c r="C2771" s="63" t="inlineStr">
        <is>
          <t>Recepciones programadas (ya pedido)</t>
        </is>
      </c>
      <c r="D2771" s="64" t="n"/>
      <c r="E2771" s="65">
        <f>SUMIF(Inventario!$M$5:$M$505,"#"&amp;$A2770,Inventario!E$5:E$505)</f>
        <v/>
      </c>
      <c r="F2771" s="65">
        <f>SUMIF(Inventario!$M$5:$M$505,"#"&amp;$A2770,Inventario!F$5:F$505)</f>
        <v/>
      </c>
      <c r="G2771" s="65">
        <f>SUMIF(Inventario!$M$5:$M$505,"#"&amp;$A2770,Inventario!G$5:G$505)</f>
        <v/>
      </c>
      <c r="H2771" s="65">
        <f>SUMIF(Inventario!$M$5:$M$505,"#"&amp;$A2770,Inventario!H$5:H$505)</f>
        <v/>
      </c>
      <c r="I2771" s="65">
        <f>SUMIF(Inventario!$M$5:$M$505,"#"&amp;$A2770,Inventario!I$5:I$505)</f>
        <v/>
      </c>
      <c r="J2771" s="65">
        <f>SUMIF(Inventario!$M$5:$M$505,"#"&amp;$A2770,Inventario!J$5:J$505)</f>
        <v/>
      </c>
      <c r="K2771" s="65">
        <f>SUMIF(Inventario!$M$5:$M$505,"#"&amp;$A2770,Inventario!K$5:K$505)</f>
        <v/>
      </c>
      <c r="L2771" s="65">
        <f>SUMIF(Inventario!$M$5:$M$505,"#"&amp;$A2770,Inventario!L$5:L$505)</f>
        <v/>
      </c>
      <c r="M2771" s="66" t="n"/>
    </row>
    <row r="2772">
      <c r="C2772" s="63" t="inlineStr">
        <is>
          <t>Stock proyectado disponible</t>
        </is>
      </c>
      <c r="D2772" s="67">
        <f>SUMIF(Inventario!$M$5:$M$505,"#"&amp;$A2770,Inventario!$C$5:$C$505)</f>
        <v/>
      </c>
      <c r="E2772" s="68">
        <f>D2772+E2771+E2774-E2770</f>
        <v/>
      </c>
      <c r="F2772" s="68">
        <f>E2772+F2771+F2774-F2770</f>
        <v/>
      </c>
      <c r="G2772" s="68">
        <f>F2772+G2771+G2774-G2770</f>
        <v/>
      </c>
      <c r="H2772" s="68">
        <f>G2772+H2771+H2774-H2770</f>
        <v/>
      </c>
      <c r="I2772" s="68">
        <f>H2772+I2771+I2774-I2770</f>
        <v/>
      </c>
      <c r="J2772" s="68">
        <f>I2772+J2771+J2774-J2770</f>
        <v/>
      </c>
      <c r="K2772" s="68">
        <f>J2772+K2771+K2774-K2770</f>
        <v/>
      </c>
      <c r="L2772" s="68">
        <f>K2772+L2771+L2774-L2770</f>
        <v/>
      </c>
      <c r="M2772" s="66" t="n"/>
    </row>
    <row r="2773">
      <c r="C2773" s="63" t="inlineStr">
        <is>
          <t>Necesidad neta</t>
        </is>
      </c>
      <c r="D2773" s="64" t="n"/>
      <c r="E2773" s="69">
        <f>MAX(0,ROUND(E2770+Materiales!$H$399-D2772-E2771,4))</f>
        <v/>
      </c>
      <c r="F2773" s="69">
        <f>MAX(0,ROUND(F2770+Materiales!$H$399-E2772-F2771,4))</f>
        <v/>
      </c>
      <c r="G2773" s="69">
        <f>MAX(0,ROUND(G2770+Materiales!$H$399-F2772-G2771,4))</f>
        <v/>
      </c>
      <c r="H2773" s="69">
        <f>MAX(0,ROUND(H2770+Materiales!$H$399-G2772-H2771,4))</f>
        <v/>
      </c>
      <c r="I2773" s="69">
        <f>MAX(0,ROUND(I2770+Materiales!$H$399-H2772-I2771,4))</f>
        <v/>
      </c>
      <c r="J2773" s="69">
        <f>MAX(0,ROUND(J2770+Materiales!$H$399-I2772-J2771,4))</f>
        <v/>
      </c>
      <c r="K2773" s="69">
        <f>MAX(0,ROUND(K2770+Materiales!$H$399-J2772-K2771,4))</f>
        <v/>
      </c>
      <c r="L2773" s="69">
        <f>MAX(0,ROUND(L2770+Materiales!$H$399-K2772-L2771,4))</f>
        <v/>
      </c>
      <c r="M2773" s="66" t="n"/>
    </row>
    <row r="2774">
      <c r="C2774" s="63" t="inlineStr">
        <is>
          <t>Recepcion de orden planificada</t>
        </is>
      </c>
      <c r="D2774" s="64" t="n"/>
      <c r="E2774" s="65">
        <f>IF(E2773&lt;=0,0,IF(Materiales!$G$399&lt;=0,E2773,ROUNDUP(E2773/Materiales!$G$399,0)*Materiales!$G$399))</f>
        <v/>
      </c>
      <c r="F2774" s="65">
        <f>IF(F2773&lt;=0,0,IF(Materiales!$G$399&lt;=0,F2773,ROUNDUP(F2773/Materiales!$G$399,0)*Materiales!$G$399))</f>
        <v/>
      </c>
      <c r="G2774" s="65">
        <f>IF(G2773&lt;=0,0,IF(Materiales!$G$399&lt;=0,G2773,ROUNDUP(G2773/Materiales!$G$399,0)*Materiales!$G$399))</f>
        <v/>
      </c>
      <c r="H2774" s="65">
        <f>IF(H2773&lt;=0,0,IF(Materiales!$G$399&lt;=0,H2773,ROUNDUP(H2773/Materiales!$G$399,0)*Materiales!$G$399))</f>
        <v/>
      </c>
      <c r="I2774" s="65">
        <f>IF(I2773&lt;=0,0,IF(Materiales!$G$399&lt;=0,I2773,ROUNDUP(I2773/Materiales!$G$399,0)*Materiales!$G$399))</f>
        <v/>
      </c>
      <c r="J2774" s="65">
        <f>IF(J2773&lt;=0,0,IF(Materiales!$G$399&lt;=0,J2773,ROUNDUP(J2773/Materiales!$G$399,0)*Materiales!$G$399))</f>
        <v/>
      </c>
      <c r="K2774" s="65">
        <f>IF(K2773&lt;=0,0,IF(Materiales!$G$399&lt;=0,K2773,ROUNDUP(K2773/Materiales!$G$399,0)*Materiales!$G$399))</f>
        <v/>
      </c>
      <c r="L2774" s="65">
        <f>IF(L2773&lt;=0,0,IF(Materiales!$G$399&lt;=0,L2773,ROUNDUP(L2773/Materiales!$G$399,0)*Materiales!$G$399))</f>
        <v/>
      </c>
      <c r="M2774" s="66" t="n"/>
    </row>
    <row r="2775">
      <c r="C2775" s="70" t="inlineStr">
        <is>
          <t>LANZAMIENTO DE ORDEN — pedir esta semana</t>
        </is>
      </c>
      <c r="D2775" s="64" t="n"/>
      <c r="E2775" s="71">
        <f>IF(1+Materiales!$F$399&gt;8,0,INDEX($E$2774:$L$2774,1,1+Materiales!$F$399))</f>
        <v/>
      </c>
      <c r="F2775" s="71">
        <f>IF(2+Materiales!$F$399&gt;8,0,INDEX($E$2774:$L$2774,1,2+Materiales!$F$399))</f>
        <v/>
      </c>
      <c r="G2775" s="71">
        <f>IF(3+Materiales!$F$399&gt;8,0,INDEX($E$2774:$L$2774,1,3+Materiales!$F$399))</f>
        <v/>
      </c>
      <c r="H2775" s="71">
        <f>IF(4+Materiales!$F$399&gt;8,0,INDEX($E$2774:$L$2774,1,4+Materiales!$F$399))</f>
        <v/>
      </c>
      <c r="I2775" s="71">
        <f>IF(5+Materiales!$F$399&gt;8,0,INDEX($E$2774:$L$2774,1,5+Materiales!$F$399))</f>
        <v/>
      </c>
      <c r="J2775" s="71">
        <f>IF(6+Materiales!$F$399&gt;8,0,INDEX($E$2774:$L$2774,1,6+Materiales!$F$399))</f>
        <v/>
      </c>
      <c r="K2775" s="71">
        <f>IF(7+Materiales!$F$399&gt;8,0,INDEX($E$2774:$L$2774,1,7+Materiales!$F$399))</f>
        <v/>
      </c>
      <c r="L2775" s="71">
        <f>IF(8+Materiales!$F$399&gt;8,0,INDEX($E$2774:$L$2774,1,8+Materiales!$F$399))</f>
        <v/>
      </c>
      <c r="M2775" s="72">
        <f>IF($A2770="","",IF(SUMPRODUCT((COLUMN($E$2774:$L$2774)-4&lt;=Materiales!$F$399)*$E$2774:$L$2774)&gt;0,"PEDIR YA (atrasado)","OK"))</f>
        <v/>
      </c>
    </row>
    <row r="2776" ht="6" customHeight="1"/>
    <row r="2777">
      <c r="A2777" s="62">
        <f>IF(Materiales!$A$400="","",Materiales!$A$400)</f>
        <v/>
      </c>
      <c r="B2777" s="62">
        <f>IF(Materiales!$B$400="","",Materiales!$B$400)</f>
        <v/>
      </c>
      <c r="C2777" s="63" t="inlineStr">
        <is>
          <t>Necesidad bruta</t>
        </is>
      </c>
      <c r="D2777" s="64" t="n"/>
      <c r="E2777" s="65">
        <f>ROUND(SUMIF(Consumo!$P$4:$P$189,"#"&amp;$A2777,Consumo!H$4:H$189),4)</f>
        <v/>
      </c>
      <c r="F2777" s="65">
        <f>ROUND(SUMIF(Consumo!$P$4:$P$189,"#"&amp;$A2777,Consumo!I$4:I$189),4)</f>
        <v/>
      </c>
      <c r="G2777" s="65">
        <f>ROUND(SUMIF(Consumo!$P$4:$P$189,"#"&amp;$A2777,Consumo!J$4:J$189),4)</f>
        <v/>
      </c>
      <c r="H2777" s="65">
        <f>ROUND(SUMIF(Consumo!$P$4:$P$189,"#"&amp;$A2777,Consumo!K$4:K$189),4)</f>
        <v/>
      </c>
      <c r="I2777" s="65">
        <f>ROUND(SUMIF(Consumo!$P$4:$P$189,"#"&amp;$A2777,Consumo!L$4:L$189),4)</f>
        <v/>
      </c>
      <c r="J2777" s="65">
        <f>ROUND(SUMIF(Consumo!$P$4:$P$189,"#"&amp;$A2777,Consumo!M$4:M$189),4)</f>
        <v/>
      </c>
      <c r="K2777" s="65">
        <f>ROUND(SUMIF(Consumo!$P$4:$P$189,"#"&amp;$A2777,Consumo!N$4:N$189),4)</f>
        <v/>
      </c>
      <c r="L2777" s="65">
        <f>ROUND(SUMIF(Consumo!$P$4:$P$189,"#"&amp;$A2777,Consumo!O$4:O$189),4)</f>
        <v/>
      </c>
      <c r="M2777" s="66" t="n"/>
    </row>
    <row r="2778">
      <c r="C2778" s="63" t="inlineStr">
        <is>
          <t>Recepciones programadas (ya pedido)</t>
        </is>
      </c>
      <c r="D2778" s="64" t="n"/>
      <c r="E2778" s="65">
        <f>SUMIF(Inventario!$M$5:$M$505,"#"&amp;$A2777,Inventario!E$5:E$505)</f>
        <v/>
      </c>
      <c r="F2778" s="65">
        <f>SUMIF(Inventario!$M$5:$M$505,"#"&amp;$A2777,Inventario!F$5:F$505)</f>
        <v/>
      </c>
      <c r="G2778" s="65">
        <f>SUMIF(Inventario!$M$5:$M$505,"#"&amp;$A2777,Inventario!G$5:G$505)</f>
        <v/>
      </c>
      <c r="H2778" s="65">
        <f>SUMIF(Inventario!$M$5:$M$505,"#"&amp;$A2777,Inventario!H$5:H$505)</f>
        <v/>
      </c>
      <c r="I2778" s="65">
        <f>SUMIF(Inventario!$M$5:$M$505,"#"&amp;$A2777,Inventario!I$5:I$505)</f>
        <v/>
      </c>
      <c r="J2778" s="65">
        <f>SUMIF(Inventario!$M$5:$M$505,"#"&amp;$A2777,Inventario!J$5:J$505)</f>
        <v/>
      </c>
      <c r="K2778" s="65">
        <f>SUMIF(Inventario!$M$5:$M$505,"#"&amp;$A2777,Inventario!K$5:K$505)</f>
        <v/>
      </c>
      <c r="L2778" s="65">
        <f>SUMIF(Inventario!$M$5:$M$505,"#"&amp;$A2777,Inventario!L$5:L$505)</f>
        <v/>
      </c>
      <c r="M2778" s="66" t="n"/>
    </row>
    <row r="2779">
      <c r="C2779" s="63" t="inlineStr">
        <is>
          <t>Stock proyectado disponible</t>
        </is>
      </c>
      <c r="D2779" s="67">
        <f>SUMIF(Inventario!$M$5:$M$505,"#"&amp;$A2777,Inventario!$C$5:$C$505)</f>
        <v/>
      </c>
      <c r="E2779" s="68">
        <f>D2779+E2778+E2781-E2777</f>
        <v/>
      </c>
      <c r="F2779" s="68">
        <f>E2779+F2778+F2781-F2777</f>
        <v/>
      </c>
      <c r="G2779" s="68">
        <f>F2779+G2778+G2781-G2777</f>
        <v/>
      </c>
      <c r="H2779" s="68">
        <f>G2779+H2778+H2781-H2777</f>
        <v/>
      </c>
      <c r="I2779" s="68">
        <f>H2779+I2778+I2781-I2777</f>
        <v/>
      </c>
      <c r="J2779" s="68">
        <f>I2779+J2778+J2781-J2777</f>
        <v/>
      </c>
      <c r="K2779" s="68">
        <f>J2779+K2778+K2781-K2777</f>
        <v/>
      </c>
      <c r="L2779" s="68">
        <f>K2779+L2778+L2781-L2777</f>
        <v/>
      </c>
      <c r="M2779" s="66" t="n"/>
    </row>
    <row r="2780">
      <c r="C2780" s="63" t="inlineStr">
        <is>
          <t>Necesidad neta</t>
        </is>
      </c>
      <c r="D2780" s="64" t="n"/>
      <c r="E2780" s="69">
        <f>MAX(0,ROUND(E2777+Materiales!$H$400-D2779-E2778,4))</f>
        <v/>
      </c>
      <c r="F2780" s="69">
        <f>MAX(0,ROUND(F2777+Materiales!$H$400-E2779-F2778,4))</f>
        <v/>
      </c>
      <c r="G2780" s="69">
        <f>MAX(0,ROUND(G2777+Materiales!$H$400-F2779-G2778,4))</f>
        <v/>
      </c>
      <c r="H2780" s="69">
        <f>MAX(0,ROUND(H2777+Materiales!$H$400-G2779-H2778,4))</f>
        <v/>
      </c>
      <c r="I2780" s="69">
        <f>MAX(0,ROUND(I2777+Materiales!$H$400-H2779-I2778,4))</f>
        <v/>
      </c>
      <c r="J2780" s="69">
        <f>MAX(0,ROUND(J2777+Materiales!$H$400-I2779-J2778,4))</f>
        <v/>
      </c>
      <c r="K2780" s="69">
        <f>MAX(0,ROUND(K2777+Materiales!$H$400-J2779-K2778,4))</f>
        <v/>
      </c>
      <c r="L2780" s="69">
        <f>MAX(0,ROUND(L2777+Materiales!$H$400-K2779-L2778,4))</f>
        <v/>
      </c>
      <c r="M2780" s="66" t="n"/>
    </row>
    <row r="2781">
      <c r="C2781" s="63" t="inlineStr">
        <is>
          <t>Recepcion de orden planificada</t>
        </is>
      </c>
      <c r="D2781" s="64" t="n"/>
      <c r="E2781" s="65">
        <f>IF(E2780&lt;=0,0,IF(Materiales!$G$400&lt;=0,E2780,ROUNDUP(E2780/Materiales!$G$400,0)*Materiales!$G$400))</f>
        <v/>
      </c>
      <c r="F2781" s="65">
        <f>IF(F2780&lt;=0,0,IF(Materiales!$G$400&lt;=0,F2780,ROUNDUP(F2780/Materiales!$G$400,0)*Materiales!$G$400))</f>
        <v/>
      </c>
      <c r="G2781" s="65">
        <f>IF(G2780&lt;=0,0,IF(Materiales!$G$400&lt;=0,G2780,ROUNDUP(G2780/Materiales!$G$400,0)*Materiales!$G$400))</f>
        <v/>
      </c>
      <c r="H2781" s="65">
        <f>IF(H2780&lt;=0,0,IF(Materiales!$G$400&lt;=0,H2780,ROUNDUP(H2780/Materiales!$G$400,0)*Materiales!$G$400))</f>
        <v/>
      </c>
      <c r="I2781" s="65">
        <f>IF(I2780&lt;=0,0,IF(Materiales!$G$400&lt;=0,I2780,ROUNDUP(I2780/Materiales!$G$400,0)*Materiales!$G$400))</f>
        <v/>
      </c>
      <c r="J2781" s="65">
        <f>IF(J2780&lt;=0,0,IF(Materiales!$G$400&lt;=0,J2780,ROUNDUP(J2780/Materiales!$G$400,0)*Materiales!$G$400))</f>
        <v/>
      </c>
      <c r="K2781" s="65">
        <f>IF(K2780&lt;=0,0,IF(Materiales!$G$400&lt;=0,K2780,ROUNDUP(K2780/Materiales!$G$400,0)*Materiales!$G$400))</f>
        <v/>
      </c>
      <c r="L2781" s="65">
        <f>IF(L2780&lt;=0,0,IF(Materiales!$G$400&lt;=0,L2780,ROUNDUP(L2780/Materiales!$G$400,0)*Materiales!$G$400))</f>
        <v/>
      </c>
      <c r="M2781" s="66" t="n"/>
    </row>
    <row r="2782">
      <c r="C2782" s="70" t="inlineStr">
        <is>
          <t>LANZAMIENTO DE ORDEN — pedir esta semana</t>
        </is>
      </c>
      <c r="D2782" s="64" t="n"/>
      <c r="E2782" s="71">
        <f>IF(1+Materiales!$F$400&gt;8,0,INDEX($E$2781:$L$2781,1,1+Materiales!$F$400))</f>
        <v/>
      </c>
      <c r="F2782" s="71">
        <f>IF(2+Materiales!$F$400&gt;8,0,INDEX($E$2781:$L$2781,1,2+Materiales!$F$400))</f>
        <v/>
      </c>
      <c r="G2782" s="71">
        <f>IF(3+Materiales!$F$400&gt;8,0,INDEX($E$2781:$L$2781,1,3+Materiales!$F$400))</f>
        <v/>
      </c>
      <c r="H2782" s="71">
        <f>IF(4+Materiales!$F$400&gt;8,0,INDEX($E$2781:$L$2781,1,4+Materiales!$F$400))</f>
        <v/>
      </c>
      <c r="I2782" s="71">
        <f>IF(5+Materiales!$F$400&gt;8,0,INDEX($E$2781:$L$2781,1,5+Materiales!$F$400))</f>
        <v/>
      </c>
      <c r="J2782" s="71">
        <f>IF(6+Materiales!$F$400&gt;8,0,INDEX($E$2781:$L$2781,1,6+Materiales!$F$400))</f>
        <v/>
      </c>
      <c r="K2782" s="71">
        <f>IF(7+Materiales!$F$400&gt;8,0,INDEX($E$2781:$L$2781,1,7+Materiales!$F$400))</f>
        <v/>
      </c>
      <c r="L2782" s="71">
        <f>IF(8+Materiales!$F$400&gt;8,0,INDEX($E$2781:$L$2781,1,8+Materiales!$F$400))</f>
        <v/>
      </c>
      <c r="M2782" s="72">
        <f>IF($A2777="","",IF(SUMPRODUCT((COLUMN($E$2781:$L$2781)-4&lt;=Materiales!$F$400)*$E$2781:$L$2781)&gt;0,"PEDIR YA (atrasado)","OK"))</f>
        <v/>
      </c>
    </row>
    <row r="2783" ht="6" customHeight="1"/>
    <row r="2784">
      <c r="A2784" s="62">
        <f>IF(Materiales!$A$401="","",Materiales!$A$401)</f>
        <v/>
      </c>
      <c r="B2784" s="62">
        <f>IF(Materiales!$B$401="","",Materiales!$B$401)</f>
        <v/>
      </c>
      <c r="C2784" s="63" t="inlineStr">
        <is>
          <t>Necesidad bruta</t>
        </is>
      </c>
      <c r="D2784" s="64" t="n"/>
      <c r="E2784" s="65">
        <f>ROUND(SUMIF(Consumo!$P$4:$P$189,"#"&amp;$A2784,Consumo!H$4:H$189),4)</f>
        <v/>
      </c>
      <c r="F2784" s="65">
        <f>ROUND(SUMIF(Consumo!$P$4:$P$189,"#"&amp;$A2784,Consumo!I$4:I$189),4)</f>
        <v/>
      </c>
      <c r="G2784" s="65">
        <f>ROUND(SUMIF(Consumo!$P$4:$P$189,"#"&amp;$A2784,Consumo!J$4:J$189),4)</f>
        <v/>
      </c>
      <c r="H2784" s="65">
        <f>ROUND(SUMIF(Consumo!$P$4:$P$189,"#"&amp;$A2784,Consumo!K$4:K$189),4)</f>
        <v/>
      </c>
      <c r="I2784" s="65">
        <f>ROUND(SUMIF(Consumo!$P$4:$P$189,"#"&amp;$A2784,Consumo!L$4:L$189),4)</f>
        <v/>
      </c>
      <c r="J2784" s="65">
        <f>ROUND(SUMIF(Consumo!$P$4:$P$189,"#"&amp;$A2784,Consumo!M$4:M$189),4)</f>
        <v/>
      </c>
      <c r="K2784" s="65">
        <f>ROUND(SUMIF(Consumo!$P$4:$P$189,"#"&amp;$A2784,Consumo!N$4:N$189),4)</f>
        <v/>
      </c>
      <c r="L2784" s="65">
        <f>ROUND(SUMIF(Consumo!$P$4:$P$189,"#"&amp;$A2784,Consumo!O$4:O$189),4)</f>
        <v/>
      </c>
      <c r="M2784" s="66" t="n"/>
    </row>
    <row r="2785">
      <c r="C2785" s="63" t="inlineStr">
        <is>
          <t>Recepciones programadas (ya pedido)</t>
        </is>
      </c>
      <c r="D2785" s="64" t="n"/>
      <c r="E2785" s="65">
        <f>SUMIF(Inventario!$M$5:$M$505,"#"&amp;$A2784,Inventario!E$5:E$505)</f>
        <v/>
      </c>
      <c r="F2785" s="65">
        <f>SUMIF(Inventario!$M$5:$M$505,"#"&amp;$A2784,Inventario!F$5:F$505)</f>
        <v/>
      </c>
      <c r="G2785" s="65">
        <f>SUMIF(Inventario!$M$5:$M$505,"#"&amp;$A2784,Inventario!G$5:G$505)</f>
        <v/>
      </c>
      <c r="H2785" s="65">
        <f>SUMIF(Inventario!$M$5:$M$505,"#"&amp;$A2784,Inventario!H$5:H$505)</f>
        <v/>
      </c>
      <c r="I2785" s="65">
        <f>SUMIF(Inventario!$M$5:$M$505,"#"&amp;$A2784,Inventario!I$5:I$505)</f>
        <v/>
      </c>
      <c r="J2785" s="65">
        <f>SUMIF(Inventario!$M$5:$M$505,"#"&amp;$A2784,Inventario!J$5:J$505)</f>
        <v/>
      </c>
      <c r="K2785" s="65">
        <f>SUMIF(Inventario!$M$5:$M$505,"#"&amp;$A2784,Inventario!K$5:K$505)</f>
        <v/>
      </c>
      <c r="L2785" s="65">
        <f>SUMIF(Inventario!$M$5:$M$505,"#"&amp;$A2784,Inventario!L$5:L$505)</f>
        <v/>
      </c>
      <c r="M2785" s="66" t="n"/>
    </row>
    <row r="2786">
      <c r="C2786" s="63" t="inlineStr">
        <is>
          <t>Stock proyectado disponible</t>
        </is>
      </c>
      <c r="D2786" s="67">
        <f>SUMIF(Inventario!$M$5:$M$505,"#"&amp;$A2784,Inventario!$C$5:$C$505)</f>
        <v/>
      </c>
      <c r="E2786" s="68">
        <f>D2786+E2785+E2788-E2784</f>
        <v/>
      </c>
      <c r="F2786" s="68">
        <f>E2786+F2785+F2788-F2784</f>
        <v/>
      </c>
      <c r="G2786" s="68">
        <f>F2786+G2785+G2788-G2784</f>
        <v/>
      </c>
      <c r="H2786" s="68">
        <f>G2786+H2785+H2788-H2784</f>
        <v/>
      </c>
      <c r="I2786" s="68">
        <f>H2786+I2785+I2788-I2784</f>
        <v/>
      </c>
      <c r="J2786" s="68">
        <f>I2786+J2785+J2788-J2784</f>
        <v/>
      </c>
      <c r="K2786" s="68">
        <f>J2786+K2785+K2788-K2784</f>
        <v/>
      </c>
      <c r="L2786" s="68">
        <f>K2786+L2785+L2788-L2784</f>
        <v/>
      </c>
      <c r="M2786" s="66" t="n"/>
    </row>
    <row r="2787">
      <c r="C2787" s="63" t="inlineStr">
        <is>
          <t>Necesidad neta</t>
        </is>
      </c>
      <c r="D2787" s="64" t="n"/>
      <c r="E2787" s="69">
        <f>MAX(0,ROUND(E2784+Materiales!$H$401-D2786-E2785,4))</f>
        <v/>
      </c>
      <c r="F2787" s="69">
        <f>MAX(0,ROUND(F2784+Materiales!$H$401-E2786-F2785,4))</f>
        <v/>
      </c>
      <c r="G2787" s="69">
        <f>MAX(0,ROUND(G2784+Materiales!$H$401-F2786-G2785,4))</f>
        <v/>
      </c>
      <c r="H2787" s="69">
        <f>MAX(0,ROUND(H2784+Materiales!$H$401-G2786-H2785,4))</f>
        <v/>
      </c>
      <c r="I2787" s="69">
        <f>MAX(0,ROUND(I2784+Materiales!$H$401-H2786-I2785,4))</f>
        <v/>
      </c>
      <c r="J2787" s="69">
        <f>MAX(0,ROUND(J2784+Materiales!$H$401-I2786-J2785,4))</f>
        <v/>
      </c>
      <c r="K2787" s="69">
        <f>MAX(0,ROUND(K2784+Materiales!$H$401-J2786-K2785,4))</f>
        <v/>
      </c>
      <c r="L2787" s="69">
        <f>MAX(0,ROUND(L2784+Materiales!$H$401-K2786-L2785,4))</f>
        <v/>
      </c>
      <c r="M2787" s="66" t="n"/>
    </row>
    <row r="2788">
      <c r="C2788" s="63" t="inlineStr">
        <is>
          <t>Recepcion de orden planificada</t>
        </is>
      </c>
      <c r="D2788" s="64" t="n"/>
      <c r="E2788" s="65">
        <f>IF(E2787&lt;=0,0,IF(Materiales!$G$401&lt;=0,E2787,ROUNDUP(E2787/Materiales!$G$401,0)*Materiales!$G$401))</f>
        <v/>
      </c>
      <c r="F2788" s="65">
        <f>IF(F2787&lt;=0,0,IF(Materiales!$G$401&lt;=0,F2787,ROUNDUP(F2787/Materiales!$G$401,0)*Materiales!$G$401))</f>
        <v/>
      </c>
      <c r="G2788" s="65">
        <f>IF(G2787&lt;=0,0,IF(Materiales!$G$401&lt;=0,G2787,ROUNDUP(G2787/Materiales!$G$401,0)*Materiales!$G$401))</f>
        <v/>
      </c>
      <c r="H2788" s="65">
        <f>IF(H2787&lt;=0,0,IF(Materiales!$G$401&lt;=0,H2787,ROUNDUP(H2787/Materiales!$G$401,0)*Materiales!$G$401))</f>
        <v/>
      </c>
      <c r="I2788" s="65">
        <f>IF(I2787&lt;=0,0,IF(Materiales!$G$401&lt;=0,I2787,ROUNDUP(I2787/Materiales!$G$401,0)*Materiales!$G$401))</f>
        <v/>
      </c>
      <c r="J2788" s="65">
        <f>IF(J2787&lt;=0,0,IF(Materiales!$G$401&lt;=0,J2787,ROUNDUP(J2787/Materiales!$G$401,0)*Materiales!$G$401))</f>
        <v/>
      </c>
      <c r="K2788" s="65">
        <f>IF(K2787&lt;=0,0,IF(Materiales!$G$401&lt;=0,K2787,ROUNDUP(K2787/Materiales!$G$401,0)*Materiales!$G$401))</f>
        <v/>
      </c>
      <c r="L2788" s="65">
        <f>IF(L2787&lt;=0,0,IF(Materiales!$G$401&lt;=0,L2787,ROUNDUP(L2787/Materiales!$G$401,0)*Materiales!$G$401))</f>
        <v/>
      </c>
      <c r="M2788" s="66" t="n"/>
    </row>
    <row r="2789">
      <c r="C2789" s="70" t="inlineStr">
        <is>
          <t>LANZAMIENTO DE ORDEN — pedir esta semana</t>
        </is>
      </c>
      <c r="D2789" s="64" t="n"/>
      <c r="E2789" s="71">
        <f>IF(1+Materiales!$F$401&gt;8,0,INDEX($E$2788:$L$2788,1,1+Materiales!$F$401))</f>
        <v/>
      </c>
      <c r="F2789" s="71">
        <f>IF(2+Materiales!$F$401&gt;8,0,INDEX($E$2788:$L$2788,1,2+Materiales!$F$401))</f>
        <v/>
      </c>
      <c r="G2789" s="71">
        <f>IF(3+Materiales!$F$401&gt;8,0,INDEX($E$2788:$L$2788,1,3+Materiales!$F$401))</f>
        <v/>
      </c>
      <c r="H2789" s="71">
        <f>IF(4+Materiales!$F$401&gt;8,0,INDEX($E$2788:$L$2788,1,4+Materiales!$F$401))</f>
        <v/>
      </c>
      <c r="I2789" s="71">
        <f>IF(5+Materiales!$F$401&gt;8,0,INDEX($E$2788:$L$2788,1,5+Materiales!$F$401))</f>
        <v/>
      </c>
      <c r="J2789" s="71">
        <f>IF(6+Materiales!$F$401&gt;8,0,INDEX($E$2788:$L$2788,1,6+Materiales!$F$401))</f>
        <v/>
      </c>
      <c r="K2789" s="71">
        <f>IF(7+Materiales!$F$401&gt;8,0,INDEX($E$2788:$L$2788,1,7+Materiales!$F$401))</f>
        <v/>
      </c>
      <c r="L2789" s="71">
        <f>IF(8+Materiales!$F$401&gt;8,0,INDEX($E$2788:$L$2788,1,8+Materiales!$F$401))</f>
        <v/>
      </c>
      <c r="M2789" s="72">
        <f>IF($A2784="","",IF(SUMPRODUCT((COLUMN($E$2788:$L$2788)-4&lt;=Materiales!$F$401)*$E$2788:$L$2788)&gt;0,"PEDIR YA (atrasado)","OK"))</f>
        <v/>
      </c>
    </row>
    <row r="2790" ht="6" customHeight="1"/>
    <row r="2791">
      <c r="A2791" s="62">
        <f>IF(Materiales!$A$402="","",Materiales!$A$402)</f>
        <v/>
      </c>
      <c r="B2791" s="62">
        <f>IF(Materiales!$B$402="","",Materiales!$B$402)</f>
        <v/>
      </c>
      <c r="C2791" s="63" t="inlineStr">
        <is>
          <t>Necesidad bruta</t>
        </is>
      </c>
      <c r="D2791" s="64" t="n"/>
      <c r="E2791" s="65">
        <f>ROUND(SUMIF(Consumo!$P$4:$P$189,"#"&amp;$A2791,Consumo!H$4:H$189),4)</f>
        <v/>
      </c>
      <c r="F2791" s="65">
        <f>ROUND(SUMIF(Consumo!$P$4:$P$189,"#"&amp;$A2791,Consumo!I$4:I$189),4)</f>
        <v/>
      </c>
      <c r="G2791" s="65">
        <f>ROUND(SUMIF(Consumo!$P$4:$P$189,"#"&amp;$A2791,Consumo!J$4:J$189),4)</f>
        <v/>
      </c>
      <c r="H2791" s="65">
        <f>ROUND(SUMIF(Consumo!$P$4:$P$189,"#"&amp;$A2791,Consumo!K$4:K$189),4)</f>
        <v/>
      </c>
      <c r="I2791" s="65">
        <f>ROUND(SUMIF(Consumo!$P$4:$P$189,"#"&amp;$A2791,Consumo!L$4:L$189),4)</f>
        <v/>
      </c>
      <c r="J2791" s="65">
        <f>ROUND(SUMIF(Consumo!$P$4:$P$189,"#"&amp;$A2791,Consumo!M$4:M$189),4)</f>
        <v/>
      </c>
      <c r="K2791" s="65">
        <f>ROUND(SUMIF(Consumo!$P$4:$P$189,"#"&amp;$A2791,Consumo!N$4:N$189),4)</f>
        <v/>
      </c>
      <c r="L2791" s="65">
        <f>ROUND(SUMIF(Consumo!$P$4:$P$189,"#"&amp;$A2791,Consumo!O$4:O$189),4)</f>
        <v/>
      </c>
      <c r="M2791" s="66" t="n"/>
    </row>
    <row r="2792">
      <c r="C2792" s="63" t="inlineStr">
        <is>
          <t>Recepciones programadas (ya pedido)</t>
        </is>
      </c>
      <c r="D2792" s="64" t="n"/>
      <c r="E2792" s="65">
        <f>SUMIF(Inventario!$M$5:$M$505,"#"&amp;$A2791,Inventario!E$5:E$505)</f>
        <v/>
      </c>
      <c r="F2792" s="65">
        <f>SUMIF(Inventario!$M$5:$M$505,"#"&amp;$A2791,Inventario!F$5:F$505)</f>
        <v/>
      </c>
      <c r="G2792" s="65">
        <f>SUMIF(Inventario!$M$5:$M$505,"#"&amp;$A2791,Inventario!G$5:G$505)</f>
        <v/>
      </c>
      <c r="H2792" s="65">
        <f>SUMIF(Inventario!$M$5:$M$505,"#"&amp;$A2791,Inventario!H$5:H$505)</f>
        <v/>
      </c>
      <c r="I2792" s="65">
        <f>SUMIF(Inventario!$M$5:$M$505,"#"&amp;$A2791,Inventario!I$5:I$505)</f>
        <v/>
      </c>
      <c r="J2792" s="65">
        <f>SUMIF(Inventario!$M$5:$M$505,"#"&amp;$A2791,Inventario!J$5:J$505)</f>
        <v/>
      </c>
      <c r="K2792" s="65">
        <f>SUMIF(Inventario!$M$5:$M$505,"#"&amp;$A2791,Inventario!K$5:K$505)</f>
        <v/>
      </c>
      <c r="L2792" s="65">
        <f>SUMIF(Inventario!$M$5:$M$505,"#"&amp;$A2791,Inventario!L$5:L$505)</f>
        <v/>
      </c>
      <c r="M2792" s="66" t="n"/>
    </row>
    <row r="2793">
      <c r="C2793" s="63" t="inlineStr">
        <is>
          <t>Stock proyectado disponible</t>
        </is>
      </c>
      <c r="D2793" s="67">
        <f>SUMIF(Inventario!$M$5:$M$505,"#"&amp;$A2791,Inventario!$C$5:$C$505)</f>
        <v/>
      </c>
      <c r="E2793" s="68">
        <f>D2793+E2792+E2795-E2791</f>
        <v/>
      </c>
      <c r="F2793" s="68">
        <f>E2793+F2792+F2795-F2791</f>
        <v/>
      </c>
      <c r="G2793" s="68">
        <f>F2793+G2792+G2795-G2791</f>
        <v/>
      </c>
      <c r="H2793" s="68">
        <f>G2793+H2792+H2795-H2791</f>
        <v/>
      </c>
      <c r="I2793" s="68">
        <f>H2793+I2792+I2795-I2791</f>
        <v/>
      </c>
      <c r="J2793" s="68">
        <f>I2793+J2792+J2795-J2791</f>
        <v/>
      </c>
      <c r="K2793" s="68">
        <f>J2793+K2792+K2795-K2791</f>
        <v/>
      </c>
      <c r="L2793" s="68">
        <f>K2793+L2792+L2795-L2791</f>
        <v/>
      </c>
      <c r="M2793" s="66" t="n"/>
    </row>
    <row r="2794">
      <c r="C2794" s="63" t="inlineStr">
        <is>
          <t>Necesidad neta</t>
        </is>
      </c>
      <c r="D2794" s="64" t="n"/>
      <c r="E2794" s="69">
        <f>MAX(0,ROUND(E2791+Materiales!$H$402-D2793-E2792,4))</f>
        <v/>
      </c>
      <c r="F2794" s="69">
        <f>MAX(0,ROUND(F2791+Materiales!$H$402-E2793-F2792,4))</f>
        <v/>
      </c>
      <c r="G2794" s="69">
        <f>MAX(0,ROUND(G2791+Materiales!$H$402-F2793-G2792,4))</f>
        <v/>
      </c>
      <c r="H2794" s="69">
        <f>MAX(0,ROUND(H2791+Materiales!$H$402-G2793-H2792,4))</f>
        <v/>
      </c>
      <c r="I2794" s="69">
        <f>MAX(0,ROUND(I2791+Materiales!$H$402-H2793-I2792,4))</f>
        <v/>
      </c>
      <c r="J2794" s="69">
        <f>MAX(0,ROUND(J2791+Materiales!$H$402-I2793-J2792,4))</f>
        <v/>
      </c>
      <c r="K2794" s="69">
        <f>MAX(0,ROUND(K2791+Materiales!$H$402-J2793-K2792,4))</f>
        <v/>
      </c>
      <c r="L2794" s="69">
        <f>MAX(0,ROUND(L2791+Materiales!$H$402-K2793-L2792,4))</f>
        <v/>
      </c>
      <c r="M2794" s="66" t="n"/>
    </row>
    <row r="2795">
      <c r="C2795" s="63" t="inlineStr">
        <is>
          <t>Recepcion de orden planificada</t>
        </is>
      </c>
      <c r="D2795" s="64" t="n"/>
      <c r="E2795" s="65">
        <f>IF(E2794&lt;=0,0,IF(Materiales!$G$402&lt;=0,E2794,ROUNDUP(E2794/Materiales!$G$402,0)*Materiales!$G$402))</f>
        <v/>
      </c>
      <c r="F2795" s="65">
        <f>IF(F2794&lt;=0,0,IF(Materiales!$G$402&lt;=0,F2794,ROUNDUP(F2794/Materiales!$G$402,0)*Materiales!$G$402))</f>
        <v/>
      </c>
      <c r="G2795" s="65">
        <f>IF(G2794&lt;=0,0,IF(Materiales!$G$402&lt;=0,G2794,ROUNDUP(G2794/Materiales!$G$402,0)*Materiales!$G$402))</f>
        <v/>
      </c>
      <c r="H2795" s="65">
        <f>IF(H2794&lt;=0,0,IF(Materiales!$G$402&lt;=0,H2794,ROUNDUP(H2794/Materiales!$G$402,0)*Materiales!$G$402))</f>
        <v/>
      </c>
      <c r="I2795" s="65">
        <f>IF(I2794&lt;=0,0,IF(Materiales!$G$402&lt;=0,I2794,ROUNDUP(I2794/Materiales!$G$402,0)*Materiales!$G$402))</f>
        <v/>
      </c>
      <c r="J2795" s="65">
        <f>IF(J2794&lt;=0,0,IF(Materiales!$G$402&lt;=0,J2794,ROUNDUP(J2794/Materiales!$G$402,0)*Materiales!$G$402))</f>
        <v/>
      </c>
      <c r="K2795" s="65">
        <f>IF(K2794&lt;=0,0,IF(Materiales!$G$402&lt;=0,K2794,ROUNDUP(K2794/Materiales!$G$402,0)*Materiales!$G$402))</f>
        <v/>
      </c>
      <c r="L2795" s="65">
        <f>IF(L2794&lt;=0,0,IF(Materiales!$G$402&lt;=0,L2794,ROUNDUP(L2794/Materiales!$G$402,0)*Materiales!$G$402))</f>
        <v/>
      </c>
      <c r="M2795" s="66" t="n"/>
    </row>
    <row r="2796">
      <c r="C2796" s="70" t="inlineStr">
        <is>
          <t>LANZAMIENTO DE ORDEN — pedir esta semana</t>
        </is>
      </c>
      <c r="D2796" s="64" t="n"/>
      <c r="E2796" s="71">
        <f>IF(1+Materiales!$F$402&gt;8,0,INDEX($E$2795:$L$2795,1,1+Materiales!$F$402))</f>
        <v/>
      </c>
      <c r="F2796" s="71">
        <f>IF(2+Materiales!$F$402&gt;8,0,INDEX($E$2795:$L$2795,1,2+Materiales!$F$402))</f>
        <v/>
      </c>
      <c r="G2796" s="71">
        <f>IF(3+Materiales!$F$402&gt;8,0,INDEX($E$2795:$L$2795,1,3+Materiales!$F$402))</f>
        <v/>
      </c>
      <c r="H2796" s="71">
        <f>IF(4+Materiales!$F$402&gt;8,0,INDEX($E$2795:$L$2795,1,4+Materiales!$F$402))</f>
        <v/>
      </c>
      <c r="I2796" s="71">
        <f>IF(5+Materiales!$F$402&gt;8,0,INDEX($E$2795:$L$2795,1,5+Materiales!$F$402))</f>
        <v/>
      </c>
      <c r="J2796" s="71">
        <f>IF(6+Materiales!$F$402&gt;8,0,INDEX($E$2795:$L$2795,1,6+Materiales!$F$402))</f>
        <v/>
      </c>
      <c r="K2796" s="71">
        <f>IF(7+Materiales!$F$402&gt;8,0,INDEX($E$2795:$L$2795,1,7+Materiales!$F$402))</f>
        <v/>
      </c>
      <c r="L2796" s="71">
        <f>IF(8+Materiales!$F$402&gt;8,0,INDEX($E$2795:$L$2795,1,8+Materiales!$F$402))</f>
        <v/>
      </c>
      <c r="M2796" s="72">
        <f>IF($A2791="","",IF(SUMPRODUCT((COLUMN($E$2795:$L$2795)-4&lt;=Materiales!$F$402)*$E$2795:$L$2795)&gt;0,"PEDIR YA (atrasado)","OK"))</f>
        <v/>
      </c>
    </row>
    <row r="2797" ht="6" customHeight="1"/>
    <row r="2798">
      <c r="A2798" s="62">
        <f>IF(Materiales!$A$403="","",Materiales!$A$403)</f>
        <v/>
      </c>
      <c r="B2798" s="62">
        <f>IF(Materiales!$B$403="","",Materiales!$B$403)</f>
        <v/>
      </c>
      <c r="C2798" s="63" t="inlineStr">
        <is>
          <t>Necesidad bruta</t>
        </is>
      </c>
      <c r="D2798" s="64" t="n"/>
      <c r="E2798" s="65">
        <f>ROUND(SUMIF(Consumo!$P$4:$P$189,"#"&amp;$A2798,Consumo!H$4:H$189),4)</f>
        <v/>
      </c>
      <c r="F2798" s="65">
        <f>ROUND(SUMIF(Consumo!$P$4:$P$189,"#"&amp;$A2798,Consumo!I$4:I$189),4)</f>
        <v/>
      </c>
      <c r="G2798" s="65">
        <f>ROUND(SUMIF(Consumo!$P$4:$P$189,"#"&amp;$A2798,Consumo!J$4:J$189),4)</f>
        <v/>
      </c>
      <c r="H2798" s="65">
        <f>ROUND(SUMIF(Consumo!$P$4:$P$189,"#"&amp;$A2798,Consumo!K$4:K$189),4)</f>
        <v/>
      </c>
      <c r="I2798" s="65">
        <f>ROUND(SUMIF(Consumo!$P$4:$P$189,"#"&amp;$A2798,Consumo!L$4:L$189),4)</f>
        <v/>
      </c>
      <c r="J2798" s="65">
        <f>ROUND(SUMIF(Consumo!$P$4:$P$189,"#"&amp;$A2798,Consumo!M$4:M$189),4)</f>
        <v/>
      </c>
      <c r="K2798" s="65">
        <f>ROUND(SUMIF(Consumo!$P$4:$P$189,"#"&amp;$A2798,Consumo!N$4:N$189),4)</f>
        <v/>
      </c>
      <c r="L2798" s="65">
        <f>ROUND(SUMIF(Consumo!$P$4:$P$189,"#"&amp;$A2798,Consumo!O$4:O$189),4)</f>
        <v/>
      </c>
      <c r="M2798" s="66" t="n"/>
    </row>
    <row r="2799">
      <c r="C2799" s="63" t="inlineStr">
        <is>
          <t>Recepciones programadas (ya pedido)</t>
        </is>
      </c>
      <c r="D2799" s="64" t="n"/>
      <c r="E2799" s="65">
        <f>SUMIF(Inventario!$M$5:$M$505,"#"&amp;$A2798,Inventario!E$5:E$505)</f>
        <v/>
      </c>
      <c r="F2799" s="65">
        <f>SUMIF(Inventario!$M$5:$M$505,"#"&amp;$A2798,Inventario!F$5:F$505)</f>
        <v/>
      </c>
      <c r="G2799" s="65">
        <f>SUMIF(Inventario!$M$5:$M$505,"#"&amp;$A2798,Inventario!G$5:G$505)</f>
        <v/>
      </c>
      <c r="H2799" s="65">
        <f>SUMIF(Inventario!$M$5:$M$505,"#"&amp;$A2798,Inventario!H$5:H$505)</f>
        <v/>
      </c>
      <c r="I2799" s="65">
        <f>SUMIF(Inventario!$M$5:$M$505,"#"&amp;$A2798,Inventario!I$5:I$505)</f>
        <v/>
      </c>
      <c r="J2799" s="65">
        <f>SUMIF(Inventario!$M$5:$M$505,"#"&amp;$A2798,Inventario!J$5:J$505)</f>
        <v/>
      </c>
      <c r="K2799" s="65">
        <f>SUMIF(Inventario!$M$5:$M$505,"#"&amp;$A2798,Inventario!K$5:K$505)</f>
        <v/>
      </c>
      <c r="L2799" s="65">
        <f>SUMIF(Inventario!$M$5:$M$505,"#"&amp;$A2798,Inventario!L$5:L$505)</f>
        <v/>
      </c>
      <c r="M2799" s="66" t="n"/>
    </row>
    <row r="2800">
      <c r="C2800" s="63" t="inlineStr">
        <is>
          <t>Stock proyectado disponible</t>
        </is>
      </c>
      <c r="D2800" s="67">
        <f>SUMIF(Inventario!$M$5:$M$505,"#"&amp;$A2798,Inventario!$C$5:$C$505)</f>
        <v/>
      </c>
      <c r="E2800" s="68">
        <f>D2800+E2799+E2802-E2798</f>
        <v/>
      </c>
      <c r="F2800" s="68">
        <f>E2800+F2799+F2802-F2798</f>
        <v/>
      </c>
      <c r="G2800" s="68">
        <f>F2800+G2799+G2802-G2798</f>
        <v/>
      </c>
      <c r="H2800" s="68">
        <f>G2800+H2799+H2802-H2798</f>
        <v/>
      </c>
      <c r="I2800" s="68">
        <f>H2800+I2799+I2802-I2798</f>
        <v/>
      </c>
      <c r="J2800" s="68">
        <f>I2800+J2799+J2802-J2798</f>
        <v/>
      </c>
      <c r="K2800" s="68">
        <f>J2800+K2799+K2802-K2798</f>
        <v/>
      </c>
      <c r="L2800" s="68">
        <f>K2800+L2799+L2802-L2798</f>
        <v/>
      </c>
      <c r="M2800" s="66" t="n"/>
    </row>
    <row r="2801">
      <c r="C2801" s="63" t="inlineStr">
        <is>
          <t>Necesidad neta</t>
        </is>
      </c>
      <c r="D2801" s="64" t="n"/>
      <c r="E2801" s="69">
        <f>MAX(0,ROUND(E2798+Materiales!$H$403-D2800-E2799,4))</f>
        <v/>
      </c>
      <c r="F2801" s="69">
        <f>MAX(0,ROUND(F2798+Materiales!$H$403-E2800-F2799,4))</f>
        <v/>
      </c>
      <c r="G2801" s="69">
        <f>MAX(0,ROUND(G2798+Materiales!$H$403-F2800-G2799,4))</f>
        <v/>
      </c>
      <c r="H2801" s="69">
        <f>MAX(0,ROUND(H2798+Materiales!$H$403-G2800-H2799,4))</f>
        <v/>
      </c>
      <c r="I2801" s="69">
        <f>MAX(0,ROUND(I2798+Materiales!$H$403-H2800-I2799,4))</f>
        <v/>
      </c>
      <c r="J2801" s="69">
        <f>MAX(0,ROUND(J2798+Materiales!$H$403-I2800-J2799,4))</f>
        <v/>
      </c>
      <c r="K2801" s="69">
        <f>MAX(0,ROUND(K2798+Materiales!$H$403-J2800-K2799,4))</f>
        <v/>
      </c>
      <c r="L2801" s="69">
        <f>MAX(0,ROUND(L2798+Materiales!$H$403-K2800-L2799,4))</f>
        <v/>
      </c>
      <c r="M2801" s="66" t="n"/>
    </row>
    <row r="2802">
      <c r="C2802" s="63" t="inlineStr">
        <is>
          <t>Recepcion de orden planificada</t>
        </is>
      </c>
      <c r="D2802" s="64" t="n"/>
      <c r="E2802" s="65">
        <f>IF(E2801&lt;=0,0,IF(Materiales!$G$403&lt;=0,E2801,ROUNDUP(E2801/Materiales!$G$403,0)*Materiales!$G$403))</f>
        <v/>
      </c>
      <c r="F2802" s="65">
        <f>IF(F2801&lt;=0,0,IF(Materiales!$G$403&lt;=0,F2801,ROUNDUP(F2801/Materiales!$G$403,0)*Materiales!$G$403))</f>
        <v/>
      </c>
      <c r="G2802" s="65">
        <f>IF(G2801&lt;=0,0,IF(Materiales!$G$403&lt;=0,G2801,ROUNDUP(G2801/Materiales!$G$403,0)*Materiales!$G$403))</f>
        <v/>
      </c>
      <c r="H2802" s="65">
        <f>IF(H2801&lt;=0,0,IF(Materiales!$G$403&lt;=0,H2801,ROUNDUP(H2801/Materiales!$G$403,0)*Materiales!$G$403))</f>
        <v/>
      </c>
      <c r="I2802" s="65">
        <f>IF(I2801&lt;=0,0,IF(Materiales!$G$403&lt;=0,I2801,ROUNDUP(I2801/Materiales!$G$403,0)*Materiales!$G$403))</f>
        <v/>
      </c>
      <c r="J2802" s="65">
        <f>IF(J2801&lt;=0,0,IF(Materiales!$G$403&lt;=0,J2801,ROUNDUP(J2801/Materiales!$G$403,0)*Materiales!$G$403))</f>
        <v/>
      </c>
      <c r="K2802" s="65">
        <f>IF(K2801&lt;=0,0,IF(Materiales!$G$403&lt;=0,K2801,ROUNDUP(K2801/Materiales!$G$403,0)*Materiales!$G$403))</f>
        <v/>
      </c>
      <c r="L2802" s="65">
        <f>IF(L2801&lt;=0,0,IF(Materiales!$G$403&lt;=0,L2801,ROUNDUP(L2801/Materiales!$G$403,0)*Materiales!$G$403))</f>
        <v/>
      </c>
      <c r="M2802" s="66" t="n"/>
    </row>
    <row r="2803">
      <c r="C2803" s="70" t="inlineStr">
        <is>
          <t>LANZAMIENTO DE ORDEN — pedir esta semana</t>
        </is>
      </c>
      <c r="D2803" s="64" t="n"/>
      <c r="E2803" s="71">
        <f>IF(1+Materiales!$F$403&gt;8,0,INDEX($E$2802:$L$2802,1,1+Materiales!$F$403))</f>
        <v/>
      </c>
      <c r="F2803" s="71">
        <f>IF(2+Materiales!$F$403&gt;8,0,INDEX($E$2802:$L$2802,1,2+Materiales!$F$403))</f>
        <v/>
      </c>
      <c r="G2803" s="71">
        <f>IF(3+Materiales!$F$403&gt;8,0,INDEX($E$2802:$L$2802,1,3+Materiales!$F$403))</f>
        <v/>
      </c>
      <c r="H2803" s="71">
        <f>IF(4+Materiales!$F$403&gt;8,0,INDEX($E$2802:$L$2802,1,4+Materiales!$F$403))</f>
        <v/>
      </c>
      <c r="I2803" s="71">
        <f>IF(5+Materiales!$F$403&gt;8,0,INDEX($E$2802:$L$2802,1,5+Materiales!$F$403))</f>
        <v/>
      </c>
      <c r="J2803" s="71">
        <f>IF(6+Materiales!$F$403&gt;8,0,INDEX($E$2802:$L$2802,1,6+Materiales!$F$403))</f>
        <v/>
      </c>
      <c r="K2803" s="71">
        <f>IF(7+Materiales!$F$403&gt;8,0,INDEX($E$2802:$L$2802,1,7+Materiales!$F$403))</f>
        <v/>
      </c>
      <c r="L2803" s="71">
        <f>IF(8+Materiales!$F$403&gt;8,0,INDEX($E$2802:$L$2802,1,8+Materiales!$F$403))</f>
        <v/>
      </c>
      <c r="M2803" s="72">
        <f>IF($A2798="","",IF(SUMPRODUCT((COLUMN($E$2802:$L$2802)-4&lt;=Materiales!$F$403)*$E$2802:$L$2802)&gt;0,"PEDIR YA (atrasado)","OK"))</f>
        <v/>
      </c>
    </row>
    <row r="2804" ht="6" customHeight="1"/>
    <row r="2805">
      <c r="A2805" s="62">
        <f>IF(Materiales!$A$404="","",Materiales!$A$404)</f>
        <v/>
      </c>
      <c r="B2805" s="62">
        <f>IF(Materiales!$B$404="","",Materiales!$B$404)</f>
        <v/>
      </c>
      <c r="C2805" s="63" t="inlineStr">
        <is>
          <t>Necesidad bruta</t>
        </is>
      </c>
      <c r="D2805" s="64" t="n"/>
      <c r="E2805" s="65">
        <f>ROUND(SUMIF(Consumo!$P$4:$P$189,"#"&amp;$A2805,Consumo!H$4:H$189),4)</f>
        <v/>
      </c>
      <c r="F2805" s="65">
        <f>ROUND(SUMIF(Consumo!$P$4:$P$189,"#"&amp;$A2805,Consumo!I$4:I$189),4)</f>
        <v/>
      </c>
      <c r="G2805" s="65">
        <f>ROUND(SUMIF(Consumo!$P$4:$P$189,"#"&amp;$A2805,Consumo!J$4:J$189),4)</f>
        <v/>
      </c>
      <c r="H2805" s="65">
        <f>ROUND(SUMIF(Consumo!$P$4:$P$189,"#"&amp;$A2805,Consumo!K$4:K$189),4)</f>
        <v/>
      </c>
      <c r="I2805" s="65">
        <f>ROUND(SUMIF(Consumo!$P$4:$P$189,"#"&amp;$A2805,Consumo!L$4:L$189),4)</f>
        <v/>
      </c>
      <c r="J2805" s="65">
        <f>ROUND(SUMIF(Consumo!$P$4:$P$189,"#"&amp;$A2805,Consumo!M$4:M$189),4)</f>
        <v/>
      </c>
      <c r="K2805" s="65">
        <f>ROUND(SUMIF(Consumo!$P$4:$P$189,"#"&amp;$A2805,Consumo!N$4:N$189),4)</f>
        <v/>
      </c>
      <c r="L2805" s="65">
        <f>ROUND(SUMIF(Consumo!$P$4:$P$189,"#"&amp;$A2805,Consumo!O$4:O$189),4)</f>
        <v/>
      </c>
      <c r="M2805" s="66" t="n"/>
    </row>
    <row r="2806">
      <c r="C2806" s="63" t="inlineStr">
        <is>
          <t>Recepciones programadas (ya pedido)</t>
        </is>
      </c>
      <c r="D2806" s="64" t="n"/>
      <c r="E2806" s="65">
        <f>SUMIF(Inventario!$M$5:$M$505,"#"&amp;$A2805,Inventario!E$5:E$505)</f>
        <v/>
      </c>
      <c r="F2806" s="65">
        <f>SUMIF(Inventario!$M$5:$M$505,"#"&amp;$A2805,Inventario!F$5:F$505)</f>
        <v/>
      </c>
      <c r="G2806" s="65">
        <f>SUMIF(Inventario!$M$5:$M$505,"#"&amp;$A2805,Inventario!G$5:G$505)</f>
        <v/>
      </c>
      <c r="H2806" s="65">
        <f>SUMIF(Inventario!$M$5:$M$505,"#"&amp;$A2805,Inventario!H$5:H$505)</f>
        <v/>
      </c>
      <c r="I2806" s="65">
        <f>SUMIF(Inventario!$M$5:$M$505,"#"&amp;$A2805,Inventario!I$5:I$505)</f>
        <v/>
      </c>
      <c r="J2806" s="65">
        <f>SUMIF(Inventario!$M$5:$M$505,"#"&amp;$A2805,Inventario!J$5:J$505)</f>
        <v/>
      </c>
      <c r="K2806" s="65">
        <f>SUMIF(Inventario!$M$5:$M$505,"#"&amp;$A2805,Inventario!K$5:K$505)</f>
        <v/>
      </c>
      <c r="L2806" s="65">
        <f>SUMIF(Inventario!$M$5:$M$505,"#"&amp;$A2805,Inventario!L$5:L$505)</f>
        <v/>
      </c>
      <c r="M2806" s="66" t="n"/>
    </row>
    <row r="2807">
      <c r="C2807" s="63" t="inlineStr">
        <is>
          <t>Stock proyectado disponible</t>
        </is>
      </c>
      <c r="D2807" s="67">
        <f>SUMIF(Inventario!$M$5:$M$505,"#"&amp;$A2805,Inventario!$C$5:$C$505)</f>
        <v/>
      </c>
      <c r="E2807" s="68">
        <f>D2807+E2806+E2809-E2805</f>
        <v/>
      </c>
      <c r="F2807" s="68">
        <f>E2807+F2806+F2809-F2805</f>
        <v/>
      </c>
      <c r="G2807" s="68">
        <f>F2807+G2806+G2809-G2805</f>
        <v/>
      </c>
      <c r="H2807" s="68">
        <f>G2807+H2806+H2809-H2805</f>
        <v/>
      </c>
      <c r="I2807" s="68">
        <f>H2807+I2806+I2809-I2805</f>
        <v/>
      </c>
      <c r="J2807" s="68">
        <f>I2807+J2806+J2809-J2805</f>
        <v/>
      </c>
      <c r="K2807" s="68">
        <f>J2807+K2806+K2809-K2805</f>
        <v/>
      </c>
      <c r="L2807" s="68">
        <f>K2807+L2806+L2809-L2805</f>
        <v/>
      </c>
      <c r="M2807" s="66" t="n"/>
    </row>
    <row r="2808">
      <c r="C2808" s="63" t="inlineStr">
        <is>
          <t>Necesidad neta</t>
        </is>
      </c>
      <c r="D2808" s="64" t="n"/>
      <c r="E2808" s="69">
        <f>MAX(0,ROUND(E2805+Materiales!$H$404-D2807-E2806,4))</f>
        <v/>
      </c>
      <c r="F2808" s="69">
        <f>MAX(0,ROUND(F2805+Materiales!$H$404-E2807-F2806,4))</f>
        <v/>
      </c>
      <c r="G2808" s="69">
        <f>MAX(0,ROUND(G2805+Materiales!$H$404-F2807-G2806,4))</f>
        <v/>
      </c>
      <c r="H2808" s="69">
        <f>MAX(0,ROUND(H2805+Materiales!$H$404-G2807-H2806,4))</f>
        <v/>
      </c>
      <c r="I2808" s="69">
        <f>MAX(0,ROUND(I2805+Materiales!$H$404-H2807-I2806,4))</f>
        <v/>
      </c>
      <c r="J2808" s="69">
        <f>MAX(0,ROUND(J2805+Materiales!$H$404-I2807-J2806,4))</f>
        <v/>
      </c>
      <c r="K2808" s="69">
        <f>MAX(0,ROUND(K2805+Materiales!$H$404-J2807-K2806,4))</f>
        <v/>
      </c>
      <c r="L2808" s="69">
        <f>MAX(0,ROUND(L2805+Materiales!$H$404-K2807-L2806,4))</f>
        <v/>
      </c>
      <c r="M2808" s="66" t="n"/>
    </row>
    <row r="2809">
      <c r="C2809" s="63" t="inlineStr">
        <is>
          <t>Recepcion de orden planificada</t>
        </is>
      </c>
      <c r="D2809" s="64" t="n"/>
      <c r="E2809" s="65">
        <f>IF(E2808&lt;=0,0,IF(Materiales!$G$404&lt;=0,E2808,ROUNDUP(E2808/Materiales!$G$404,0)*Materiales!$G$404))</f>
        <v/>
      </c>
      <c r="F2809" s="65">
        <f>IF(F2808&lt;=0,0,IF(Materiales!$G$404&lt;=0,F2808,ROUNDUP(F2808/Materiales!$G$404,0)*Materiales!$G$404))</f>
        <v/>
      </c>
      <c r="G2809" s="65">
        <f>IF(G2808&lt;=0,0,IF(Materiales!$G$404&lt;=0,G2808,ROUNDUP(G2808/Materiales!$G$404,0)*Materiales!$G$404))</f>
        <v/>
      </c>
      <c r="H2809" s="65">
        <f>IF(H2808&lt;=0,0,IF(Materiales!$G$404&lt;=0,H2808,ROUNDUP(H2808/Materiales!$G$404,0)*Materiales!$G$404))</f>
        <v/>
      </c>
      <c r="I2809" s="65">
        <f>IF(I2808&lt;=0,0,IF(Materiales!$G$404&lt;=0,I2808,ROUNDUP(I2808/Materiales!$G$404,0)*Materiales!$G$404))</f>
        <v/>
      </c>
      <c r="J2809" s="65">
        <f>IF(J2808&lt;=0,0,IF(Materiales!$G$404&lt;=0,J2808,ROUNDUP(J2808/Materiales!$G$404,0)*Materiales!$G$404))</f>
        <v/>
      </c>
      <c r="K2809" s="65">
        <f>IF(K2808&lt;=0,0,IF(Materiales!$G$404&lt;=0,K2808,ROUNDUP(K2808/Materiales!$G$404,0)*Materiales!$G$404))</f>
        <v/>
      </c>
      <c r="L2809" s="65">
        <f>IF(L2808&lt;=0,0,IF(Materiales!$G$404&lt;=0,L2808,ROUNDUP(L2808/Materiales!$G$404,0)*Materiales!$G$404))</f>
        <v/>
      </c>
      <c r="M2809" s="66" t="n"/>
    </row>
    <row r="2810">
      <c r="C2810" s="70" t="inlineStr">
        <is>
          <t>LANZAMIENTO DE ORDEN — pedir esta semana</t>
        </is>
      </c>
      <c r="D2810" s="64" t="n"/>
      <c r="E2810" s="71">
        <f>IF(1+Materiales!$F$404&gt;8,0,INDEX($E$2809:$L$2809,1,1+Materiales!$F$404))</f>
        <v/>
      </c>
      <c r="F2810" s="71">
        <f>IF(2+Materiales!$F$404&gt;8,0,INDEX($E$2809:$L$2809,1,2+Materiales!$F$404))</f>
        <v/>
      </c>
      <c r="G2810" s="71">
        <f>IF(3+Materiales!$F$404&gt;8,0,INDEX($E$2809:$L$2809,1,3+Materiales!$F$404))</f>
        <v/>
      </c>
      <c r="H2810" s="71">
        <f>IF(4+Materiales!$F$404&gt;8,0,INDEX($E$2809:$L$2809,1,4+Materiales!$F$404))</f>
        <v/>
      </c>
      <c r="I2810" s="71">
        <f>IF(5+Materiales!$F$404&gt;8,0,INDEX($E$2809:$L$2809,1,5+Materiales!$F$404))</f>
        <v/>
      </c>
      <c r="J2810" s="71">
        <f>IF(6+Materiales!$F$404&gt;8,0,INDEX($E$2809:$L$2809,1,6+Materiales!$F$404))</f>
        <v/>
      </c>
      <c r="K2810" s="71">
        <f>IF(7+Materiales!$F$404&gt;8,0,INDEX($E$2809:$L$2809,1,7+Materiales!$F$404))</f>
        <v/>
      </c>
      <c r="L2810" s="71">
        <f>IF(8+Materiales!$F$404&gt;8,0,INDEX($E$2809:$L$2809,1,8+Materiales!$F$404))</f>
        <v/>
      </c>
      <c r="M2810" s="72">
        <f>IF($A2805="","",IF(SUMPRODUCT((COLUMN($E$2809:$L$2809)-4&lt;=Materiales!$F$404)*$E$2809:$L$2809)&gt;0,"PEDIR YA (atrasado)","OK"))</f>
        <v/>
      </c>
    </row>
    <row r="2811" ht="6" customHeight="1"/>
    <row r="2812">
      <c r="A2812" s="62">
        <f>IF(Materiales!$A$405="","",Materiales!$A$405)</f>
        <v/>
      </c>
      <c r="B2812" s="62">
        <f>IF(Materiales!$B$405="","",Materiales!$B$405)</f>
        <v/>
      </c>
      <c r="C2812" s="63" t="inlineStr">
        <is>
          <t>Necesidad bruta</t>
        </is>
      </c>
      <c r="D2812" s="64" t="n"/>
      <c r="E2812" s="65">
        <f>ROUND(SUMIF(Consumo!$P$4:$P$189,"#"&amp;$A2812,Consumo!H$4:H$189),4)</f>
        <v/>
      </c>
      <c r="F2812" s="65">
        <f>ROUND(SUMIF(Consumo!$P$4:$P$189,"#"&amp;$A2812,Consumo!I$4:I$189),4)</f>
        <v/>
      </c>
      <c r="G2812" s="65">
        <f>ROUND(SUMIF(Consumo!$P$4:$P$189,"#"&amp;$A2812,Consumo!J$4:J$189),4)</f>
        <v/>
      </c>
      <c r="H2812" s="65">
        <f>ROUND(SUMIF(Consumo!$P$4:$P$189,"#"&amp;$A2812,Consumo!K$4:K$189),4)</f>
        <v/>
      </c>
      <c r="I2812" s="65">
        <f>ROUND(SUMIF(Consumo!$P$4:$P$189,"#"&amp;$A2812,Consumo!L$4:L$189),4)</f>
        <v/>
      </c>
      <c r="J2812" s="65">
        <f>ROUND(SUMIF(Consumo!$P$4:$P$189,"#"&amp;$A2812,Consumo!M$4:M$189),4)</f>
        <v/>
      </c>
      <c r="K2812" s="65">
        <f>ROUND(SUMIF(Consumo!$P$4:$P$189,"#"&amp;$A2812,Consumo!N$4:N$189),4)</f>
        <v/>
      </c>
      <c r="L2812" s="65">
        <f>ROUND(SUMIF(Consumo!$P$4:$P$189,"#"&amp;$A2812,Consumo!O$4:O$189),4)</f>
        <v/>
      </c>
      <c r="M2812" s="66" t="n"/>
    </row>
    <row r="2813">
      <c r="C2813" s="63" t="inlineStr">
        <is>
          <t>Recepciones programadas (ya pedido)</t>
        </is>
      </c>
      <c r="D2813" s="64" t="n"/>
      <c r="E2813" s="65">
        <f>SUMIF(Inventario!$M$5:$M$505,"#"&amp;$A2812,Inventario!E$5:E$505)</f>
        <v/>
      </c>
      <c r="F2813" s="65">
        <f>SUMIF(Inventario!$M$5:$M$505,"#"&amp;$A2812,Inventario!F$5:F$505)</f>
        <v/>
      </c>
      <c r="G2813" s="65">
        <f>SUMIF(Inventario!$M$5:$M$505,"#"&amp;$A2812,Inventario!G$5:G$505)</f>
        <v/>
      </c>
      <c r="H2813" s="65">
        <f>SUMIF(Inventario!$M$5:$M$505,"#"&amp;$A2812,Inventario!H$5:H$505)</f>
        <v/>
      </c>
      <c r="I2813" s="65">
        <f>SUMIF(Inventario!$M$5:$M$505,"#"&amp;$A2812,Inventario!I$5:I$505)</f>
        <v/>
      </c>
      <c r="J2813" s="65">
        <f>SUMIF(Inventario!$M$5:$M$505,"#"&amp;$A2812,Inventario!J$5:J$505)</f>
        <v/>
      </c>
      <c r="K2813" s="65">
        <f>SUMIF(Inventario!$M$5:$M$505,"#"&amp;$A2812,Inventario!K$5:K$505)</f>
        <v/>
      </c>
      <c r="L2813" s="65">
        <f>SUMIF(Inventario!$M$5:$M$505,"#"&amp;$A2812,Inventario!L$5:L$505)</f>
        <v/>
      </c>
      <c r="M2813" s="66" t="n"/>
    </row>
    <row r="2814">
      <c r="C2814" s="63" t="inlineStr">
        <is>
          <t>Stock proyectado disponible</t>
        </is>
      </c>
      <c r="D2814" s="67">
        <f>SUMIF(Inventario!$M$5:$M$505,"#"&amp;$A2812,Inventario!$C$5:$C$505)</f>
        <v/>
      </c>
      <c r="E2814" s="68">
        <f>D2814+E2813+E2816-E2812</f>
        <v/>
      </c>
      <c r="F2814" s="68">
        <f>E2814+F2813+F2816-F2812</f>
        <v/>
      </c>
      <c r="G2814" s="68">
        <f>F2814+G2813+G2816-G2812</f>
        <v/>
      </c>
      <c r="H2814" s="68">
        <f>G2814+H2813+H2816-H2812</f>
        <v/>
      </c>
      <c r="I2814" s="68">
        <f>H2814+I2813+I2816-I2812</f>
        <v/>
      </c>
      <c r="J2814" s="68">
        <f>I2814+J2813+J2816-J2812</f>
        <v/>
      </c>
      <c r="K2814" s="68">
        <f>J2814+K2813+K2816-K2812</f>
        <v/>
      </c>
      <c r="L2814" s="68">
        <f>K2814+L2813+L2816-L2812</f>
        <v/>
      </c>
      <c r="M2814" s="66" t="n"/>
    </row>
    <row r="2815">
      <c r="C2815" s="63" t="inlineStr">
        <is>
          <t>Necesidad neta</t>
        </is>
      </c>
      <c r="D2815" s="64" t="n"/>
      <c r="E2815" s="69">
        <f>MAX(0,ROUND(E2812+Materiales!$H$405-D2814-E2813,4))</f>
        <v/>
      </c>
      <c r="F2815" s="69">
        <f>MAX(0,ROUND(F2812+Materiales!$H$405-E2814-F2813,4))</f>
        <v/>
      </c>
      <c r="G2815" s="69">
        <f>MAX(0,ROUND(G2812+Materiales!$H$405-F2814-G2813,4))</f>
        <v/>
      </c>
      <c r="H2815" s="69">
        <f>MAX(0,ROUND(H2812+Materiales!$H$405-G2814-H2813,4))</f>
        <v/>
      </c>
      <c r="I2815" s="69">
        <f>MAX(0,ROUND(I2812+Materiales!$H$405-H2814-I2813,4))</f>
        <v/>
      </c>
      <c r="J2815" s="69">
        <f>MAX(0,ROUND(J2812+Materiales!$H$405-I2814-J2813,4))</f>
        <v/>
      </c>
      <c r="K2815" s="69">
        <f>MAX(0,ROUND(K2812+Materiales!$H$405-J2814-K2813,4))</f>
        <v/>
      </c>
      <c r="L2815" s="69">
        <f>MAX(0,ROUND(L2812+Materiales!$H$405-K2814-L2813,4))</f>
        <v/>
      </c>
      <c r="M2815" s="66" t="n"/>
    </row>
    <row r="2816">
      <c r="C2816" s="63" t="inlineStr">
        <is>
          <t>Recepcion de orden planificada</t>
        </is>
      </c>
      <c r="D2816" s="64" t="n"/>
      <c r="E2816" s="65">
        <f>IF(E2815&lt;=0,0,IF(Materiales!$G$405&lt;=0,E2815,ROUNDUP(E2815/Materiales!$G$405,0)*Materiales!$G$405))</f>
        <v/>
      </c>
      <c r="F2816" s="65">
        <f>IF(F2815&lt;=0,0,IF(Materiales!$G$405&lt;=0,F2815,ROUNDUP(F2815/Materiales!$G$405,0)*Materiales!$G$405))</f>
        <v/>
      </c>
      <c r="G2816" s="65">
        <f>IF(G2815&lt;=0,0,IF(Materiales!$G$405&lt;=0,G2815,ROUNDUP(G2815/Materiales!$G$405,0)*Materiales!$G$405))</f>
        <v/>
      </c>
      <c r="H2816" s="65">
        <f>IF(H2815&lt;=0,0,IF(Materiales!$G$405&lt;=0,H2815,ROUNDUP(H2815/Materiales!$G$405,0)*Materiales!$G$405))</f>
        <v/>
      </c>
      <c r="I2816" s="65">
        <f>IF(I2815&lt;=0,0,IF(Materiales!$G$405&lt;=0,I2815,ROUNDUP(I2815/Materiales!$G$405,0)*Materiales!$G$405))</f>
        <v/>
      </c>
      <c r="J2816" s="65">
        <f>IF(J2815&lt;=0,0,IF(Materiales!$G$405&lt;=0,J2815,ROUNDUP(J2815/Materiales!$G$405,0)*Materiales!$G$405))</f>
        <v/>
      </c>
      <c r="K2816" s="65">
        <f>IF(K2815&lt;=0,0,IF(Materiales!$G$405&lt;=0,K2815,ROUNDUP(K2815/Materiales!$G$405,0)*Materiales!$G$405))</f>
        <v/>
      </c>
      <c r="L2816" s="65">
        <f>IF(L2815&lt;=0,0,IF(Materiales!$G$405&lt;=0,L2815,ROUNDUP(L2815/Materiales!$G$405,0)*Materiales!$G$405))</f>
        <v/>
      </c>
      <c r="M2816" s="66" t="n"/>
    </row>
    <row r="2817">
      <c r="C2817" s="70" t="inlineStr">
        <is>
          <t>LANZAMIENTO DE ORDEN — pedir esta semana</t>
        </is>
      </c>
      <c r="D2817" s="64" t="n"/>
      <c r="E2817" s="71">
        <f>IF(1+Materiales!$F$405&gt;8,0,INDEX($E$2816:$L$2816,1,1+Materiales!$F$405))</f>
        <v/>
      </c>
      <c r="F2817" s="71">
        <f>IF(2+Materiales!$F$405&gt;8,0,INDEX($E$2816:$L$2816,1,2+Materiales!$F$405))</f>
        <v/>
      </c>
      <c r="G2817" s="71">
        <f>IF(3+Materiales!$F$405&gt;8,0,INDEX($E$2816:$L$2816,1,3+Materiales!$F$405))</f>
        <v/>
      </c>
      <c r="H2817" s="71">
        <f>IF(4+Materiales!$F$405&gt;8,0,INDEX($E$2816:$L$2816,1,4+Materiales!$F$405))</f>
        <v/>
      </c>
      <c r="I2817" s="71">
        <f>IF(5+Materiales!$F$405&gt;8,0,INDEX($E$2816:$L$2816,1,5+Materiales!$F$405))</f>
        <v/>
      </c>
      <c r="J2817" s="71">
        <f>IF(6+Materiales!$F$405&gt;8,0,INDEX($E$2816:$L$2816,1,6+Materiales!$F$405))</f>
        <v/>
      </c>
      <c r="K2817" s="71">
        <f>IF(7+Materiales!$F$405&gt;8,0,INDEX($E$2816:$L$2816,1,7+Materiales!$F$405))</f>
        <v/>
      </c>
      <c r="L2817" s="71">
        <f>IF(8+Materiales!$F$405&gt;8,0,INDEX($E$2816:$L$2816,1,8+Materiales!$F$405))</f>
        <v/>
      </c>
      <c r="M2817" s="72">
        <f>IF($A2812="","",IF(SUMPRODUCT((COLUMN($E$2816:$L$2816)-4&lt;=Materiales!$F$405)*$E$2816:$L$2816)&gt;0,"PEDIR YA (atrasado)","OK"))</f>
        <v/>
      </c>
    </row>
    <row r="2818" ht="6" customHeight="1"/>
    <row r="2819">
      <c r="A2819" s="62">
        <f>IF(Materiales!$A$406="","",Materiales!$A$406)</f>
        <v/>
      </c>
      <c r="B2819" s="62">
        <f>IF(Materiales!$B$406="","",Materiales!$B$406)</f>
        <v/>
      </c>
      <c r="C2819" s="63" t="inlineStr">
        <is>
          <t>Necesidad bruta</t>
        </is>
      </c>
      <c r="D2819" s="64" t="n"/>
      <c r="E2819" s="65">
        <f>ROUND(SUMIF(Consumo!$P$4:$P$189,"#"&amp;$A2819,Consumo!H$4:H$189),4)</f>
        <v/>
      </c>
      <c r="F2819" s="65">
        <f>ROUND(SUMIF(Consumo!$P$4:$P$189,"#"&amp;$A2819,Consumo!I$4:I$189),4)</f>
        <v/>
      </c>
      <c r="G2819" s="65">
        <f>ROUND(SUMIF(Consumo!$P$4:$P$189,"#"&amp;$A2819,Consumo!J$4:J$189),4)</f>
        <v/>
      </c>
      <c r="H2819" s="65">
        <f>ROUND(SUMIF(Consumo!$P$4:$P$189,"#"&amp;$A2819,Consumo!K$4:K$189),4)</f>
        <v/>
      </c>
      <c r="I2819" s="65">
        <f>ROUND(SUMIF(Consumo!$P$4:$P$189,"#"&amp;$A2819,Consumo!L$4:L$189),4)</f>
        <v/>
      </c>
      <c r="J2819" s="65">
        <f>ROUND(SUMIF(Consumo!$P$4:$P$189,"#"&amp;$A2819,Consumo!M$4:M$189),4)</f>
        <v/>
      </c>
      <c r="K2819" s="65">
        <f>ROUND(SUMIF(Consumo!$P$4:$P$189,"#"&amp;$A2819,Consumo!N$4:N$189),4)</f>
        <v/>
      </c>
      <c r="L2819" s="65">
        <f>ROUND(SUMIF(Consumo!$P$4:$P$189,"#"&amp;$A2819,Consumo!O$4:O$189),4)</f>
        <v/>
      </c>
      <c r="M2819" s="66" t="n"/>
    </row>
    <row r="2820">
      <c r="C2820" s="63" t="inlineStr">
        <is>
          <t>Recepciones programadas (ya pedido)</t>
        </is>
      </c>
      <c r="D2820" s="64" t="n"/>
      <c r="E2820" s="65">
        <f>SUMIF(Inventario!$M$5:$M$505,"#"&amp;$A2819,Inventario!E$5:E$505)</f>
        <v/>
      </c>
      <c r="F2820" s="65">
        <f>SUMIF(Inventario!$M$5:$M$505,"#"&amp;$A2819,Inventario!F$5:F$505)</f>
        <v/>
      </c>
      <c r="G2820" s="65">
        <f>SUMIF(Inventario!$M$5:$M$505,"#"&amp;$A2819,Inventario!G$5:G$505)</f>
        <v/>
      </c>
      <c r="H2820" s="65">
        <f>SUMIF(Inventario!$M$5:$M$505,"#"&amp;$A2819,Inventario!H$5:H$505)</f>
        <v/>
      </c>
      <c r="I2820" s="65">
        <f>SUMIF(Inventario!$M$5:$M$505,"#"&amp;$A2819,Inventario!I$5:I$505)</f>
        <v/>
      </c>
      <c r="J2820" s="65">
        <f>SUMIF(Inventario!$M$5:$M$505,"#"&amp;$A2819,Inventario!J$5:J$505)</f>
        <v/>
      </c>
      <c r="K2820" s="65">
        <f>SUMIF(Inventario!$M$5:$M$505,"#"&amp;$A2819,Inventario!K$5:K$505)</f>
        <v/>
      </c>
      <c r="L2820" s="65">
        <f>SUMIF(Inventario!$M$5:$M$505,"#"&amp;$A2819,Inventario!L$5:L$505)</f>
        <v/>
      </c>
      <c r="M2820" s="66" t="n"/>
    </row>
    <row r="2821">
      <c r="C2821" s="63" t="inlineStr">
        <is>
          <t>Stock proyectado disponible</t>
        </is>
      </c>
      <c r="D2821" s="67">
        <f>SUMIF(Inventario!$M$5:$M$505,"#"&amp;$A2819,Inventario!$C$5:$C$505)</f>
        <v/>
      </c>
      <c r="E2821" s="68">
        <f>D2821+E2820+E2823-E2819</f>
        <v/>
      </c>
      <c r="F2821" s="68">
        <f>E2821+F2820+F2823-F2819</f>
        <v/>
      </c>
      <c r="G2821" s="68">
        <f>F2821+G2820+G2823-G2819</f>
        <v/>
      </c>
      <c r="H2821" s="68">
        <f>G2821+H2820+H2823-H2819</f>
        <v/>
      </c>
      <c r="I2821" s="68">
        <f>H2821+I2820+I2823-I2819</f>
        <v/>
      </c>
      <c r="J2821" s="68">
        <f>I2821+J2820+J2823-J2819</f>
        <v/>
      </c>
      <c r="K2821" s="68">
        <f>J2821+K2820+K2823-K2819</f>
        <v/>
      </c>
      <c r="L2821" s="68">
        <f>K2821+L2820+L2823-L2819</f>
        <v/>
      </c>
      <c r="M2821" s="66" t="n"/>
    </row>
    <row r="2822">
      <c r="C2822" s="63" t="inlineStr">
        <is>
          <t>Necesidad neta</t>
        </is>
      </c>
      <c r="D2822" s="64" t="n"/>
      <c r="E2822" s="69">
        <f>MAX(0,ROUND(E2819+Materiales!$H$406-D2821-E2820,4))</f>
        <v/>
      </c>
      <c r="F2822" s="69">
        <f>MAX(0,ROUND(F2819+Materiales!$H$406-E2821-F2820,4))</f>
        <v/>
      </c>
      <c r="G2822" s="69">
        <f>MAX(0,ROUND(G2819+Materiales!$H$406-F2821-G2820,4))</f>
        <v/>
      </c>
      <c r="H2822" s="69">
        <f>MAX(0,ROUND(H2819+Materiales!$H$406-G2821-H2820,4))</f>
        <v/>
      </c>
      <c r="I2822" s="69">
        <f>MAX(0,ROUND(I2819+Materiales!$H$406-H2821-I2820,4))</f>
        <v/>
      </c>
      <c r="J2822" s="69">
        <f>MAX(0,ROUND(J2819+Materiales!$H$406-I2821-J2820,4))</f>
        <v/>
      </c>
      <c r="K2822" s="69">
        <f>MAX(0,ROUND(K2819+Materiales!$H$406-J2821-K2820,4))</f>
        <v/>
      </c>
      <c r="L2822" s="69">
        <f>MAX(0,ROUND(L2819+Materiales!$H$406-K2821-L2820,4))</f>
        <v/>
      </c>
      <c r="M2822" s="66" t="n"/>
    </row>
    <row r="2823">
      <c r="C2823" s="63" t="inlineStr">
        <is>
          <t>Recepcion de orden planificada</t>
        </is>
      </c>
      <c r="D2823" s="64" t="n"/>
      <c r="E2823" s="65">
        <f>IF(E2822&lt;=0,0,IF(Materiales!$G$406&lt;=0,E2822,ROUNDUP(E2822/Materiales!$G$406,0)*Materiales!$G$406))</f>
        <v/>
      </c>
      <c r="F2823" s="65">
        <f>IF(F2822&lt;=0,0,IF(Materiales!$G$406&lt;=0,F2822,ROUNDUP(F2822/Materiales!$G$406,0)*Materiales!$G$406))</f>
        <v/>
      </c>
      <c r="G2823" s="65">
        <f>IF(G2822&lt;=0,0,IF(Materiales!$G$406&lt;=0,G2822,ROUNDUP(G2822/Materiales!$G$406,0)*Materiales!$G$406))</f>
        <v/>
      </c>
      <c r="H2823" s="65">
        <f>IF(H2822&lt;=0,0,IF(Materiales!$G$406&lt;=0,H2822,ROUNDUP(H2822/Materiales!$G$406,0)*Materiales!$G$406))</f>
        <v/>
      </c>
      <c r="I2823" s="65">
        <f>IF(I2822&lt;=0,0,IF(Materiales!$G$406&lt;=0,I2822,ROUNDUP(I2822/Materiales!$G$406,0)*Materiales!$G$406))</f>
        <v/>
      </c>
      <c r="J2823" s="65">
        <f>IF(J2822&lt;=0,0,IF(Materiales!$G$406&lt;=0,J2822,ROUNDUP(J2822/Materiales!$G$406,0)*Materiales!$G$406))</f>
        <v/>
      </c>
      <c r="K2823" s="65">
        <f>IF(K2822&lt;=0,0,IF(Materiales!$G$406&lt;=0,K2822,ROUNDUP(K2822/Materiales!$G$406,0)*Materiales!$G$406))</f>
        <v/>
      </c>
      <c r="L2823" s="65">
        <f>IF(L2822&lt;=0,0,IF(Materiales!$G$406&lt;=0,L2822,ROUNDUP(L2822/Materiales!$G$406,0)*Materiales!$G$406))</f>
        <v/>
      </c>
      <c r="M2823" s="66" t="n"/>
    </row>
    <row r="2824">
      <c r="C2824" s="70" t="inlineStr">
        <is>
          <t>LANZAMIENTO DE ORDEN — pedir esta semana</t>
        </is>
      </c>
      <c r="D2824" s="64" t="n"/>
      <c r="E2824" s="71">
        <f>IF(1+Materiales!$F$406&gt;8,0,INDEX($E$2823:$L$2823,1,1+Materiales!$F$406))</f>
        <v/>
      </c>
      <c r="F2824" s="71">
        <f>IF(2+Materiales!$F$406&gt;8,0,INDEX($E$2823:$L$2823,1,2+Materiales!$F$406))</f>
        <v/>
      </c>
      <c r="G2824" s="71">
        <f>IF(3+Materiales!$F$406&gt;8,0,INDEX($E$2823:$L$2823,1,3+Materiales!$F$406))</f>
        <v/>
      </c>
      <c r="H2824" s="71">
        <f>IF(4+Materiales!$F$406&gt;8,0,INDEX($E$2823:$L$2823,1,4+Materiales!$F$406))</f>
        <v/>
      </c>
      <c r="I2824" s="71">
        <f>IF(5+Materiales!$F$406&gt;8,0,INDEX($E$2823:$L$2823,1,5+Materiales!$F$406))</f>
        <v/>
      </c>
      <c r="J2824" s="71">
        <f>IF(6+Materiales!$F$406&gt;8,0,INDEX($E$2823:$L$2823,1,6+Materiales!$F$406))</f>
        <v/>
      </c>
      <c r="K2824" s="71">
        <f>IF(7+Materiales!$F$406&gt;8,0,INDEX($E$2823:$L$2823,1,7+Materiales!$F$406))</f>
        <v/>
      </c>
      <c r="L2824" s="71">
        <f>IF(8+Materiales!$F$406&gt;8,0,INDEX($E$2823:$L$2823,1,8+Materiales!$F$406))</f>
        <v/>
      </c>
      <c r="M2824" s="72">
        <f>IF($A2819="","",IF(SUMPRODUCT((COLUMN($E$2823:$L$2823)-4&lt;=Materiales!$F$406)*$E$2823:$L$2823)&gt;0,"PEDIR YA (atrasado)","OK"))</f>
        <v/>
      </c>
    </row>
    <row r="2825" ht="6" customHeight="1"/>
    <row r="2826">
      <c r="A2826" s="62">
        <f>IF(Materiales!$A$407="","",Materiales!$A$407)</f>
        <v/>
      </c>
      <c r="B2826" s="62">
        <f>IF(Materiales!$B$407="","",Materiales!$B$407)</f>
        <v/>
      </c>
      <c r="C2826" s="63" t="inlineStr">
        <is>
          <t>Necesidad bruta</t>
        </is>
      </c>
      <c r="D2826" s="64" t="n"/>
      <c r="E2826" s="65">
        <f>ROUND(SUMIF(Consumo!$P$4:$P$189,"#"&amp;$A2826,Consumo!H$4:H$189),4)</f>
        <v/>
      </c>
      <c r="F2826" s="65">
        <f>ROUND(SUMIF(Consumo!$P$4:$P$189,"#"&amp;$A2826,Consumo!I$4:I$189),4)</f>
        <v/>
      </c>
      <c r="G2826" s="65">
        <f>ROUND(SUMIF(Consumo!$P$4:$P$189,"#"&amp;$A2826,Consumo!J$4:J$189),4)</f>
        <v/>
      </c>
      <c r="H2826" s="65">
        <f>ROUND(SUMIF(Consumo!$P$4:$P$189,"#"&amp;$A2826,Consumo!K$4:K$189),4)</f>
        <v/>
      </c>
      <c r="I2826" s="65">
        <f>ROUND(SUMIF(Consumo!$P$4:$P$189,"#"&amp;$A2826,Consumo!L$4:L$189),4)</f>
        <v/>
      </c>
      <c r="J2826" s="65">
        <f>ROUND(SUMIF(Consumo!$P$4:$P$189,"#"&amp;$A2826,Consumo!M$4:M$189),4)</f>
        <v/>
      </c>
      <c r="K2826" s="65">
        <f>ROUND(SUMIF(Consumo!$P$4:$P$189,"#"&amp;$A2826,Consumo!N$4:N$189),4)</f>
        <v/>
      </c>
      <c r="L2826" s="65">
        <f>ROUND(SUMIF(Consumo!$P$4:$P$189,"#"&amp;$A2826,Consumo!O$4:O$189),4)</f>
        <v/>
      </c>
      <c r="M2826" s="66" t="n"/>
    </row>
    <row r="2827">
      <c r="C2827" s="63" t="inlineStr">
        <is>
          <t>Recepciones programadas (ya pedido)</t>
        </is>
      </c>
      <c r="D2827" s="64" t="n"/>
      <c r="E2827" s="65">
        <f>SUMIF(Inventario!$M$5:$M$505,"#"&amp;$A2826,Inventario!E$5:E$505)</f>
        <v/>
      </c>
      <c r="F2827" s="65">
        <f>SUMIF(Inventario!$M$5:$M$505,"#"&amp;$A2826,Inventario!F$5:F$505)</f>
        <v/>
      </c>
      <c r="G2827" s="65">
        <f>SUMIF(Inventario!$M$5:$M$505,"#"&amp;$A2826,Inventario!G$5:G$505)</f>
        <v/>
      </c>
      <c r="H2827" s="65">
        <f>SUMIF(Inventario!$M$5:$M$505,"#"&amp;$A2826,Inventario!H$5:H$505)</f>
        <v/>
      </c>
      <c r="I2827" s="65">
        <f>SUMIF(Inventario!$M$5:$M$505,"#"&amp;$A2826,Inventario!I$5:I$505)</f>
        <v/>
      </c>
      <c r="J2827" s="65">
        <f>SUMIF(Inventario!$M$5:$M$505,"#"&amp;$A2826,Inventario!J$5:J$505)</f>
        <v/>
      </c>
      <c r="K2827" s="65">
        <f>SUMIF(Inventario!$M$5:$M$505,"#"&amp;$A2826,Inventario!K$5:K$505)</f>
        <v/>
      </c>
      <c r="L2827" s="65">
        <f>SUMIF(Inventario!$M$5:$M$505,"#"&amp;$A2826,Inventario!L$5:L$505)</f>
        <v/>
      </c>
      <c r="M2827" s="66" t="n"/>
    </row>
    <row r="2828">
      <c r="C2828" s="63" t="inlineStr">
        <is>
          <t>Stock proyectado disponible</t>
        </is>
      </c>
      <c r="D2828" s="67">
        <f>SUMIF(Inventario!$M$5:$M$505,"#"&amp;$A2826,Inventario!$C$5:$C$505)</f>
        <v/>
      </c>
      <c r="E2828" s="68">
        <f>D2828+E2827+E2830-E2826</f>
        <v/>
      </c>
      <c r="F2828" s="68">
        <f>E2828+F2827+F2830-F2826</f>
        <v/>
      </c>
      <c r="G2828" s="68">
        <f>F2828+G2827+G2830-G2826</f>
        <v/>
      </c>
      <c r="H2828" s="68">
        <f>G2828+H2827+H2830-H2826</f>
        <v/>
      </c>
      <c r="I2828" s="68">
        <f>H2828+I2827+I2830-I2826</f>
        <v/>
      </c>
      <c r="J2828" s="68">
        <f>I2828+J2827+J2830-J2826</f>
        <v/>
      </c>
      <c r="K2828" s="68">
        <f>J2828+K2827+K2830-K2826</f>
        <v/>
      </c>
      <c r="L2828" s="68">
        <f>K2828+L2827+L2830-L2826</f>
        <v/>
      </c>
      <c r="M2828" s="66" t="n"/>
    </row>
    <row r="2829">
      <c r="C2829" s="63" t="inlineStr">
        <is>
          <t>Necesidad neta</t>
        </is>
      </c>
      <c r="D2829" s="64" t="n"/>
      <c r="E2829" s="69">
        <f>MAX(0,ROUND(E2826+Materiales!$H$407-D2828-E2827,4))</f>
        <v/>
      </c>
      <c r="F2829" s="69">
        <f>MAX(0,ROUND(F2826+Materiales!$H$407-E2828-F2827,4))</f>
        <v/>
      </c>
      <c r="G2829" s="69">
        <f>MAX(0,ROUND(G2826+Materiales!$H$407-F2828-G2827,4))</f>
        <v/>
      </c>
      <c r="H2829" s="69">
        <f>MAX(0,ROUND(H2826+Materiales!$H$407-G2828-H2827,4))</f>
        <v/>
      </c>
      <c r="I2829" s="69">
        <f>MAX(0,ROUND(I2826+Materiales!$H$407-H2828-I2827,4))</f>
        <v/>
      </c>
      <c r="J2829" s="69">
        <f>MAX(0,ROUND(J2826+Materiales!$H$407-I2828-J2827,4))</f>
        <v/>
      </c>
      <c r="K2829" s="69">
        <f>MAX(0,ROUND(K2826+Materiales!$H$407-J2828-K2827,4))</f>
        <v/>
      </c>
      <c r="L2829" s="69">
        <f>MAX(0,ROUND(L2826+Materiales!$H$407-K2828-L2827,4))</f>
        <v/>
      </c>
      <c r="M2829" s="66" t="n"/>
    </row>
    <row r="2830">
      <c r="C2830" s="63" t="inlineStr">
        <is>
          <t>Recepcion de orden planificada</t>
        </is>
      </c>
      <c r="D2830" s="64" t="n"/>
      <c r="E2830" s="65">
        <f>IF(E2829&lt;=0,0,IF(Materiales!$G$407&lt;=0,E2829,ROUNDUP(E2829/Materiales!$G$407,0)*Materiales!$G$407))</f>
        <v/>
      </c>
      <c r="F2830" s="65">
        <f>IF(F2829&lt;=0,0,IF(Materiales!$G$407&lt;=0,F2829,ROUNDUP(F2829/Materiales!$G$407,0)*Materiales!$G$407))</f>
        <v/>
      </c>
      <c r="G2830" s="65">
        <f>IF(G2829&lt;=0,0,IF(Materiales!$G$407&lt;=0,G2829,ROUNDUP(G2829/Materiales!$G$407,0)*Materiales!$G$407))</f>
        <v/>
      </c>
      <c r="H2830" s="65">
        <f>IF(H2829&lt;=0,0,IF(Materiales!$G$407&lt;=0,H2829,ROUNDUP(H2829/Materiales!$G$407,0)*Materiales!$G$407))</f>
        <v/>
      </c>
      <c r="I2830" s="65">
        <f>IF(I2829&lt;=0,0,IF(Materiales!$G$407&lt;=0,I2829,ROUNDUP(I2829/Materiales!$G$407,0)*Materiales!$G$407))</f>
        <v/>
      </c>
      <c r="J2830" s="65">
        <f>IF(J2829&lt;=0,0,IF(Materiales!$G$407&lt;=0,J2829,ROUNDUP(J2829/Materiales!$G$407,0)*Materiales!$G$407))</f>
        <v/>
      </c>
      <c r="K2830" s="65">
        <f>IF(K2829&lt;=0,0,IF(Materiales!$G$407&lt;=0,K2829,ROUNDUP(K2829/Materiales!$G$407,0)*Materiales!$G$407))</f>
        <v/>
      </c>
      <c r="L2830" s="65">
        <f>IF(L2829&lt;=0,0,IF(Materiales!$G$407&lt;=0,L2829,ROUNDUP(L2829/Materiales!$G$407,0)*Materiales!$G$407))</f>
        <v/>
      </c>
      <c r="M2830" s="66" t="n"/>
    </row>
    <row r="2831">
      <c r="C2831" s="70" t="inlineStr">
        <is>
          <t>LANZAMIENTO DE ORDEN — pedir esta semana</t>
        </is>
      </c>
      <c r="D2831" s="64" t="n"/>
      <c r="E2831" s="71">
        <f>IF(1+Materiales!$F$407&gt;8,0,INDEX($E$2830:$L$2830,1,1+Materiales!$F$407))</f>
        <v/>
      </c>
      <c r="F2831" s="71">
        <f>IF(2+Materiales!$F$407&gt;8,0,INDEX($E$2830:$L$2830,1,2+Materiales!$F$407))</f>
        <v/>
      </c>
      <c r="G2831" s="71">
        <f>IF(3+Materiales!$F$407&gt;8,0,INDEX($E$2830:$L$2830,1,3+Materiales!$F$407))</f>
        <v/>
      </c>
      <c r="H2831" s="71">
        <f>IF(4+Materiales!$F$407&gt;8,0,INDEX($E$2830:$L$2830,1,4+Materiales!$F$407))</f>
        <v/>
      </c>
      <c r="I2831" s="71">
        <f>IF(5+Materiales!$F$407&gt;8,0,INDEX($E$2830:$L$2830,1,5+Materiales!$F$407))</f>
        <v/>
      </c>
      <c r="J2831" s="71">
        <f>IF(6+Materiales!$F$407&gt;8,0,INDEX($E$2830:$L$2830,1,6+Materiales!$F$407))</f>
        <v/>
      </c>
      <c r="K2831" s="71">
        <f>IF(7+Materiales!$F$407&gt;8,0,INDEX($E$2830:$L$2830,1,7+Materiales!$F$407))</f>
        <v/>
      </c>
      <c r="L2831" s="71">
        <f>IF(8+Materiales!$F$407&gt;8,0,INDEX($E$2830:$L$2830,1,8+Materiales!$F$407))</f>
        <v/>
      </c>
      <c r="M2831" s="72">
        <f>IF($A2826="","",IF(SUMPRODUCT((COLUMN($E$2830:$L$2830)-4&lt;=Materiales!$F$407)*$E$2830:$L$2830)&gt;0,"PEDIR YA (atrasado)","OK"))</f>
        <v/>
      </c>
    </row>
    <row r="2832" ht="6" customHeight="1"/>
    <row r="2833">
      <c r="A2833" s="62">
        <f>IF(Materiales!$A$408="","",Materiales!$A$408)</f>
        <v/>
      </c>
      <c r="B2833" s="62">
        <f>IF(Materiales!$B$408="","",Materiales!$B$408)</f>
        <v/>
      </c>
      <c r="C2833" s="63" t="inlineStr">
        <is>
          <t>Necesidad bruta</t>
        </is>
      </c>
      <c r="D2833" s="64" t="n"/>
      <c r="E2833" s="65">
        <f>ROUND(SUMIF(Consumo!$P$4:$P$189,"#"&amp;$A2833,Consumo!H$4:H$189),4)</f>
        <v/>
      </c>
      <c r="F2833" s="65">
        <f>ROUND(SUMIF(Consumo!$P$4:$P$189,"#"&amp;$A2833,Consumo!I$4:I$189),4)</f>
        <v/>
      </c>
      <c r="G2833" s="65">
        <f>ROUND(SUMIF(Consumo!$P$4:$P$189,"#"&amp;$A2833,Consumo!J$4:J$189),4)</f>
        <v/>
      </c>
      <c r="H2833" s="65">
        <f>ROUND(SUMIF(Consumo!$P$4:$P$189,"#"&amp;$A2833,Consumo!K$4:K$189),4)</f>
        <v/>
      </c>
      <c r="I2833" s="65">
        <f>ROUND(SUMIF(Consumo!$P$4:$P$189,"#"&amp;$A2833,Consumo!L$4:L$189),4)</f>
        <v/>
      </c>
      <c r="J2833" s="65">
        <f>ROUND(SUMIF(Consumo!$P$4:$P$189,"#"&amp;$A2833,Consumo!M$4:M$189),4)</f>
        <v/>
      </c>
      <c r="K2833" s="65">
        <f>ROUND(SUMIF(Consumo!$P$4:$P$189,"#"&amp;$A2833,Consumo!N$4:N$189),4)</f>
        <v/>
      </c>
      <c r="L2833" s="65">
        <f>ROUND(SUMIF(Consumo!$P$4:$P$189,"#"&amp;$A2833,Consumo!O$4:O$189),4)</f>
        <v/>
      </c>
      <c r="M2833" s="66" t="n"/>
    </row>
    <row r="2834">
      <c r="C2834" s="63" t="inlineStr">
        <is>
          <t>Recepciones programadas (ya pedido)</t>
        </is>
      </c>
      <c r="D2834" s="64" t="n"/>
      <c r="E2834" s="65">
        <f>SUMIF(Inventario!$M$5:$M$505,"#"&amp;$A2833,Inventario!E$5:E$505)</f>
        <v/>
      </c>
      <c r="F2834" s="65">
        <f>SUMIF(Inventario!$M$5:$M$505,"#"&amp;$A2833,Inventario!F$5:F$505)</f>
        <v/>
      </c>
      <c r="G2834" s="65">
        <f>SUMIF(Inventario!$M$5:$M$505,"#"&amp;$A2833,Inventario!G$5:G$505)</f>
        <v/>
      </c>
      <c r="H2834" s="65">
        <f>SUMIF(Inventario!$M$5:$M$505,"#"&amp;$A2833,Inventario!H$5:H$505)</f>
        <v/>
      </c>
      <c r="I2834" s="65">
        <f>SUMIF(Inventario!$M$5:$M$505,"#"&amp;$A2833,Inventario!I$5:I$505)</f>
        <v/>
      </c>
      <c r="J2834" s="65">
        <f>SUMIF(Inventario!$M$5:$M$505,"#"&amp;$A2833,Inventario!J$5:J$505)</f>
        <v/>
      </c>
      <c r="K2834" s="65">
        <f>SUMIF(Inventario!$M$5:$M$505,"#"&amp;$A2833,Inventario!K$5:K$505)</f>
        <v/>
      </c>
      <c r="L2834" s="65">
        <f>SUMIF(Inventario!$M$5:$M$505,"#"&amp;$A2833,Inventario!L$5:L$505)</f>
        <v/>
      </c>
      <c r="M2834" s="66" t="n"/>
    </row>
    <row r="2835">
      <c r="C2835" s="63" t="inlineStr">
        <is>
          <t>Stock proyectado disponible</t>
        </is>
      </c>
      <c r="D2835" s="67">
        <f>SUMIF(Inventario!$M$5:$M$505,"#"&amp;$A2833,Inventario!$C$5:$C$505)</f>
        <v/>
      </c>
      <c r="E2835" s="68">
        <f>D2835+E2834+E2837-E2833</f>
        <v/>
      </c>
      <c r="F2835" s="68">
        <f>E2835+F2834+F2837-F2833</f>
        <v/>
      </c>
      <c r="G2835" s="68">
        <f>F2835+G2834+G2837-G2833</f>
        <v/>
      </c>
      <c r="H2835" s="68">
        <f>G2835+H2834+H2837-H2833</f>
        <v/>
      </c>
      <c r="I2835" s="68">
        <f>H2835+I2834+I2837-I2833</f>
        <v/>
      </c>
      <c r="J2835" s="68">
        <f>I2835+J2834+J2837-J2833</f>
        <v/>
      </c>
      <c r="K2835" s="68">
        <f>J2835+K2834+K2837-K2833</f>
        <v/>
      </c>
      <c r="L2835" s="68">
        <f>K2835+L2834+L2837-L2833</f>
        <v/>
      </c>
      <c r="M2835" s="66" t="n"/>
    </row>
    <row r="2836">
      <c r="C2836" s="63" t="inlineStr">
        <is>
          <t>Necesidad neta</t>
        </is>
      </c>
      <c r="D2836" s="64" t="n"/>
      <c r="E2836" s="69">
        <f>MAX(0,ROUND(E2833+Materiales!$H$408-D2835-E2834,4))</f>
        <v/>
      </c>
      <c r="F2836" s="69">
        <f>MAX(0,ROUND(F2833+Materiales!$H$408-E2835-F2834,4))</f>
        <v/>
      </c>
      <c r="G2836" s="69">
        <f>MAX(0,ROUND(G2833+Materiales!$H$408-F2835-G2834,4))</f>
        <v/>
      </c>
      <c r="H2836" s="69">
        <f>MAX(0,ROUND(H2833+Materiales!$H$408-G2835-H2834,4))</f>
        <v/>
      </c>
      <c r="I2836" s="69">
        <f>MAX(0,ROUND(I2833+Materiales!$H$408-H2835-I2834,4))</f>
        <v/>
      </c>
      <c r="J2836" s="69">
        <f>MAX(0,ROUND(J2833+Materiales!$H$408-I2835-J2834,4))</f>
        <v/>
      </c>
      <c r="K2836" s="69">
        <f>MAX(0,ROUND(K2833+Materiales!$H$408-J2835-K2834,4))</f>
        <v/>
      </c>
      <c r="L2836" s="69">
        <f>MAX(0,ROUND(L2833+Materiales!$H$408-K2835-L2834,4))</f>
        <v/>
      </c>
      <c r="M2836" s="66" t="n"/>
    </row>
    <row r="2837">
      <c r="C2837" s="63" t="inlineStr">
        <is>
          <t>Recepcion de orden planificada</t>
        </is>
      </c>
      <c r="D2837" s="64" t="n"/>
      <c r="E2837" s="65">
        <f>IF(E2836&lt;=0,0,IF(Materiales!$G$408&lt;=0,E2836,ROUNDUP(E2836/Materiales!$G$408,0)*Materiales!$G$408))</f>
        <v/>
      </c>
      <c r="F2837" s="65">
        <f>IF(F2836&lt;=0,0,IF(Materiales!$G$408&lt;=0,F2836,ROUNDUP(F2836/Materiales!$G$408,0)*Materiales!$G$408))</f>
        <v/>
      </c>
      <c r="G2837" s="65">
        <f>IF(G2836&lt;=0,0,IF(Materiales!$G$408&lt;=0,G2836,ROUNDUP(G2836/Materiales!$G$408,0)*Materiales!$G$408))</f>
        <v/>
      </c>
      <c r="H2837" s="65">
        <f>IF(H2836&lt;=0,0,IF(Materiales!$G$408&lt;=0,H2836,ROUNDUP(H2836/Materiales!$G$408,0)*Materiales!$G$408))</f>
        <v/>
      </c>
      <c r="I2837" s="65">
        <f>IF(I2836&lt;=0,0,IF(Materiales!$G$408&lt;=0,I2836,ROUNDUP(I2836/Materiales!$G$408,0)*Materiales!$G$408))</f>
        <v/>
      </c>
      <c r="J2837" s="65">
        <f>IF(J2836&lt;=0,0,IF(Materiales!$G$408&lt;=0,J2836,ROUNDUP(J2836/Materiales!$G$408,0)*Materiales!$G$408))</f>
        <v/>
      </c>
      <c r="K2837" s="65">
        <f>IF(K2836&lt;=0,0,IF(Materiales!$G$408&lt;=0,K2836,ROUNDUP(K2836/Materiales!$G$408,0)*Materiales!$G$408))</f>
        <v/>
      </c>
      <c r="L2837" s="65">
        <f>IF(L2836&lt;=0,0,IF(Materiales!$G$408&lt;=0,L2836,ROUNDUP(L2836/Materiales!$G$408,0)*Materiales!$G$408))</f>
        <v/>
      </c>
      <c r="M2837" s="66" t="n"/>
    </row>
    <row r="2838">
      <c r="C2838" s="70" t="inlineStr">
        <is>
          <t>LANZAMIENTO DE ORDEN — pedir esta semana</t>
        </is>
      </c>
      <c r="D2838" s="64" t="n"/>
      <c r="E2838" s="71">
        <f>IF(1+Materiales!$F$408&gt;8,0,INDEX($E$2837:$L$2837,1,1+Materiales!$F$408))</f>
        <v/>
      </c>
      <c r="F2838" s="71">
        <f>IF(2+Materiales!$F$408&gt;8,0,INDEX($E$2837:$L$2837,1,2+Materiales!$F$408))</f>
        <v/>
      </c>
      <c r="G2838" s="71">
        <f>IF(3+Materiales!$F$408&gt;8,0,INDEX($E$2837:$L$2837,1,3+Materiales!$F$408))</f>
        <v/>
      </c>
      <c r="H2838" s="71">
        <f>IF(4+Materiales!$F$408&gt;8,0,INDEX($E$2837:$L$2837,1,4+Materiales!$F$408))</f>
        <v/>
      </c>
      <c r="I2838" s="71">
        <f>IF(5+Materiales!$F$408&gt;8,0,INDEX($E$2837:$L$2837,1,5+Materiales!$F$408))</f>
        <v/>
      </c>
      <c r="J2838" s="71">
        <f>IF(6+Materiales!$F$408&gt;8,0,INDEX($E$2837:$L$2837,1,6+Materiales!$F$408))</f>
        <v/>
      </c>
      <c r="K2838" s="71">
        <f>IF(7+Materiales!$F$408&gt;8,0,INDEX($E$2837:$L$2837,1,7+Materiales!$F$408))</f>
        <v/>
      </c>
      <c r="L2838" s="71">
        <f>IF(8+Materiales!$F$408&gt;8,0,INDEX($E$2837:$L$2837,1,8+Materiales!$F$408))</f>
        <v/>
      </c>
      <c r="M2838" s="72">
        <f>IF($A2833="","",IF(SUMPRODUCT((COLUMN($E$2837:$L$2837)-4&lt;=Materiales!$F$408)*$E$2837:$L$2837)&gt;0,"PEDIR YA (atrasado)","OK"))</f>
        <v/>
      </c>
    </row>
    <row r="2839" ht="6" customHeight="1"/>
    <row r="2840">
      <c r="A2840" s="62">
        <f>IF(Materiales!$A$409="","",Materiales!$A$409)</f>
        <v/>
      </c>
      <c r="B2840" s="62">
        <f>IF(Materiales!$B$409="","",Materiales!$B$409)</f>
        <v/>
      </c>
      <c r="C2840" s="63" t="inlineStr">
        <is>
          <t>Necesidad bruta</t>
        </is>
      </c>
      <c r="D2840" s="64" t="n"/>
      <c r="E2840" s="65">
        <f>ROUND(SUMIF(Consumo!$P$4:$P$189,"#"&amp;$A2840,Consumo!H$4:H$189),4)</f>
        <v/>
      </c>
      <c r="F2840" s="65">
        <f>ROUND(SUMIF(Consumo!$P$4:$P$189,"#"&amp;$A2840,Consumo!I$4:I$189),4)</f>
        <v/>
      </c>
      <c r="G2840" s="65">
        <f>ROUND(SUMIF(Consumo!$P$4:$P$189,"#"&amp;$A2840,Consumo!J$4:J$189),4)</f>
        <v/>
      </c>
      <c r="H2840" s="65">
        <f>ROUND(SUMIF(Consumo!$P$4:$P$189,"#"&amp;$A2840,Consumo!K$4:K$189),4)</f>
        <v/>
      </c>
      <c r="I2840" s="65">
        <f>ROUND(SUMIF(Consumo!$P$4:$P$189,"#"&amp;$A2840,Consumo!L$4:L$189),4)</f>
        <v/>
      </c>
      <c r="J2840" s="65">
        <f>ROUND(SUMIF(Consumo!$P$4:$P$189,"#"&amp;$A2840,Consumo!M$4:M$189),4)</f>
        <v/>
      </c>
      <c r="K2840" s="65">
        <f>ROUND(SUMIF(Consumo!$P$4:$P$189,"#"&amp;$A2840,Consumo!N$4:N$189),4)</f>
        <v/>
      </c>
      <c r="L2840" s="65">
        <f>ROUND(SUMIF(Consumo!$P$4:$P$189,"#"&amp;$A2840,Consumo!O$4:O$189),4)</f>
        <v/>
      </c>
      <c r="M2840" s="66" t="n"/>
    </row>
    <row r="2841">
      <c r="C2841" s="63" t="inlineStr">
        <is>
          <t>Recepciones programadas (ya pedido)</t>
        </is>
      </c>
      <c r="D2841" s="64" t="n"/>
      <c r="E2841" s="65">
        <f>SUMIF(Inventario!$M$5:$M$505,"#"&amp;$A2840,Inventario!E$5:E$505)</f>
        <v/>
      </c>
      <c r="F2841" s="65">
        <f>SUMIF(Inventario!$M$5:$M$505,"#"&amp;$A2840,Inventario!F$5:F$505)</f>
        <v/>
      </c>
      <c r="G2841" s="65">
        <f>SUMIF(Inventario!$M$5:$M$505,"#"&amp;$A2840,Inventario!G$5:G$505)</f>
        <v/>
      </c>
      <c r="H2841" s="65">
        <f>SUMIF(Inventario!$M$5:$M$505,"#"&amp;$A2840,Inventario!H$5:H$505)</f>
        <v/>
      </c>
      <c r="I2841" s="65">
        <f>SUMIF(Inventario!$M$5:$M$505,"#"&amp;$A2840,Inventario!I$5:I$505)</f>
        <v/>
      </c>
      <c r="J2841" s="65">
        <f>SUMIF(Inventario!$M$5:$M$505,"#"&amp;$A2840,Inventario!J$5:J$505)</f>
        <v/>
      </c>
      <c r="K2841" s="65">
        <f>SUMIF(Inventario!$M$5:$M$505,"#"&amp;$A2840,Inventario!K$5:K$505)</f>
        <v/>
      </c>
      <c r="L2841" s="65">
        <f>SUMIF(Inventario!$M$5:$M$505,"#"&amp;$A2840,Inventario!L$5:L$505)</f>
        <v/>
      </c>
      <c r="M2841" s="66" t="n"/>
    </row>
    <row r="2842">
      <c r="C2842" s="63" t="inlineStr">
        <is>
          <t>Stock proyectado disponible</t>
        </is>
      </c>
      <c r="D2842" s="67">
        <f>SUMIF(Inventario!$M$5:$M$505,"#"&amp;$A2840,Inventario!$C$5:$C$505)</f>
        <v/>
      </c>
      <c r="E2842" s="68">
        <f>D2842+E2841+E2844-E2840</f>
        <v/>
      </c>
      <c r="F2842" s="68">
        <f>E2842+F2841+F2844-F2840</f>
        <v/>
      </c>
      <c r="G2842" s="68">
        <f>F2842+G2841+G2844-G2840</f>
        <v/>
      </c>
      <c r="H2842" s="68">
        <f>G2842+H2841+H2844-H2840</f>
        <v/>
      </c>
      <c r="I2842" s="68">
        <f>H2842+I2841+I2844-I2840</f>
        <v/>
      </c>
      <c r="J2842" s="68">
        <f>I2842+J2841+J2844-J2840</f>
        <v/>
      </c>
      <c r="K2842" s="68">
        <f>J2842+K2841+K2844-K2840</f>
        <v/>
      </c>
      <c r="L2842" s="68">
        <f>K2842+L2841+L2844-L2840</f>
        <v/>
      </c>
      <c r="M2842" s="66" t="n"/>
    </row>
    <row r="2843">
      <c r="C2843" s="63" t="inlineStr">
        <is>
          <t>Necesidad neta</t>
        </is>
      </c>
      <c r="D2843" s="64" t="n"/>
      <c r="E2843" s="69">
        <f>MAX(0,ROUND(E2840+Materiales!$H$409-D2842-E2841,4))</f>
        <v/>
      </c>
      <c r="F2843" s="69">
        <f>MAX(0,ROUND(F2840+Materiales!$H$409-E2842-F2841,4))</f>
        <v/>
      </c>
      <c r="G2843" s="69">
        <f>MAX(0,ROUND(G2840+Materiales!$H$409-F2842-G2841,4))</f>
        <v/>
      </c>
      <c r="H2843" s="69">
        <f>MAX(0,ROUND(H2840+Materiales!$H$409-G2842-H2841,4))</f>
        <v/>
      </c>
      <c r="I2843" s="69">
        <f>MAX(0,ROUND(I2840+Materiales!$H$409-H2842-I2841,4))</f>
        <v/>
      </c>
      <c r="J2843" s="69">
        <f>MAX(0,ROUND(J2840+Materiales!$H$409-I2842-J2841,4))</f>
        <v/>
      </c>
      <c r="K2843" s="69">
        <f>MAX(0,ROUND(K2840+Materiales!$H$409-J2842-K2841,4))</f>
        <v/>
      </c>
      <c r="L2843" s="69">
        <f>MAX(0,ROUND(L2840+Materiales!$H$409-K2842-L2841,4))</f>
        <v/>
      </c>
      <c r="M2843" s="66" t="n"/>
    </row>
    <row r="2844">
      <c r="C2844" s="63" t="inlineStr">
        <is>
          <t>Recepcion de orden planificada</t>
        </is>
      </c>
      <c r="D2844" s="64" t="n"/>
      <c r="E2844" s="65">
        <f>IF(E2843&lt;=0,0,IF(Materiales!$G$409&lt;=0,E2843,ROUNDUP(E2843/Materiales!$G$409,0)*Materiales!$G$409))</f>
        <v/>
      </c>
      <c r="F2844" s="65">
        <f>IF(F2843&lt;=0,0,IF(Materiales!$G$409&lt;=0,F2843,ROUNDUP(F2843/Materiales!$G$409,0)*Materiales!$G$409))</f>
        <v/>
      </c>
      <c r="G2844" s="65">
        <f>IF(G2843&lt;=0,0,IF(Materiales!$G$409&lt;=0,G2843,ROUNDUP(G2843/Materiales!$G$409,0)*Materiales!$G$409))</f>
        <v/>
      </c>
      <c r="H2844" s="65">
        <f>IF(H2843&lt;=0,0,IF(Materiales!$G$409&lt;=0,H2843,ROUNDUP(H2843/Materiales!$G$409,0)*Materiales!$G$409))</f>
        <v/>
      </c>
      <c r="I2844" s="65">
        <f>IF(I2843&lt;=0,0,IF(Materiales!$G$409&lt;=0,I2843,ROUNDUP(I2843/Materiales!$G$409,0)*Materiales!$G$409))</f>
        <v/>
      </c>
      <c r="J2844" s="65">
        <f>IF(J2843&lt;=0,0,IF(Materiales!$G$409&lt;=0,J2843,ROUNDUP(J2843/Materiales!$G$409,0)*Materiales!$G$409))</f>
        <v/>
      </c>
      <c r="K2844" s="65">
        <f>IF(K2843&lt;=0,0,IF(Materiales!$G$409&lt;=0,K2843,ROUNDUP(K2843/Materiales!$G$409,0)*Materiales!$G$409))</f>
        <v/>
      </c>
      <c r="L2844" s="65">
        <f>IF(L2843&lt;=0,0,IF(Materiales!$G$409&lt;=0,L2843,ROUNDUP(L2843/Materiales!$G$409,0)*Materiales!$G$409))</f>
        <v/>
      </c>
      <c r="M2844" s="66" t="n"/>
    </row>
    <row r="2845">
      <c r="C2845" s="70" t="inlineStr">
        <is>
          <t>LANZAMIENTO DE ORDEN — pedir esta semana</t>
        </is>
      </c>
      <c r="D2845" s="64" t="n"/>
      <c r="E2845" s="71">
        <f>IF(1+Materiales!$F$409&gt;8,0,INDEX($E$2844:$L$2844,1,1+Materiales!$F$409))</f>
        <v/>
      </c>
      <c r="F2845" s="71">
        <f>IF(2+Materiales!$F$409&gt;8,0,INDEX($E$2844:$L$2844,1,2+Materiales!$F$409))</f>
        <v/>
      </c>
      <c r="G2845" s="71">
        <f>IF(3+Materiales!$F$409&gt;8,0,INDEX($E$2844:$L$2844,1,3+Materiales!$F$409))</f>
        <v/>
      </c>
      <c r="H2845" s="71">
        <f>IF(4+Materiales!$F$409&gt;8,0,INDEX($E$2844:$L$2844,1,4+Materiales!$F$409))</f>
        <v/>
      </c>
      <c r="I2845" s="71">
        <f>IF(5+Materiales!$F$409&gt;8,0,INDEX($E$2844:$L$2844,1,5+Materiales!$F$409))</f>
        <v/>
      </c>
      <c r="J2845" s="71">
        <f>IF(6+Materiales!$F$409&gt;8,0,INDEX($E$2844:$L$2844,1,6+Materiales!$F$409))</f>
        <v/>
      </c>
      <c r="K2845" s="71">
        <f>IF(7+Materiales!$F$409&gt;8,0,INDEX($E$2844:$L$2844,1,7+Materiales!$F$409))</f>
        <v/>
      </c>
      <c r="L2845" s="71">
        <f>IF(8+Materiales!$F$409&gt;8,0,INDEX($E$2844:$L$2844,1,8+Materiales!$F$409))</f>
        <v/>
      </c>
      <c r="M2845" s="72">
        <f>IF($A2840="","",IF(SUMPRODUCT((COLUMN($E$2844:$L$2844)-4&lt;=Materiales!$F$409)*$E$2844:$L$2844)&gt;0,"PEDIR YA (atrasado)","OK"))</f>
        <v/>
      </c>
    </row>
    <row r="2846" ht="6" customHeight="1"/>
    <row r="2847">
      <c r="A2847" s="62">
        <f>IF(Materiales!$A$410="","",Materiales!$A$410)</f>
        <v/>
      </c>
      <c r="B2847" s="62">
        <f>IF(Materiales!$B$410="","",Materiales!$B$410)</f>
        <v/>
      </c>
      <c r="C2847" s="63" t="inlineStr">
        <is>
          <t>Necesidad bruta</t>
        </is>
      </c>
      <c r="D2847" s="64" t="n"/>
      <c r="E2847" s="65">
        <f>ROUND(SUMIF(Consumo!$P$4:$P$189,"#"&amp;$A2847,Consumo!H$4:H$189),4)</f>
        <v/>
      </c>
      <c r="F2847" s="65">
        <f>ROUND(SUMIF(Consumo!$P$4:$P$189,"#"&amp;$A2847,Consumo!I$4:I$189),4)</f>
        <v/>
      </c>
      <c r="G2847" s="65">
        <f>ROUND(SUMIF(Consumo!$P$4:$P$189,"#"&amp;$A2847,Consumo!J$4:J$189),4)</f>
        <v/>
      </c>
      <c r="H2847" s="65">
        <f>ROUND(SUMIF(Consumo!$P$4:$P$189,"#"&amp;$A2847,Consumo!K$4:K$189),4)</f>
        <v/>
      </c>
      <c r="I2847" s="65">
        <f>ROUND(SUMIF(Consumo!$P$4:$P$189,"#"&amp;$A2847,Consumo!L$4:L$189),4)</f>
        <v/>
      </c>
      <c r="J2847" s="65">
        <f>ROUND(SUMIF(Consumo!$P$4:$P$189,"#"&amp;$A2847,Consumo!M$4:M$189),4)</f>
        <v/>
      </c>
      <c r="K2847" s="65">
        <f>ROUND(SUMIF(Consumo!$P$4:$P$189,"#"&amp;$A2847,Consumo!N$4:N$189),4)</f>
        <v/>
      </c>
      <c r="L2847" s="65">
        <f>ROUND(SUMIF(Consumo!$P$4:$P$189,"#"&amp;$A2847,Consumo!O$4:O$189),4)</f>
        <v/>
      </c>
      <c r="M2847" s="66" t="n"/>
    </row>
    <row r="2848">
      <c r="C2848" s="63" t="inlineStr">
        <is>
          <t>Recepciones programadas (ya pedido)</t>
        </is>
      </c>
      <c r="D2848" s="64" t="n"/>
      <c r="E2848" s="65">
        <f>SUMIF(Inventario!$M$5:$M$505,"#"&amp;$A2847,Inventario!E$5:E$505)</f>
        <v/>
      </c>
      <c r="F2848" s="65">
        <f>SUMIF(Inventario!$M$5:$M$505,"#"&amp;$A2847,Inventario!F$5:F$505)</f>
        <v/>
      </c>
      <c r="G2848" s="65">
        <f>SUMIF(Inventario!$M$5:$M$505,"#"&amp;$A2847,Inventario!G$5:G$505)</f>
        <v/>
      </c>
      <c r="H2848" s="65">
        <f>SUMIF(Inventario!$M$5:$M$505,"#"&amp;$A2847,Inventario!H$5:H$505)</f>
        <v/>
      </c>
      <c r="I2848" s="65">
        <f>SUMIF(Inventario!$M$5:$M$505,"#"&amp;$A2847,Inventario!I$5:I$505)</f>
        <v/>
      </c>
      <c r="J2848" s="65">
        <f>SUMIF(Inventario!$M$5:$M$505,"#"&amp;$A2847,Inventario!J$5:J$505)</f>
        <v/>
      </c>
      <c r="K2848" s="65">
        <f>SUMIF(Inventario!$M$5:$M$505,"#"&amp;$A2847,Inventario!K$5:K$505)</f>
        <v/>
      </c>
      <c r="L2848" s="65">
        <f>SUMIF(Inventario!$M$5:$M$505,"#"&amp;$A2847,Inventario!L$5:L$505)</f>
        <v/>
      </c>
      <c r="M2848" s="66" t="n"/>
    </row>
    <row r="2849">
      <c r="C2849" s="63" t="inlineStr">
        <is>
          <t>Stock proyectado disponible</t>
        </is>
      </c>
      <c r="D2849" s="67">
        <f>SUMIF(Inventario!$M$5:$M$505,"#"&amp;$A2847,Inventario!$C$5:$C$505)</f>
        <v/>
      </c>
      <c r="E2849" s="68">
        <f>D2849+E2848+E2851-E2847</f>
        <v/>
      </c>
      <c r="F2849" s="68">
        <f>E2849+F2848+F2851-F2847</f>
        <v/>
      </c>
      <c r="G2849" s="68">
        <f>F2849+G2848+G2851-G2847</f>
        <v/>
      </c>
      <c r="H2849" s="68">
        <f>G2849+H2848+H2851-H2847</f>
        <v/>
      </c>
      <c r="I2849" s="68">
        <f>H2849+I2848+I2851-I2847</f>
        <v/>
      </c>
      <c r="J2849" s="68">
        <f>I2849+J2848+J2851-J2847</f>
        <v/>
      </c>
      <c r="K2849" s="68">
        <f>J2849+K2848+K2851-K2847</f>
        <v/>
      </c>
      <c r="L2849" s="68">
        <f>K2849+L2848+L2851-L2847</f>
        <v/>
      </c>
      <c r="M2849" s="66" t="n"/>
    </row>
    <row r="2850">
      <c r="C2850" s="63" t="inlineStr">
        <is>
          <t>Necesidad neta</t>
        </is>
      </c>
      <c r="D2850" s="64" t="n"/>
      <c r="E2850" s="69">
        <f>MAX(0,ROUND(E2847+Materiales!$H$410-D2849-E2848,4))</f>
        <v/>
      </c>
      <c r="F2850" s="69">
        <f>MAX(0,ROUND(F2847+Materiales!$H$410-E2849-F2848,4))</f>
        <v/>
      </c>
      <c r="G2850" s="69">
        <f>MAX(0,ROUND(G2847+Materiales!$H$410-F2849-G2848,4))</f>
        <v/>
      </c>
      <c r="H2850" s="69">
        <f>MAX(0,ROUND(H2847+Materiales!$H$410-G2849-H2848,4))</f>
        <v/>
      </c>
      <c r="I2850" s="69">
        <f>MAX(0,ROUND(I2847+Materiales!$H$410-H2849-I2848,4))</f>
        <v/>
      </c>
      <c r="J2850" s="69">
        <f>MAX(0,ROUND(J2847+Materiales!$H$410-I2849-J2848,4))</f>
        <v/>
      </c>
      <c r="K2850" s="69">
        <f>MAX(0,ROUND(K2847+Materiales!$H$410-J2849-K2848,4))</f>
        <v/>
      </c>
      <c r="L2850" s="69">
        <f>MAX(0,ROUND(L2847+Materiales!$H$410-K2849-L2848,4))</f>
        <v/>
      </c>
      <c r="M2850" s="66" t="n"/>
    </row>
    <row r="2851">
      <c r="C2851" s="63" t="inlineStr">
        <is>
          <t>Recepcion de orden planificada</t>
        </is>
      </c>
      <c r="D2851" s="64" t="n"/>
      <c r="E2851" s="65">
        <f>IF(E2850&lt;=0,0,IF(Materiales!$G$410&lt;=0,E2850,ROUNDUP(E2850/Materiales!$G$410,0)*Materiales!$G$410))</f>
        <v/>
      </c>
      <c r="F2851" s="65">
        <f>IF(F2850&lt;=0,0,IF(Materiales!$G$410&lt;=0,F2850,ROUNDUP(F2850/Materiales!$G$410,0)*Materiales!$G$410))</f>
        <v/>
      </c>
      <c r="G2851" s="65">
        <f>IF(G2850&lt;=0,0,IF(Materiales!$G$410&lt;=0,G2850,ROUNDUP(G2850/Materiales!$G$410,0)*Materiales!$G$410))</f>
        <v/>
      </c>
      <c r="H2851" s="65">
        <f>IF(H2850&lt;=0,0,IF(Materiales!$G$410&lt;=0,H2850,ROUNDUP(H2850/Materiales!$G$410,0)*Materiales!$G$410))</f>
        <v/>
      </c>
      <c r="I2851" s="65">
        <f>IF(I2850&lt;=0,0,IF(Materiales!$G$410&lt;=0,I2850,ROUNDUP(I2850/Materiales!$G$410,0)*Materiales!$G$410))</f>
        <v/>
      </c>
      <c r="J2851" s="65">
        <f>IF(J2850&lt;=0,0,IF(Materiales!$G$410&lt;=0,J2850,ROUNDUP(J2850/Materiales!$G$410,0)*Materiales!$G$410))</f>
        <v/>
      </c>
      <c r="K2851" s="65">
        <f>IF(K2850&lt;=0,0,IF(Materiales!$G$410&lt;=0,K2850,ROUNDUP(K2850/Materiales!$G$410,0)*Materiales!$G$410))</f>
        <v/>
      </c>
      <c r="L2851" s="65">
        <f>IF(L2850&lt;=0,0,IF(Materiales!$G$410&lt;=0,L2850,ROUNDUP(L2850/Materiales!$G$410,0)*Materiales!$G$410))</f>
        <v/>
      </c>
      <c r="M2851" s="66" t="n"/>
    </row>
    <row r="2852">
      <c r="C2852" s="70" t="inlineStr">
        <is>
          <t>LANZAMIENTO DE ORDEN — pedir esta semana</t>
        </is>
      </c>
      <c r="D2852" s="64" t="n"/>
      <c r="E2852" s="71">
        <f>IF(1+Materiales!$F$410&gt;8,0,INDEX($E$2851:$L$2851,1,1+Materiales!$F$410))</f>
        <v/>
      </c>
      <c r="F2852" s="71">
        <f>IF(2+Materiales!$F$410&gt;8,0,INDEX($E$2851:$L$2851,1,2+Materiales!$F$410))</f>
        <v/>
      </c>
      <c r="G2852" s="71">
        <f>IF(3+Materiales!$F$410&gt;8,0,INDEX($E$2851:$L$2851,1,3+Materiales!$F$410))</f>
        <v/>
      </c>
      <c r="H2852" s="71">
        <f>IF(4+Materiales!$F$410&gt;8,0,INDEX($E$2851:$L$2851,1,4+Materiales!$F$410))</f>
        <v/>
      </c>
      <c r="I2852" s="71">
        <f>IF(5+Materiales!$F$410&gt;8,0,INDEX($E$2851:$L$2851,1,5+Materiales!$F$410))</f>
        <v/>
      </c>
      <c r="J2852" s="71">
        <f>IF(6+Materiales!$F$410&gt;8,0,INDEX($E$2851:$L$2851,1,6+Materiales!$F$410))</f>
        <v/>
      </c>
      <c r="K2852" s="71">
        <f>IF(7+Materiales!$F$410&gt;8,0,INDEX($E$2851:$L$2851,1,7+Materiales!$F$410))</f>
        <v/>
      </c>
      <c r="L2852" s="71">
        <f>IF(8+Materiales!$F$410&gt;8,0,INDEX($E$2851:$L$2851,1,8+Materiales!$F$410))</f>
        <v/>
      </c>
      <c r="M2852" s="72">
        <f>IF($A2847="","",IF(SUMPRODUCT((COLUMN($E$2851:$L$2851)-4&lt;=Materiales!$F$410)*$E$2851:$L$2851)&gt;0,"PEDIR YA (atrasado)","OK"))</f>
        <v/>
      </c>
    </row>
    <row r="2853" ht="6" customHeight="1"/>
    <row r="2854">
      <c r="A2854" s="62">
        <f>IF(Materiales!$A$411="","",Materiales!$A$411)</f>
        <v/>
      </c>
      <c r="B2854" s="62">
        <f>IF(Materiales!$B$411="","",Materiales!$B$411)</f>
        <v/>
      </c>
      <c r="C2854" s="63" t="inlineStr">
        <is>
          <t>Necesidad bruta</t>
        </is>
      </c>
      <c r="D2854" s="64" t="n"/>
      <c r="E2854" s="65">
        <f>ROUND(SUMIF(Consumo!$P$4:$P$189,"#"&amp;$A2854,Consumo!H$4:H$189),4)</f>
        <v/>
      </c>
      <c r="F2854" s="65">
        <f>ROUND(SUMIF(Consumo!$P$4:$P$189,"#"&amp;$A2854,Consumo!I$4:I$189),4)</f>
        <v/>
      </c>
      <c r="G2854" s="65">
        <f>ROUND(SUMIF(Consumo!$P$4:$P$189,"#"&amp;$A2854,Consumo!J$4:J$189),4)</f>
        <v/>
      </c>
      <c r="H2854" s="65">
        <f>ROUND(SUMIF(Consumo!$P$4:$P$189,"#"&amp;$A2854,Consumo!K$4:K$189),4)</f>
        <v/>
      </c>
      <c r="I2854" s="65">
        <f>ROUND(SUMIF(Consumo!$P$4:$P$189,"#"&amp;$A2854,Consumo!L$4:L$189),4)</f>
        <v/>
      </c>
      <c r="J2854" s="65">
        <f>ROUND(SUMIF(Consumo!$P$4:$P$189,"#"&amp;$A2854,Consumo!M$4:M$189),4)</f>
        <v/>
      </c>
      <c r="K2854" s="65">
        <f>ROUND(SUMIF(Consumo!$P$4:$P$189,"#"&amp;$A2854,Consumo!N$4:N$189),4)</f>
        <v/>
      </c>
      <c r="L2854" s="65">
        <f>ROUND(SUMIF(Consumo!$P$4:$P$189,"#"&amp;$A2854,Consumo!O$4:O$189),4)</f>
        <v/>
      </c>
      <c r="M2854" s="66" t="n"/>
    </row>
    <row r="2855">
      <c r="C2855" s="63" t="inlineStr">
        <is>
          <t>Recepciones programadas (ya pedido)</t>
        </is>
      </c>
      <c r="D2855" s="64" t="n"/>
      <c r="E2855" s="65">
        <f>SUMIF(Inventario!$M$5:$M$505,"#"&amp;$A2854,Inventario!E$5:E$505)</f>
        <v/>
      </c>
      <c r="F2855" s="65">
        <f>SUMIF(Inventario!$M$5:$M$505,"#"&amp;$A2854,Inventario!F$5:F$505)</f>
        <v/>
      </c>
      <c r="G2855" s="65">
        <f>SUMIF(Inventario!$M$5:$M$505,"#"&amp;$A2854,Inventario!G$5:G$505)</f>
        <v/>
      </c>
      <c r="H2855" s="65">
        <f>SUMIF(Inventario!$M$5:$M$505,"#"&amp;$A2854,Inventario!H$5:H$505)</f>
        <v/>
      </c>
      <c r="I2855" s="65">
        <f>SUMIF(Inventario!$M$5:$M$505,"#"&amp;$A2854,Inventario!I$5:I$505)</f>
        <v/>
      </c>
      <c r="J2855" s="65">
        <f>SUMIF(Inventario!$M$5:$M$505,"#"&amp;$A2854,Inventario!J$5:J$505)</f>
        <v/>
      </c>
      <c r="K2855" s="65">
        <f>SUMIF(Inventario!$M$5:$M$505,"#"&amp;$A2854,Inventario!K$5:K$505)</f>
        <v/>
      </c>
      <c r="L2855" s="65">
        <f>SUMIF(Inventario!$M$5:$M$505,"#"&amp;$A2854,Inventario!L$5:L$505)</f>
        <v/>
      </c>
      <c r="M2855" s="66" t="n"/>
    </row>
    <row r="2856">
      <c r="C2856" s="63" t="inlineStr">
        <is>
          <t>Stock proyectado disponible</t>
        </is>
      </c>
      <c r="D2856" s="67">
        <f>SUMIF(Inventario!$M$5:$M$505,"#"&amp;$A2854,Inventario!$C$5:$C$505)</f>
        <v/>
      </c>
      <c r="E2856" s="68">
        <f>D2856+E2855+E2858-E2854</f>
        <v/>
      </c>
      <c r="F2856" s="68">
        <f>E2856+F2855+F2858-F2854</f>
        <v/>
      </c>
      <c r="G2856" s="68">
        <f>F2856+G2855+G2858-G2854</f>
        <v/>
      </c>
      <c r="H2856" s="68">
        <f>G2856+H2855+H2858-H2854</f>
        <v/>
      </c>
      <c r="I2856" s="68">
        <f>H2856+I2855+I2858-I2854</f>
        <v/>
      </c>
      <c r="J2856" s="68">
        <f>I2856+J2855+J2858-J2854</f>
        <v/>
      </c>
      <c r="K2856" s="68">
        <f>J2856+K2855+K2858-K2854</f>
        <v/>
      </c>
      <c r="L2856" s="68">
        <f>K2856+L2855+L2858-L2854</f>
        <v/>
      </c>
      <c r="M2856" s="66" t="n"/>
    </row>
    <row r="2857">
      <c r="C2857" s="63" t="inlineStr">
        <is>
          <t>Necesidad neta</t>
        </is>
      </c>
      <c r="D2857" s="64" t="n"/>
      <c r="E2857" s="69">
        <f>MAX(0,ROUND(E2854+Materiales!$H$411-D2856-E2855,4))</f>
        <v/>
      </c>
      <c r="F2857" s="69">
        <f>MAX(0,ROUND(F2854+Materiales!$H$411-E2856-F2855,4))</f>
        <v/>
      </c>
      <c r="G2857" s="69">
        <f>MAX(0,ROUND(G2854+Materiales!$H$411-F2856-G2855,4))</f>
        <v/>
      </c>
      <c r="H2857" s="69">
        <f>MAX(0,ROUND(H2854+Materiales!$H$411-G2856-H2855,4))</f>
        <v/>
      </c>
      <c r="I2857" s="69">
        <f>MAX(0,ROUND(I2854+Materiales!$H$411-H2856-I2855,4))</f>
        <v/>
      </c>
      <c r="J2857" s="69">
        <f>MAX(0,ROUND(J2854+Materiales!$H$411-I2856-J2855,4))</f>
        <v/>
      </c>
      <c r="K2857" s="69">
        <f>MAX(0,ROUND(K2854+Materiales!$H$411-J2856-K2855,4))</f>
        <v/>
      </c>
      <c r="L2857" s="69">
        <f>MAX(0,ROUND(L2854+Materiales!$H$411-K2856-L2855,4))</f>
        <v/>
      </c>
      <c r="M2857" s="66" t="n"/>
    </row>
    <row r="2858">
      <c r="C2858" s="63" t="inlineStr">
        <is>
          <t>Recepcion de orden planificada</t>
        </is>
      </c>
      <c r="D2858" s="64" t="n"/>
      <c r="E2858" s="65">
        <f>IF(E2857&lt;=0,0,IF(Materiales!$G$411&lt;=0,E2857,ROUNDUP(E2857/Materiales!$G$411,0)*Materiales!$G$411))</f>
        <v/>
      </c>
      <c r="F2858" s="65">
        <f>IF(F2857&lt;=0,0,IF(Materiales!$G$411&lt;=0,F2857,ROUNDUP(F2857/Materiales!$G$411,0)*Materiales!$G$411))</f>
        <v/>
      </c>
      <c r="G2858" s="65">
        <f>IF(G2857&lt;=0,0,IF(Materiales!$G$411&lt;=0,G2857,ROUNDUP(G2857/Materiales!$G$411,0)*Materiales!$G$411))</f>
        <v/>
      </c>
      <c r="H2858" s="65">
        <f>IF(H2857&lt;=0,0,IF(Materiales!$G$411&lt;=0,H2857,ROUNDUP(H2857/Materiales!$G$411,0)*Materiales!$G$411))</f>
        <v/>
      </c>
      <c r="I2858" s="65">
        <f>IF(I2857&lt;=0,0,IF(Materiales!$G$411&lt;=0,I2857,ROUNDUP(I2857/Materiales!$G$411,0)*Materiales!$G$411))</f>
        <v/>
      </c>
      <c r="J2858" s="65">
        <f>IF(J2857&lt;=0,0,IF(Materiales!$G$411&lt;=0,J2857,ROUNDUP(J2857/Materiales!$G$411,0)*Materiales!$G$411))</f>
        <v/>
      </c>
      <c r="K2858" s="65">
        <f>IF(K2857&lt;=0,0,IF(Materiales!$G$411&lt;=0,K2857,ROUNDUP(K2857/Materiales!$G$411,0)*Materiales!$G$411))</f>
        <v/>
      </c>
      <c r="L2858" s="65">
        <f>IF(L2857&lt;=0,0,IF(Materiales!$G$411&lt;=0,L2857,ROUNDUP(L2857/Materiales!$G$411,0)*Materiales!$G$411))</f>
        <v/>
      </c>
      <c r="M2858" s="66" t="n"/>
    </row>
    <row r="2859">
      <c r="C2859" s="70" t="inlineStr">
        <is>
          <t>LANZAMIENTO DE ORDEN — pedir esta semana</t>
        </is>
      </c>
      <c r="D2859" s="64" t="n"/>
      <c r="E2859" s="71">
        <f>IF(1+Materiales!$F$411&gt;8,0,INDEX($E$2858:$L$2858,1,1+Materiales!$F$411))</f>
        <v/>
      </c>
      <c r="F2859" s="71">
        <f>IF(2+Materiales!$F$411&gt;8,0,INDEX($E$2858:$L$2858,1,2+Materiales!$F$411))</f>
        <v/>
      </c>
      <c r="G2859" s="71">
        <f>IF(3+Materiales!$F$411&gt;8,0,INDEX($E$2858:$L$2858,1,3+Materiales!$F$411))</f>
        <v/>
      </c>
      <c r="H2859" s="71">
        <f>IF(4+Materiales!$F$411&gt;8,0,INDEX($E$2858:$L$2858,1,4+Materiales!$F$411))</f>
        <v/>
      </c>
      <c r="I2859" s="71">
        <f>IF(5+Materiales!$F$411&gt;8,0,INDEX($E$2858:$L$2858,1,5+Materiales!$F$411))</f>
        <v/>
      </c>
      <c r="J2859" s="71">
        <f>IF(6+Materiales!$F$411&gt;8,0,INDEX($E$2858:$L$2858,1,6+Materiales!$F$411))</f>
        <v/>
      </c>
      <c r="K2859" s="71">
        <f>IF(7+Materiales!$F$411&gt;8,0,INDEX($E$2858:$L$2858,1,7+Materiales!$F$411))</f>
        <v/>
      </c>
      <c r="L2859" s="71">
        <f>IF(8+Materiales!$F$411&gt;8,0,INDEX($E$2858:$L$2858,1,8+Materiales!$F$411))</f>
        <v/>
      </c>
      <c r="M2859" s="72">
        <f>IF($A2854="","",IF(SUMPRODUCT((COLUMN($E$2858:$L$2858)-4&lt;=Materiales!$F$411)*$E$2858:$L$2858)&gt;0,"PEDIR YA (atrasado)","OK"))</f>
        <v/>
      </c>
    </row>
    <row r="2860" ht="6" customHeight="1"/>
    <row r="2861">
      <c r="A2861" s="62">
        <f>IF(Materiales!$A$412="","",Materiales!$A$412)</f>
        <v/>
      </c>
      <c r="B2861" s="62">
        <f>IF(Materiales!$B$412="","",Materiales!$B$412)</f>
        <v/>
      </c>
      <c r="C2861" s="63" t="inlineStr">
        <is>
          <t>Necesidad bruta</t>
        </is>
      </c>
      <c r="D2861" s="64" t="n"/>
      <c r="E2861" s="65">
        <f>ROUND(SUMIF(Consumo!$P$4:$P$189,"#"&amp;$A2861,Consumo!H$4:H$189),4)</f>
        <v/>
      </c>
      <c r="F2861" s="65">
        <f>ROUND(SUMIF(Consumo!$P$4:$P$189,"#"&amp;$A2861,Consumo!I$4:I$189),4)</f>
        <v/>
      </c>
      <c r="G2861" s="65">
        <f>ROUND(SUMIF(Consumo!$P$4:$P$189,"#"&amp;$A2861,Consumo!J$4:J$189),4)</f>
        <v/>
      </c>
      <c r="H2861" s="65">
        <f>ROUND(SUMIF(Consumo!$P$4:$P$189,"#"&amp;$A2861,Consumo!K$4:K$189),4)</f>
        <v/>
      </c>
      <c r="I2861" s="65">
        <f>ROUND(SUMIF(Consumo!$P$4:$P$189,"#"&amp;$A2861,Consumo!L$4:L$189),4)</f>
        <v/>
      </c>
      <c r="J2861" s="65">
        <f>ROUND(SUMIF(Consumo!$P$4:$P$189,"#"&amp;$A2861,Consumo!M$4:M$189),4)</f>
        <v/>
      </c>
      <c r="K2861" s="65">
        <f>ROUND(SUMIF(Consumo!$P$4:$P$189,"#"&amp;$A2861,Consumo!N$4:N$189),4)</f>
        <v/>
      </c>
      <c r="L2861" s="65">
        <f>ROUND(SUMIF(Consumo!$P$4:$P$189,"#"&amp;$A2861,Consumo!O$4:O$189),4)</f>
        <v/>
      </c>
      <c r="M2861" s="66" t="n"/>
    </row>
    <row r="2862">
      <c r="C2862" s="63" t="inlineStr">
        <is>
          <t>Recepciones programadas (ya pedido)</t>
        </is>
      </c>
      <c r="D2862" s="64" t="n"/>
      <c r="E2862" s="65">
        <f>SUMIF(Inventario!$M$5:$M$505,"#"&amp;$A2861,Inventario!E$5:E$505)</f>
        <v/>
      </c>
      <c r="F2862" s="65">
        <f>SUMIF(Inventario!$M$5:$M$505,"#"&amp;$A2861,Inventario!F$5:F$505)</f>
        <v/>
      </c>
      <c r="G2862" s="65">
        <f>SUMIF(Inventario!$M$5:$M$505,"#"&amp;$A2861,Inventario!G$5:G$505)</f>
        <v/>
      </c>
      <c r="H2862" s="65">
        <f>SUMIF(Inventario!$M$5:$M$505,"#"&amp;$A2861,Inventario!H$5:H$505)</f>
        <v/>
      </c>
      <c r="I2862" s="65">
        <f>SUMIF(Inventario!$M$5:$M$505,"#"&amp;$A2861,Inventario!I$5:I$505)</f>
        <v/>
      </c>
      <c r="J2862" s="65">
        <f>SUMIF(Inventario!$M$5:$M$505,"#"&amp;$A2861,Inventario!J$5:J$505)</f>
        <v/>
      </c>
      <c r="K2862" s="65">
        <f>SUMIF(Inventario!$M$5:$M$505,"#"&amp;$A2861,Inventario!K$5:K$505)</f>
        <v/>
      </c>
      <c r="L2862" s="65">
        <f>SUMIF(Inventario!$M$5:$M$505,"#"&amp;$A2861,Inventario!L$5:L$505)</f>
        <v/>
      </c>
      <c r="M2862" s="66" t="n"/>
    </row>
    <row r="2863">
      <c r="C2863" s="63" t="inlineStr">
        <is>
          <t>Stock proyectado disponible</t>
        </is>
      </c>
      <c r="D2863" s="67">
        <f>SUMIF(Inventario!$M$5:$M$505,"#"&amp;$A2861,Inventario!$C$5:$C$505)</f>
        <v/>
      </c>
      <c r="E2863" s="68">
        <f>D2863+E2862+E2865-E2861</f>
        <v/>
      </c>
      <c r="F2863" s="68">
        <f>E2863+F2862+F2865-F2861</f>
        <v/>
      </c>
      <c r="G2863" s="68">
        <f>F2863+G2862+G2865-G2861</f>
        <v/>
      </c>
      <c r="H2863" s="68">
        <f>G2863+H2862+H2865-H2861</f>
        <v/>
      </c>
      <c r="I2863" s="68">
        <f>H2863+I2862+I2865-I2861</f>
        <v/>
      </c>
      <c r="J2863" s="68">
        <f>I2863+J2862+J2865-J2861</f>
        <v/>
      </c>
      <c r="K2863" s="68">
        <f>J2863+K2862+K2865-K2861</f>
        <v/>
      </c>
      <c r="L2863" s="68">
        <f>K2863+L2862+L2865-L2861</f>
        <v/>
      </c>
      <c r="M2863" s="66" t="n"/>
    </row>
    <row r="2864">
      <c r="C2864" s="63" t="inlineStr">
        <is>
          <t>Necesidad neta</t>
        </is>
      </c>
      <c r="D2864" s="64" t="n"/>
      <c r="E2864" s="69">
        <f>MAX(0,ROUND(E2861+Materiales!$H$412-D2863-E2862,4))</f>
        <v/>
      </c>
      <c r="F2864" s="69">
        <f>MAX(0,ROUND(F2861+Materiales!$H$412-E2863-F2862,4))</f>
        <v/>
      </c>
      <c r="G2864" s="69">
        <f>MAX(0,ROUND(G2861+Materiales!$H$412-F2863-G2862,4))</f>
        <v/>
      </c>
      <c r="H2864" s="69">
        <f>MAX(0,ROUND(H2861+Materiales!$H$412-G2863-H2862,4))</f>
        <v/>
      </c>
      <c r="I2864" s="69">
        <f>MAX(0,ROUND(I2861+Materiales!$H$412-H2863-I2862,4))</f>
        <v/>
      </c>
      <c r="J2864" s="69">
        <f>MAX(0,ROUND(J2861+Materiales!$H$412-I2863-J2862,4))</f>
        <v/>
      </c>
      <c r="K2864" s="69">
        <f>MAX(0,ROUND(K2861+Materiales!$H$412-J2863-K2862,4))</f>
        <v/>
      </c>
      <c r="L2864" s="69">
        <f>MAX(0,ROUND(L2861+Materiales!$H$412-K2863-L2862,4))</f>
        <v/>
      </c>
      <c r="M2864" s="66" t="n"/>
    </row>
    <row r="2865">
      <c r="C2865" s="63" t="inlineStr">
        <is>
          <t>Recepcion de orden planificada</t>
        </is>
      </c>
      <c r="D2865" s="64" t="n"/>
      <c r="E2865" s="65">
        <f>IF(E2864&lt;=0,0,IF(Materiales!$G$412&lt;=0,E2864,ROUNDUP(E2864/Materiales!$G$412,0)*Materiales!$G$412))</f>
        <v/>
      </c>
      <c r="F2865" s="65">
        <f>IF(F2864&lt;=0,0,IF(Materiales!$G$412&lt;=0,F2864,ROUNDUP(F2864/Materiales!$G$412,0)*Materiales!$G$412))</f>
        <v/>
      </c>
      <c r="G2865" s="65">
        <f>IF(G2864&lt;=0,0,IF(Materiales!$G$412&lt;=0,G2864,ROUNDUP(G2864/Materiales!$G$412,0)*Materiales!$G$412))</f>
        <v/>
      </c>
      <c r="H2865" s="65">
        <f>IF(H2864&lt;=0,0,IF(Materiales!$G$412&lt;=0,H2864,ROUNDUP(H2864/Materiales!$G$412,0)*Materiales!$G$412))</f>
        <v/>
      </c>
      <c r="I2865" s="65">
        <f>IF(I2864&lt;=0,0,IF(Materiales!$G$412&lt;=0,I2864,ROUNDUP(I2864/Materiales!$G$412,0)*Materiales!$G$412))</f>
        <v/>
      </c>
      <c r="J2865" s="65">
        <f>IF(J2864&lt;=0,0,IF(Materiales!$G$412&lt;=0,J2864,ROUNDUP(J2864/Materiales!$G$412,0)*Materiales!$G$412))</f>
        <v/>
      </c>
      <c r="K2865" s="65">
        <f>IF(K2864&lt;=0,0,IF(Materiales!$G$412&lt;=0,K2864,ROUNDUP(K2864/Materiales!$G$412,0)*Materiales!$G$412))</f>
        <v/>
      </c>
      <c r="L2865" s="65">
        <f>IF(L2864&lt;=0,0,IF(Materiales!$G$412&lt;=0,L2864,ROUNDUP(L2864/Materiales!$G$412,0)*Materiales!$G$412))</f>
        <v/>
      </c>
      <c r="M2865" s="66" t="n"/>
    </row>
    <row r="2866">
      <c r="C2866" s="70" t="inlineStr">
        <is>
          <t>LANZAMIENTO DE ORDEN — pedir esta semana</t>
        </is>
      </c>
      <c r="D2866" s="64" t="n"/>
      <c r="E2866" s="71">
        <f>IF(1+Materiales!$F$412&gt;8,0,INDEX($E$2865:$L$2865,1,1+Materiales!$F$412))</f>
        <v/>
      </c>
      <c r="F2866" s="71">
        <f>IF(2+Materiales!$F$412&gt;8,0,INDEX($E$2865:$L$2865,1,2+Materiales!$F$412))</f>
        <v/>
      </c>
      <c r="G2866" s="71">
        <f>IF(3+Materiales!$F$412&gt;8,0,INDEX($E$2865:$L$2865,1,3+Materiales!$F$412))</f>
        <v/>
      </c>
      <c r="H2866" s="71">
        <f>IF(4+Materiales!$F$412&gt;8,0,INDEX($E$2865:$L$2865,1,4+Materiales!$F$412))</f>
        <v/>
      </c>
      <c r="I2866" s="71">
        <f>IF(5+Materiales!$F$412&gt;8,0,INDEX($E$2865:$L$2865,1,5+Materiales!$F$412))</f>
        <v/>
      </c>
      <c r="J2866" s="71">
        <f>IF(6+Materiales!$F$412&gt;8,0,INDEX($E$2865:$L$2865,1,6+Materiales!$F$412))</f>
        <v/>
      </c>
      <c r="K2866" s="71">
        <f>IF(7+Materiales!$F$412&gt;8,0,INDEX($E$2865:$L$2865,1,7+Materiales!$F$412))</f>
        <v/>
      </c>
      <c r="L2866" s="71">
        <f>IF(8+Materiales!$F$412&gt;8,0,INDEX($E$2865:$L$2865,1,8+Materiales!$F$412))</f>
        <v/>
      </c>
      <c r="M2866" s="72">
        <f>IF($A2861="","",IF(SUMPRODUCT((COLUMN($E$2865:$L$2865)-4&lt;=Materiales!$F$412)*$E$2865:$L$2865)&gt;0,"PEDIR YA (atrasado)","OK"))</f>
        <v/>
      </c>
    </row>
    <row r="2867" ht="6" customHeight="1"/>
    <row r="2868">
      <c r="A2868" s="62">
        <f>IF(Materiales!$A$413="","",Materiales!$A$413)</f>
        <v/>
      </c>
      <c r="B2868" s="62">
        <f>IF(Materiales!$B$413="","",Materiales!$B$413)</f>
        <v/>
      </c>
      <c r="C2868" s="63" t="inlineStr">
        <is>
          <t>Necesidad bruta</t>
        </is>
      </c>
      <c r="D2868" s="64" t="n"/>
      <c r="E2868" s="65">
        <f>ROUND(SUMIF(Consumo!$P$4:$P$189,"#"&amp;$A2868,Consumo!H$4:H$189),4)</f>
        <v/>
      </c>
      <c r="F2868" s="65">
        <f>ROUND(SUMIF(Consumo!$P$4:$P$189,"#"&amp;$A2868,Consumo!I$4:I$189),4)</f>
        <v/>
      </c>
      <c r="G2868" s="65">
        <f>ROUND(SUMIF(Consumo!$P$4:$P$189,"#"&amp;$A2868,Consumo!J$4:J$189),4)</f>
        <v/>
      </c>
      <c r="H2868" s="65">
        <f>ROUND(SUMIF(Consumo!$P$4:$P$189,"#"&amp;$A2868,Consumo!K$4:K$189),4)</f>
        <v/>
      </c>
      <c r="I2868" s="65">
        <f>ROUND(SUMIF(Consumo!$P$4:$P$189,"#"&amp;$A2868,Consumo!L$4:L$189),4)</f>
        <v/>
      </c>
      <c r="J2868" s="65">
        <f>ROUND(SUMIF(Consumo!$P$4:$P$189,"#"&amp;$A2868,Consumo!M$4:M$189),4)</f>
        <v/>
      </c>
      <c r="K2868" s="65">
        <f>ROUND(SUMIF(Consumo!$P$4:$P$189,"#"&amp;$A2868,Consumo!N$4:N$189),4)</f>
        <v/>
      </c>
      <c r="L2868" s="65">
        <f>ROUND(SUMIF(Consumo!$P$4:$P$189,"#"&amp;$A2868,Consumo!O$4:O$189),4)</f>
        <v/>
      </c>
      <c r="M2868" s="66" t="n"/>
    </row>
    <row r="2869">
      <c r="C2869" s="63" t="inlineStr">
        <is>
          <t>Recepciones programadas (ya pedido)</t>
        </is>
      </c>
      <c r="D2869" s="64" t="n"/>
      <c r="E2869" s="65">
        <f>SUMIF(Inventario!$M$5:$M$505,"#"&amp;$A2868,Inventario!E$5:E$505)</f>
        <v/>
      </c>
      <c r="F2869" s="65">
        <f>SUMIF(Inventario!$M$5:$M$505,"#"&amp;$A2868,Inventario!F$5:F$505)</f>
        <v/>
      </c>
      <c r="G2869" s="65">
        <f>SUMIF(Inventario!$M$5:$M$505,"#"&amp;$A2868,Inventario!G$5:G$505)</f>
        <v/>
      </c>
      <c r="H2869" s="65">
        <f>SUMIF(Inventario!$M$5:$M$505,"#"&amp;$A2868,Inventario!H$5:H$505)</f>
        <v/>
      </c>
      <c r="I2869" s="65">
        <f>SUMIF(Inventario!$M$5:$M$505,"#"&amp;$A2868,Inventario!I$5:I$505)</f>
        <v/>
      </c>
      <c r="J2869" s="65">
        <f>SUMIF(Inventario!$M$5:$M$505,"#"&amp;$A2868,Inventario!J$5:J$505)</f>
        <v/>
      </c>
      <c r="K2869" s="65">
        <f>SUMIF(Inventario!$M$5:$M$505,"#"&amp;$A2868,Inventario!K$5:K$505)</f>
        <v/>
      </c>
      <c r="L2869" s="65">
        <f>SUMIF(Inventario!$M$5:$M$505,"#"&amp;$A2868,Inventario!L$5:L$505)</f>
        <v/>
      </c>
      <c r="M2869" s="66" t="n"/>
    </row>
    <row r="2870">
      <c r="C2870" s="63" t="inlineStr">
        <is>
          <t>Stock proyectado disponible</t>
        </is>
      </c>
      <c r="D2870" s="67">
        <f>SUMIF(Inventario!$M$5:$M$505,"#"&amp;$A2868,Inventario!$C$5:$C$505)</f>
        <v/>
      </c>
      <c r="E2870" s="68">
        <f>D2870+E2869+E2872-E2868</f>
        <v/>
      </c>
      <c r="F2870" s="68">
        <f>E2870+F2869+F2872-F2868</f>
        <v/>
      </c>
      <c r="G2870" s="68">
        <f>F2870+G2869+G2872-G2868</f>
        <v/>
      </c>
      <c r="H2870" s="68">
        <f>G2870+H2869+H2872-H2868</f>
        <v/>
      </c>
      <c r="I2870" s="68">
        <f>H2870+I2869+I2872-I2868</f>
        <v/>
      </c>
      <c r="J2870" s="68">
        <f>I2870+J2869+J2872-J2868</f>
        <v/>
      </c>
      <c r="K2870" s="68">
        <f>J2870+K2869+K2872-K2868</f>
        <v/>
      </c>
      <c r="L2870" s="68">
        <f>K2870+L2869+L2872-L2868</f>
        <v/>
      </c>
      <c r="M2870" s="66" t="n"/>
    </row>
    <row r="2871">
      <c r="C2871" s="63" t="inlineStr">
        <is>
          <t>Necesidad neta</t>
        </is>
      </c>
      <c r="D2871" s="64" t="n"/>
      <c r="E2871" s="69">
        <f>MAX(0,ROUND(E2868+Materiales!$H$413-D2870-E2869,4))</f>
        <v/>
      </c>
      <c r="F2871" s="69">
        <f>MAX(0,ROUND(F2868+Materiales!$H$413-E2870-F2869,4))</f>
        <v/>
      </c>
      <c r="G2871" s="69">
        <f>MAX(0,ROUND(G2868+Materiales!$H$413-F2870-G2869,4))</f>
        <v/>
      </c>
      <c r="H2871" s="69">
        <f>MAX(0,ROUND(H2868+Materiales!$H$413-G2870-H2869,4))</f>
        <v/>
      </c>
      <c r="I2871" s="69">
        <f>MAX(0,ROUND(I2868+Materiales!$H$413-H2870-I2869,4))</f>
        <v/>
      </c>
      <c r="J2871" s="69">
        <f>MAX(0,ROUND(J2868+Materiales!$H$413-I2870-J2869,4))</f>
        <v/>
      </c>
      <c r="K2871" s="69">
        <f>MAX(0,ROUND(K2868+Materiales!$H$413-J2870-K2869,4))</f>
        <v/>
      </c>
      <c r="L2871" s="69">
        <f>MAX(0,ROUND(L2868+Materiales!$H$413-K2870-L2869,4))</f>
        <v/>
      </c>
      <c r="M2871" s="66" t="n"/>
    </row>
    <row r="2872">
      <c r="C2872" s="63" t="inlineStr">
        <is>
          <t>Recepcion de orden planificada</t>
        </is>
      </c>
      <c r="D2872" s="64" t="n"/>
      <c r="E2872" s="65">
        <f>IF(E2871&lt;=0,0,IF(Materiales!$G$413&lt;=0,E2871,ROUNDUP(E2871/Materiales!$G$413,0)*Materiales!$G$413))</f>
        <v/>
      </c>
      <c r="F2872" s="65">
        <f>IF(F2871&lt;=0,0,IF(Materiales!$G$413&lt;=0,F2871,ROUNDUP(F2871/Materiales!$G$413,0)*Materiales!$G$413))</f>
        <v/>
      </c>
      <c r="G2872" s="65">
        <f>IF(G2871&lt;=0,0,IF(Materiales!$G$413&lt;=0,G2871,ROUNDUP(G2871/Materiales!$G$413,0)*Materiales!$G$413))</f>
        <v/>
      </c>
      <c r="H2872" s="65">
        <f>IF(H2871&lt;=0,0,IF(Materiales!$G$413&lt;=0,H2871,ROUNDUP(H2871/Materiales!$G$413,0)*Materiales!$G$413))</f>
        <v/>
      </c>
      <c r="I2872" s="65">
        <f>IF(I2871&lt;=0,0,IF(Materiales!$G$413&lt;=0,I2871,ROUNDUP(I2871/Materiales!$G$413,0)*Materiales!$G$413))</f>
        <v/>
      </c>
      <c r="J2872" s="65">
        <f>IF(J2871&lt;=0,0,IF(Materiales!$G$413&lt;=0,J2871,ROUNDUP(J2871/Materiales!$G$413,0)*Materiales!$G$413))</f>
        <v/>
      </c>
      <c r="K2872" s="65">
        <f>IF(K2871&lt;=0,0,IF(Materiales!$G$413&lt;=0,K2871,ROUNDUP(K2871/Materiales!$G$413,0)*Materiales!$G$413))</f>
        <v/>
      </c>
      <c r="L2872" s="65">
        <f>IF(L2871&lt;=0,0,IF(Materiales!$G$413&lt;=0,L2871,ROUNDUP(L2871/Materiales!$G$413,0)*Materiales!$G$413))</f>
        <v/>
      </c>
      <c r="M2872" s="66" t="n"/>
    </row>
    <row r="2873">
      <c r="C2873" s="70" t="inlineStr">
        <is>
          <t>LANZAMIENTO DE ORDEN — pedir esta semana</t>
        </is>
      </c>
      <c r="D2873" s="64" t="n"/>
      <c r="E2873" s="71">
        <f>IF(1+Materiales!$F$413&gt;8,0,INDEX($E$2872:$L$2872,1,1+Materiales!$F$413))</f>
        <v/>
      </c>
      <c r="F2873" s="71">
        <f>IF(2+Materiales!$F$413&gt;8,0,INDEX($E$2872:$L$2872,1,2+Materiales!$F$413))</f>
        <v/>
      </c>
      <c r="G2873" s="71">
        <f>IF(3+Materiales!$F$413&gt;8,0,INDEX($E$2872:$L$2872,1,3+Materiales!$F$413))</f>
        <v/>
      </c>
      <c r="H2873" s="71">
        <f>IF(4+Materiales!$F$413&gt;8,0,INDEX($E$2872:$L$2872,1,4+Materiales!$F$413))</f>
        <v/>
      </c>
      <c r="I2873" s="71">
        <f>IF(5+Materiales!$F$413&gt;8,0,INDEX($E$2872:$L$2872,1,5+Materiales!$F$413))</f>
        <v/>
      </c>
      <c r="J2873" s="71">
        <f>IF(6+Materiales!$F$413&gt;8,0,INDEX($E$2872:$L$2872,1,6+Materiales!$F$413))</f>
        <v/>
      </c>
      <c r="K2873" s="71">
        <f>IF(7+Materiales!$F$413&gt;8,0,INDEX($E$2872:$L$2872,1,7+Materiales!$F$413))</f>
        <v/>
      </c>
      <c r="L2873" s="71">
        <f>IF(8+Materiales!$F$413&gt;8,0,INDEX($E$2872:$L$2872,1,8+Materiales!$F$413))</f>
        <v/>
      </c>
      <c r="M2873" s="72">
        <f>IF($A2868="","",IF(SUMPRODUCT((COLUMN($E$2872:$L$2872)-4&lt;=Materiales!$F$413)*$E$2872:$L$2872)&gt;0,"PEDIR YA (atrasado)","OK"))</f>
        <v/>
      </c>
    </row>
    <row r="2874" ht="6" customHeight="1"/>
    <row r="2875">
      <c r="A2875" s="62">
        <f>IF(Materiales!$A$414="","",Materiales!$A$414)</f>
        <v/>
      </c>
      <c r="B2875" s="62">
        <f>IF(Materiales!$B$414="","",Materiales!$B$414)</f>
        <v/>
      </c>
      <c r="C2875" s="63" t="inlineStr">
        <is>
          <t>Necesidad bruta</t>
        </is>
      </c>
      <c r="D2875" s="64" t="n"/>
      <c r="E2875" s="65">
        <f>ROUND(SUMIF(Consumo!$P$4:$P$189,"#"&amp;$A2875,Consumo!H$4:H$189),4)</f>
        <v/>
      </c>
      <c r="F2875" s="65">
        <f>ROUND(SUMIF(Consumo!$P$4:$P$189,"#"&amp;$A2875,Consumo!I$4:I$189),4)</f>
        <v/>
      </c>
      <c r="G2875" s="65">
        <f>ROUND(SUMIF(Consumo!$P$4:$P$189,"#"&amp;$A2875,Consumo!J$4:J$189),4)</f>
        <v/>
      </c>
      <c r="H2875" s="65">
        <f>ROUND(SUMIF(Consumo!$P$4:$P$189,"#"&amp;$A2875,Consumo!K$4:K$189),4)</f>
        <v/>
      </c>
      <c r="I2875" s="65">
        <f>ROUND(SUMIF(Consumo!$P$4:$P$189,"#"&amp;$A2875,Consumo!L$4:L$189),4)</f>
        <v/>
      </c>
      <c r="J2875" s="65">
        <f>ROUND(SUMIF(Consumo!$P$4:$P$189,"#"&amp;$A2875,Consumo!M$4:M$189),4)</f>
        <v/>
      </c>
      <c r="K2875" s="65">
        <f>ROUND(SUMIF(Consumo!$P$4:$P$189,"#"&amp;$A2875,Consumo!N$4:N$189),4)</f>
        <v/>
      </c>
      <c r="L2875" s="65">
        <f>ROUND(SUMIF(Consumo!$P$4:$P$189,"#"&amp;$A2875,Consumo!O$4:O$189),4)</f>
        <v/>
      </c>
      <c r="M2875" s="66" t="n"/>
    </row>
    <row r="2876">
      <c r="C2876" s="63" t="inlineStr">
        <is>
          <t>Recepciones programadas (ya pedido)</t>
        </is>
      </c>
      <c r="D2876" s="64" t="n"/>
      <c r="E2876" s="65">
        <f>SUMIF(Inventario!$M$5:$M$505,"#"&amp;$A2875,Inventario!E$5:E$505)</f>
        <v/>
      </c>
      <c r="F2876" s="65">
        <f>SUMIF(Inventario!$M$5:$M$505,"#"&amp;$A2875,Inventario!F$5:F$505)</f>
        <v/>
      </c>
      <c r="G2876" s="65">
        <f>SUMIF(Inventario!$M$5:$M$505,"#"&amp;$A2875,Inventario!G$5:G$505)</f>
        <v/>
      </c>
      <c r="H2876" s="65">
        <f>SUMIF(Inventario!$M$5:$M$505,"#"&amp;$A2875,Inventario!H$5:H$505)</f>
        <v/>
      </c>
      <c r="I2876" s="65">
        <f>SUMIF(Inventario!$M$5:$M$505,"#"&amp;$A2875,Inventario!I$5:I$505)</f>
        <v/>
      </c>
      <c r="J2876" s="65">
        <f>SUMIF(Inventario!$M$5:$M$505,"#"&amp;$A2875,Inventario!J$5:J$505)</f>
        <v/>
      </c>
      <c r="K2876" s="65">
        <f>SUMIF(Inventario!$M$5:$M$505,"#"&amp;$A2875,Inventario!K$5:K$505)</f>
        <v/>
      </c>
      <c r="L2876" s="65">
        <f>SUMIF(Inventario!$M$5:$M$505,"#"&amp;$A2875,Inventario!L$5:L$505)</f>
        <v/>
      </c>
      <c r="M2876" s="66" t="n"/>
    </row>
    <row r="2877">
      <c r="C2877" s="63" t="inlineStr">
        <is>
          <t>Stock proyectado disponible</t>
        </is>
      </c>
      <c r="D2877" s="67">
        <f>SUMIF(Inventario!$M$5:$M$505,"#"&amp;$A2875,Inventario!$C$5:$C$505)</f>
        <v/>
      </c>
      <c r="E2877" s="68">
        <f>D2877+E2876+E2879-E2875</f>
        <v/>
      </c>
      <c r="F2877" s="68">
        <f>E2877+F2876+F2879-F2875</f>
        <v/>
      </c>
      <c r="G2877" s="68">
        <f>F2877+G2876+G2879-G2875</f>
        <v/>
      </c>
      <c r="H2877" s="68">
        <f>G2877+H2876+H2879-H2875</f>
        <v/>
      </c>
      <c r="I2877" s="68">
        <f>H2877+I2876+I2879-I2875</f>
        <v/>
      </c>
      <c r="J2877" s="68">
        <f>I2877+J2876+J2879-J2875</f>
        <v/>
      </c>
      <c r="K2877" s="68">
        <f>J2877+K2876+K2879-K2875</f>
        <v/>
      </c>
      <c r="L2877" s="68">
        <f>K2877+L2876+L2879-L2875</f>
        <v/>
      </c>
      <c r="M2877" s="66" t="n"/>
    </row>
    <row r="2878">
      <c r="C2878" s="63" t="inlineStr">
        <is>
          <t>Necesidad neta</t>
        </is>
      </c>
      <c r="D2878" s="64" t="n"/>
      <c r="E2878" s="69">
        <f>MAX(0,ROUND(E2875+Materiales!$H$414-D2877-E2876,4))</f>
        <v/>
      </c>
      <c r="F2878" s="69">
        <f>MAX(0,ROUND(F2875+Materiales!$H$414-E2877-F2876,4))</f>
        <v/>
      </c>
      <c r="G2878" s="69">
        <f>MAX(0,ROUND(G2875+Materiales!$H$414-F2877-G2876,4))</f>
        <v/>
      </c>
      <c r="H2878" s="69">
        <f>MAX(0,ROUND(H2875+Materiales!$H$414-G2877-H2876,4))</f>
        <v/>
      </c>
      <c r="I2878" s="69">
        <f>MAX(0,ROUND(I2875+Materiales!$H$414-H2877-I2876,4))</f>
        <v/>
      </c>
      <c r="J2878" s="69">
        <f>MAX(0,ROUND(J2875+Materiales!$H$414-I2877-J2876,4))</f>
        <v/>
      </c>
      <c r="K2878" s="69">
        <f>MAX(0,ROUND(K2875+Materiales!$H$414-J2877-K2876,4))</f>
        <v/>
      </c>
      <c r="L2878" s="69">
        <f>MAX(0,ROUND(L2875+Materiales!$H$414-K2877-L2876,4))</f>
        <v/>
      </c>
      <c r="M2878" s="66" t="n"/>
    </row>
    <row r="2879">
      <c r="C2879" s="63" t="inlineStr">
        <is>
          <t>Recepcion de orden planificada</t>
        </is>
      </c>
      <c r="D2879" s="64" t="n"/>
      <c r="E2879" s="65">
        <f>IF(E2878&lt;=0,0,IF(Materiales!$G$414&lt;=0,E2878,ROUNDUP(E2878/Materiales!$G$414,0)*Materiales!$G$414))</f>
        <v/>
      </c>
      <c r="F2879" s="65">
        <f>IF(F2878&lt;=0,0,IF(Materiales!$G$414&lt;=0,F2878,ROUNDUP(F2878/Materiales!$G$414,0)*Materiales!$G$414))</f>
        <v/>
      </c>
      <c r="G2879" s="65">
        <f>IF(G2878&lt;=0,0,IF(Materiales!$G$414&lt;=0,G2878,ROUNDUP(G2878/Materiales!$G$414,0)*Materiales!$G$414))</f>
        <v/>
      </c>
      <c r="H2879" s="65">
        <f>IF(H2878&lt;=0,0,IF(Materiales!$G$414&lt;=0,H2878,ROUNDUP(H2878/Materiales!$G$414,0)*Materiales!$G$414))</f>
        <v/>
      </c>
      <c r="I2879" s="65">
        <f>IF(I2878&lt;=0,0,IF(Materiales!$G$414&lt;=0,I2878,ROUNDUP(I2878/Materiales!$G$414,0)*Materiales!$G$414))</f>
        <v/>
      </c>
      <c r="J2879" s="65">
        <f>IF(J2878&lt;=0,0,IF(Materiales!$G$414&lt;=0,J2878,ROUNDUP(J2878/Materiales!$G$414,0)*Materiales!$G$414))</f>
        <v/>
      </c>
      <c r="K2879" s="65">
        <f>IF(K2878&lt;=0,0,IF(Materiales!$G$414&lt;=0,K2878,ROUNDUP(K2878/Materiales!$G$414,0)*Materiales!$G$414))</f>
        <v/>
      </c>
      <c r="L2879" s="65">
        <f>IF(L2878&lt;=0,0,IF(Materiales!$G$414&lt;=0,L2878,ROUNDUP(L2878/Materiales!$G$414,0)*Materiales!$G$414))</f>
        <v/>
      </c>
      <c r="M2879" s="66" t="n"/>
    </row>
    <row r="2880">
      <c r="C2880" s="70" t="inlineStr">
        <is>
          <t>LANZAMIENTO DE ORDEN — pedir esta semana</t>
        </is>
      </c>
      <c r="D2880" s="64" t="n"/>
      <c r="E2880" s="71">
        <f>IF(1+Materiales!$F$414&gt;8,0,INDEX($E$2879:$L$2879,1,1+Materiales!$F$414))</f>
        <v/>
      </c>
      <c r="F2880" s="71">
        <f>IF(2+Materiales!$F$414&gt;8,0,INDEX($E$2879:$L$2879,1,2+Materiales!$F$414))</f>
        <v/>
      </c>
      <c r="G2880" s="71">
        <f>IF(3+Materiales!$F$414&gt;8,0,INDEX($E$2879:$L$2879,1,3+Materiales!$F$414))</f>
        <v/>
      </c>
      <c r="H2880" s="71">
        <f>IF(4+Materiales!$F$414&gt;8,0,INDEX($E$2879:$L$2879,1,4+Materiales!$F$414))</f>
        <v/>
      </c>
      <c r="I2880" s="71">
        <f>IF(5+Materiales!$F$414&gt;8,0,INDEX($E$2879:$L$2879,1,5+Materiales!$F$414))</f>
        <v/>
      </c>
      <c r="J2880" s="71">
        <f>IF(6+Materiales!$F$414&gt;8,0,INDEX($E$2879:$L$2879,1,6+Materiales!$F$414))</f>
        <v/>
      </c>
      <c r="K2880" s="71">
        <f>IF(7+Materiales!$F$414&gt;8,0,INDEX($E$2879:$L$2879,1,7+Materiales!$F$414))</f>
        <v/>
      </c>
      <c r="L2880" s="71">
        <f>IF(8+Materiales!$F$414&gt;8,0,INDEX($E$2879:$L$2879,1,8+Materiales!$F$414))</f>
        <v/>
      </c>
      <c r="M2880" s="72">
        <f>IF($A2875="","",IF(SUMPRODUCT((COLUMN($E$2879:$L$2879)-4&lt;=Materiales!$F$414)*$E$2879:$L$2879)&gt;0,"PEDIR YA (atrasado)","OK"))</f>
        <v/>
      </c>
    </row>
    <row r="2881" ht="6" customHeight="1"/>
    <row r="2882">
      <c r="A2882" s="62">
        <f>IF(Materiales!$A$415="","",Materiales!$A$415)</f>
        <v/>
      </c>
      <c r="B2882" s="62">
        <f>IF(Materiales!$B$415="","",Materiales!$B$415)</f>
        <v/>
      </c>
      <c r="C2882" s="63" t="inlineStr">
        <is>
          <t>Necesidad bruta</t>
        </is>
      </c>
      <c r="D2882" s="64" t="n"/>
      <c r="E2882" s="65">
        <f>ROUND(SUMIF(Consumo!$P$4:$P$189,"#"&amp;$A2882,Consumo!H$4:H$189),4)</f>
        <v/>
      </c>
      <c r="F2882" s="65">
        <f>ROUND(SUMIF(Consumo!$P$4:$P$189,"#"&amp;$A2882,Consumo!I$4:I$189),4)</f>
        <v/>
      </c>
      <c r="G2882" s="65">
        <f>ROUND(SUMIF(Consumo!$P$4:$P$189,"#"&amp;$A2882,Consumo!J$4:J$189),4)</f>
        <v/>
      </c>
      <c r="H2882" s="65">
        <f>ROUND(SUMIF(Consumo!$P$4:$P$189,"#"&amp;$A2882,Consumo!K$4:K$189),4)</f>
        <v/>
      </c>
      <c r="I2882" s="65">
        <f>ROUND(SUMIF(Consumo!$P$4:$P$189,"#"&amp;$A2882,Consumo!L$4:L$189),4)</f>
        <v/>
      </c>
      <c r="J2882" s="65">
        <f>ROUND(SUMIF(Consumo!$P$4:$P$189,"#"&amp;$A2882,Consumo!M$4:M$189),4)</f>
        <v/>
      </c>
      <c r="K2882" s="65">
        <f>ROUND(SUMIF(Consumo!$P$4:$P$189,"#"&amp;$A2882,Consumo!N$4:N$189),4)</f>
        <v/>
      </c>
      <c r="L2882" s="65">
        <f>ROUND(SUMIF(Consumo!$P$4:$P$189,"#"&amp;$A2882,Consumo!O$4:O$189),4)</f>
        <v/>
      </c>
      <c r="M2882" s="66" t="n"/>
    </row>
    <row r="2883">
      <c r="C2883" s="63" t="inlineStr">
        <is>
          <t>Recepciones programadas (ya pedido)</t>
        </is>
      </c>
      <c r="D2883" s="64" t="n"/>
      <c r="E2883" s="65">
        <f>SUMIF(Inventario!$M$5:$M$505,"#"&amp;$A2882,Inventario!E$5:E$505)</f>
        <v/>
      </c>
      <c r="F2883" s="65">
        <f>SUMIF(Inventario!$M$5:$M$505,"#"&amp;$A2882,Inventario!F$5:F$505)</f>
        <v/>
      </c>
      <c r="G2883" s="65">
        <f>SUMIF(Inventario!$M$5:$M$505,"#"&amp;$A2882,Inventario!G$5:G$505)</f>
        <v/>
      </c>
      <c r="H2883" s="65">
        <f>SUMIF(Inventario!$M$5:$M$505,"#"&amp;$A2882,Inventario!H$5:H$505)</f>
        <v/>
      </c>
      <c r="I2883" s="65">
        <f>SUMIF(Inventario!$M$5:$M$505,"#"&amp;$A2882,Inventario!I$5:I$505)</f>
        <v/>
      </c>
      <c r="J2883" s="65">
        <f>SUMIF(Inventario!$M$5:$M$505,"#"&amp;$A2882,Inventario!J$5:J$505)</f>
        <v/>
      </c>
      <c r="K2883" s="65">
        <f>SUMIF(Inventario!$M$5:$M$505,"#"&amp;$A2882,Inventario!K$5:K$505)</f>
        <v/>
      </c>
      <c r="L2883" s="65">
        <f>SUMIF(Inventario!$M$5:$M$505,"#"&amp;$A2882,Inventario!L$5:L$505)</f>
        <v/>
      </c>
      <c r="M2883" s="66" t="n"/>
    </row>
    <row r="2884">
      <c r="C2884" s="63" t="inlineStr">
        <is>
          <t>Stock proyectado disponible</t>
        </is>
      </c>
      <c r="D2884" s="67">
        <f>SUMIF(Inventario!$M$5:$M$505,"#"&amp;$A2882,Inventario!$C$5:$C$505)</f>
        <v/>
      </c>
      <c r="E2884" s="68">
        <f>D2884+E2883+E2886-E2882</f>
        <v/>
      </c>
      <c r="F2884" s="68">
        <f>E2884+F2883+F2886-F2882</f>
        <v/>
      </c>
      <c r="G2884" s="68">
        <f>F2884+G2883+G2886-G2882</f>
        <v/>
      </c>
      <c r="H2884" s="68">
        <f>G2884+H2883+H2886-H2882</f>
        <v/>
      </c>
      <c r="I2884" s="68">
        <f>H2884+I2883+I2886-I2882</f>
        <v/>
      </c>
      <c r="J2884" s="68">
        <f>I2884+J2883+J2886-J2882</f>
        <v/>
      </c>
      <c r="K2884" s="68">
        <f>J2884+K2883+K2886-K2882</f>
        <v/>
      </c>
      <c r="L2884" s="68">
        <f>K2884+L2883+L2886-L2882</f>
        <v/>
      </c>
      <c r="M2884" s="66" t="n"/>
    </row>
    <row r="2885">
      <c r="C2885" s="63" t="inlineStr">
        <is>
          <t>Necesidad neta</t>
        </is>
      </c>
      <c r="D2885" s="64" t="n"/>
      <c r="E2885" s="69">
        <f>MAX(0,ROUND(E2882+Materiales!$H$415-D2884-E2883,4))</f>
        <v/>
      </c>
      <c r="F2885" s="69">
        <f>MAX(0,ROUND(F2882+Materiales!$H$415-E2884-F2883,4))</f>
        <v/>
      </c>
      <c r="G2885" s="69">
        <f>MAX(0,ROUND(G2882+Materiales!$H$415-F2884-G2883,4))</f>
        <v/>
      </c>
      <c r="H2885" s="69">
        <f>MAX(0,ROUND(H2882+Materiales!$H$415-G2884-H2883,4))</f>
        <v/>
      </c>
      <c r="I2885" s="69">
        <f>MAX(0,ROUND(I2882+Materiales!$H$415-H2884-I2883,4))</f>
        <v/>
      </c>
      <c r="J2885" s="69">
        <f>MAX(0,ROUND(J2882+Materiales!$H$415-I2884-J2883,4))</f>
        <v/>
      </c>
      <c r="K2885" s="69">
        <f>MAX(0,ROUND(K2882+Materiales!$H$415-J2884-K2883,4))</f>
        <v/>
      </c>
      <c r="L2885" s="69">
        <f>MAX(0,ROUND(L2882+Materiales!$H$415-K2884-L2883,4))</f>
        <v/>
      </c>
      <c r="M2885" s="66" t="n"/>
    </row>
    <row r="2886">
      <c r="C2886" s="63" t="inlineStr">
        <is>
          <t>Recepcion de orden planificada</t>
        </is>
      </c>
      <c r="D2886" s="64" t="n"/>
      <c r="E2886" s="65">
        <f>IF(E2885&lt;=0,0,IF(Materiales!$G$415&lt;=0,E2885,ROUNDUP(E2885/Materiales!$G$415,0)*Materiales!$G$415))</f>
        <v/>
      </c>
      <c r="F2886" s="65">
        <f>IF(F2885&lt;=0,0,IF(Materiales!$G$415&lt;=0,F2885,ROUNDUP(F2885/Materiales!$G$415,0)*Materiales!$G$415))</f>
        <v/>
      </c>
      <c r="G2886" s="65">
        <f>IF(G2885&lt;=0,0,IF(Materiales!$G$415&lt;=0,G2885,ROUNDUP(G2885/Materiales!$G$415,0)*Materiales!$G$415))</f>
        <v/>
      </c>
      <c r="H2886" s="65">
        <f>IF(H2885&lt;=0,0,IF(Materiales!$G$415&lt;=0,H2885,ROUNDUP(H2885/Materiales!$G$415,0)*Materiales!$G$415))</f>
        <v/>
      </c>
      <c r="I2886" s="65">
        <f>IF(I2885&lt;=0,0,IF(Materiales!$G$415&lt;=0,I2885,ROUNDUP(I2885/Materiales!$G$415,0)*Materiales!$G$415))</f>
        <v/>
      </c>
      <c r="J2886" s="65">
        <f>IF(J2885&lt;=0,0,IF(Materiales!$G$415&lt;=0,J2885,ROUNDUP(J2885/Materiales!$G$415,0)*Materiales!$G$415))</f>
        <v/>
      </c>
      <c r="K2886" s="65">
        <f>IF(K2885&lt;=0,0,IF(Materiales!$G$415&lt;=0,K2885,ROUNDUP(K2885/Materiales!$G$415,0)*Materiales!$G$415))</f>
        <v/>
      </c>
      <c r="L2886" s="65">
        <f>IF(L2885&lt;=0,0,IF(Materiales!$G$415&lt;=0,L2885,ROUNDUP(L2885/Materiales!$G$415,0)*Materiales!$G$415))</f>
        <v/>
      </c>
      <c r="M2886" s="66" t="n"/>
    </row>
    <row r="2887">
      <c r="C2887" s="70" t="inlineStr">
        <is>
          <t>LANZAMIENTO DE ORDEN — pedir esta semana</t>
        </is>
      </c>
      <c r="D2887" s="64" t="n"/>
      <c r="E2887" s="71">
        <f>IF(1+Materiales!$F$415&gt;8,0,INDEX($E$2886:$L$2886,1,1+Materiales!$F$415))</f>
        <v/>
      </c>
      <c r="F2887" s="71">
        <f>IF(2+Materiales!$F$415&gt;8,0,INDEX($E$2886:$L$2886,1,2+Materiales!$F$415))</f>
        <v/>
      </c>
      <c r="G2887" s="71">
        <f>IF(3+Materiales!$F$415&gt;8,0,INDEX($E$2886:$L$2886,1,3+Materiales!$F$415))</f>
        <v/>
      </c>
      <c r="H2887" s="71">
        <f>IF(4+Materiales!$F$415&gt;8,0,INDEX($E$2886:$L$2886,1,4+Materiales!$F$415))</f>
        <v/>
      </c>
      <c r="I2887" s="71">
        <f>IF(5+Materiales!$F$415&gt;8,0,INDEX($E$2886:$L$2886,1,5+Materiales!$F$415))</f>
        <v/>
      </c>
      <c r="J2887" s="71">
        <f>IF(6+Materiales!$F$415&gt;8,0,INDEX($E$2886:$L$2886,1,6+Materiales!$F$415))</f>
        <v/>
      </c>
      <c r="K2887" s="71">
        <f>IF(7+Materiales!$F$415&gt;8,0,INDEX($E$2886:$L$2886,1,7+Materiales!$F$415))</f>
        <v/>
      </c>
      <c r="L2887" s="71">
        <f>IF(8+Materiales!$F$415&gt;8,0,INDEX($E$2886:$L$2886,1,8+Materiales!$F$415))</f>
        <v/>
      </c>
      <c r="M2887" s="72">
        <f>IF($A2882="","",IF(SUMPRODUCT((COLUMN($E$2886:$L$2886)-4&lt;=Materiales!$F$415)*$E$2886:$L$2886)&gt;0,"PEDIR YA (atrasado)","OK"))</f>
        <v/>
      </c>
    </row>
    <row r="2888" ht="6" customHeight="1"/>
    <row r="2889">
      <c r="A2889" s="62">
        <f>IF(Materiales!$A$416="","",Materiales!$A$416)</f>
        <v/>
      </c>
      <c r="B2889" s="62">
        <f>IF(Materiales!$B$416="","",Materiales!$B$416)</f>
        <v/>
      </c>
      <c r="C2889" s="63" t="inlineStr">
        <is>
          <t>Necesidad bruta</t>
        </is>
      </c>
      <c r="D2889" s="64" t="n"/>
      <c r="E2889" s="65">
        <f>ROUND(SUMIF(Consumo!$P$4:$P$189,"#"&amp;$A2889,Consumo!H$4:H$189),4)</f>
        <v/>
      </c>
      <c r="F2889" s="65">
        <f>ROUND(SUMIF(Consumo!$P$4:$P$189,"#"&amp;$A2889,Consumo!I$4:I$189),4)</f>
        <v/>
      </c>
      <c r="G2889" s="65">
        <f>ROUND(SUMIF(Consumo!$P$4:$P$189,"#"&amp;$A2889,Consumo!J$4:J$189),4)</f>
        <v/>
      </c>
      <c r="H2889" s="65">
        <f>ROUND(SUMIF(Consumo!$P$4:$P$189,"#"&amp;$A2889,Consumo!K$4:K$189),4)</f>
        <v/>
      </c>
      <c r="I2889" s="65">
        <f>ROUND(SUMIF(Consumo!$P$4:$P$189,"#"&amp;$A2889,Consumo!L$4:L$189),4)</f>
        <v/>
      </c>
      <c r="J2889" s="65">
        <f>ROUND(SUMIF(Consumo!$P$4:$P$189,"#"&amp;$A2889,Consumo!M$4:M$189),4)</f>
        <v/>
      </c>
      <c r="K2889" s="65">
        <f>ROUND(SUMIF(Consumo!$P$4:$P$189,"#"&amp;$A2889,Consumo!N$4:N$189),4)</f>
        <v/>
      </c>
      <c r="L2889" s="65">
        <f>ROUND(SUMIF(Consumo!$P$4:$P$189,"#"&amp;$A2889,Consumo!O$4:O$189),4)</f>
        <v/>
      </c>
      <c r="M2889" s="66" t="n"/>
    </row>
    <row r="2890">
      <c r="C2890" s="63" t="inlineStr">
        <is>
          <t>Recepciones programadas (ya pedido)</t>
        </is>
      </c>
      <c r="D2890" s="64" t="n"/>
      <c r="E2890" s="65">
        <f>SUMIF(Inventario!$M$5:$M$505,"#"&amp;$A2889,Inventario!E$5:E$505)</f>
        <v/>
      </c>
      <c r="F2890" s="65">
        <f>SUMIF(Inventario!$M$5:$M$505,"#"&amp;$A2889,Inventario!F$5:F$505)</f>
        <v/>
      </c>
      <c r="G2890" s="65">
        <f>SUMIF(Inventario!$M$5:$M$505,"#"&amp;$A2889,Inventario!G$5:G$505)</f>
        <v/>
      </c>
      <c r="H2890" s="65">
        <f>SUMIF(Inventario!$M$5:$M$505,"#"&amp;$A2889,Inventario!H$5:H$505)</f>
        <v/>
      </c>
      <c r="I2890" s="65">
        <f>SUMIF(Inventario!$M$5:$M$505,"#"&amp;$A2889,Inventario!I$5:I$505)</f>
        <v/>
      </c>
      <c r="J2890" s="65">
        <f>SUMIF(Inventario!$M$5:$M$505,"#"&amp;$A2889,Inventario!J$5:J$505)</f>
        <v/>
      </c>
      <c r="K2890" s="65">
        <f>SUMIF(Inventario!$M$5:$M$505,"#"&amp;$A2889,Inventario!K$5:K$505)</f>
        <v/>
      </c>
      <c r="L2890" s="65">
        <f>SUMIF(Inventario!$M$5:$M$505,"#"&amp;$A2889,Inventario!L$5:L$505)</f>
        <v/>
      </c>
      <c r="M2890" s="66" t="n"/>
    </row>
    <row r="2891">
      <c r="C2891" s="63" t="inlineStr">
        <is>
          <t>Stock proyectado disponible</t>
        </is>
      </c>
      <c r="D2891" s="67">
        <f>SUMIF(Inventario!$M$5:$M$505,"#"&amp;$A2889,Inventario!$C$5:$C$505)</f>
        <v/>
      </c>
      <c r="E2891" s="68">
        <f>D2891+E2890+E2893-E2889</f>
        <v/>
      </c>
      <c r="F2891" s="68">
        <f>E2891+F2890+F2893-F2889</f>
        <v/>
      </c>
      <c r="G2891" s="68">
        <f>F2891+G2890+G2893-G2889</f>
        <v/>
      </c>
      <c r="H2891" s="68">
        <f>G2891+H2890+H2893-H2889</f>
        <v/>
      </c>
      <c r="I2891" s="68">
        <f>H2891+I2890+I2893-I2889</f>
        <v/>
      </c>
      <c r="J2891" s="68">
        <f>I2891+J2890+J2893-J2889</f>
        <v/>
      </c>
      <c r="K2891" s="68">
        <f>J2891+K2890+K2893-K2889</f>
        <v/>
      </c>
      <c r="L2891" s="68">
        <f>K2891+L2890+L2893-L2889</f>
        <v/>
      </c>
      <c r="M2891" s="66" t="n"/>
    </row>
    <row r="2892">
      <c r="C2892" s="63" t="inlineStr">
        <is>
          <t>Necesidad neta</t>
        </is>
      </c>
      <c r="D2892" s="64" t="n"/>
      <c r="E2892" s="69">
        <f>MAX(0,ROUND(E2889+Materiales!$H$416-D2891-E2890,4))</f>
        <v/>
      </c>
      <c r="F2892" s="69">
        <f>MAX(0,ROUND(F2889+Materiales!$H$416-E2891-F2890,4))</f>
        <v/>
      </c>
      <c r="G2892" s="69">
        <f>MAX(0,ROUND(G2889+Materiales!$H$416-F2891-G2890,4))</f>
        <v/>
      </c>
      <c r="H2892" s="69">
        <f>MAX(0,ROUND(H2889+Materiales!$H$416-G2891-H2890,4))</f>
        <v/>
      </c>
      <c r="I2892" s="69">
        <f>MAX(0,ROUND(I2889+Materiales!$H$416-H2891-I2890,4))</f>
        <v/>
      </c>
      <c r="J2892" s="69">
        <f>MAX(0,ROUND(J2889+Materiales!$H$416-I2891-J2890,4))</f>
        <v/>
      </c>
      <c r="K2892" s="69">
        <f>MAX(0,ROUND(K2889+Materiales!$H$416-J2891-K2890,4))</f>
        <v/>
      </c>
      <c r="L2892" s="69">
        <f>MAX(0,ROUND(L2889+Materiales!$H$416-K2891-L2890,4))</f>
        <v/>
      </c>
      <c r="M2892" s="66" t="n"/>
    </row>
    <row r="2893">
      <c r="C2893" s="63" t="inlineStr">
        <is>
          <t>Recepcion de orden planificada</t>
        </is>
      </c>
      <c r="D2893" s="64" t="n"/>
      <c r="E2893" s="65">
        <f>IF(E2892&lt;=0,0,IF(Materiales!$G$416&lt;=0,E2892,ROUNDUP(E2892/Materiales!$G$416,0)*Materiales!$G$416))</f>
        <v/>
      </c>
      <c r="F2893" s="65">
        <f>IF(F2892&lt;=0,0,IF(Materiales!$G$416&lt;=0,F2892,ROUNDUP(F2892/Materiales!$G$416,0)*Materiales!$G$416))</f>
        <v/>
      </c>
      <c r="G2893" s="65">
        <f>IF(G2892&lt;=0,0,IF(Materiales!$G$416&lt;=0,G2892,ROUNDUP(G2892/Materiales!$G$416,0)*Materiales!$G$416))</f>
        <v/>
      </c>
      <c r="H2893" s="65">
        <f>IF(H2892&lt;=0,0,IF(Materiales!$G$416&lt;=0,H2892,ROUNDUP(H2892/Materiales!$G$416,0)*Materiales!$G$416))</f>
        <v/>
      </c>
      <c r="I2893" s="65">
        <f>IF(I2892&lt;=0,0,IF(Materiales!$G$416&lt;=0,I2892,ROUNDUP(I2892/Materiales!$G$416,0)*Materiales!$G$416))</f>
        <v/>
      </c>
      <c r="J2893" s="65">
        <f>IF(J2892&lt;=0,0,IF(Materiales!$G$416&lt;=0,J2892,ROUNDUP(J2892/Materiales!$G$416,0)*Materiales!$G$416))</f>
        <v/>
      </c>
      <c r="K2893" s="65">
        <f>IF(K2892&lt;=0,0,IF(Materiales!$G$416&lt;=0,K2892,ROUNDUP(K2892/Materiales!$G$416,0)*Materiales!$G$416))</f>
        <v/>
      </c>
      <c r="L2893" s="65">
        <f>IF(L2892&lt;=0,0,IF(Materiales!$G$416&lt;=0,L2892,ROUNDUP(L2892/Materiales!$G$416,0)*Materiales!$G$416))</f>
        <v/>
      </c>
      <c r="M2893" s="66" t="n"/>
    </row>
    <row r="2894">
      <c r="C2894" s="70" t="inlineStr">
        <is>
          <t>LANZAMIENTO DE ORDEN — pedir esta semana</t>
        </is>
      </c>
      <c r="D2894" s="64" t="n"/>
      <c r="E2894" s="71">
        <f>IF(1+Materiales!$F$416&gt;8,0,INDEX($E$2893:$L$2893,1,1+Materiales!$F$416))</f>
        <v/>
      </c>
      <c r="F2894" s="71">
        <f>IF(2+Materiales!$F$416&gt;8,0,INDEX($E$2893:$L$2893,1,2+Materiales!$F$416))</f>
        <v/>
      </c>
      <c r="G2894" s="71">
        <f>IF(3+Materiales!$F$416&gt;8,0,INDEX($E$2893:$L$2893,1,3+Materiales!$F$416))</f>
        <v/>
      </c>
      <c r="H2894" s="71">
        <f>IF(4+Materiales!$F$416&gt;8,0,INDEX($E$2893:$L$2893,1,4+Materiales!$F$416))</f>
        <v/>
      </c>
      <c r="I2894" s="71">
        <f>IF(5+Materiales!$F$416&gt;8,0,INDEX($E$2893:$L$2893,1,5+Materiales!$F$416))</f>
        <v/>
      </c>
      <c r="J2894" s="71">
        <f>IF(6+Materiales!$F$416&gt;8,0,INDEX($E$2893:$L$2893,1,6+Materiales!$F$416))</f>
        <v/>
      </c>
      <c r="K2894" s="71">
        <f>IF(7+Materiales!$F$416&gt;8,0,INDEX($E$2893:$L$2893,1,7+Materiales!$F$416))</f>
        <v/>
      </c>
      <c r="L2894" s="71">
        <f>IF(8+Materiales!$F$416&gt;8,0,INDEX($E$2893:$L$2893,1,8+Materiales!$F$416))</f>
        <v/>
      </c>
      <c r="M2894" s="72">
        <f>IF($A2889="","",IF(SUMPRODUCT((COLUMN($E$2893:$L$2893)-4&lt;=Materiales!$F$416)*$E$2893:$L$2893)&gt;0,"PEDIR YA (atrasado)","OK"))</f>
        <v/>
      </c>
    </row>
    <row r="2895" ht="6" customHeight="1"/>
    <row r="2896">
      <c r="A2896" s="62">
        <f>IF(Materiales!$A$417="","",Materiales!$A$417)</f>
        <v/>
      </c>
      <c r="B2896" s="62">
        <f>IF(Materiales!$B$417="","",Materiales!$B$417)</f>
        <v/>
      </c>
      <c r="C2896" s="63" t="inlineStr">
        <is>
          <t>Necesidad bruta</t>
        </is>
      </c>
      <c r="D2896" s="64" t="n"/>
      <c r="E2896" s="65">
        <f>ROUND(SUMIF(Consumo!$P$4:$P$189,"#"&amp;$A2896,Consumo!H$4:H$189),4)</f>
        <v/>
      </c>
      <c r="F2896" s="65">
        <f>ROUND(SUMIF(Consumo!$P$4:$P$189,"#"&amp;$A2896,Consumo!I$4:I$189),4)</f>
        <v/>
      </c>
      <c r="G2896" s="65">
        <f>ROUND(SUMIF(Consumo!$P$4:$P$189,"#"&amp;$A2896,Consumo!J$4:J$189),4)</f>
        <v/>
      </c>
      <c r="H2896" s="65">
        <f>ROUND(SUMIF(Consumo!$P$4:$P$189,"#"&amp;$A2896,Consumo!K$4:K$189),4)</f>
        <v/>
      </c>
      <c r="I2896" s="65">
        <f>ROUND(SUMIF(Consumo!$P$4:$P$189,"#"&amp;$A2896,Consumo!L$4:L$189),4)</f>
        <v/>
      </c>
      <c r="J2896" s="65">
        <f>ROUND(SUMIF(Consumo!$P$4:$P$189,"#"&amp;$A2896,Consumo!M$4:M$189),4)</f>
        <v/>
      </c>
      <c r="K2896" s="65">
        <f>ROUND(SUMIF(Consumo!$P$4:$P$189,"#"&amp;$A2896,Consumo!N$4:N$189),4)</f>
        <v/>
      </c>
      <c r="L2896" s="65">
        <f>ROUND(SUMIF(Consumo!$P$4:$P$189,"#"&amp;$A2896,Consumo!O$4:O$189),4)</f>
        <v/>
      </c>
      <c r="M2896" s="66" t="n"/>
    </row>
    <row r="2897">
      <c r="C2897" s="63" t="inlineStr">
        <is>
          <t>Recepciones programadas (ya pedido)</t>
        </is>
      </c>
      <c r="D2897" s="64" t="n"/>
      <c r="E2897" s="65">
        <f>SUMIF(Inventario!$M$5:$M$505,"#"&amp;$A2896,Inventario!E$5:E$505)</f>
        <v/>
      </c>
      <c r="F2897" s="65">
        <f>SUMIF(Inventario!$M$5:$M$505,"#"&amp;$A2896,Inventario!F$5:F$505)</f>
        <v/>
      </c>
      <c r="G2897" s="65">
        <f>SUMIF(Inventario!$M$5:$M$505,"#"&amp;$A2896,Inventario!G$5:G$505)</f>
        <v/>
      </c>
      <c r="H2897" s="65">
        <f>SUMIF(Inventario!$M$5:$M$505,"#"&amp;$A2896,Inventario!H$5:H$505)</f>
        <v/>
      </c>
      <c r="I2897" s="65">
        <f>SUMIF(Inventario!$M$5:$M$505,"#"&amp;$A2896,Inventario!I$5:I$505)</f>
        <v/>
      </c>
      <c r="J2897" s="65">
        <f>SUMIF(Inventario!$M$5:$M$505,"#"&amp;$A2896,Inventario!J$5:J$505)</f>
        <v/>
      </c>
      <c r="K2897" s="65">
        <f>SUMIF(Inventario!$M$5:$M$505,"#"&amp;$A2896,Inventario!K$5:K$505)</f>
        <v/>
      </c>
      <c r="L2897" s="65">
        <f>SUMIF(Inventario!$M$5:$M$505,"#"&amp;$A2896,Inventario!L$5:L$505)</f>
        <v/>
      </c>
      <c r="M2897" s="66" t="n"/>
    </row>
    <row r="2898">
      <c r="C2898" s="63" t="inlineStr">
        <is>
          <t>Stock proyectado disponible</t>
        </is>
      </c>
      <c r="D2898" s="67">
        <f>SUMIF(Inventario!$M$5:$M$505,"#"&amp;$A2896,Inventario!$C$5:$C$505)</f>
        <v/>
      </c>
      <c r="E2898" s="68">
        <f>D2898+E2897+E2900-E2896</f>
        <v/>
      </c>
      <c r="F2898" s="68">
        <f>E2898+F2897+F2900-F2896</f>
        <v/>
      </c>
      <c r="G2898" s="68">
        <f>F2898+G2897+G2900-G2896</f>
        <v/>
      </c>
      <c r="H2898" s="68">
        <f>G2898+H2897+H2900-H2896</f>
        <v/>
      </c>
      <c r="I2898" s="68">
        <f>H2898+I2897+I2900-I2896</f>
        <v/>
      </c>
      <c r="J2898" s="68">
        <f>I2898+J2897+J2900-J2896</f>
        <v/>
      </c>
      <c r="K2898" s="68">
        <f>J2898+K2897+K2900-K2896</f>
        <v/>
      </c>
      <c r="L2898" s="68">
        <f>K2898+L2897+L2900-L2896</f>
        <v/>
      </c>
      <c r="M2898" s="66" t="n"/>
    </row>
    <row r="2899">
      <c r="C2899" s="63" t="inlineStr">
        <is>
          <t>Necesidad neta</t>
        </is>
      </c>
      <c r="D2899" s="64" t="n"/>
      <c r="E2899" s="69">
        <f>MAX(0,ROUND(E2896+Materiales!$H$417-D2898-E2897,4))</f>
        <v/>
      </c>
      <c r="F2899" s="69">
        <f>MAX(0,ROUND(F2896+Materiales!$H$417-E2898-F2897,4))</f>
        <v/>
      </c>
      <c r="G2899" s="69">
        <f>MAX(0,ROUND(G2896+Materiales!$H$417-F2898-G2897,4))</f>
        <v/>
      </c>
      <c r="H2899" s="69">
        <f>MAX(0,ROUND(H2896+Materiales!$H$417-G2898-H2897,4))</f>
        <v/>
      </c>
      <c r="I2899" s="69">
        <f>MAX(0,ROUND(I2896+Materiales!$H$417-H2898-I2897,4))</f>
        <v/>
      </c>
      <c r="J2899" s="69">
        <f>MAX(0,ROUND(J2896+Materiales!$H$417-I2898-J2897,4))</f>
        <v/>
      </c>
      <c r="K2899" s="69">
        <f>MAX(0,ROUND(K2896+Materiales!$H$417-J2898-K2897,4))</f>
        <v/>
      </c>
      <c r="L2899" s="69">
        <f>MAX(0,ROUND(L2896+Materiales!$H$417-K2898-L2897,4))</f>
        <v/>
      </c>
      <c r="M2899" s="66" t="n"/>
    </row>
    <row r="2900">
      <c r="C2900" s="63" t="inlineStr">
        <is>
          <t>Recepcion de orden planificada</t>
        </is>
      </c>
      <c r="D2900" s="64" t="n"/>
      <c r="E2900" s="65">
        <f>IF(E2899&lt;=0,0,IF(Materiales!$G$417&lt;=0,E2899,ROUNDUP(E2899/Materiales!$G$417,0)*Materiales!$G$417))</f>
        <v/>
      </c>
      <c r="F2900" s="65">
        <f>IF(F2899&lt;=0,0,IF(Materiales!$G$417&lt;=0,F2899,ROUNDUP(F2899/Materiales!$G$417,0)*Materiales!$G$417))</f>
        <v/>
      </c>
      <c r="G2900" s="65">
        <f>IF(G2899&lt;=0,0,IF(Materiales!$G$417&lt;=0,G2899,ROUNDUP(G2899/Materiales!$G$417,0)*Materiales!$G$417))</f>
        <v/>
      </c>
      <c r="H2900" s="65">
        <f>IF(H2899&lt;=0,0,IF(Materiales!$G$417&lt;=0,H2899,ROUNDUP(H2899/Materiales!$G$417,0)*Materiales!$G$417))</f>
        <v/>
      </c>
      <c r="I2900" s="65">
        <f>IF(I2899&lt;=0,0,IF(Materiales!$G$417&lt;=0,I2899,ROUNDUP(I2899/Materiales!$G$417,0)*Materiales!$G$417))</f>
        <v/>
      </c>
      <c r="J2900" s="65">
        <f>IF(J2899&lt;=0,0,IF(Materiales!$G$417&lt;=0,J2899,ROUNDUP(J2899/Materiales!$G$417,0)*Materiales!$G$417))</f>
        <v/>
      </c>
      <c r="K2900" s="65">
        <f>IF(K2899&lt;=0,0,IF(Materiales!$G$417&lt;=0,K2899,ROUNDUP(K2899/Materiales!$G$417,0)*Materiales!$G$417))</f>
        <v/>
      </c>
      <c r="L2900" s="65">
        <f>IF(L2899&lt;=0,0,IF(Materiales!$G$417&lt;=0,L2899,ROUNDUP(L2899/Materiales!$G$417,0)*Materiales!$G$417))</f>
        <v/>
      </c>
      <c r="M2900" s="66" t="n"/>
    </row>
    <row r="2901">
      <c r="C2901" s="70" t="inlineStr">
        <is>
          <t>LANZAMIENTO DE ORDEN — pedir esta semana</t>
        </is>
      </c>
      <c r="D2901" s="64" t="n"/>
      <c r="E2901" s="71">
        <f>IF(1+Materiales!$F$417&gt;8,0,INDEX($E$2900:$L$2900,1,1+Materiales!$F$417))</f>
        <v/>
      </c>
      <c r="F2901" s="71">
        <f>IF(2+Materiales!$F$417&gt;8,0,INDEX($E$2900:$L$2900,1,2+Materiales!$F$417))</f>
        <v/>
      </c>
      <c r="G2901" s="71">
        <f>IF(3+Materiales!$F$417&gt;8,0,INDEX($E$2900:$L$2900,1,3+Materiales!$F$417))</f>
        <v/>
      </c>
      <c r="H2901" s="71">
        <f>IF(4+Materiales!$F$417&gt;8,0,INDEX($E$2900:$L$2900,1,4+Materiales!$F$417))</f>
        <v/>
      </c>
      <c r="I2901" s="71">
        <f>IF(5+Materiales!$F$417&gt;8,0,INDEX($E$2900:$L$2900,1,5+Materiales!$F$417))</f>
        <v/>
      </c>
      <c r="J2901" s="71">
        <f>IF(6+Materiales!$F$417&gt;8,0,INDEX($E$2900:$L$2900,1,6+Materiales!$F$417))</f>
        <v/>
      </c>
      <c r="K2901" s="71">
        <f>IF(7+Materiales!$F$417&gt;8,0,INDEX($E$2900:$L$2900,1,7+Materiales!$F$417))</f>
        <v/>
      </c>
      <c r="L2901" s="71">
        <f>IF(8+Materiales!$F$417&gt;8,0,INDEX($E$2900:$L$2900,1,8+Materiales!$F$417))</f>
        <v/>
      </c>
      <c r="M2901" s="72">
        <f>IF($A2896="","",IF(SUMPRODUCT((COLUMN($E$2900:$L$2900)-4&lt;=Materiales!$F$417)*$E$2900:$L$2900)&gt;0,"PEDIR YA (atrasado)","OK"))</f>
        <v/>
      </c>
    </row>
    <row r="2902" ht="6" customHeight="1"/>
    <row r="2903">
      <c r="A2903" s="62">
        <f>IF(Materiales!$A$418="","",Materiales!$A$418)</f>
        <v/>
      </c>
      <c r="B2903" s="62">
        <f>IF(Materiales!$B$418="","",Materiales!$B$418)</f>
        <v/>
      </c>
      <c r="C2903" s="63" t="inlineStr">
        <is>
          <t>Necesidad bruta</t>
        </is>
      </c>
      <c r="D2903" s="64" t="n"/>
      <c r="E2903" s="65">
        <f>ROUND(SUMIF(Consumo!$P$4:$P$189,"#"&amp;$A2903,Consumo!H$4:H$189),4)</f>
        <v/>
      </c>
      <c r="F2903" s="65">
        <f>ROUND(SUMIF(Consumo!$P$4:$P$189,"#"&amp;$A2903,Consumo!I$4:I$189),4)</f>
        <v/>
      </c>
      <c r="G2903" s="65">
        <f>ROUND(SUMIF(Consumo!$P$4:$P$189,"#"&amp;$A2903,Consumo!J$4:J$189),4)</f>
        <v/>
      </c>
      <c r="H2903" s="65">
        <f>ROUND(SUMIF(Consumo!$P$4:$P$189,"#"&amp;$A2903,Consumo!K$4:K$189),4)</f>
        <v/>
      </c>
      <c r="I2903" s="65">
        <f>ROUND(SUMIF(Consumo!$P$4:$P$189,"#"&amp;$A2903,Consumo!L$4:L$189),4)</f>
        <v/>
      </c>
      <c r="J2903" s="65">
        <f>ROUND(SUMIF(Consumo!$P$4:$P$189,"#"&amp;$A2903,Consumo!M$4:M$189),4)</f>
        <v/>
      </c>
      <c r="K2903" s="65">
        <f>ROUND(SUMIF(Consumo!$P$4:$P$189,"#"&amp;$A2903,Consumo!N$4:N$189),4)</f>
        <v/>
      </c>
      <c r="L2903" s="65">
        <f>ROUND(SUMIF(Consumo!$P$4:$P$189,"#"&amp;$A2903,Consumo!O$4:O$189),4)</f>
        <v/>
      </c>
      <c r="M2903" s="66" t="n"/>
    </row>
    <row r="2904">
      <c r="C2904" s="63" t="inlineStr">
        <is>
          <t>Recepciones programadas (ya pedido)</t>
        </is>
      </c>
      <c r="D2904" s="64" t="n"/>
      <c r="E2904" s="65">
        <f>SUMIF(Inventario!$M$5:$M$505,"#"&amp;$A2903,Inventario!E$5:E$505)</f>
        <v/>
      </c>
      <c r="F2904" s="65">
        <f>SUMIF(Inventario!$M$5:$M$505,"#"&amp;$A2903,Inventario!F$5:F$505)</f>
        <v/>
      </c>
      <c r="G2904" s="65">
        <f>SUMIF(Inventario!$M$5:$M$505,"#"&amp;$A2903,Inventario!G$5:G$505)</f>
        <v/>
      </c>
      <c r="H2904" s="65">
        <f>SUMIF(Inventario!$M$5:$M$505,"#"&amp;$A2903,Inventario!H$5:H$505)</f>
        <v/>
      </c>
      <c r="I2904" s="65">
        <f>SUMIF(Inventario!$M$5:$M$505,"#"&amp;$A2903,Inventario!I$5:I$505)</f>
        <v/>
      </c>
      <c r="J2904" s="65">
        <f>SUMIF(Inventario!$M$5:$M$505,"#"&amp;$A2903,Inventario!J$5:J$505)</f>
        <v/>
      </c>
      <c r="K2904" s="65">
        <f>SUMIF(Inventario!$M$5:$M$505,"#"&amp;$A2903,Inventario!K$5:K$505)</f>
        <v/>
      </c>
      <c r="L2904" s="65">
        <f>SUMIF(Inventario!$M$5:$M$505,"#"&amp;$A2903,Inventario!L$5:L$505)</f>
        <v/>
      </c>
      <c r="M2904" s="66" t="n"/>
    </row>
    <row r="2905">
      <c r="C2905" s="63" t="inlineStr">
        <is>
          <t>Stock proyectado disponible</t>
        </is>
      </c>
      <c r="D2905" s="67">
        <f>SUMIF(Inventario!$M$5:$M$505,"#"&amp;$A2903,Inventario!$C$5:$C$505)</f>
        <v/>
      </c>
      <c r="E2905" s="68">
        <f>D2905+E2904+E2907-E2903</f>
        <v/>
      </c>
      <c r="F2905" s="68">
        <f>E2905+F2904+F2907-F2903</f>
        <v/>
      </c>
      <c r="G2905" s="68">
        <f>F2905+G2904+G2907-G2903</f>
        <v/>
      </c>
      <c r="H2905" s="68">
        <f>G2905+H2904+H2907-H2903</f>
        <v/>
      </c>
      <c r="I2905" s="68">
        <f>H2905+I2904+I2907-I2903</f>
        <v/>
      </c>
      <c r="J2905" s="68">
        <f>I2905+J2904+J2907-J2903</f>
        <v/>
      </c>
      <c r="K2905" s="68">
        <f>J2905+K2904+K2907-K2903</f>
        <v/>
      </c>
      <c r="L2905" s="68">
        <f>K2905+L2904+L2907-L2903</f>
        <v/>
      </c>
      <c r="M2905" s="66" t="n"/>
    </row>
    <row r="2906">
      <c r="C2906" s="63" t="inlineStr">
        <is>
          <t>Necesidad neta</t>
        </is>
      </c>
      <c r="D2906" s="64" t="n"/>
      <c r="E2906" s="69">
        <f>MAX(0,ROUND(E2903+Materiales!$H$418-D2905-E2904,4))</f>
        <v/>
      </c>
      <c r="F2906" s="69">
        <f>MAX(0,ROUND(F2903+Materiales!$H$418-E2905-F2904,4))</f>
        <v/>
      </c>
      <c r="G2906" s="69">
        <f>MAX(0,ROUND(G2903+Materiales!$H$418-F2905-G2904,4))</f>
        <v/>
      </c>
      <c r="H2906" s="69">
        <f>MAX(0,ROUND(H2903+Materiales!$H$418-G2905-H2904,4))</f>
        <v/>
      </c>
      <c r="I2906" s="69">
        <f>MAX(0,ROUND(I2903+Materiales!$H$418-H2905-I2904,4))</f>
        <v/>
      </c>
      <c r="J2906" s="69">
        <f>MAX(0,ROUND(J2903+Materiales!$H$418-I2905-J2904,4))</f>
        <v/>
      </c>
      <c r="K2906" s="69">
        <f>MAX(0,ROUND(K2903+Materiales!$H$418-J2905-K2904,4))</f>
        <v/>
      </c>
      <c r="L2906" s="69">
        <f>MAX(0,ROUND(L2903+Materiales!$H$418-K2905-L2904,4))</f>
        <v/>
      </c>
      <c r="M2906" s="66" t="n"/>
    </row>
    <row r="2907">
      <c r="C2907" s="63" t="inlineStr">
        <is>
          <t>Recepcion de orden planificada</t>
        </is>
      </c>
      <c r="D2907" s="64" t="n"/>
      <c r="E2907" s="65">
        <f>IF(E2906&lt;=0,0,IF(Materiales!$G$418&lt;=0,E2906,ROUNDUP(E2906/Materiales!$G$418,0)*Materiales!$G$418))</f>
        <v/>
      </c>
      <c r="F2907" s="65">
        <f>IF(F2906&lt;=0,0,IF(Materiales!$G$418&lt;=0,F2906,ROUNDUP(F2906/Materiales!$G$418,0)*Materiales!$G$418))</f>
        <v/>
      </c>
      <c r="G2907" s="65">
        <f>IF(G2906&lt;=0,0,IF(Materiales!$G$418&lt;=0,G2906,ROUNDUP(G2906/Materiales!$G$418,0)*Materiales!$G$418))</f>
        <v/>
      </c>
      <c r="H2907" s="65">
        <f>IF(H2906&lt;=0,0,IF(Materiales!$G$418&lt;=0,H2906,ROUNDUP(H2906/Materiales!$G$418,0)*Materiales!$G$418))</f>
        <v/>
      </c>
      <c r="I2907" s="65">
        <f>IF(I2906&lt;=0,0,IF(Materiales!$G$418&lt;=0,I2906,ROUNDUP(I2906/Materiales!$G$418,0)*Materiales!$G$418))</f>
        <v/>
      </c>
      <c r="J2907" s="65">
        <f>IF(J2906&lt;=0,0,IF(Materiales!$G$418&lt;=0,J2906,ROUNDUP(J2906/Materiales!$G$418,0)*Materiales!$G$418))</f>
        <v/>
      </c>
      <c r="K2907" s="65">
        <f>IF(K2906&lt;=0,0,IF(Materiales!$G$418&lt;=0,K2906,ROUNDUP(K2906/Materiales!$G$418,0)*Materiales!$G$418))</f>
        <v/>
      </c>
      <c r="L2907" s="65">
        <f>IF(L2906&lt;=0,0,IF(Materiales!$G$418&lt;=0,L2906,ROUNDUP(L2906/Materiales!$G$418,0)*Materiales!$G$418))</f>
        <v/>
      </c>
      <c r="M2907" s="66" t="n"/>
    </row>
    <row r="2908">
      <c r="C2908" s="70" t="inlineStr">
        <is>
          <t>LANZAMIENTO DE ORDEN — pedir esta semana</t>
        </is>
      </c>
      <c r="D2908" s="64" t="n"/>
      <c r="E2908" s="71">
        <f>IF(1+Materiales!$F$418&gt;8,0,INDEX($E$2907:$L$2907,1,1+Materiales!$F$418))</f>
        <v/>
      </c>
      <c r="F2908" s="71">
        <f>IF(2+Materiales!$F$418&gt;8,0,INDEX($E$2907:$L$2907,1,2+Materiales!$F$418))</f>
        <v/>
      </c>
      <c r="G2908" s="71">
        <f>IF(3+Materiales!$F$418&gt;8,0,INDEX($E$2907:$L$2907,1,3+Materiales!$F$418))</f>
        <v/>
      </c>
      <c r="H2908" s="71">
        <f>IF(4+Materiales!$F$418&gt;8,0,INDEX($E$2907:$L$2907,1,4+Materiales!$F$418))</f>
        <v/>
      </c>
      <c r="I2908" s="71">
        <f>IF(5+Materiales!$F$418&gt;8,0,INDEX($E$2907:$L$2907,1,5+Materiales!$F$418))</f>
        <v/>
      </c>
      <c r="J2908" s="71">
        <f>IF(6+Materiales!$F$418&gt;8,0,INDEX($E$2907:$L$2907,1,6+Materiales!$F$418))</f>
        <v/>
      </c>
      <c r="K2908" s="71">
        <f>IF(7+Materiales!$F$418&gt;8,0,INDEX($E$2907:$L$2907,1,7+Materiales!$F$418))</f>
        <v/>
      </c>
      <c r="L2908" s="71">
        <f>IF(8+Materiales!$F$418&gt;8,0,INDEX($E$2907:$L$2907,1,8+Materiales!$F$418))</f>
        <v/>
      </c>
      <c r="M2908" s="72">
        <f>IF($A2903="","",IF(SUMPRODUCT((COLUMN($E$2907:$L$2907)-4&lt;=Materiales!$F$418)*$E$2907:$L$2907)&gt;0,"PEDIR YA (atrasado)","OK"))</f>
        <v/>
      </c>
    </row>
    <row r="2909" ht="6" customHeight="1"/>
    <row r="2910">
      <c r="A2910" s="62">
        <f>IF(Materiales!$A$419="","",Materiales!$A$419)</f>
        <v/>
      </c>
      <c r="B2910" s="62">
        <f>IF(Materiales!$B$419="","",Materiales!$B$419)</f>
        <v/>
      </c>
      <c r="C2910" s="63" t="inlineStr">
        <is>
          <t>Necesidad bruta</t>
        </is>
      </c>
      <c r="D2910" s="64" t="n"/>
      <c r="E2910" s="65">
        <f>ROUND(SUMIF(Consumo!$P$4:$P$189,"#"&amp;$A2910,Consumo!H$4:H$189),4)</f>
        <v/>
      </c>
      <c r="F2910" s="65">
        <f>ROUND(SUMIF(Consumo!$P$4:$P$189,"#"&amp;$A2910,Consumo!I$4:I$189),4)</f>
        <v/>
      </c>
      <c r="G2910" s="65">
        <f>ROUND(SUMIF(Consumo!$P$4:$P$189,"#"&amp;$A2910,Consumo!J$4:J$189),4)</f>
        <v/>
      </c>
      <c r="H2910" s="65">
        <f>ROUND(SUMIF(Consumo!$P$4:$P$189,"#"&amp;$A2910,Consumo!K$4:K$189),4)</f>
        <v/>
      </c>
      <c r="I2910" s="65">
        <f>ROUND(SUMIF(Consumo!$P$4:$P$189,"#"&amp;$A2910,Consumo!L$4:L$189),4)</f>
        <v/>
      </c>
      <c r="J2910" s="65">
        <f>ROUND(SUMIF(Consumo!$P$4:$P$189,"#"&amp;$A2910,Consumo!M$4:M$189),4)</f>
        <v/>
      </c>
      <c r="K2910" s="65">
        <f>ROUND(SUMIF(Consumo!$P$4:$P$189,"#"&amp;$A2910,Consumo!N$4:N$189),4)</f>
        <v/>
      </c>
      <c r="L2910" s="65">
        <f>ROUND(SUMIF(Consumo!$P$4:$P$189,"#"&amp;$A2910,Consumo!O$4:O$189),4)</f>
        <v/>
      </c>
      <c r="M2910" s="66" t="n"/>
    </row>
    <row r="2911">
      <c r="C2911" s="63" t="inlineStr">
        <is>
          <t>Recepciones programadas (ya pedido)</t>
        </is>
      </c>
      <c r="D2911" s="64" t="n"/>
      <c r="E2911" s="65">
        <f>SUMIF(Inventario!$M$5:$M$505,"#"&amp;$A2910,Inventario!E$5:E$505)</f>
        <v/>
      </c>
      <c r="F2911" s="65">
        <f>SUMIF(Inventario!$M$5:$M$505,"#"&amp;$A2910,Inventario!F$5:F$505)</f>
        <v/>
      </c>
      <c r="G2911" s="65">
        <f>SUMIF(Inventario!$M$5:$M$505,"#"&amp;$A2910,Inventario!G$5:G$505)</f>
        <v/>
      </c>
      <c r="H2911" s="65">
        <f>SUMIF(Inventario!$M$5:$M$505,"#"&amp;$A2910,Inventario!H$5:H$505)</f>
        <v/>
      </c>
      <c r="I2911" s="65">
        <f>SUMIF(Inventario!$M$5:$M$505,"#"&amp;$A2910,Inventario!I$5:I$505)</f>
        <v/>
      </c>
      <c r="J2911" s="65">
        <f>SUMIF(Inventario!$M$5:$M$505,"#"&amp;$A2910,Inventario!J$5:J$505)</f>
        <v/>
      </c>
      <c r="K2911" s="65">
        <f>SUMIF(Inventario!$M$5:$M$505,"#"&amp;$A2910,Inventario!K$5:K$505)</f>
        <v/>
      </c>
      <c r="L2911" s="65">
        <f>SUMIF(Inventario!$M$5:$M$505,"#"&amp;$A2910,Inventario!L$5:L$505)</f>
        <v/>
      </c>
      <c r="M2911" s="66" t="n"/>
    </row>
    <row r="2912">
      <c r="C2912" s="63" t="inlineStr">
        <is>
          <t>Stock proyectado disponible</t>
        </is>
      </c>
      <c r="D2912" s="67">
        <f>SUMIF(Inventario!$M$5:$M$505,"#"&amp;$A2910,Inventario!$C$5:$C$505)</f>
        <v/>
      </c>
      <c r="E2912" s="68">
        <f>D2912+E2911+E2914-E2910</f>
        <v/>
      </c>
      <c r="F2912" s="68">
        <f>E2912+F2911+F2914-F2910</f>
        <v/>
      </c>
      <c r="G2912" s="68">
        <f>F2912+G2911+G2914-G2910</f>
        <v/>
      </c>
      <c r="H2912" s="68">
        <f>G2912+H2911+H2914-H2910</f>
        <v/>
      </c>
      <c r="I2912" s="68">
        <f>H2912+I2911+I2914-I2910</f>
        <v/>
      </c>
      <c r="J2912" s="68">
        <f>I2912+J2911+J2914-J2910</f>
        <v/>
      </c>
      <c r="K2912" s="68">
        <f>J2912+K2911+K2914-K2910</f>
        <v/>
      </c>
      <c r="L2912" s="68">
        <f>K2912+L2911+L2914-L2910</f>
        <v/>
      </c>
      <c r="M2912" s="66" t="n"/>
    </row>
    <row r="2913">
      <c r="C2913" s="63" t="inlineStr">
        <is>
          <t>Necesidad neta</t>
        </is>
      </c>
      <c r="D2913" s="64" t="n"/>
      <c r="E2913" s="69">
        <f>MAX(0,ROUND(E2910+Materiales!$H$419-D2912-E2911,4))</f>
        <v/>
      </c>
      <c r="F2913" s="69">
        <f>MAX(0,ROUND(F2910+Materiales!$H$419-E2912-F2911,4))</f>
        <v/>
      </c>
      <c r="G2913" s="69">
        <f>MAX(0,ROUND(G2910+Materiales!$H$419-F2912-G2911,4))</f>
        <v/>
      </c>
      <c r="H2913" s="69">
        <f>MAX(0,ROUND(H2910+Materiales!$H$419-G2912-H2911,4))</f>
        <v/>
      </c>
      <c r="I2913" s="69">
        <f>MAX(0,ROUND(I2910+Materiales!$H$419-H2912-I2911,4))</f>
        <v/>
      </c>
      <c r="J2913" s="69">
        <f>MAX(0,ROUND(J2910+Materiales!$H$419-I2912-J2911,4))</f>
        <v/>
      </c>
      <c r="K2913" s="69">
        <f>MAX(0,ROUND(K2910+Materiales!$H$419-J2912-K2911,4))</f>
        <v/>
      </c>
      <c r="L2913" s="69">
        <f>MAX(0,ROUND(L2910+Materiales!$H$419-K2912-L2911,4))</f>
        <v/>
      </c>
      <c r="M2913" s="66" t="n"/>
    </row>
    <row r="2914">
      <c r="C2914" s="63" t="inlineStr">
        <is>
          <t>Recepcion de orden planificada</t>
        </is>
      </c>
      <c r="D2914" s="64" t="n"/>
      <c r="E2914" s="65">
        <f>IF(E2913&lt;=0,0,IF(Materiales!$G$419&lt;=0,E2913,ROUNDUP(E2913/Materiales!$G$419,0)*Materiales!$G$419))</f>
        <v/>
      </c>
      <c r="F2914" s="65">
        <f>IF(F2913&lt;=0,0,IF(Materiales!$G$419&lt;=0,F2913,ROUNDUP(F2913/Materiales!$G$419,0)*Materiales!$G$419))</f>
        <v/>
      </c>
      <c r="G2914" s="65">
        <f>IF(G2913&lt;=0,0,IF(Materiales!$G$419&lt;=0,G2913,ROUNDUP(G2913/Materiales!$G$419,0)*Materiales!$G$419))</f>
        <v/>
      </c>
      <c r="H2914" s="65">
        <f>IF(H2913&lt;=0,0,IF(Materiales!$G$419&lt;=0,H2913,ROUNDUP(H2913/Materiales!$G$419,0)*Materiales!$G$419))</f>
        <v/>
      </c>
      <c r="I2914" s="65">
        <f>IF(I2913&lt;=0,0,IF(Materiales!$G$419&lt;=0,I2913,ROUNDUP(I2913/Materiales!$G$419,0)*Materiales!$G$419))</f>
        <v/>
      </c>
      <c r="J2914" s="65">
        <f>IF(J2913&lt;=0,0,IF(Materiales!$G$419&lt;=0,J2913,ROUNDUP(J2913/Materiales!$G$419,0)*Materiales!$G$419))</f>
        <v/>
      </c>
      <c r="K2914" s="65">
        <f>IF(K2913&lt;=0,0,IF(Materiales!$G$419&lt;=0,K2913,ROUNDUP(K2913/Materiales!$G$419,0)*Materiales!$G$419))</f>
        <v/>
      </c>
      <c r="L2914" s="65">
        <f>IF(L2913&lt;=0,0,IF(Materiales!$G$419&lt;=0,L2913,ROUNDUP(L2913/Materiales!$G$419,0)*Materiales!$G$419))</f>
        <v/>
      </c>
      <c r="M2914" s="66" t="n"/>
    </row>
    <row r="2915">
      <c r="C2915" s="70" t="inlineStr">
        <is>
          <t>LANZAMIENTO DE ORDEN — pedir esta semana</t>
        </is>
      </c>
      <c r="D2915" s="64" t="n"/>
      <c r="E2915" s="71">
        <f>IF(1+Materiales!$F$419&gt;8,0,INDEX($E$2914:$L$2914,1,1+Materiales!$F$419))</f>
        <v/>
      </c>
      <c r="F2915" s="71">
        <f>IF(2+Materiales!$F$419&gt;8,0,INDEX($E$2914:$L$2914,1,2+Materiales!$F$419))</f>
        <v/>
      </c>
      <c r="G2915" s="71">
        <f>IF(3+Materiales!$F$419&gt;8,0,INDEX($E$2914:$L$2914,1,3+Materiales!$F$419))</f>
        <v/>
      </c>
      <c r="H2915" s="71">
        <f>IF(4+Materiales!$F$419&gt;8,0,INDEX($E$2914:$L$2914,1,4+Materiales!$F$419))</f>
        <v/>
      </c>
      <c r="I2915" s="71">
        <f>IF(5+Materiales!$F$419&gt;8,0,INDEX($E$2914:$L$2914,1,5+Materiales!$F$419))</f>
        <v/>
      </c>
      <c r="J2915" s="71">
        <f>IF(6+Materiales!$F$419&gt;8,0,INDEX($E$2914:$L$2914,1,6+Materiales!$F$419))</f>
        <v/>
      </c>
      <c r="K2915" s="71">
        <f>IF(7+Materiales!$F$419&gt;8,0,INDEX($E$2914:$L$2914,1,7+Materiales!$F$419))</f>
        <v/>
      </c>
      <c r="L2915" s="71">
        <f>IF(8+Materiales!$F$419&gt;8,0,INDEX($E$2914:$L$2914,1,8+Materiales!$F$419))</f>
        <v/>
      </c>
      <c r="M2915" s="72">
        <f>IF($A2910="","",IF(SUMPRODUCT((COLUMN($E$2914:$L$2914)-4&lt;=Materiales!$F$419)*$E$2914:$L$2914)&gt;0,"PEDIR YA (atrasado)","OK"))</f>
        <v/>
      </c>
    </row>
    <row r="2916" ht="6" customHeight="1"/>
    <row r="2917">
      <c r="A2917" s="62">
        <f>IF(Materiales!$A$420="","",Materiales!$A$420)</f>
        <v/>
      </c>
      <c r="B2917" s="62">
        <f>IF(Materiales!$B$420="","",Materiales!$B$420)</f>
        <v/>
      </c>
      <c r="C2917" s="63" t="inlineStr">
        <is>
          <t>Necesidad bruta</t>
        </is>
      </c>
      <c r="D2917" s="64" t="n"/>
      <c r="E2917" s="65">
        <f>ROUND(SUMIF(Consumo!$P$4:$P$189,"#"&amp;$A2917,Consumo!H$4:H$189),4)</f>
        <v/>
      </c>
      <c r="F2917" s="65">
        <f>ROUND(SUMIF(Consumo!$P$4:$P$189,"#"&amp;$A2917,Consumo!I$4:I$189),4)</f>
        <v/>
      </c>
      <c r="G2917" s="65">
        <f>ROUND(SUMIF(Consumo!$P$4:$P$189,"#"&amp;$A2917,Consumo!J$4:J$189),4)</f>
        <v/>
      </c>
      <c r="H2917" s="65">
        <f>ROUND(SUMIF(Consumo!$P$4:$P$189,"#"&amp;$A2917,Consumo!K$4:K$189),4)</f>
        <v/>
      </c>
      <c r="I2917" s="65">
        <f>ROUND(SUMIF(Consumo!$P$4:$P$189,"#"&amp;$A2917,Consumo!L$4:L$189),4)</f>
        <v/>
      </c>
      <c r="J2917" s="65">
        <f>ROUND(SUMIF(Consumo!$P$4:$P$189,"#"&amp;$A2917,Consumo!M$4:M$189),4)</f>
        <v/>
      </c>
      <c r="K2917" s="65">
        <f>ROUND(SUMIF(Consumo!$P$4:$P$189,"#"&amp;$A2917,Consumo!N$4:N$189),4)</f>
        <v/>
      </c>
      <c r="L2917" s="65">
        <f>ROUND(SUMIF(Consumo!$P$4:$P$189,"#"&amp;$A2917,Consumo!O$4:O$189),4)</f>
        <v/>
      </c>
      <c r="M2917" s="66" t="n"/>
    </row>
    <row r="2918">
      <c r="C2918" s="63" t="inlineStr">
        <is>
          <t>Recepciones programadas (ya pedido)</t>
        </is>
      </c>
      <c r="D2918" s="64" t="n"/>
      <c r="E2918" s="65">
        <f>SUMIF(Inventario!$M$5:$M$505,"#"&amp;$A2917,Inventario!E$5:E$505)</f>
        <v/>
      </c>
      <c r="F2918" s="65">
        <f>SUMIF(Inventario!$M$5:$M$505,"#"&amp;$A2917,Inventario!F$5:F$505)</f>
        <v/>
      </c>
      <c r="G2918" s="65">
        <f>SUMIF(Inventario!$M$5:$M$505,"#"&amp;$A2917,Inventario!G$5:G$505)</f>
        <v/>
      </c>
      <c r="H2918" s="65">
        <f>SUMIF(Inventario!$M$5:$M$505,"#"&amp;$A2917,Inventario!H$5:H$505)</f>
        <v/>
      </c>
      <c r="I2918" s="65">
        <f>SUMIF(Inventario!$M$5:$M$505,"#"&amp;$A2917,Inventario!I$5:I$505)</f>
        <v/>
      </c>
      <c r="J2918" s="65">
        <f>SUMIF(Inventario!$M$5:$M$505,"#"&amp;$A2917,Inventario!J$5:J$505)</f>
        <v/>
      </c>
      <c r="K2918" s="65">
        <f>SUMIF(Inventario!$M$5:$M$505,"#"&amp;$A2917,Inventario!K$5:K$505)</f>
        <v/>
      </c>
      <c r="L2918" s="65">
        <f>SUMIF(Inventario!$M$5:$M$505,"#"&amp;$A2917,Inventario!L$5:L$505)</f>
        <v/>
      </c>
      <c r="M2918" s="66" t="n"/>
    </row>
    <row r="2919">
      <c r="C2919" s="63" t="inlineStr">
        <is>
          <t>Stock proyectado disponible</t>
        </is>
      </c>
      <c r="D2919" s="67">
        <f>SUMIF(Inventario!$M$5:$M$505,"#"&amp;$A2917,Inventario!$C$5:$C$505)</f>
        <v/>
      </c>
      <c r="E2919" s="68">
        <f>D2919+E2918+E2921-E2917</f>
        <v/>
      </c>
      <c r="F2919" s="68">
        <f>E2919+F2918+F2921-F2917</f>
        <v/>
      </c>
      <c r="G2919" s="68">
        <f>F2919+G2918+G2921-G2917</f>
        <v/>
      </c>
      <c r="H2919" s="68">
        <f>G2919+H2918+H2921-H2917</f>
        <v/>
      </c>
      <c r="I2919" s="68">
        <f>H2919+I2918+I2921-I2917</f>
        <v/>
      </c>
      <c r="J2919" s="68">
        <f>I2919+J2918+J2921-J2917</f>
        <v/>
      </c>
      <c r="K2919" s="68">
        <f>J2919+K2918+K2921-K2917</f>
        <v/>
      </c>
      <c r="L2919" s="68">
        <f>K2919+L2918+L2921-L2917</f>
        <v/>
      </c>
      <c r="M2919" s="66" t="n"/>
    </row>
    <row r="2920">
      <c r="C2920" s="63" t="inlineStr">
        <is>
          <t>Necesidad neta</t>
        </is>
      </c>
      <c r="D2920" s="64" t="n"/>
      <c r="E2920" s="69">
        <f>MAX(0,ROUND(E2917+Materiales!$H$420-D2919-E2918,4))</f>
        <v/>
      </c>
      <c r="F2920" s="69">
        <f>MAX(0,ROUND(F2917+Materiales!$H$420-E2919-F2918,4))</f>
        <v/>
      </c>
      <c r="G2920" s="69">
        <f>MAX(0,ROUND(G2917+Materiales!$H$420-F2919-G2918,4))</f>
        <v/>
      </c>
      <c r="H2920" s="69">
        <f>MAX(0,ROUND(H2917+Materiales!$H$420-G2919-H2918,4))</f>
        <v/>
      </c>
      <c r="I2920" s="69">
        <f>MAX(0,ROUND(I2917+Materiales!$H$420-H2919-I2918,4))</f>
        <v/>
      </c>
      <c r="J2920" s="69">
        <f>MAX(0,ROUND(J2917+Materiales!$H$420-I2919-J2918,4))</f>
        <v/>
      </c>
      <c r="K2920" s="69">
        <f>MAX(0,ROUND(K2917+Materiales!$H$420-J2919-K2918,4))</f>
        <v/>
      </c>
      <c r="L2920" s="69">
        <f>MAX(0,ROUND(L2917+Materiales!$H$420-K2919-L2918,4))</f>
        <v/>
      </c>
      <c r="M2920" s="66" t="n"/>
    </row>
    <row r="2921">
      <c r="C2921" s="63" t="inlineStr">
        <is>
          <t>Recepcion de orden planificada</t>
        </is>
      </c>
      <c r="D2921" s="64" t="n"/>
      <c r="E2921" s="65">
        <f>IF(E2920&lt;=0,0,IF(Materiales!$G$420&lt;=0,E2920,ROUNDUP(E2920/Materiales!$G$420,0)*Materiales!$G$420))</f>
        <v/>
      </c>
      <c r="F2921" s="65">
        <f>IF(F2920&lt;=0,0,IF(Materiales!$G$420&lt;=0,F2920,ROUNDUP(F2920/Materiales!$G$420,0)*Materiales!$G$420))</f>
        <v/>
      </c>
      <c r="G2921" s="65">
        <f>IF(G2920&lt;=0,0,IF(Materiales!$G$420&lt;=0,G2920,ROUNDUP(G2920/Materiales!$G$420,0)*Materiales!$G$420))</f>
        <v/>
      </c>
      <c r="H2921" s="65">
        <f>IF(H2920&lt;=0,0,IF(Materiales!$G$420&lt;=0,H2920,ROUNDUP(H2920/Materiales!$G$420,0)*Materiales!$G$420))</f>
        <v/>
      </c>
      <c r="I2921" s="65">
        <f>IF(I2920&lt;=0,0,IF(Materiales!$G$420&lt;=0,I2920,ROUNDUP(I2920/Materiales!$G$420,0)*Materiales!$G$420))</f>
        <v/>
      </c>
      <c r="J2921" s="65">
        <f>IF(J2920&lt;=0,0,IF(Materiales!$G$420&lt;=0,J2920,ROUNDUP(J2920/Materiales!$G$420,0)*Materiales!$G$420))</f>
        <v/>
      </c>
      <c r="K2921" s="65">
        <f>IF(K2920&lt;=0,0,IF(Materiales!$G$420&lt;=0,K2920,ROUNDUP(K2920/Materiales!$G$420,0)*Materiales!$G$420))</f>
        <v/>
      </c>
      <c r="L2921" s="65">
        <f>IF(L2920&lt;=0,0,IF(Materiales!$G$420&lt;=0,L2920,ROUNDUP(L2920/Materiales!$G$420,0)*Materiales!$G$420))</f>
        <v/>
      </c>
      <c r="M2921" s="66" t="n"/>
    </row>
    <row r="2922">
      <c r="C2922" s="70" t="inlineStr">
        <is>
          <t>LANZAMIENTO DE ORDEN — pedir esta semana</t>
        </is>
      </c>
      <c r="D2922" s="64" t="n"/>
      <c r="E2922" s="71">
        <f>IF(1+Materiales!$F$420&gt;8,0,INDEX($E$2921:$L$2921,1,1+Materiales!$F$420))</f>
        <v/>
      </c>
      <c r="F2922" s="71">
        <f>IF(2+Materiales!$F$420&gt;8,0,INDEX($E$2921:$L$2921,1,2+Materiales!$F$420))</f>
        <v/>
      </c>
      <c r="G2922" s="71">
        <f>IF(3+Materiales!$F$420&gt;8,0,INDEX($E$2921:$L$2921,1,3+Materiales!$F$420))</f>
        <v/>
      </c>
      <c r="H2922" s="71">
        <f>IF(4+Materiales!$F$420&gt;8,0,INDEX($E$2921:$L$2921,1,4+Materiales!$F$420))</f>
        <v/>
      </c>
      <c r="I2922" s="71">
        <f>IF(5+Materiales!$F$420&gt;8,0,INDEX($E$2921:$L$2921,1,5+Materiales!$F$420))</f>
        <v/>
      </c>
      <c r="J2922" s="71">
        <f>IF(6+Materiales!$F$420&gt;8,0,INDEX($E$2921:$L$2921,1,6+Materiales!$F$420))</f>
        <v/>
      </c>
      <c r="K2922" s="71">
        <f>IF(7+Materiales!$F$420&gt;8,0,INDEX($E$2921:$L$2921,1,7+Materiales!$F$420))</f>
        <v/>
      </c>
      <c r="L2922" s="71">
        <f>IF(8+Materiales!$F$420&gt;8,0,INDEX($E$2921:$L$2921,1,8+Materiales!$F$420))</f>
        <v/>
      </c>
      <c r="M2922" s="72">
        <f>IF($A2917="","",IF(SUMPRODUCT((COLUMN($E$2921:$L$2921)-4&lt;=Materiales!$F$420)*$E$2921:$L$2921)&gt;0,"PEDIR YA (atrasado)","OK"))</f>
        <v/>
      </c>
    </row>
    <row r="2923" ht="6" customHeight="1"/>
    <row r="2924">
      <c r="A2924" s="62">
        <f>IF(Materiales!$A$421="","",Materiales!$A$421)</f>
        <v/>
      </c>
      <c r="B2924" s="62">
        <f>IF(Materiales!$B$421="","",Materiales!$B$421)</f>
        <v/>
      </c>
      <c r="C2924" s="63" t="inlineStr">
        <is>
          <t>Necesidad bruta</t>
        </is>
      </c>
      <c r="D2924" s="64" t="n"/>
      <c r="E2924" s="65">
        <f>ROUND(SUMIF(Consumo!$P$4:$P$189,"#"&amp;$A2924,Consumo!H$4:H$189),4)</f>
        <v/>
      </c>
      <c r="F2924" s="65">
        <f>ROUND(SUMIF(Consumo!$P$4:$P$189,"#"&amp;$A2924,Consumo!I$4:I$189),4)</f>
        <v/>
      </c>
      <c r="G2924" s="65">
        <f>ROUND(SUMIF(Consumo!$P$4:$P$189,"#"&amp;$A2924,Consumo!J$4:J$189),4)</f>
        <v/>
      </c>
      <c r="H2924" s="65">
        <f>ROUND(SUMIF(Consumo!$P$4:$P$189,"#"&amp;$A2924,Consumo!K$4:K$189),4)</f>
        <v/>
      </c>
      <c r="I2924" s="65">
        <f>ROUND(SUMIF(Consumo!$P$4:$P$189,"#"&amp;$A2924,Consumo!L$4:L$189),4)</f>
        <v/>
      </c>
      <c r="J2924" s="65">
        <f>ROUND(SUMIF(Consumo!$P$4:$P$189,"#"&amp;$A2924,Consumo!M$4:M$189),4)</f>
        <v/>
      </c>
      <c r="K2924" s="65">
        <f>ROUND(SUMIF(Consumo!$P$4:$P$189,"#"&amp;$A2924,Consumo!N$4:N$189),4)</f>
        <v/>
      </c>
      <c r="L2924" s="65">
        <f>ROUND(SUMIF(Consumo!$P$4:$P$189,"#"&amp;$A2924,Consumo!O$4:O$189),4)</f>
        <v/>
      </c>
      <c r="M2924" s="66" t="n"/>
    </row>
    <row r="2925">
      <c r="C2925" s="63" t="inlineStr">
        <is>
          <t>Recepciones programadas (ya pedido)</t>
        </is>
      </c>
      <c r="D2925" s="64" t="n"/>
      <c r="E2925" s="65">
        <f>SUMIF(Inventario!$M$5:$M$505,"#"&amp;$A2924,Inventario!E$5:E$505)</f>
        <v/>
      </c>
      <c r="F2925" s="65">
        <f>SUMIF(Inventario!$M$5:$M$505,"#"&amp;$A2924,Inventario!F$5:F$505)</f>
        <v/>
      </c>
      <c r="G2925" s="65">
        <f>SUMIF(Inventario!$M$5:$M$505,"#"&amp;$A2924,Inventario!G$5:G$505)</f>
        <v/>
      </c>
      <c r="H2925" s="65">
        <f>SUMIF(Inventario!$M$5:$M$505,"#"&amp;$A2924,Inventario!H$5:H$505)</f>
        <v/>
      </c>
      <c r="I2925" s="65">
        <f>SUMIF(Inventario!$M$5:$M$505,"#"&amp;$A2924,Inventario!I$5:I$505)</f>
        <v/>
      </c>
      <c r="J2925" s="65">
        <f>SUMIF(Inventario!$M$5:$M$505,"#"&amp;$A2924,Inventario!J$5:J$505)</f>
        <v/>
      </c>
      <c r="K2925" s="65">
        <f>SUMIF(Inventario!$M$5:$M$505,"#"&amp;$A2924,Inventario!K$5:K$505)</f>
        <v/>
      </c>
      <c r="L2925" s="65">
        <f>SUMIF(Inventario!$M$5:$M$505,"#"&amp;$A2924,Inventario!L$5:L$505)</f>
        <v/>
      </c>
      <c r="M2925" s="66" t="n"/>
    </row>
    <row r="2926">
      <c r="C2926" s="63" t="inlineStr">
        <is>
          <t>Stock proyectado disponible</t>
        </is>
      </c>
      <c r="D2926" s="67">
        <f>SUMIF(Inventario!$M$5:$M$505,"#"&amp;$A2924,Inventario!$C$5:$C$505)</f>
        <v/>
      </c>
      <c r="E2926" s="68">
        <f>D2926+E2925+E2928-E2924</f>
        <v/>
      </c>
      <c r="F2926" s="68">
        <f>E2926+F2925+F2928-F2924</f>
        <v/>
      </c>
      <c r="G2926" s="68">
        <f>F2926+G2925+G2928-G2924</f>
        <v/>
      </c>
      <c r="H2926" s="68">
        <f>G2926+H2925+H2928-H2924</f>
        <v/>
      </c>
      <c r="I2926" s="68">
        <f>H2926+I2925+I2928-I2924</f>
        <v/>
      </c>
      <c r="J2926" s="68">
        <f>I2926+J2925+J2928-J2924</f>
        <v/>
      </c>
      <c r="K2926" s="68">
        <f>J2926+K2925+K2928-K2924</f>
        <v/>
      </c>
      <c r="L2926" s="68">
        <f>K2926+L2925+L2928-L2924</f>
        <v/>
      </c>
      <c r="M2926" s="66" t="n"/>
    </row>
    <row r="2927">
      <c r="C2927" s="63" t="inlineStr">
        <is>
          <t>Necesidad neta</t>
        </is>
      </c>
      <c r="D2927" s="64" t="n"/>
      <c r="E2927" s="69">
        <f>MAX(0,ROUND(E2924+Materiales!$H$421-D2926-E2925,4))</f>
        <v/>
      </c>
      <c r="F2927" s="69">
        <f>MAX(0,ROUND(F2924+Materiales!$H$421-E2926-F2925,4))</f>
        <v/>
      </c>
      <c r="G2927" s="69">
        <f>MAX(0,ROUND(G2924+Materiales!$H$421-F2926-G2925,4))</f>
        <v/>
      </c>
      <c r="H2927" s="69">
        <f>MAX(0,ROUND(H2924+Materiales!$H$421-G2926-H2925,4))</f>
        <v/>
      </c>
      <c r="I2927" s="69">
        <f>MAX(0,ROUND(I2924+Materiales!$H$421-H2926-I2925,4))</f>
        <v/>
      </c>
      <c r="J2927" s="69">
        <f>MAX(0,ROUND(J2924+Materiales!$H$421-I2926-J2925,4))</f>
        <v/>
      </c>
      <c r="K2927" s="69">
        <f>MAX(0,ROUND(K2924+Materiales!$H$421-J2926-K2925,4))</f>
        <v/>
      </c>
      <c r="L2927" s="69">
        <f>MAX(0,ROUND(L2924+Materiales!$H$421-K2926-L2925,4))</f>
        <v/>
      </c>
      <c r="M2927" s="66" t="n"/>
    </row>
    <row r="2928">
      <c r="C2928" s="63" t="inlineStr">
        <is>
          <t>Recepcion de orden planificada</t>
        </is>
      </c>
      <c r="D2928" s="64" t="n"/>
      <c r="E2928" s="65">
        <f>IF(E2927&lt;=0,0,IF(Materiales!$G$421&lt;=0,E2927,ROUNDUP(E2927/Materiales!$G$421,0)*Materiales!$G$421))</f>
        <v/>
      </c>
      <c r="F2928" s="65">
        <f>IF(F2927&lt;=0,0,IF(Materiales!$G$421&lt;=0,F2927,ROUNDUP(F2927/Materiales!$G$421,0)*Materiales!$G$421))</f>
        <v/>
      </c>
      <c r="G2928" s="65">
        <f>IF(G2927&lt;=0,0,IF(Materiales!$G$421&lt;=0,G2927,ROUNDUP(G2927/Materiales!$G$421,0)*Materiales!$G$421))</f>
        <v/>
      </c>
      <c r="H2928" s="65">
        <f>IF(H2927&lt;=0,0,IF(Materiales!$G$421&lt;=0,H2927,ROUNDUP(H2927/Materiales!$G$421,0)*Materiales!$G$421))</f>
        <v/>
      </c>
      <c r="I2928" s="65">
        <f>IF(I2927&lt;=0,0,IF(Materiales!$G$421&lt;=0,I2927,ROUNDUP(I2927/Materiales!$G$421,0)*Materiales!$G$421))</f>
        <v/>
      </c>
      <c r="J2928" s="65">
        <f>IF(J2927&lt;=0,0,IF(Materiales!$G$421&lt;=0,J2927,ROUNDUP(J2927/Materiales!$G$421,0)*Materiales!$G$421))</f>
        <v/>
      </c>
      <c r="K2928" s="65">
        <f>IF(K2927&lt;=0,0,IF(Materiales!$G$421&lt;=0,K2927,ROUNDUP(K2927/Materiales!$G$421,0)*Materiales!$G$421))</f>
        <v/>
      </c>
      <c r="L2928" s="65">
        <f>IF(L2927&lt;=0,0,IF(Materiales!$G$421&lt;=0,L2927,ROUNDUP(L2927/Materiales!$G$421,0)*Materiales!$G$421))</f>
        <v/>
      </c>
      <c r="M2928" s="66" t="n"/>
    </row>
    <row r="2929">
      <c r="C2929" s="70" t="inlineStr">
        <is>
          <t>LANZAMIENTO DE ORDEN — pedir esta semana</t>
        </is>
      </c>
      <c r="D2929" s="64" t="n"/>
      <c r="E2929" s="71">
        <f>IF(1+Materiales!$F$421&gt;8,0,INDEX($E$2928:$L$2928,1,1+Materiales!$F$421))</f>
        <v/>
      </c>
      <c r="F2929" s="71">
        <f>IF(2+Materiales!$F$421&gt;8,0,INDEX($E$2928:$L$2928,1,2+Materiales!$F$421))</f>
        <v/>
      </c>
      <c r="G2929" s="71">
        <f>IF(3+Materiales!$F$421&gt;8,0,INDEX($E$2928:$L$2928,1,3+Materiales!$F$421))</f>
        <v/>
      </c>
      <c r="H2929" s="71">
        <f>IF(4+Materiales!$F$421&gt;8,0,INDEX($E$2928:$L$2928,1,4+Materiales!$F$421))</f>
        <v/>
      </c>
      <c r="I2929" s="71">
        <f>IF(5+Materiales!$F$421&gt;8,0,INDEX($E$2928:$L$2928,1,5+Materiales!$F$421))</f>
        <v/>
      </c>
      <c r="J2929" s="71">
        <f>IF(6+Materiales!$F$421&gt;8,0,INDEX($E$2928:$L$2928,1,6+Materiales!$F$421))</f>
        <v/>
      </c>
      <c r="K2929" s="71">
        <f>IF(7+Materiales!$F$421&gt;8,0,INDEX($E$2928:$L$2928,1,7+Materiales!$F$421))</f>
        <v/>
      </c>
      <c r="L2929" s="71">
        <f>IF(8+Materiales!$F$421&gt;8,0,INDEX($E$2928:$L$2928,1,8+Materiales!$F$421))</f>
        <v/>
      </c>
      <c r="M2929" s="72">
        <f>IF($A2924="","",IF(SUMPRODUCT((COLUMN($E$2928:$L$2928)-4&lt;=Materiales!$F$421)*$E$2928:$L$2928)&gt;0,"PEDIR YA (atrasado)","OK"))</f>
        <v/>
      </c>
    </row>
    <row r="2930" ht="6" customHeight="1"/>
    <row r="2931">
      <c r="A2931" s="62">
        <f>IF(Materiales!$A$422="","",Materiales!$A$422)</f>
        <v/>
      </c>
      <c r="B2931" s="62">
        <f>IF(Materiales!$B$422="","",Materiales!$B$422)</f>
        <v/>
      </c>
      <c r="C2931" s="63" t="inlineStr">
        <is>
          <t>Necesidad bruta</t>
        </is>
      </c>
      <c r="D2931" s="64" t="n"/>
      <c r="E2931" s="65">
        <f>ROUND(SUMIF(Consumo!$P$4:$P$189,"#"&amp;$A2931,Consumo!H$4:H$189),4)</f>
        <v/>
      </c>
      <c r="F2931" s="65">
        <f>ROUND(SUMIF(Consumo!$P$4:$P$189,"#"&amp;$A2931,Consumo!I$4:I$189),4)</f>
        <v/>
      </c>
      <c r="G2931" s="65">
        <f>ROUND(SUMIF(Consumo!$P$4:$P$189,"#"&amp;$A2931,Consumo!J$4:J$189),4)</f>
        <v/>
      </c>
      <c r="H2931" s="65">
        <f>ROUND(SUMIF(Consumo!$P$4:$P$189,"#"&amp;$A2931,Consumo!K$4:K$189),4)</f>
        <v/>
      </c>
      <c r="I2931" s="65">
        <f>ROUND(SUMIF(Consumo!$P$4:$P$189,"#"&amp;$A2931,Consumo!L$4:L$189),4)</f>
        <v/>
      </c>
      <c r="J2931" s="65">
        <f>ROUND(SUMIF(Consumo!$P$4:$P$189,"#"&amp;$A2931,Consumo!M$4:M$189),4)</f>
        <v/>
      </c>
      <c r="K2931" s="65">
        <f>ROUND(SUMIF(Consumo!$P$4:$P$189,"#"&amp;$A2931,Consumo!N$4:N$189),4)</f>
        <v/>
      </c>
      <c r="L2931" s="65">
        <f>ROUND(SUMIF(Consumo!$P$4:$P$189,"#"&amp;$A2931,Consumo!O$4:O$189),4)</f>
        <v/>
      </c>
      <c r="M2931" s="66" t="n"/>
    </row>
    <row r="2932">
      <c r="C2932" s="63" t="inlineStr">
        <is>
          <t>Recepciones programadas (ya pedido)</t>
        </is>
      </c>
      <c r="D2932" s="64" t="n"/>
      <c r="E2932" s="65">
        <f>SUMIF(Inventario!$M$5:$M$505,"#"&amp;$A2931,Inventario!E$5:E$505)</f>
        <v/>
      </c>
      <c r="F2932" s="65">
        <f>SUMIF(Inventario!$M$5:$M$505,"#"&amp;$A2931,Inventario!F$5:F$505)</f>
        <v/>
      </c>
      <c r="G2932" s="65">
        <f>SUMIF(Inventario!$M$5:$M$505,"#"&amp;$A2931,Inventario!G$5:G$505)</f>
        <v/>
      </c>
      <c r="H2932" s="65">
        <f>SUMIF(Inventario!$M$5:$M$505,"#"&amp;$A2931,Inventario!H$5:H$505)</f>
        <v/>
      </c>
      <c r="I2932" s="65">
        <f>SUMIF(Inventario!$M$5:$M$505,"#"&amp;$A2931,Inventario!I$5:I$505)</f>
        <v/>
      </c>
      <c r="J2932" s="65">
        <f>SUMIF(Inventario!$M$5:$M$505,"#"&amp;$A2931,Inventario!J$5:J$505)</f>
        <v/>
      </c>
      <c r="K2932" s="65">
        <f>SUMIF(Inventario!$M$5:$M$505,"#"&amp;$A2931,Inventario!K$5:K$505)</f>
        <v/>
      </c>
      <c r="L2932" s="65">
        <f>SUMIF(Inventario!$M$5:$M$505,"#"&amp;$A2931,Inventario!L$5:L$505)</f>
        <v/>
      </c>
      <c r="M2932" s="66" t="n"/>
    </row>
    <row r="2933">
      <c r="C2933" s="63" t="inlineStr">
        <is>
          <t>Stock proyectado disponible</t>
        </is>
      </c>
      <c r="D2933" s="67">
        <f>SUMIF(Inventario!$M$5:$M$505,"#"&amp;$A2931,Inventario!$C$5:$C$505)</f>
        <v/>
      </c>
      <c r="E2933" s="68">
        <f>D2933+E2932+E2935-E2931</f>
        <v/>
      </c>
      <c r="F2933" s="68">
        <f>E2933+F2932+F2935-F2931</f>
        <v/>
      </c>
      <c r="G2933" s="68">
        <f>F2933+G2932+G2935-G2931</f>
        <v/>
      </c>
      <c r="H2933" s="68">
        <f>G2933+H2932+H2935-H2931</f>
        <v/>
      </c>
      <c r="I2933" s="68">
        <f>H2933+I2932+I2935-I2931</f>
        <v/>
      </c>
      <c r="J2933" s="68">
        <f>I2933+J2932+J2935-J2931</f>
        <v/>
      </c>
      <c r="K2933" s="68">
        <f>J2933+K2932+K2935-K2931</f>
        <v/>
      </c>
      <c r="L2933" s="68">
        <f>K2933+L2932+L2935-L2931</f>
        <v/>
      </c>
      <c r="M2933" s="66" t="n"/>
    </row>
    <row r="2934">
      <c r="C2934" s="63" t="inlineStr">
        <is>
          <t>Necesidad neta</t>
        </is>
      </c>
      <c r="D2934" s="64" t="n"/>
      <c r="E2934" s="69">
        <f>MAX(0,ROUND(E2931+Materiales!$H$422-D2933-E2932,4))</f>
        <v/>
      </c>
      <c r="F2934" s="69">
        <f>MAX(0,ROUND(F2931+Materiales!$H$422-E2933-F2932,4))</f>
        <v/>
      </c>
      <c r="G2934" s="69">
        <f>MAX(0,ROUND(G2931+Materiales!$H$422-F2933-G2932,4))</f>
        <v/>
      </c>
      <c r="H2934" s="69">
        <f>MAX(0,ROUND(H2931+Materiales!$H$422-G2933-H2932,4))</f>
        <v/>
      </c>
      <c r="I2934" s="69">
        <f>MAX(0,ROUND(I2931+Materiales!$H$422-H2933-I2932,4))</f>
        <v/>
      </c>
      <c r="J2934" s="69">
        <f>MAX(0,ROUND(J2931+Materiales!$H$422-I2933-J2932,4))</f>
        <v/>
      </c>
      <c r="K2934" s="69">
        <f>MAX(0,ROUND(K2931+Materiales!$H$422-J2933-K2932,4))</f>
        <v/>
      </c>
      <c r="L2934" s="69">
        <f>MAX(0,ROUND(L2931+Materiales!$H$422-K2933-L2932,4))</f>
        <v/>
      </c>
      <c r="M2934" s="66" t="n"/>
    </row>
    <row r="2935">
      <c r="C2935" s="63" t="inlineStr">
        <is>
          <t>Recepcion de orden planificada</t>
        </is>
      </c>
      <c r="D2935" s="64" t="n"/>
      <c r="E2935" s="65">
        <f>IF(E2934&lt;=0,0,IF(Materiales!$G$422&lt;=0,E2934,ROUNDUP(E2934/Materiales!$G$422,0)*Materiales!$G$422))</f>
        <v/>
      </c>
      <c r="F2935" s="65">
        <f>IF(F2934&lt;=0,0,IF(Materiales!$G$422&lt;=0,F2934,ROUNDUP(F2934/Materiales!$G$422,0)*Materiales!$G$422))</f>
        <v/>
      </c>
      <c r="G2935" s="65">
        <f>IF(G2934&lt;=0,0,IF(Materiales!$G$422&lt;=0,G2934,ROUNDUP(G2934/Materiales!$G$422,0)*Materiales!$G$422))</f>
        <v/>
      </c>
      <c r="H2935" s="65">
        <f>IF(H2934&lt;=0,0,IF(Materiales!$G$422&lt;=0,H2934,ROUNDUP(H2934/Materiales!$G$422,0)*Materiales!$G$422))</f>
        <v/>
      </c>
      <c r="I2935" s="65">
        <f>IF(I2934&lt;=0,0,IF(Materiales!$G$422&lt;=0,I2934,ROUNDUP(I2934/Materiales!$G$422,0)*Materiales!$G$422))</f>
        <v/>
      </c>
      <c r="J2935" s="65">
        <f>IF(J2934&lt;=0,0,IF(Materiales!$G$422&lt;=0,J2934,ROUNDUP(J2934/Materiales!$G$422,0)*Materiales!$G$422))</f>
        <v/>
      </c>
      <c r="K2935" s="65">
        <f>IF(K2934&lt;=0,0,IF(Materiales!$G$422&lt;=0,K2934,ROUNDUP(K2934/Materiales!$G$422,0)*Materiales!$G$422))</f>
        <v/>
      </c>
      <c r="L2935" s="65">
        <f>IF(L2934&lt;=0,0,IF(Materiales!$G$422&lt;=0,L2934,ROUNDUP(L2934/Materiales!$G$422,0)*Materiales!$G$422))</f>
        <v/>
      </c>
      <c r="M2935" s="66" t="n"/>
    </row>
    <row r="2936">
      <c r="C2936" s="70" t="inlineStr">
        <is>
          <t>LANZAMIENTO DE ORDEN — pedir esta semana</t>
        </is>
      </c>
      <c r="D2936" s="64" t="n"/>
      <c r="E2936" s="71">
        <f>IF(1+Materiales!$F$422&gt;8,0,INDEX($E$2935:$L$2935,1,1+Materiales!$F$422))</f>
        <v/>
      </c>
      <c r="F2936" s="71">
        <f>IF(2+Materiales!$F$422&gt;8,0,INDEX($E$2935:$L$2935,1,2+Materiales!$F$422))</f>
        <v/>
      </c>
      <c r="G2936" s="71">
        <f>IF(3+Materiales!$F$422&gt;8,0,INDEX($E$2935:$L$2935,1,3+Materiales!$F$422))</f>
        <v/>
      </c>
      <c r="H2936" s="71">
        <f>IF(4+Materiales!$F$422&gt;8,0,INDEX($E$2935:$L$2935,1,4+Materiales!$F$422))</f>
        <v/>
      </c>
      <c r="I2936" s="71">
        <f>IF(5+Materiales!$F$422&gt;8,0,INDEX($E$2935:$L$2935,1,5+Materiales!$F$422))</f>
        <v/>
      </c>
      <c r="J2936" s="71">
        <f>IF(6+Materiales!$F$422&gt;8,0,INDEX($E$2935:$L$2935,1,6+Materiales!$F$422))</f>
        <v/>
      </c>
      <c r="K2936" s="71">
        <f>IF(7+Materiales!$F$422&gt;8,0,INDEX($E$2935:$L$2935,1,7+Materiales!$F$422))</f>
        <v/>
      </c>
      <c r="L2936" s="71">
        <f>IF(8+Materiales!$F$422&gt;8,0,INDEX($E$2935:$L$2935,1,8+Materiales!$F$422))</f>
        <v/>
      </c>
      <c r="M2936" s="72">
        <f>IF($A2931="","",IF(SUMPRODUCT((COLUMN($E$2935:$L$2935)-4&lt;=Materiales!$F$422)*$E$2935:$L$2935)&gt;0,"PEDIR YA (atrasado)","OK"))</f>
        <v/>
      </c>
    </row>
    <row r="2937" ht="6" customHeight="1"/>
    <row r="2938">
      <c r="A2938" s="62">
        <f>IF(Materiales!$A$423="","",Materiales!$A$423)</f>
        <v/>
      </c>
      <c r="B2938" s="62">
        <f>IF(Materiales!$B$423="","",Materiales!$B$423)</f>
        <v/>
      </c>
      <c r="C2938" s="63" t="inlineStr">
        <is>
          <t>Necesidad bruta</t>
        </is>
      </c>
      <c r="D2938" s="64" t="n"/>
      <c r="E2938" s="65">
        <f>ROUND(SUMIF(Consumo!$P$4:$P$189,"#"&amp;$A2938,Consumo!H$4:H$189),4)</f>
        <v/>
      </c>
      <c r="F2938" s="65">
        <f>ROUND(SUMIF(Consumo!$P$4:$P$189,"#"&amp;$A2938,Consumo!I$4:I$189),4)</f>
        <v/>
      </c>
      <c r="G2938" s="65">
        <f>ROUND(SUMIF(Consumo!$P$4:$P$189,"#"&amp;$A2938,Consumo!J$4:J$189),4)</f>
        <v/>
      </c>
      <c r="H2938" s="65">
        <f>ROUND(SUMIF(Consumo!$P$4:$P$189,"#"&amp;$A2938,Consumo!K$4:K$189),4)</f>
        <v/>
      </c>
      <c r="I2938" s="65">
        <f>ROUND(SUMIF(Consumo!$P$4:$P$189,"#"&amp;$A2938,Consumo!L$4:L$189),4)</f>
        <v/>
      </c>
      <c r="J2938" s="65">
        <f>ROUND(SUMIF(Consumo!$P$4:$P$189,"#"&amp;$A2938,Consumo!M$4:M$189),4)</f>
        <v/>
      </c>
      <c r="K2938" s="65">
        <f>ROUND(SUMIF(Consumo!$P$4:$P$189,"#"&amp;$A2938,Consumo!N$4:N$189),4)</f>
        <v/>
      </c>
      <c r="L2938" s="65">
        <f>ROUND(SUMIF(Consumo!$P$4:$P$189,"#"&amp;$A2938,Consumo!O$4:O$189),4)</f>
        <v/>
      </c>
      <c r="M2938" s="66" t="n"/>
    </row>
    <row r="2939">
      <c r="C2939" s="63" t="inlineStr">
        <is>
          <t>Recepciones programadas (ya pedido)</t>
        </is>
      </c>
      <c r="D2939" s="64" t="n"/>
      <c r="E2939" s="65">
        <f>SUMIF(Inventario!$M$5:$M$505,"#"&amp;$A2938,Inventario!E$5:E$505)</f>
        <v/>
      </c>
      <c r="F2939" s="65">
        <f>SUMIF(Inventario!$M$5:$M$505,"#"&amp;$A2938,Inventario!F$5:F$505)</f>
        <v/>
      </c>
      <c r="G2939" s="65">
        <f>SUMIF(Inventario!$M$5:$M$505,"#"&amp;$A2938,Inventario!G$5:G$505)</f>
        <v/>
      </c>
      <c r="H2939" s="65">
        <f>SUMIF(Inventario!$M$5:$M$505,"#"&amp;$A2938,Inventario!H$5:H$505)</f>
        <v/>
      </c>
      <c r="I2939" s="65">
        <f>SUMIF(Inventario!$M$5:$M$505,"#"&amp;$A2938,Inventario!I$5:I$505)</f>
        <v/>
      </c>
      <c r="J2939" s="65">
        <f>SUMIF(Inventario!$M$5:$M$505,"#"&amp;$A2938,Inventario!J$5:J$505)</f>
        <v/>
      </c>
      <c r="K2939" s="65">
        <f>SUMIF(Inventario!$M$5:$M$505,"#"&amp;$A2938,Inventario!K$5:K$505)</f>
        <v/>
      </c>
      <c r="L2939" s="65">
        <f>SUMIF(Inventario!$M$5:$M$505,"#"&amp;$A2938,Inventario!L$5:L$505)</f>
        <v/>
      </c>
      <c r="M2939" s="66" t="n"/>
    </row>
    <row r="2940">
      <c r="C2940" s="63" t="inlineStr">
        <is>
          <t>Stock proyectado disponible</t>
        </is>
      </c>
      <c r="D2940" s="67">
        <f>SUMIF(Inventario!$M$5:$M$505,"#"&amp;$A2938,Inventario!$C$5:$C$505)</f>
        <v/>
      </c>
      <c r="E2940" s="68">
        <f>D2940+E2939+E2942-E2938</f>
        <v/>
      </c>
      <c r="F2940" s="68">
        <f>E2940+F2939+F2942-F2938</f>
        <v/>
      </c>
      <c r="G2940" s="68">
        <f>F2940+G2939+G2942-G2938</f>
        <v/>
      </c>
      <c r="H2940" s="68">
        <f>G2940+H2939+H2942-H2938</f>
        <v/>
      </c>
      <c r="I2940" s="68">
        <f>H2940+I2939+I2942-I2938</f>
        <v/>
      </c>
      <c r="J2940" s="68">
        <f>I2940+J2939+J2942-J2938</f>
        <v/>
      </c>
      <c r="K2940" s="68">
        <f>J2940+K2939+K2942-K2938</f>
        <v/>
      </c>
      <c r="L2940" s="68">
        <f>K2940+L2939+L2942-L2938</f>
        <v/>
      </c>
      <c r="M2940" s="66" t="n"/>
    </row>
    <row r="2941">
      <c r="C2941" s="63" t="inlineStr">
        <is>
          <t>Necesidad neta</t>
        </is>
      </c>
      <c r="D2941" s="64" t="n"/>
      <c r="E2941" s="69">
        <f>MAX(0,ROUND(E2938+Materiales!$H$423-D2940-E2939,4))</f>
        <v/>
      </c>
      <c r="F2941" s="69">
        <f>MAX(0,ROUND(F2938+Materiales!$H$423-E2940-F2939,4))</f>
        <v/>
      </c>
      <c r="G2941" s="69">
        <f>MAX(0,ROUND(G2938+Materiales!$H$423-F2940-G2939,4))</f>
        <v/>
      </c>
      <c r="H2941" s="69">
        <f>MAX(0,ROUND(H2938+Materiales!$H$423-G2940-H2939,4))</f>
        <v/>
      </c>
      <c r="I2941" s="69">
        <f>MAX(0,ROUND(I2938+Materiales!$H$423-H2940-I2939,4))</f>
        <v/>
      </c>
      <c r="J2941" s="69">
        <f>MAX(0,ROUND(J2938+Materiales!$H$423-I2940-J2939,4))</f>
        <v/>
      </c>
      <c r="K2941" s="69">
        <f>MAX(0,ROUND(K2938+Materiales!$H$423-J2940-K2939,4))</f>
        <v/>
      </c>
      <c r="L2941" s="69">
        <f>MAX(0,ROUND(L2938+Materiales!$H$423-K2940-L2939,4))</f>
        <v/>
      </c>
      <c r="M2941" s="66" t="n"/>
    </row>
    <row r="2942">
      <c r="C2942" s="63" t="inlineStr">
        <is>
          <t>Recepcion de orden planificada</t>
        </is>
      </c>
      <c r="D2942" s="64" t="n"/>
      <c r="E2942" s="65">
        <f>IF(E2941&lt;=0,0,IF(Materiales!$G$423&lt;=0,E2941,ROUNDUP(E2941/Materiales!$G$423,0)*Materiales!$G$423))</f>
        <v/>
      </c>
      <c r="F2942" s="65">
        <f>IF(F2941&lt;=0,0,IF(Materiales!$G$423&lt;=0,F2941,ROUNDUP(F2941/Materiales!$G$423,0)*Materiales!$G$423))</f>
        <v/>
      </c>
      <c r="G2942" s="65">
        <f>IF(G2941&lt;=0,0,IF(Materiales!$G$423&lt;=0,G2941,ROUNDUP(G2941/Materiales!$G$423,0)*Materiales!$G$423))</f>
        <v/>
      </c>
      <c r="H2942" s="65">
        <f>IF(H2941&lt;=0,0,IF(Materiales!$G$423&lt;=0,H2941,ROUNDUP(H2941/Materiales!$G$423,0)*Materiales!$G$423))</f>
        <v/>
      </c>
      <c r="I2942" s="65">
        <f>IF(I2941&lt;=0,0,IF(Materiales!$G$423&lt;=0,I2941,ROUNDUP(I2941/Materiales!$G$423,0)*Materiales!$G$423))</f>
        <v/>
      </c>
      <c r="J2942" s="65">
        <f>IF(J2941&lt;=0,0,IF(Materiales!$G$423&lt;=0,J2941,ROUNDUP(J2941/Materiales!$G$423,0)*Materiales!$G$423))</f>
        <v/>
      </c>
      <c r="K2942" s="65">
        <f>IF(K2941&lt;=0,0,IF(Materiales!$G$423&lt;=0,K2941,ROUNDUP(K2941/Materiales!$G$423,0)*Materiales!$G$423))</f>
        <v/>
      </c>
      <c r="L2942" s="65">
        <f>IF(L2941&lt;=0,0,IF(Materiales!$G$423&lt;=0,L2941,ROUNDUP(L2941/Materiales!$G$423,0)*Materiales!$G$423))</f>
        <v/>
      </c>
      <c r="M2942" s="66" t="n"/>
    </row>
    <row r="2943">
      <c r="C2943" s="70" t="inlineStr">
        <is>
          <t>LANZAMIENTO DE ORDEN — pedir esta semana</t>
        </is>
      </c>
      <c r="D2943" s="64" t="n"/>
      <c r="E2943" s="71">
        <f>IF(1+Materiales!$F$423&gt;8,0,INDEX($E$2942:$L$2942,1,1+Materiales!$F$423))</f>
        <v/>
      </c>
      <c r="F2943" s="71">
        <f>IF(2+Materiales!$F$423&gt;8,0,INDEX($E$2942:$L$2942,1,2+Materiales!$F$423))</f>
        <v/>
      </c>
      <c r="G2943" s="71">
        <f>IF(3+Materiales!$F$423&gt;8,0,INDEX($E$2942:$L$2942,1,3+Materiales!$F$423))</f>
        <v/>
      </c>
      <c r="H2943" s="71">
        <f>IF(4+Materiales!$F$423&gt;8,0,INDEX($E$2942:$L$2942,1,4+Materiales!$F$423))</f>
        <v/>
      </c>
      <c r="I2943" s="71">
        <f>IF(5+Materiales!$F$423&gt;8,0,INDEX($E$2942:$L$2942,1,5+Materiales!$F$423))</f>
        <v/>
      </c>
      <c r="J2943" s="71">
        <f>IF(6+Materiales!$F$423&gt;8,0,INDEX($E$2942:$L$2942,1,6+Materiales!$F$423))</f>
        <v/>
      </c>
      <c r="K2943" s="71">
        <f>IF(7+Materiales!$F$423&gt;8,0,INDEX($E$2942:$L$2942,1,7+Materiales!$F$423))</f>
        <v/>
      </c>
      <c r="L2943" s="71">
        <f>IF(8+Materiales!$F$423&gt;8,0,INDEX($E$2942:$L$2942,1,8+Materiales!$F$423))</f>
        <v/>
      </c>
      <c r="M2943" s="72">
        <f>IF($A2938="","",IF(SUMPRODUCT((COLUMN($E$2942:$L$2942)-4&lt;=Materiales!$F$423)*$E$2942:$L$2942)&gt;0,"PEDIR YA (atrasado)","OK"))</f>
        <v/>
      </c>
    </row>
    <row r="2944" ht="6" customHeight="1"/>
    <row r="2945">
      <c r="A2945" s="62">
        <f>IF(Materiales!$A$424="","",Materiales!$A$424)</f>
        <v/>
      </c>
      <c r="B2945" s="62">
        <f>IF(Materiales!$B$424="","",Materiales!$B$424)</f>
        <v/>
      </c>
      <c r="C2945" s="63" t="inlineStr">
        <is>
          <t>Necesidad bruta</t>
        </is>
      </c>
      <c r="D2945" s="64" t="n"/>
      <c r="E2945" s="65">
        <f>ROUND(SUMIF(Consumo!$P$4:$P$189,"#"&amp;$A2945,Consumo!H$4:H$189),4)</f>
        <v/>
      </c>
      <c r="F2945" s="65">
        <f>ROUND(SUMIF(Consumo!$P$4:$P$189,"#"&amp;$A2945,Consumo!I$4:I$189),4)</f>
        <v/>
      </c>
      <c r="G2945" s="65">
        <f>ROUND(SUMIF(Consumo!$P$4:$P$189,"#"&amp;$A2945,Consumo!J$4:J$189),4)</f>
        <v/>
      </c>
      <c r="H2945" s="65">
        <f>ROUND(SUMIF(Consumo!$P$4:$P$189,"#"&amp;$A2945,Consumo!K$4:K$189),4)</f>
        <v/>
      </c>
      <c r="I2945" s="65">
        <f>ROUND(SUMIF(Consumo!$P$4:$P$189,"#"&amp;$A2945,Consumo!L$4:L$189),4)</f>
        <v/>
      </c>
      <c r="J2945" s="65">
        <f>ROUND(SUMIF(Consumo!$P$4:$P$189,"#"&amp;$A2945,Consumo!M$4:M$189),4)</f>
        <v/>
      </c>
      <c r="K2945" s="65">
        <f>ROUND(SUMIF(Consumo!$P$4:$P$189,"#"&amp;$A2945,Consumo!N$4:N$189),4)</f>
        <v/>
      </c>
      <c r="L2945" s="65">
        <f>ROUND(SUMIF(Consumo!$P$4:$P$189,"#"&amp;$A2945,Consumo!O$4:O$189),4)</f>
        <v/>
      </c>
      <c r="M2945" s="66" t="n"/>
    </row>
    <row r="2946">
      <c r="C2946" s="63" t="inlineStr">
        <is>
          <t>Recepciones programadas (ya pedido)</t>
        </is>
      </c>
      <c r="D2946" s="64" t="n"/>
      <c r="E2946" s="65">
        <f>SUMIF(Inventario!$M$5:$M$505,"#"&amp;$A2945,Inventario!E$5:E$505)</f>
        <v/>
      </c>
      <c r="F2946" s="65">
        <f>SUMIF(Inventario!$M$5:$M$505,"#"&amp;$A2945,Inventario!F$5:F$505)</f>
        <v/>
      </c>
      <c r="G2946" s="65">
        <f>SUMIF(Inventario!$M$5:$M$505,"#"&amp;$A2945,Inventario!G$5:G$505)</f>
        <v/>
      </c>
      <c r="H2946" s="65">
        <f>SUMIF(Inventario!$M$5:$M$505,"#"&amp;$A2945,Inventario!H$5:H$505)</f>
        <v/>
      </c>
      <c r="I2946" s="65">
        <f>SUMIF(Inventario!$M$5:$M$505,"#"&amp;$A2945,Inventario!I$5:I$505)</f>
        <v/>
      </c>
      <c r="J2946" s="65">
        <f>SUMIF(Inventario!$M$5:$M$505,"#"&amp;$A2945,Inventario!J$5:J$505)</f>
        <v/>
      </c>
      <c r="K2946" s="65">
        <f>SUMIF(Inventario!$M$5:$M$505,"#"&amp;$A2945,Inventario!K$5:K$505)</f>
        <v/>
      </c>
      <c r="L2946" s="65">
        <f>SUMIF(Inventario!$M$5:$M$505,"#"&amp;$A2945,Inventario!L$5:L$505)</f>
        <v/>
      </c>
      <c r="M2946" s="66" t="n"/>
    </row>
    <row r="2947">
      <c r="C2947" s="63" t="inlineStr">
        <is>
          <t>Stock proyectado disponible</t>
        </is>
      </c>
      <c r="D2947" s="67">
        <f>SUMIF(Inventario!$M$5:$M$505,"#"&amp;$A2945,Inventario!$C$5:$C$505)</f>
        <v/>
      </c>
      <c r="E2947" s="68">
        <f>D2947+E2946+E2949-E2945</f>
        <v/>
      </c>
      <c r="F2947" s="68">
        <f>E2947+F2946+F2949-F2945</f>
        <v/>
      </c>
      <c r="G2947" s="68">
        <f>F2947+G2946+G2949-G2945</f>
        <v/>
      </c>
      <c r="H2947" s="68">
        <f>G2947+H2946+H2949-H2945</f>
        <v/>
      </c>
      <c r="I2947" s="68">
        <f>H2947+I2946+I2949-I2945</f>
        <v/>
      </c>
      <c r="J2947" s="68">
        <f>I2947+J2946+J2949-J2945</f>
        <v/>
      </c>
      <c r="K2947" s="68">
        <f>J2947+K2946+K2949-K2945</f>
        <v/>
      </c>
      <c r="L2947" s="68">
        <f>K2947+L2946+L2949-L2945</f>
        <v/>
      </c>
      <c r="M2947" s="66" t="n"/>
    </row>
    <row r="2948">
      <c r="C2948" s="63" t="inlineStr">
        <is>
          <t>Necesidad neta</t>
        </is>
      </c>
      <c r="D2948" s="64" t="n"/>
      <c r="E2948" s="69">
        <f>MAX(0,ROUND(E2945+Materiales!$H$424-D2947-E2946,4))</f>
        <v/>
      </c>
      <c r="F2948" s="69">
        <f>MAX(0,ROUND(F2945+Materiales!$H$424-E2947-F2946,4))</f>
        <v/>
      </c>
      <c r="G2948" s="69">
        <f>MAX(0,ROUND(G2945+Materiales!$H$424-F2947-G2946,4))</f>
        <v/>
      </c>
      <c r="H2948" s="69">
        <f>MAX(0,ROUND(H2945+Materiales!$H$424-G2947-H2946,4))</f>
        <v/>
      </c>
      <c r="I2948" s="69">
        <f>MAX(0,ROUND(I2945+Materiales!$H$424-H2947-I2946,4))</f>
        <v/>
      </c>
      <c r="J2948" s="69">
        <f>MAX(0,ROUND(J2945+Materiales!$H$424-I2947-J2946,4))</f>
        <v/>
      </c>
      <c r="K2948" s="69">
        <f>MAX(0,ROUND(K2945+Materiales!$H$424-J2947-K2946,4))</f>
        <v/>
      </c>
      <c r="L2948" s="69">
        <f>MAX(0,ROUND(L2945+Materiales!$H$424-K2947-L2946,4))</f>
        <v/>
      </c>
      <c r="M2948" s="66" t="n"/>
    </row>
    <row r="2949">
      <c r="C2949" s="63" t="inlineStr">
        <is>
          <t>Recepcion de orden planificada</t>
        </is>
      </c>
      <c r="D2949" s="64" t="n"/>
      <c r="E2949" s="65">
        <f>IF(E2948&lt;=0,0,IF(Materiales!$G$424&lt;=0,E2948,ROUNDUP(E2948/Materiales!$G$424,0)*Materiales!$G$424))</f>
        <v/>
      </c>
      <c r="F2949" s="65">
        <f>IF(F2948&lt;=0,0,IF(Materiales!$G$424&lt;=0,F2948,ROUNDUP(F2948/Materiales!$G$424,0)*Materiales!$G$424))</f>
        <v/>
      </c>
      <c r="G2949" s="65">
        <f>IF(G2948&lt;=0,0,IF(Materiales!$G$424&lt;=0,G2948,ROUNDUP(G2948/Materiales!$G$424,0)*Materiales!$G$424))</f>
        <v/>
      </c>
      <c r="H2949" s="65">
        <f>IF(H2948&lt;=0,0,IF(Materiales!$G$424&lt;=0,H2948,ROUNDUP(H2948/Materiales!$G$424,0)*Materiales!$G$424))</f>
        <v/>
      </c>
      <c r="I2949" s="65">
        <f>IF(I2948&lt;=0,0,IF(Materiales!$G$424&lt;=0,I2948,ROUNDUP(I2948/Materiales!$G$424,0)*Materiales!$G$424))</f>
        <v/>
      </c>
      <c r="J2949" s="65">
        <f>IF(J2948&lt;=0,0,IF(Materiales!$G$424&lt;=0,J2948,ROUNDUP(J2948/Materiales!$G$424,0)*Materiales!$G$424))</f>
        <v/>
      </c>
      <c r="K2949" s="65">
        <f>IF(K2948&lt;=0,0,IF(Materiales!$G$424&lt;=0,K2948,ROUNDUP(K2948/Materiales!$G$424,0)*Materiales!$G$424))</f>
        <v/>
      </c>
      <c r="L2949" s="65">
        <f>IF(L2948&lt;=0,0,IF(Materiales!$G$424&lt;=0,L2948,ROUNDUP(L2948/Materiales!$G$424,0)*Materiales!$G$424))</f>
        <v/>
      </c>
      <c r="M2949" s="66" t="n"/>
    </row>
    <row r="2950">
      <c r="C2950" s="70" t="inlineStr">
        <is>
          <t>LANZAMIENTO DE ORDEN — pedir esta semana</t>
        </is>
      </c>
      <c r="D2950" s="64" t="n"/>
      <c r="E2950" s="71">
        <f>IF(1+Materiales!$F$424&gt;8,0,INDEX($E$2949:$L$2949,1,1+Materiales!$F$424))</f>
        <v/>
      </c>
      <c r="F2950" s="71">
        <f>IF(2+Materiales!$F$424&gt;8,0,INDEX($E$2949:$L$2949,1,2+Materiales!$F$424))</f>
        <v/>
      </c>
      <c r="G2950" s="71">
        <f>IF(3+Materiales!$F$424&gt;8,0,INDEX($E$2949:$L$2949,1,3+Materiales!$F$424))</f>
        <v/>
      </c>
      <c r="H2950" s="71">
        <f>IF(4+Materiales!$F$424&gt;8,0,INDEX($E$2949:$L$2949,1,4+Materiales!$F$424))</f>
        <v/>
      </c>
      <c r="I2950" s="71">
        <f>IF(5+Materiales!$F$424&gt;8,0,INDEX($E$2949:$L$2949,1,5+Materiales!$F$424))</f>
        <v/>
      </c>
      <c r="J2950" s="71">
        <f>IF(6+Materiales!$F$424&gt;8,0,INDEX($E$2949:$L$2949,1,6+Materiales!$F$424))</f>
        <v/>
      </c>
      <c r="K2950" s="71">
        <f>IF(7+Materiales!$F$424&gt;8,0,INDEX($E$2949:$L$2949,1,7+Materiales!$F$424))</f>
        <v/>
      </c>
      <c r="L2950" s="71">
        <f>IF(8+Materiales!$F$424&gt;8,0,INDEX($E$2949:$L$2949,1,8+Materiales!$F$424))</f>
        <v/>
      </c>
      <c r="M2950" s="72">
        <f>IF($A2945="","",IF(SUMPRODUCT((COLUMN($E$2949:$L$2949)-4&lt;=Materiales!$F$424)*$E$2949:$L$2949)&gt;0,"PEDIR YA (atrasado)","OK"))</f>
        <v/>
      </c>
    </row>
    <row r="2951" ht="6" customHeight="1"/>
    <row r="2952">
      <c r="A2952" s="62">
        <f>IF(Materiales!$A$425="","",Materiales!$A$425)</f>
        <v/>
      </c>
      <c r="B2952" s="62">
        <f>IF(Materiales!$B$425="","",Materiales!$B$425)</f>
        <v/>
      </c>
      <c r="C2952" s="63" t="inlineStr">
        <is>
          <t>Necesidad bruta</t>
        </is>
      </c>
      <c r="D2952" s="64" t="n"/>
      <c r="E2952" s="65">
        <f>ROUND(SUMIF(Consumo!$P$4:$P$189,"#"&amp;$A2952,Consumo!H$4:H$189),4)</f>
        <v/>
      </c>
      <c r="F2952" s="65">
        <f>ROUND(SUMIF(Consumo!$P$4:$P$189,"#"&amp;$A2952,Consumo!I$4:I$189),4)</f>
        <v/>
      </c>
      <c r="G2952" s="65">
        <f>ROUND(SUMIF(Consumo!$P$4:$P$189,"#"&amp;$A2952,Consumo!J$4:J$189),4)</f>
        <v/>
      </c>
      <c r="H2952" s="65">
        <f>ROUND(SUMIF(Consumo!$P$4:$P$189,"#"&amp;$A2952,Consumo!K$4:K$189),4)</f>
        <v/>
      </c>
      <c r="I2952" s="65">
        <f>ROUND(SUMIF(Consumo!$P$4:$P$189,"#"&amp;$A2952,Consumo!L$4:L$189),4)</f>
        <v/>
      </c>
      <c r="J2952" s="65">
        <f>ROUND(SUMIF(Consumo!$P$4:$P$189,"#"&amp;$A2952,Consumo!M$4:M$189),4)</f>
        <v/>
      </c>
      <c r="K2952" s="65">
        <f>ROUND(SUMIF(Consumo!$P$4:$P$189,"#"&amp;$A2952,Consumo!N$4:N$189),4)</f>
        <v/>
      </c>
      <c r="L2952" s="65">
        <f>ROUND(SUMIF(Consumo!$P$4:$P$189,"#"&amp;$A2952,Consumo!O$4:O$189),4)</f>
        <v/>
      </c>
      <c r="M2952" s="66" t="n"/>
    </row>
    <row r="2953">
      <c r="C2953" s="63" t="inlineStr">
        <is>
          <t>Recepciones programadas (ya pedido)</t>
        </is>
      </c>
      <c r="D2953" s="64" t="n"/>
      <c r="E2953" s="65">
        <f>SUMIF(Inventario!$M$5:$M$505,"#"&amp;$A2952,Inventario!E$5:E$505)</f>
        <v/>
      </c>
      <c r="F2953" s="65">
        <f>SUMIF(Inventario!$M$5:$M$505,"#"&amp;$A2952,Inventario!F$5:F$505)</f>
        <v/>
      </c>
      <c r="G2953" s="65">
        <f>SUMIF(Inventario!$M$5:$M$505,"#"&amp;$A2952,Inventario!G$5:G$505)</f>
        <v/>
      </c>
      <c r="H2953" s="65">
        <f>SUMIF(Inventario!$M$5:$M$505,"#"&amp;$A2952,Inventario!H$5:H$505)</f>
        <v/>
      </c>
      <c r="I2953" s="65">
        <f>SUMIF(Inventario!$M$5:$M$505,"#"&amp;$A2952,Inventario!I$5:I$505)</f>
        <v/>
      </c>
      <c r="J2953" s="65">
        <f>SUMIF(Inventario!$M$5:$M$505,"#"&amp;$A2952,Inventario!J$5:J$505)</f>
        <v/>
      </c>
      <c r="K2953" s="65">
        <f>SUMIF(Inventario!$M$5:$M$505,"#"&amp;$A2952,Inventario!K$5:K$505)</f>
        <v/>
      </c>
      <c r="L2953" s="65">
        <f>SUMIF(Inventario!$M$5:$M$505,"#"&amp;$A2952,Inventario!L$5:L$505)</f>
        <v/>
      </c>
      <c r="M2953" s="66" t="n"/>
    </row>
    <row r="2954">
      <c r="C2954" s="63" t="inlineStr">
        <is>
          <t>Stock proyectado disponible</t>
        </is>
      </c>
      <c r="D2954" s="67">
        <f>SUMIF(Inventario!$M$5:$M$505,"#"&amp;$A2952,Inventario!$C$5:$C$505)</f>
        <v/>
      </c>
      <c r="E2954" s="68">
        <f>D2954+E2953+E2956-E2952</f>
        <v/>
      </c>
      <c r="F2954" s="68">
        <f>E2954+F2953+F2956-F2952</f>
        <v/>
      </c>
      <c r="G2954" s="68">
        <f>F2954+G2953+G2956-G2952</f>
        <v/>
      </c>
      <c r="H2954" s="68">
        <f>G2954+H2953+H2956-H2952</f>
        <v/>
      </c>
      <c r="I2954" s="68">
        <f>H2954+I2953+I2956-I2952</f>
        <v/>
      </c>
      <c r="J2954" s="68">
        <f>I2954+J2953+J2956-J2952</f>
        <v/>
      </c>
      <c r="K2954" s="68">
        <f>J2954+K2953+K2956-K2952</f>
        <v/>
      </c>
      <c r="L2954" s="68">
        <f>K2954+L2953+L2956-L2952</f>
        <v/>
      </c>
      <c r="M2954" s="66" t="n"/>
    </row>
    <row r="2955">
      <c r="C2955" s="63" t="inlineStr">
        <is>
          <t>Necesidad neta</t>
        </is>
      </c>
      <c r="D2955" s="64" t="n"/>
      <c r="E2955" s="69">
        <f>MAX(0,ROUND(E2952+Materiales!$H$425-D2954-E2953,4))</f>
        <v/>
      </c>
      <c r="F2955" s="69">
        <f>MAX(0,ROUND(F2952+Materiales!$H$425-E2954-F2953,4))</f>
        <v/>
      </c>
      <c r="G2955" s="69">
        <f>MAX(0,ROUND(G2952+Materiales!$H$425-F2954-G2953,4))</f>
        <v/>
      </c>
      <c r="H2955" s="69">
        <f>MAX(0,ROUND(H2952+Materiales!$H$425-G2954-H2953,4))</f>
        <v/>
      </c>
      <c r="I2955" s="69">
        <f>MAX(0,ROUND(I2952+Materiales!$H$425-H2954-I2953,4))</f>
        <v/>
      </c>
      <c r="J2955" s="69">
        <f>MAX(0,ROUND(J2952+Materiales!$H$425-I2954-J2953,4))</f>
        <v/>
      </c>
      <c r="K2955" s="69">
        <f>MAX(0,ROUND(K2952+Materiales!$H$425-J2954-K2953,4))</f>
        <v/>
      </c>
      <c r="L2955" s="69">
        <f>MAX(0,ROUND(L2952+Materiales!$H$425-K2954-L2953,4))</f>
        <v/>
      </c>
      <c r="M2955" s="66" t="n"/>
    </row>
    <row r="2956">
      <c r="C2956" s="63" t="inlineStr">
        <is>
          <t>Recepcion de orden planificada</t>
        </is>
      </c>
      <c r="D2956" s="64" t="n"/>
      <c r="E2956" s="65">
        <f>IF(E2955&lt;=0,0,IF(Materiales!$G$425&lt;=0,E2955,ROUNDUP(E2955/Materiales!$G$425,0)*Materiales!$G$425))</f>
        <v/>
      </c>
      <c r="F2956" s="65">
        <f>IF(F2955&lt;=0,0,IF(Materiales!$G$425&lt;=0,F2955,ROUNDUP(F2955/Materiales!$G$425,0)*Materiales!$G$425))</f>
        <v/>
      </c>
      <c r="G2956" s="65">
        <f>IF(G2955&lt;=0,0,IF(Materiales!$G$425&lt;=0,G2955,ROUNDUP(G2955/Materiales!$G$425,0)*Materiales!$G$425))</f>
        <v/>
      </c>
      <c r="H2956" s="65">
        <f>IF(H2955&lt;=0,0,IF(Materiales!$G$425&lt;=0,H2955,ROUNDUP(H2955/Materiales!$G$425,0)*Materiales!$G$425))</f>
        <v/>
      </c>
      <c r="I2956" s="65">
        <f>IF(I2955&lt;=0,0,IF(Materiales!$G$425&lt;=0,I2955,ROUNDUP(I2955/Materiales!$G$425,0)*Materiales!$G$425))</f>
        <v/>
      </c>
      <c r="J2956" s="65">
        <f>IF(J2955&lt;=0,0,IF(Materiales!$G$425&lt;=0,J2955,ROUNDUP(J2955/Materiales!$G$425,0)*Materiales!$G$425))</f>
        <v/>
      </c>
      <c r="K2956" s="65">
        <f>IF(K2955&lt;=0,0,IF(Materiales!$G$425&lt;=0,K2955,ROUNDUP(K2955/Materiales!$G$425,0)*Materiales!$G$425))</f>
        <v/>
      </c>
      <c r="L2956" s="65">
        <f>IF(L2955&lt;=0,0,IF(Materiales!$G$425&lt;=0,L2955,ROUNDUP(L2955/Materiales!$G$425,0)*Materiales!$G$425))</f>
        <v/>
      </c>
      <c r="M2956" s="66" t="n"/>
    </row>
    <row r="2957">
      <c r="C2957" s="70" t="inlineStr">
        <is>
          <t>LANZAMIENTO DE ORDEN — pedir esta semana</t>
        </is>
      </c>
      <c r="D2957" s="64" t="n"/>
      <c r="E2957" s="71">
        <f>IF(1+Materiales!$F$425&gt;8,0,INDEX($E$2956:$L$2956,1,1+Materiales!$F$425))</f>
        <v/>
      </c>
      <c r="F2957" s="71">
        <f>IF(2+Materiales!$F$425&gt;8,0,INDEX($E$2956:$L$2956,1,2+Materiales!$F$425))</f>
        <v/>
      </c>
      <c r="G2957" s="71">
        <f>IF(3+Materiales!$F$425&gt;8,0,INDEX($E$2956:$L$2956,1,3+Materiales!$F$425))</f>
        <v/>
      </c>
      <c r="H2957" s="71">
        <f>IF(4+Materiales!$F$425&gt;8,0,INDEX($E$2956:$L$2956,1,4+Materiales!$F$425))</f>
        <v/>
      </c>
      <c r="I2957" s="71">
        <f>IF(5+Materiales!$F$425&gt;8,0,INDEX($E$2956:$L$2956,1,5+Materiales!$F$425))</f>
        <v/>
      </c>
      <c r="J2957" s="71">
        <f>IF(6+Materiales!$F$425&gt;8,0,INDEX($E$2956:$L$2956,1,6+Materiales!$F$425))</f>
        <v/>
      </c>
      <c r="K2957" s="71">
        <f>IF(7+Materiales!$F$425&gt;8,0,INDEX($E$2956:$L$2956,1,7+Materiales!$F$425))</f>
        <v/>
      </c>
      <c r="L2957" s="71">
        <f>IF(8+Materiales!$F$425&gt;8,0,INDEX($E$2956:$L$2956,1,8+Materiales!$F$425))</f>
        <v/>
      </c>
      <c r="M2957" s="72">
        <f>IF($A2952="","",IF(SUMPRODUCT((COLUMN($E$2956:$L$2956)-4&lt;=Materiales!$F$425)*$E$2956:$L$2956)&gt;0,"PEDIR YA (atrasado)","OK"))</f>
        <v/>
      </c>
    </row>
    <row r="2958" ht="6" customHeight="1"/>
    <row r="2959">
      <c r="A2959" s="62">
        <f>IF(Materiales!$A$426="","",Materiales!$A$426)</f>
        <v/>
      </c>
      <c r="B2959" s="62">
        <f>IF(Materiales!$B$426="","",Materiales!$B$426)</f>
        <v/>
      </c>
      <c r="C2959" s="63" t="inlineStr">
        <is>
          <t>Necesidad bruta</t>
        </is>
      </c>
      <c r="D2959" s="64" t="n"/>
      <c r="E2959" s="65">
        <f>ROUND(SUMIF(Consumo!$P$4:$P$189,"#"&amp;$A2959,Consumo!H$4:H$189),4)</f>
        <v/>
      </c>
      <c r="F2959" s="65">
        <f>ROUND(SUMIF(Consumo!$P$4:$P$189,"#"&amp;$A2959,Consumo!I$4:I$189),4)</f>
        <v/>
      </c>
      <c r="G2959" s="65">
        <f>ROUND(SUMIF(Consumo!$P$4:$P$189,"#"&amp;$A2959,Consumo!J$4:J$189),4)</f>
        <v/>
      </c>
      <c r="H2959" s="65">
        <f>ROUND(SUMIF(Consumo!$P$4:$P$189,"#"&amp;$A2959,Consumo!K$4:K$189),4)</f>
        <v/>
      </c>
      <c r="I2959" s="65">
        <f>ROUND(SUMIF(Consumo!$P$4:$P$189,"#"&amp;$A2959,Consumo!L$4:L$189),4)</f>
        <v/>
      </c>
      <c r="J2959" s="65">
        <f>ROUND(SUMIF(Consumo!$P$4:$P$189,"#"&amp;$A2959,Consumo!M$4:M$189),4)</f>
        <v/>
      </c>
      <c r="K2959" s="65">
        <f>ROUND(SUMIF(Consumo!$P$4:$P$189,"#"&amp;$A2959,Consumo!N$4:N$189),4)</f>
        <v/>
      </c>
      <c r="L2959" s="65">
        <f>ROUND(SUMIF(Consumo!$P$4:$P$189,"#"&amp;$A2959,Consumo!O$4:O$189),4)</f>
        <v/>
      </c>
      <c r="M2959" s="66" t="n"/>
    </row>
    <row r="2960">
      <c r="C2960" s="63" t="inlineStr">
        <is>
          <t>Recepciones programadas (ya pedido)</t>
        </is>
      </c>
      <c r="D2960" s="64" t="n"/>
      <c r="E2960" s="65">
        <f>SUMIF(Inventario!$M$5:$M$505,"#"&amp;$A2959,Inventario!E$5:E$505)</f>
        <v/>
      </c>
      <c r="F2960" s="65">
        <f>SUMIF(Inventario!$M$5:$M$505,"#"&amp;$A2959,Inventario!F$5:F$505)</f>
        <v/>
      </c>
      <c r="G2960" s="65">
        <f>SUMIF(Inventario!$M$5:$M$505,"#"&amp;$A2959,Inventario!G$5:G$505)</f>
        <v/>
      </c>
      <c r="H2960" s="65">
        <f>SUMIF(Inventario!$M$5:$M$505,"#"&amp;$A2959,Inventario!H$5:H$505)</f>
        <v/>
      </c>
      <c r="I2960" s="65">
        <f>SUMIF(Inventario!$M$5:$M$505,"#"&amp;$A2959,Inventario!I$5:I$505)</f>
        <v/>
      </c>
      <c r="J2960" s="65">
        <f>SUMIF(Inventario!$M$5:$M$505,"#"&amp;$A2959,Inventario!J$5:J$505)</f>
        <v/>
      </c>
      <c r="K2960" s="65">
        <f>SUMIF(Inventario!$M$5:$M$505,"#"&amp;$A2959,Inventario!K$5:K$505)</f>
        <v/>
      </c>
      <c r="L2960" s="65">
        <f>SUMIF(Inventario!$M$5:$M$505,"#"&amp;$A2959,Inventario!L$5:L$505)</f>
        <v/>
      </c>
      <c r="M2960" s="66" t="n"/>
    </row>
    <row r="2961">
      <c r="C2961" s="63" t="inlineStr">
        <is>
          <t>Stock proyectado disponible</t>
        </is>
      </c>
      <c r="D2961" s="67">
        <f>SUMIF(Inventario!$M$5:$M$505,"#"&amp;$A2959,Inventario!$C$5:$C$505)</f>
        <v/>
      </c>
      <c r="E2961" s="68">
        <f>D2961+E2960+E2963-E2959</f>
        <v/>
      </c>
      <c r="F2961" s="68">
        <f>E2961+F2960+F2963-F2959</f>
        <v/>
      </c>
      <c r="G2961" s="68">
        <f>F2961+G2960+G2963-G2959</f>
        <v/>
      </c>
      <c r="H2961" s="68">
        <f>G2961+H2960+H2963-H2959</f>
        <v/>
      </c>
      <c r="I2961" s="68">
        <f>H2961+I2960+I2963-I2959</f>
        <v/>
      </c>
      <c r="J2961" s="68">
        <f>I2961+J2960+J2963-J2959</f>
        <v/>
      </c>
      <c r="K2961" s="68">
        <f>J2961+K2960+K2963-K2959</f>
        <v/>
      </c>
      <c r="L2961" s="68">
        <f>K2961+L2960+L2963-L2959</f>
        <v/>
      </c>
      <c r="M2961" s="66" t="n"/>
    </row>
    <row r="2962">
      <c r="C2962" s="63" t="inlineStr">
        <is>
          <t>Necesidad neta</t>
        </is>
      </c>
      <c r="D2962" s="64" t="n"/>
      <c r="E2962" s="69">
        <f>MAX(0,ROUND(E2959+Materiales!$H$426-D2961-E2960,4))</f>
        <v/>
      </c>
      <c r="F2962" s="69">
        <f>MAX(0,ROUND(F2959+Materiales!$H$426-E2961-F2960,4))</f>
        <v/>
      </c>
      <c r="G2962" s="69">
        <f>MAX(0,ROUND(G2959+Materiales!$H$426-F2961-G2960,4))</f>
        <v/>
      </c>
      <c r="H2962" s="69">
        <f>MAX(0,ROUND(H2959+Materiales!$H$426-G2961-H2960,4))</f>
        <v/>
      </c>
      <c r="I2962" s="69">
        <f>MAX(0,ROUND(I2959+Materiales!$H$426-H2961-I2960,4))</f>
        <v/>
      </c>
      <c r="J2962" s="69">
        <f>MAX(0,ROUND(J2959+Materiales!$H$426-I2961-J2960,4))</f>
        <v/>
      </c>
      <c r="K2962" s="69">
        <f>MAX(0,ROUND(K2959+Materiales!$H$426-J2961-K2960,4))</f>
        <v/>
      </c>
      <c r="L2962" s="69">
        <f>MAX(0,ROUND(L2959+Materiales!$H$426-K2961-L2960,4))</f>
        <v/>
      </c>
      <c r="M2962" s="66" t="n"/>
    </row>
    <row r="2963">
      <c r="C2963" s="63" t="inlineStr">
        <is>
          <t>Recepcion de orden planificada</t>
        </is>
      </c>
      <c r="D2963" s="64" t="n"/>
      <c r="E2963" s="65">
        <f>IF(E2962&lt;=0,0,IF(Materiales!$G$426&lt;=0,E2962,ROUNDUP(E2962/Materiales!$G$426,0)*Materiales!$G$426))</f>
        <v/>
      </c>
      <c r="F2963" s="65">
        <f>IF(F2962&lt;=0,0,IF(Materiales!$G$426&lt;=0,F2962,ROUNDUP(F2962/Materiales!$G$426,0)*Materiales!$G$426))</f>
        <v/>
      </c>
      <c r="G2963" s="65">
        <f>IF(G2962&lt;=0,0,IF(Materiales!$G$426&lt;=0,G2962,ROUNDUP(G2962/Materiales!$G$426,0)*Materiales!$G$426))</f>
        <v/>
      </c>
      <c r="H2963" s="65">
        <f>IF(H2962&lt;=0,0,IF(Materiales!$G$426&lt;=0,H2962,ROUNDUP(H2962/Materiales!$G$426,0)*Materiales!$G$426))</f>
        <v/>
      </c>
      <c r="I2963" s="65">
        <f>IF(I2962&lt;=0,0,IF(Materiales!$G$426&lt;=0,I2962,ROUNDUP(I2962/Materiales!$G$426,0)*Materiales!$G$426))</f>
        <v/>
      </c>
      <c r="J2963" s="65">
        <f>IF(J2962&lt;=0,0,IF(Materiales!$G$426&lt;=0,J2962,ROUNDUP(J2962/Materiales!$G$426,0)*Materiales!$G$426))</f>
        <v/>
      </c>
      <c r="K2963" s="65">
        <f>IF(K2962&lt;=0,0,IF(Materiales!$G$426&lt;=0,K2962,ROUNDUP(K2962/Materiales!$G$426,0)*Materiales!$G$426))</f>
        <v/>
      </c>
      <c r="L2963" s="65">
        <f>IF(L2962&lt;=0,0,IF(Materiales!$G$426&lt;=0,L2962,ROUNDUP(L2962/Materiales!$G$426,0)*Materiales!$G$426))</f>
        <v/>
      </c>
      <c r="M2963" s="66" t="n"/>
    </row>
    <row r="2964">
      <c r="C2964" s="70" t="inlineStr">
        <is>
          <t>LANZAMIENTO DE ORDEN — pedir esta semana</t>
        </is>
      </c>
      <c r="D2964" s="64" t="n"/>
      <c r="E2964" s="71">
        <f>IF(1+Materiales!$F$426&gt;8,0,INDEX($E$2963:$L$2963,1,1+Materiales!$F$426))</f>
        <v/>
      </c>
      <c r="F2964" s="71">
        <f>IF(2+Materiales!$F$426&gt;8,0,INDEX($E$2963:$L$2963,1,2+Materiales!$F$426))</f>
        <v/>
      </c>
      <c r="G2964" s="71">
        <f>IF(3+Materiales!$F$426&gt;8,0,INDEX($E$2963:$L$2963,1,3+Materiales!$F$426))</f>
        <v/>
      </c>
      <c r="H2964" s="71">
        <f>IF(4+Materiales!$F$426&gt;8,0,INDEX($E$2963:$L$2963,1,4+Materiales!$F$426))</f>
        <v/>
      </c>
      <c r="I2964" s="71">
        <f>IF(5+Materiales!$F$426&gt;8,0,INDEX($E$2963:$L$2963,1,5+Materiales!$F$426))</f>
        <v/>
      </c>
      <c r="J2964" s="71">
        <f>IF(6+Materiales!$F$426&gt;8,0,INDEX($E$2963:$L$2963,1,6+Materiales!$F$426))</f>
        <v/>
      </c>
      <c r="K2964" s="71">
        <f>IF(7+Materiales!$F$426&gt;8,0,INDEX($E$2963:$L$2963,1,7+Materiales!$F$426))</f>
        <v/>
      </c>
      <c r="L2964" s="71">
        <f>IF(8+Materiales!$F$426&gt;8,0,INDEX($E$2963:$L$2963,1,8+Materiales!$F$426))</f>
        <v/>
      </c>
      <c r="M2964" s="72">
        <f>IF($A2959="","",IF(SUMPRODUCT((COLUMN($E$2963:$L$2963)-4&lt;=Materiales!$F$426)*$E$2963:$L$2963)&gt;0,"PEDIR YA (atrasado)","OK"))</f>
        <v/>
      </c>
    </row>
    <row r="2965" ht="6" customHeight="1"/>
    <row r="2966">
      <c r="A2966" s="62">
        <f>IF(Materiales!$A$427="","",Materiales!$A$427)</f>
        <v/>
      </c>
      <c r="B2966" s="62">
        <f>IF(Materiales!$B$427="","",Materiales!$B$427)</f>
        <v/>
      </c>
      <c r="C2966" s="63" t="inlineStr">
        <is>
          <t>Necesidad bruta</t>
        </is>
      </c>
      <c r="D2966" s="64" t="n"/>
      <c r="E2966" s="65">
        <f>ROUND(SUMIF(Consumo!$P$4:$P$189,"#"&amp;$A2966,Consumo!H$4:H$189),4)</f>
        <v/>
      </c>
      <c r="F2966" s="65">
        <f>ROUND(SUMIF(Consumo!$P$4:$P$189,"#"&amp;$A2966,Consumo!I$4:I$189),4)</f>
        <v/>
      </c>
      <c r="G2966" s="65">
        <f>ROUND(SUMIF(Consumo!$P$4:$P$189,"#"&amp;$A2966,Consumo!J$4:J$189),4)</f>
        <v/>
      </c>
      <c r="H2966" s="65">
        <f>ROUND(SUMIF(Consumo!$P$4:$P$189,"#"&amp;$A2966,Consumo!K$4:K$189),4)</f>
        <v/>
      </c>
      <c r="I2966" s="65">
        <f>ROUND(SUMIF(Consumo!$P$4:$P$189,"#"&amp;$A2966,Consumo!L$4:L$189),4)</f>
        <v/>
      </c>
      <c r="J2966" s="65">
        <f>ROUND(SUMIF(Consumo!$P$4:$P$189,"#"&amp;$A2966,Consumo!M$4:M$189),4)</f>
        <v/>
      </c>
      <c r="K2966" s="65">
        <f>ROUND(SUMIF(Consumo!$P$4:$P$189,"#"&amp;$A2966,Consumo!N$4:N$189),4)</f>
        <v/>
      </c>
      <c r="L2966" s="65">
        <f>ROUND(SUMIF(Consumo!$P$4:$P$189,"#"&amp;$A2966,Consumo!O$4:O$189),4)</f>
        <v/>
      </c>
      <c r="M2966" s="66" t="n"/>
    </row>
    <row r="2967">
      <c r="C2967" s="63" t="inlineStr">
        <is>
          <t>Recepciones programadas (ya pedido)</t>
        </is>
      </c>
      <c r="D2967" s="64" t="n"/>
      <c r="E2967" s="65">
        <f>SUMIF(Inventario!$M$5:$M$505,"#"&amp;$A2966,Inventario!E$5:E$505)</f>
        <v/>
      </c>
      <c r="F2967" s="65">
        <f>SUMIF(Inventario!$M$5:$M$505,"#"&amp;$A2966,Inventario!F$5:F$505)</f>
        <v/>
      </c>
      <c r="G2967" s="65">
        <f>SUMIF(Inventario!$M$5:$M$505,"#"&amp;$A2966,Inventario!G$5:G$505)</f>
        <v/>
      </c>
      <c r="H2967" s="65">
        <f>SUMIF(Inventario!$M$5:$M$505,"#"&amp;$A2966,Inventario!H$5:H$505)</f>
        <v/>
      </c>
      <c r="I2967" s="65">
        <f>SUMIF(Inventario!$M$5:$M$505,"#"&amp;$A2966,Inventario!I$5:I$505)</f>
        <v/>
      </c>
      <c r="J2967" s="65">
        <f>SUMIF(Inventario!$M$5:$M$505,"#"&amp;$A2966,Inventario!J$5:J$505)</f>
        <v/>
      </c>
      <c r="K2967" s="65">
        <f>SUMIF(Inventario!$M$5:$M$505,"#"&amp;$A2966,Inventario!K$5:K$505)</f>
        <v/>
      </c>
      <c r="L2967" s="65">
        <f>SUMIF(Inventario!$M$5:$M$505,"#"&amp;$A2966,Inventario!L$5:L$505)</f>
        <v/>
      </c>
      <c r="M2967" s="66" t="n"/>
    </row>
    <row r="2968">
      <c r="C2968" s="63" t="inlineStr">
        <is>
          <t>Stock proyectado disponible</t>
        </is>
      </c>
      <c r="D2968" s="67">
        <f>SUMIF(Inventario!$M$5:$M$505,"#"&amp;$A2966,Inventario!$C$5:$C$505)</f>
        <v/>
      </c>
      <c r="E2968" s="68">
        <f>D2968+E2967+E2970-E2966</f>
        <v/>
      </c>
      <c r="F2968" s="68">
        <f>E2968+F2967+F2970-F2966</f>
        <v/>
      </c>
      <c r="G2968" s="68">
        <f>F2968+G2967+G2970-G2966</f>
        <v/>
      </c>
      <c r="H2968" s="68">
        <f>G2968+H2967+H2970-H2966</f>
        <v/>
      </c>
      <c r="I2968" s="68">
        <f>H2968+I2967+I2970-I2966</f>
        <v/>
      </c>
      <c r="J2968" s="68">
        <f>I2968+J2967+J2970-J2966</f>
        <v/>
      </c>
      <c r="K2968" s="68">
        <f>J2968+K2967+K2970-K2966</f>
        <v/>
      </c>
      <c r="L2968" s="68">
        <f>K2968+L2967+L2970-L2966</f>
        <v/>
      </c>
      <c r="M2968" s="66" t="n"/>
    </row>
    <row r="2969">
      <c r="C2969" s="63" t="inlineStr">
        <is>
          <t>Necesidad neta</t>
        </is>
      </c>
      <c r="D2969" s="64" t="n"/>
      <c r="E2969" s="69">
        <f>MAX(0,ROUND(E2966+Materiales!$H$427-D2968-E2967,4))</f>
        <v/>
      </c>
      <c r="F2969" s="69">
        <f>MAX(0,ROUND(F2966+Materiales!$H$427-E2968-F2967,4))</f>
        <v/>
      </c>
      <c r="G2969" s="69">
        <f>MAX(0,ROUND(G2966+Materiales!$H$427-F2968-G2967,4))</f>
        <v/>
      </c>
      <c r="H2969" s="69">
        <f>MAX(0,ROUND(H2966+Materiales!$H$427-G2968-H2967,4))</f>
        <v/>
      </c>
      <c r="I2969" s="69">
        <f>MAX(0,ROUND(I2966+Materiales!$H$427-H2968-I2967,4))</f>
        <v/>
      </c>
      <c r="J2969" s="69">
        <f>MAX(0,ROUND(J2966+Materiales!$H$427-I2968-J2967,4))</f>
        <v/>
      </c>
      <c r="K2969" s="69">
        <f>MAX(0,ROUND(K2966+Materiales!$H$427-J2968-K2967,4))</f>
        <v/>
      </c>
      <c r="L2969" s="69">
        <f>MAX(0,ROUND(L2966+Materiales!$H$427-K2968-L2967,4))</f>
        <v/>
      </c>
      <c r="M2969" s="66" t="n"/>
    </row>
    <row r="2970">
      <c r="C2970" s="63" t="inlineStr">
        <is>
          <t>Recepcion de orden planificada</t>
        </is>
      </c>
      <c r="D2970" s="64" t="n"/>
      <c r="E2970" s="65">
        <f>IF(E2969&lt;=0,0,IF(Materiales!$G$427&lt;=0,E2969,ROUNDUP(E2969/Materiales!$G$427,0)*Materiales!$G$427))</f>
        <v/>
      </c>
      <c r="F2970" s="65">
        <f>IF(F2969&lt;=0,0,IF(Materiales!$G$427&lt;=0,F2969,ROUNDUP(F2969/Materiales!$G$427,0)*Materiales!$G$427))</f>
        <v/>
      </c>
      <c r="G2970" s="65">
        <f>IF(G2969&lt;=0,0,IF(Materiales!$G$427&lt;=0,G2969,ROUNDUP(G2969/Materiales!$G$427,0)*Materiales!$G$427))</f>
        <v/>
      </c>
      <c r="H2970" s="65">
        <f>IF(H2969&lt;=0,0,IF(Materiales!$G$427&lt;=0,H2969,ROUNDUP(H2969/Materiales!$G$427,0)*Materiales!$G$427))</f>
        <v/>
      </c>
      <c r="I2970" s="65">
        <f>IF(I2969&lt;=0,0,IF(Materiales!$G$427&lt;=0,I2969,ROUNDUP(I2969/Materiales!$G$427,0)*Materiales!$G$427))</f>
        <v/>
      </c>
      <c r="J2970" s="65">
        <f>IF(J2969&lt;=0,0,IF(Materiales!$G$427&lt;=0,J2969,ROUNDUP(J2969/Materiales!$G$427,0)*Materiales!$G$427))</f>
        <v/>
      </c>
      <c r="K2970" s="65">
        <f>IF(K2969&lt;=0,0,IF(Materiales!$G$427&lt;=0,K2969,ROUNDUP(K2969/Materiales!$G$427,0)*Materiales!$G$427))</f>
        <v/>
      </c>
      <c r="L2970" s="65">
        <f>IF(L2969&lt;=0,0,IF(Materiales!$G$427&lt;=0,L2969,ROUNDUP(L2969/Materiales!$G$427,0)*Materiales!$G$427))</f>
        <v/>
      </c>
      <c r="M2970" s="66" t="n"/>
    </row>
    <row r="2971">
      <c r="C2971" s="70" t="inlineStr">
        <is>
          <t>LANZAMIENTO DE ORDEN — pedir esta semana</t>
        </is>
      </c>
      <c r="D2971" s="64" t="n"/>
      <c r="E2971" s="71">
        <f>IF(1+Materiales!$F$427&gt;8,0,INDEX($E$2970:$L$2970,1,1+Materiales!$F$427))</f>
        <v/>
      </c>
      <c r="F2971" s="71">
        <f>IF(2+Materiales!$F$427&gt;8,0,INDEX($E$2970:$L$2970,1,2+Materiales!$F$427))</f>
        <v/>
      </c>
      <c r="G2971" s="71">
        <f>IF(3+Materiales!$F$427&gt;8,0,INDEX($E$2970:$L$2970,1,3+Materiales!$F$427))</f>
        <v/>
      </c>
      <c r="H2971" s="71">
        <f>IF(4+Materiales!$F$427&gt;8,0,INDEX($E$2970:$L$2970,1,4+Materiales!$F$427))</f>
        <v/>
      </c>
      <c r="I2971" s="71">
        <f>IF(5+Materiales!$F$427&gt;8,0,INDEX($E$2970:$L$2970,1,5+Materiales!$F$427))</f>
        <v/>
      </c>
      <c r="J2971" s="71">
        <f>IF(6+Materiales!$F$427&gt;8,0,INDEX($E$2970:$L$2970,1,6+Materiales!$F$427))</f>
        <v/>
      </c>
      <c r="K2971" s="71">
        <f>IF(7+Materiales!$F$427&gt;8,0,INDEX($E$2970:$L$2970,1,7+Materiales!$F$427))</f>
        <v/>
      </c>
      <c r="L2971" s="71">
        <f>IF(8+Materiales!$F$427&gt;8,0,INDEX($E$2970:$L$2970,1,8+Materiales!$F$427))</f>
        <v/>
      </c>
      <c r="M2971" s="72">
        <f>IF($A2966="","",IF(SUMPRODUCT((COLUMN($E$2970:$L$2970)-4&lt;=Materiales!$F$427)*$E$2970:$L$2970)&gt;0,"PEDIR YA (atrasado)","OK"))</f>
        <v/>
      </c>
    </row>
    <row r="2972" ht="6" customHeight="1"/>
    <row r="2973">
      <c r="A2973" s="62">
        <f>IF(Materiales!$A$428="","",Materiales!$A$428)</f>
        <v/>
      </c>
      <c r="B2973" s="62">
        <f>IF(Materiales!$B$428="","",Materiales!$B$428)</f>
        <v/>
      </c>
      <c r="C2973" s="63" t="inlineStr">
        <is>
          <t>Necesidad bruta</t>
        </is>
      </c>
      <c r="D2973" s="64" t="n"/>
      <c r="E2973" s="65">
        <f>ROUND(SUMIF(Consumo!$P$4:$P$189,"#"&amp;$A2973,Consumo!H$4:H$189),4)</f>
        <v/>
      </c>
      <c r="F2973" s="65">
        <f>ROUND(SUMIF(Consumo!$P$4:$P$189,"#"&amp;$A2973,Consumo!I$4:I$189),4)</f>
        <v/>
      </c>
      <c r="G2973" s="65">
        <f>ROUND(SUMIF(Consumo!$P$4:$P$189,"#"&amp;$A2973,Consumo!J$4:J$189),4)</f>
        <v/>
      </c>
      <c r="H2973" s="65">
        <f>ROUND(SUMIF(Consumo!$P$4:$P$189,"#"&amp;$A2973,Consumo!K$4:K$189),4)</f>
        <v/>
      </c>
      <c r="I2973" s="65">
        <f>ROUND(SUMIF(Consumo!$P$4:$P$189,"#"&amp;$A2973,Consumo!L$4:L$189),4)</f>
        <v/>
      </c>
      <c r="J2973" s="65">
        <f>ROUND(SUMIF(Consumo!$P$4:$P$189,"#"&amp;$A2973,Consumo!M$4:M$189),4)</f>
        <v/>
      </c>
      <c r="K2973" s="65">
        <f>ROUND(SUMIF(Consumo!$P$4:$P$189,"#"&amp;$A2973,Consumo!N$4:N$189),4)</f>
        <v/>
      </c>
      <c r="L2973" s="65">
        <f>ROUND(SUMIF(Consumo!$P$4:$P$189,"#"&amp;$A2973,Consumo!O$4:O$189),4)</f>
        <v/>
      </c>
      <c r="M2973" s="66" t="n"/>
    </row>
    <row r="2974">
      <c r="C2974" s="63" t="inlineStr">
        <is>
          <t>Recepciones programadas (ya pedido)</t>
        </is>
      </c>
      <c r="D2974" s="64" t="n"/>
      <c r="E2974" s="65">
        <f>SUMIF(Inventario!$M$5:$M$505,"#"&amp;$A2973,Inventario!E$5:E$505)</f>
        <v/>
      </c>
      <c r="F2974" s="65">
        <f>SUMIF(Inventario!$M$5:$M$505,"#"&amp;$A2973,Inventario!F$5:F$505)</f>
        <v/>
      </c>
      <c r="G2974" s="65">
        <f>SUMIF(Inventario!$M$5:$M$505,"#"&amp;$A2973,Inventario!G$5:G$505)</f>
        <v/>
      </c>
      <c r="H2974" s="65">
        <f>SUMIF(Inventario!$M$5:$M$505,"#"&amp;$A2973,Inventario!H$5:H$505)</f>
        <v/>
      </c>
      <c r="I2974" s="65">
        <f>SUMIF(Inventario!$M$5:$M$505,"#"&amp;$A2973,Inventario!I$5:I$505)</f>
        <v/>
      </c>
      <c r="J2974" s="65">
        <f>SUMIF(Inventario!$M$5:$M$505,"#"&amp;$A2973,Inventario!J$5:J$505)</f>
        <v/>
      </c>
      <c r="K2974" s="65">
        <f>SUMIF(Inventario!$M$5:$M$505,"#"&amp;$A2973,Inventario!K$5:K$505)</f>
        <v/>
      </c>
      <c r="L2974" s="65">
        <f>SUMIF(Inventario!$M$5:$M$505,"#"&amp;$A2973,Inventario!L$5:L$505)</f>
        <v/>
      </c>
      <c r="M2974" s="66" t="n"/>
    </row>
    <row r="2975">
      <c r="C2975" s="63" t="inlineStr">
        <is>
          <t>Stock proyectado disponible</t>
        </is>
      </c>
      <c r="D2975" s="67">
        <f>SUMIF(Inventario!$M$5:$M$505,"#"&amp;$A2973,Inventario!$C$5:$C$505)</f>
        <v/>
      </c>
      <c r="E2975" s="68">
        <f>D2975+E2974+E2977-E2973</f>
        <v/>
      </c>
      <c r="F2975" s="68">
        <f>E2975+F2974+F2977-F2973</f>
        <v/>
      </c>
      <c r="G2975" s="68">
        <f>F2975+G2974+G2977-G2973</f>
        <v/>
      </c>
      <c r="H2975" s="68">
        <f>G2975+H2974+H2977-H2973</f>
        <v/>
      </c>
      <c r="I2975" s="68">
        <f>H2975+I2974+I2977-I2973</f>
        <v/>
      </c>
      <c r="J2975" s="68">
        <f>I2975+J2974+J2977-J2973</f>
        <v/>
      </c>
      <c r="K2975" s="68">
        <f>J2975+K2974+K2977-K2973</f>
        <v/>
      </c>
      <c r="L2975" s="68">
        <f>K2975+L2974+L2977-L2973</f>
        <v/>
      </c>
      <c r="M2975" s="66" t="n"/>
    </row>
    <row r="2976">
      <c r="C2976" s="63" t="inlineStr">
        <is>
          <t>Necesidad neta</t>
        </is>
      </c>
      <c r="D2976" s="64" t="n"/>
      <c r="E2976" s="69">
        <f>MAX(0,ROUND(E2973+Materiales!$H$428-D2975-E2974,4))</f>
        <v/>
      </c>
      <c r="F2976" s="69">
        <f>MAX(0,ROUND(F2973+Materiales!$H$428-E2975-F2974,4))</f>
        <v/>
      </c>
      <c r="G2976" s="69">
        <f>MAX(0,ROUND(G2973+Materiales!$H$428-F2975-G2974,4))</f>
        <v/>
      </c>
      <c r="H2976" s="69">
        <f>MAX(0,ROUND(H2973+Materiales!$H$428-G2975-H2974,4))</f>
        <v/>
      </c>
      <c r="I2976" s="69">
        <f>MAX(0,ROUND(I2973+Materiales!$H$428-H2975-I2974,4))</f>
        <v/>
      </c>
      <c r="J2976" s="69">
        <f>MAX(0,ROUND(J2973+Materiales!$H$428-I2975-J2974,4))</f>
        <v/>
      </c>
      <c r="K2976" s="69">
        <f>MAX(0,ROUND(K2973+Materiales!$H$428-J2975-K2974,4))</f>
        <v/>
      </c>
      <c r="L2976" s="69">
        <f>MAX(0,ROUND(L2973+Materiales!$H$428-K2975-L2974,4))</f>
        <v/>
      </c>
      <c r="M2976" s="66" t="n"/>
    </row>
    <row r="2977">
      <c r="C2977" s="63" t="inlineStr">
        <is>
          <t>Recepcion de orden planificada</t>
        </is>
      </c>
      <c r="D2977" s="64" t="n"/>
      <c r="E2977" s="65">
        <f>IF(E2976&lt;=0,0,IF(Materiales!$G$428&lt;=0,E2976,ROUNDUP(E2976/Materiales!$G$428,0)*Materiales!$G$428))</f>
        <v/>
      </c>
      <c r="F2977" s="65">
        <f>IF(F2976&lt;=0,0,IF(Materiales!$G$428&lt;=0,F2976,ROUNDUP(F2976/Materiales!$G$428,0)*Materiales!$G$428))</f>
        <v/>
      </c>
      <c r="G2977" s="65">
        <f>IF(G2976&lt;=0,0,IF(Materiales!$G$428&lt;=0,G2976,ROUNDUP(G2976/Materiales!$G$428,0)*Materiales!$G$428))</f>
        <v/>
      </c>
      <c r="H2977" s="65">
        <f>IF(H2976&lt;=0,0,IF(Materiales!$G$428&lt;=0,H2976,ROUNDUP(H2976/Materiales!$G$428,0)*Materiales!$G$428))</f>
        <v/>
      </c>
      <c r="I2977" s="65">
        <f>IF(I2976&lt;=0,0,IF(Materiales!$G$428&lt;=0,I2976,ROUNDUP(I2976/Materiales!$G$428,0)*Materiales!$G$428))</f>
        <v/>
      </c>
      <c r="J2977" s="65">
        <f>IF(J2976&lt;=0,0,IF(Materiales!$G$428&lt;=0,J2976,ROUNDUP(J2976/Materiales!$G$428,0)*Materiales!$G$428))</f>
        <v/>
      </c>
      <c r="K2977" s="65">
        <f>IF(K2976&lt;=0,0,IF(Materiales!$G$428&lt;=0,K2976,ROUNDUP(K2976/Materiales!$G$428,0)*Materiales!$G$428))</f>
        <v/>
      </c>
      <c r="L2977" s="65">
        <f>IF(L2976&lt;=0,0,IF(Materiales!$G$428&lt;=0,L2976,ROUNDUP(L2976/Materiales!$G$428,0)*Materiales!$G$428))</f>
        <v/>
      </c>
      <c r="M2977" s="66" t="n"/>
    </row>
    <row r="2978">
      <c r="C2978" s="70" t="inlineStr">
        <is>
          <t>LANZAMIENTO DE ORDEN — pedir esta semana</t>
        </is>
      </c>
      <c r="D2978" s="64" t="n"/>
      <c r="E2978" s="71">
        <f>IF(1+Materiales!$F$428&gt;8,0,INDEX($E$2977:$L$2977,1,1+Materiales!$F$428))</f>
        <v/>
      </c>
      <c r="F2978" s="71">
        <f>IF(2+Materiales!$F$428&gt;8,0,INDEX($E$2977:$L$2977,1,2+Materiales!$F$428))</f>
        <v/>
      </c>
      <c r="G2978" s="71">
        <f>IF(3+Materiales!$F$428&gt;8,0,INDEX($E$2977:$L$2977,1,3+Materiales!$F$428))</f>
        <v/>
      </c>
      <c r="H2978" s="71">
        <f>IF(4+Materiales!$F$428&gt;8,0,INDEX($E$2977:$L$2977,1,4+Materiales!$F$428))</f>
        <v/>
      </c>
      <c r="I2978" s="71">
        <f>IF(5+Materiales!$F$428&gt;8,0,INDEX($E$2977:$L$2977,1,5+Materiales!$F$428))</f>
        <v/>
      </c>
      <c r="J2978" s="71">
        <f>IF(6+Materiales!$F$428&gt;8,0,INDEX($E$2977:$L$2977,1,6+Materiales!$F$428))</f>
        <v/>
      </c>
      <c r="K2978" s="71">
        <f>IF(7+Materiales!$F$428&gt;8,0,INDEX($E$2977:$L$2977,1,7+Materiales!$F$428))</f>
        <v/>
      </c>
      <c r="L2978" s="71">
        <f>IF(8+Materiales!$F$428&gt;8,0,INDEX($E$2977:$L$2977,1,8+Materiales!$F$428))</f>
        <v/>
      </c>
      <c r="M2978" s="72">
        <f>IF($A2973="","",IF(SUMPRODUCT((COLUMN($E$2977:$L$2977)-4&lt;=Materiales!$F$428)*$E$2977:$L$2977)&gt;0,"PEDIR YA (atrasado)","OK"))</f>
        <v/>
      </c>
    </row>
    <row r="2979" ht="6" customHeight="1"/>
    <row r="2980">
      <c r="A2980" s="62">
        <f>IF(Materiales!$A$429="","",Materiales!$A$429)</f>
        <v/>
      </c>
      <c r="B2980" s="62">
        <f>IF(Materiales!$B$429="","",Materiales!$B$429)</f>
        <v/>
      </c>
      <c r="C2980" s="63" t="inlineStr">
        <is>
          <t>Necesidad bruta</t>
        </is>
      </c>
      <c r="D2980" s="64" t="n"/>
      <c r="E2980" s="65">
        <f>ROUND(SUMIF(Consumo!$P$4:$P$189,"#"&amp;$A2980,Consumo!H$4:H$189),4)</f>
        <v/>
      </c>
      <c r="F2980" s="65">
        <f>ROUND(SUMIF(Consumo!$P$4:$P$189,"#"&amp;$A2980,Consumo!I$4:I$189),4)</f>
        <v/>
      </c>
      <c r="G2980" s="65">
        <f>ROUND(SUMIF(Consumo!$P$4:$P$189,"#"&amp;$A2980,Consumo!J$4:J$189),4)</f>
        <v/>
      </c>
      <c r="H2980" s="65">
        <f>ROUND(SUMIF(Consumo!$P$4:$P$189,"#"&amp;$A2980,Consumo!K$4:K$189),4)</f>
        <v/>
      </c>
      <c r="I2980" s="65">
        <f>ROUND(SUMIF(Consumo!$P$4:$P$189,"#"&amp;$A2980,Consumo!L$4:L$189),4)</f>
        <v/>
      </c>
      <c r="J2980" s="65">
        <f>ROUND(SUMIF(Consumo!$P$4:$P$189,"#"&amp;$A2980,Consumo!M$4:M$189),4)</f>
        <v/>
      </c>
      <c r="K2980" s="65">
        <f>ROUND(SUMIF(Consumo!$P$4:$P$189,"#"&amp;$A2980,Consumo!N$4:N$189),4)</f>
        <v/>
      </c>
      <c r="L2980" s="65">
        <f>ROUND(SUMIF(Consumo!$P$4:$P$189,"#"&amp;$A2980,Consumo!O$4:O$189),4)</f>
        <v/>
      </c>
      <c r="M2980" s="66" t="n"/>
    </row>
    <row r="2981">
      <c r="C2981" s="63" t="inlineStr">
        <is>
          <t>Recepciones programadas (ya pedido)</t>
        </is>
      </c>
      <c r="D2981" s="64" t="n"/>
      <c r="E2981" s="65">
        <f>SUMIF(Inventario!$M$5:$M$505,"#"&amp;$A2980,Inventario!E$5:E$505)</f>
        <v/>
      </c>
      <c r="F2981" s="65">
        <f>SUMIF(Inventario!$M$5:$M$505,"#"&amp;$A2980,Inventario!F$5:F$505)</f>
        <v/>
      </c>
      <c r="G2981" s="65">
        <f>SUMIF(Inventario!$M$5:$M$505,"#"&amp;$A2980,Inventario!G$5:G$505)</f>
        <v/>
      </c>
      <c r="H2981" s="65">
        <f>SUMIF(Inventario!$M$5:$M$505,"#"&amp;$A2980,Inventario!H$5:H$505)</f>
        <v/>
      </c>
      <c r="I2981" s="65">
        <f>SUMIF(Inventario!$M$5:$M$505,"#"&amp;$A2980,Inventario!I$5:I$505)</f>
        <v/>
      </c>
      <c r="J2981" s="65">
        <f>SUMIF(Inventario!$M$5:$M$505,"#"&amp;$A2980,Inventario!J$5:J$505)</f>
        <v/>
      </c>
      <c r="K2981" s="65">
        <f>SUMIF(Inventario!$M$5:$M$505,"#"&amp;$A2980,Inventario!K$5:K$505)</f>
        <v/>
      </c>
      <c r="L2981" s="65">
        <f>SUMIF(Inventario!$M$5:$M$505,"#"&amp;$A2980,Inventario!L$5:L$505)</f>
        <v/>
      </c>
      <c r="M2981" s="66" t="n"/>
    </row>
    <row r="2982">
      <c r="C2982" s="63" t="inlineStr">
        <is>
          <t>Stock proyectado disponible</t>
        </is>
      </c>
      <c r="D2982" s="67">
        <f>SUMIF(Inventario!$M$5:$M$505,"#"&amp;$A2980,Inventario!$C$5:$C$505)</f>
        <v/>
      </c>
      <c r="E2982" s="68">
        <f>D2982+E2981+E2984-E2980</f>
        <v/>
      </c>
      <c r="F2982" s="68">
        <f>E2982+F2981+F2984-F2980</f>
        <v/>
      </c>
      <c r="G2982" s="68">
        <f>F2982+G2981+G2984-G2980</f>
        <v/>
      </c>
      <c r="H2982" s="68">
        <f>G2982+H2981+H2984-H2980</f>
        <v/>
      </c>
      <c r="I2982" s="68">
        <f>H2982+I2981+I2984-I2980</f>
        <v/>
      </c>
      <c r="J2982" s="68">
        <f>I2982+J2981+J2984-J2980</f>
        <v/>
      </c>
      <c r="K2982" s="68">
        <f>J2982+K2981+K2984-K2980</f>
        <v/>
      </c>
      <c r="L2982" s="68">
        <f>K2982+L2981+L2984-L2980</f>
        <v/>
      </c>
      <c r="M2982" s="66" t="n"/>
    </row>
    <row r="2983">
      <c r="C2983" s="63" t="inlineStr">
        <is>
          <t>Necesidad neta</t>
        </is>
      </c>
      <c r="D2983" s="64" t="n"/>
      <c r="E2983" s="69">
        <f>MAX(0,ROUND(E2980+Materiales!$H$429-D2982-E2981,4))</f>
        <v/>
      </c>
      <c r="F2983" s="69">
        <f>MAX(0,ROUND(F2980+Materiales!$H$429-E2982-F2981,4))</f>
        <v/>
      </c>
      <c r="G2983" s="69">
        <f>MAX(0,ROUND(G2980+Materiales!$H$429-F2982-G2981,4))</f>
        <v/>
      </c>
      <c r="H2983" s="69">
        <f>MAX(0,ROUND(H2980+Materiales!$H$429-G2982-H2981,4))</f>
        <v/>
      </c>
      <c r="I2983" s="69">
        <f>MAX(0,ROUND(I2980+Materiales!$H$429-H2982-I2981,4))</f>
        <v/>
      </c>
      <c r="J2983" s="69">
        <f>MAX(0,ROUND(J2980+Materiales!$H$429-I2982-J2981,4))</f>
        <v/>
      </c>
      <c r="K2983" s="69">
        <f>MAX(0,ROUND(K2980+Materiales!$H$429-J2982-K2981,4))</f>
        <v/>
      </c>
      <c r="L2983" s="69">
        <f>MAX(0,ROUND(L2980+Materiales!$H$429-K2982-L2981,4))</f>
        <v/>
      </c>
      <c r="M2983" s="66" t="n"/>
    </row>
    <row r="2984">
      <c r="C2984" s="63" t="inlineStr">
        <is>
          <t>Recepcion de orden planificada</t>
        </is>
      </c>
      <c r="D2984" s="64" t="n"/>
      <c r="E2984" s="65">
        <f>IF(E2983&lt;=0,0,IF(Materiales!$G$429&lt;=0,E2983,ROUNDUP(E2983/Materiales!$G$429,0)*Materiales!$G$429))</f>
        <v/>
      </c>
      <c r="F2984" s="65">
        <f>IF(F2983&lt;=0,0,IF(Materiales!$G$429&lt;=0,F2983,ROUNDUP(F2983/Materiales!$G$429,0)*Materiales!$G$429))</f>
        <v/>
      </c>
      <c r="G2984" s="65">
        <f>IF(G2983&lt;=0,0,IF(Materiales!$G$429&lt;=0,G2983,ROUNDUP(G2983/Materiales!$G$429,0)*Materiales!$G$429))</f>
        <v/>
      </c>
      <c r="H2984" s="65">
        <f>IF(H2983&lt;=0,0,IF(Materiales!$G$429&lt;=0,H2983,ROUNDUP(H2983/Materiales!$G$429,0)*Materiales!$G$429))</f>
        <v/>
      </c>
      <c r="I2984" s="65">
        <f>IF(I2983&lt;=0,0,IF(Materiales!$G$429&lt;=0,I2983,ROUNDUP(I2983/Materiales!$G$429,0)*Materiales!$G$429))</f>
        <v/>
      </c>
      <c r="J2984" s="65">
        <f>IF(J2983&lt;=0,0,IF(Materiales!$G$429&lt;=0,J2983,ROUNDUP(J2983/Materiales!$G$429,0)*Materiales!$G$429))</f>
        <v/>
      </c>
      <c r="K2984" s="65">
        <f>IF(K2983&lt;=0,0,IF(Materiales!$G$429&lt;=0,K2983,ROUNDUP(K2983/Materiales!$G$429,0)*Materiales!$G$429))</f>
        <v/>
      </c>
      <c r="L2984" s="65">
        <f>IF(L2983&lt;=0,0,IF(Materiales!$G$429&lt;=0,L2983,ROUNDUP(L2983/Materiales!$G$429,0)*Materiales!$G$429))</f>
        <v/>
      </c>
      <c r="M2984" s="66" t="n"/>
    </row>
    <row r="2985">
      <c r="C2985" s="70" t="inlineStr">
        <is>
          <t>LANZAMIENTO DE ORDEN — pedir esta semana</t>
        </is>
      </c>
      <c r="D2985" s="64" t="n"/>
      <c r="E2985" s="71">
        <f>IF(1+Materiales!$F$429&gt;8,0,INDEX($E$2984:$L$2984,1,1+Materiales!$F$429))</f>
        <v/>
      </c>
      <c r="F2985" s="71">
        <f>IF(2+Materiales!$F$429&gt;8,0,INDEX($E$2984:$L$2984,1,2+Materiales!$F$429))</f>
        <v/>
      </c>
      <c r="G2985" s="71">
        <f>IF(3+Materiales!$F$429&gt;8,0,INDEX($E$2984:$L$2984,1,3+Materiales!$F$429))</f>
        <v/>
      </c>
      <c r="H2985" s="71">
        <f>IF(4+Materiales!$F$429&gt;8,0,INDEX($E$2984:$L$2984,1,4+Materiales!$F$429))</f>
        <v/>
      </c>
      <c r="I2985" s="71">
        <f>IF(5+Materiales!$F$429&gt;8,0,INDEX($E$2984:$L$2984,1,5+Materiales!$F$429))</f>
        <v/>
      </c>
      <c r="J2985" s="71">
        <f>IF(6+Materiales!$F$429&gt;8,0,INDEX($E$2984:$L$2984,1,6+Materiales!$F$429))</f>
        <v/>
      </c>
      <c r="K2985" s="71">
        <f>IF(7+Materiales!$F$429&gt;8,0,INDEX($E$2984:$L$2984,1,7+Materiales!$F$429))</f>
        <v/>
      </c>
      <c r="L2985" s="71">
        <f>IF(8+Materiales!$F$429&gt;8,0,INDEX($E$2984:$L$2984,1,8+Materiales!$F$429))</f>
        <v/>
      </c>
      <c r="M2985" s="72">
        <f>IF($A2980="","",IF(SUMPRODUCT((COLUMN($E$2984:$L$2984)-4&lt;=Materiales!$F$429)*$E$2984:$L$2984)&gt;0,"PEDIR YA (atrasado)","OK"))</f>
        <v/>
      </c>
    </row>
    <row r="2986" ht="6" customHeight="1"/>
    <row r="2987">
      <c r="A2987" s="62">
        <f>IF(Materiales!$A$430="","",Materiales!$A$430)</f>
        <v/>
      </c>
      <c r="B2987" s="62">
        <f>IF(Materiales!$B$430="","",Materiales!$B$430)</f>
        <v/>
      </c>
      <c r="C2987" s="63" t="inlineStr">
        <is>
          <t>Necesidad bruta</t>
        </is>
      </c>
      <c r="D2987" s="64" t="n"/>
      <c r="E2987" s="65">
        <f>ROUND(SUMIF(Consumo!$P$4:$P$189,"#"&amp;$A2987,Consumo!H$4:H$189),4)</f>
        <v/>
      </c>
      <c r="F2987" s="65">
        <f>ROUND(SUMIF(Consumo!$P$4:$P$189,"#"&amp;$A2987,Consumo!I$4:I$189),4)</f>
        <v/>
      </c>
      <c r="G2987" s="65">
        <f>ROUND(SUMIF(Consumo!$P$4:$P$189,"#"&amp;$A2987,Consumo!J$4:J$189),4)</f>
        <v/>
      </c>
      <c r="H2987" s="65">
        <f>ROUND(SUMIF(Consumo!$P$4:$P$189,"#"&amp;$A2987,Consumo!K$4:K$189),4)</f>
        <v/>
      </c>
      <c r="I2987" s="65">
        <f>ROUND(SUMIF(Consumo!$P$4:$P$189,"#"&amp;$A2987,Consumo!L$4:L$189),4)</f>
        <v/>
      </c>
      <c r="J2987" s="65">
        <f>ROUND(SUMIF(Consumo!$P$4:$P$189,"#"&amp;$A2987,Consumo!M$4:M$189),4)</f>
        <v/>
      </c>
      <c r="K2987" s="65">
        <f>ROUND(SUMIF(Consumo!$P$4:$P$189,"#"&amp;$A2987,Consumo!N$4:N$189),4)</f>
        <v/>
      </c>
      <c r="L2987" s="65">
        <f>ROUND(SUMIF(Consumo!$P$4:$P$189,"#"&amp;$A2987,Consumo!O$4:O$189),4)</f>
        <v/>
      </c>
      <c r="M2987" s="66" t="n"/>
    </row>
    <row r="2988">
      <c r="C2988" s="63" t="inlineStr">
        <is>
          <t>Recepciones programadas (ya pedido)</t>
        </is>
      </c>
      <c r="D2988" s="64" t="n"/>
      <c r="E2988" s="65">
        <f>SUMIF(Inventario!$M$5:$M$505,"#"&amp;$A2987,Inventario!E$5:E$505)</f>
        <v/>
      </c>
      <c r="F2988" s="65">
        <f>SUMIF(Inventario!$M$5:$M$505,"#"&amp;$A2987,Inventario!F$5:F$505)</f>
        <v/>
      </c>
      <c r="G2988" s="65">
        <f>SUMIF(Inventario!$M$5:$M$505,"#"&amp;$A2987,Inventario!G$5:G$505)</f>
        <v/>
      </c>
      <c r="H2988" s="65">
        <f>SUMIF(Inventario!$M$5:$M$505,"#"&amp;$A2987,Inventario!H$5:H$505)</f>
        <v/>
      </c>
      <c r="I2988" s="65">
        <f>SUMIF(Inventario!$M$5:$M$505,"#"&amp;$A2987,Inventario!I$5:I$505)</f>
        <v/>
      </c>
      <c r="J2988" s="65">
        <f>SUMIF(Inventario!$M$5:$M$505,"#"&amp;$A2987,Inventario!J$5:J$505)</f>
        <v/>
      </c>
      <c r="K2988" s="65">
        <f>SUMIF(Inventario!$M$5:$M$505,"#"&amp;$A2987,Inventario!K$5:K$505)</f>
        <v/>
      </c>
      <c r="L2988" s="65">
        <f>SUMIF(Inventario!$M$5:$M$505,"#"&amp;$A2987,Inventario!L$5:L$505)</f>
        <v/>
      </c>
      <c r="M2988" s="66" t="n"/>
    </row>
    <row r="2989">
      <c r="C2989" s="63" t="inlineStr">
        <is>
          <t>Stock proyectado disponible</t>
        </is>
      </c>
      <c r="D2989" s="67">
        <f>SUMIF(Inventario!$M$5:$M$505,"#"&amp;$A2987,Inventario!$C$5:$C$505)</f>
        <v/>
      </c>
      <c r="E2989" s="68">
        <f>D2989+E2988+E2991-E2987</f>
        <v/>
      </c>
      <c r="F2989" s="68">
        <f>E2989+F2988+F2991-F2987</f>
        <v/>
      </c>
      <c r="G2989" s="68">
        <f>F2989+G2988+G2991-G2987</f>
        <v/>
      </c>
      <c r="H2989" s="68">
        <f>G2989+H2988+H2991-H2987</f>
        <v/>
      </c>
      <c r="I2989" s="68">
        <f>H2989+I2988+I2991-I2987</f>
        <v/>
      </c>
      <c r="J2989" s="68">
        <f>I2989+J2988+J2991-J2987</f>
        <v/>
      </c>
      <c r="K2989" s="68">
        <f>J2989+K2988+K2991-K2987</f>
        <v/>
      </c>
      <c r="L2989" s="68">
        <f>K2989+L2988+L2991-L2987</f>
        <v/>
      </c>
      <c r="M2989" s="66" t="n"/>
    </row>
    <row r="2990">
      <c r="C2990" s="63" t="inlineStr">
        <is>
          <t>Necesidad neta</t>
        </is>
      </c>
      <c r="D2990" s="64" t="n"/>
      <c r="E2990" s="69">
        <f>MAX(0,ROUND(E2987+Materiales!$H$430-D2989-E2988,4))</f>
        <v/>
      </c>
      <c r="F2990" s="69">
        <f>MAX(0,ROUND(F2987+Materiales!$H$430-E2989-F2988,4))</f>
        <v/>
      </c>
      <c r="G2990" s="69">
        <f>MAX(0,ROUND(G2987+Materiales!$H$430-F2989-G2988,4))</f>
        <v/>
      </c>
      <c r="H2990" s="69">
        <f>MAX(0,ROUND(H2987+Materiales!$H$430-G2989-H2988,4))</f>
        <v/>
      </c>
      <c r="I2990" s="69">
        <f>MAX(0,ROUND(I2987+Materiales!$H$430-H2989-I2988,4))</f>
        <v/>
      </c>
      <c r="J2990" s="69">
        <f>MAX(0,ROUND(J2987+Materiales!$H$430-I2989-J2988,4))</f>
        <v/>
      </c>
      <c r="K2990" s="69">
        <f>MAX(0,ROUND(K2987+Materiales!$H$430-J2989-K2988,4))</f>
        <v/>
      </c>
      <c r="L2990" s="69">
        <f>MAX(0,ROUND(L2987+Materiales!$H$430-K2989-L2988,4))</f>
        <v/>
      </c>
      <c r="M2990" s="66" t="n"/>
    </row>
    <row r="2991">
      <c r="C2991" s="63" t="inlineStr">
        <is>
          <t>Recepcion de orden planificada</t>
        </is>
      </c>
      <c r="D2991" s="64" t="n"/>
      <c r="E2991" s="65">
        <f>IF(E2990&lt;=0,0,IF(Materiales!$G$430&lt;=0,E2990,ROUNDUP(E2990/Materiales!$G$430,0)*Materiales!$G$430))</f>
        <v/>
      </c>
      <c r="F2991" s="65">
        <f>IF(F2990&lt;=0,0,IF(Materiales!$G$430&lt;=0,F2990,ROUNDUP(F2990/Materiales!$G$430,0)*Materiales!$G$430))</f>
        <v/>
      </c>
      <c r="G2991" s="65">
        <f>IF(G2990&lt;=0,0,IF(Materiales!$G$430&lt;=0,G2990,ROUNDUP(G2990/Materiales!$G$430,0)*Materiales!$G$430))</f>
        <v/>
      </c>
      <c r="H2991" s="65">
        <f>IF(H2990&lt;=0,0,IF(Materiales!$G$430&lt;=0,H2990,ROUNDUP(H2990/Materiales!$G$430,0)*Materiales!$G$430))</f>
        <v/>
      </c>
      <c r="I2991" s="65">
        <f>IF(I2990&lt;=0,0,IF(Materiales!$G$430&lt;=0,I2990,ROUNDUP(I2990/Materiales!$G$430,0)*Materiales!$G$430))</f>
        <v/>
      </c>
      <c r="J2991" s="65">
        <f>IF(J2990&lt;=0,0,IF(Materiales!$G$430&lt;=0,J2990,ROUNDUP(J2990/Materiales!$G$430,0)*Materiales!$G$430))</f>
        <v/>
      </c>
      <c r="K2991" s="65">
        <f>IF(K2990&lt;=0,0,IF(Materiales!$G$430&lt;=0,K2990,ROUNDUP(K2990/Materiales!$G$430,0)*Materiales!$G$430))</f>
        <v/>
      </c>
      <c r="L2991" s="65">
        <f>IF(L2990&lt;=0,0,IF(Materiales!$G$430&lt;=0,L2990,ROUNDUP(L2990/Materiales!$G$430,0)*Materiales!$G$430))</f>
        <v/>
      </c>
      <c r="M2991" s="66" t="n"/>
    </row>
    <row r="2992">
      <c r="C2992" s="70" t="inlineStr">
        <is>
          <t>LANZAMIENTO DE ORDEN — pedir esta semana</t>
        </is>
      </c>
      <c r="D2992" s="64" t="n"/>
      <c r="E2992" s="71">
        <f>IF(1+Materiales!$F$430&gt;8,0,INDEX($E$2991:$L$2991,1,1+Materiales!$F$430))</f>
        <v/>
      </c>
      <c r="F2992" s="71">
        <f>IF(2+Materiales!$F$430&gt;8,0,INDEX($E$2991:$L$2991,1,2+Materiales!$F$430))</f>
        <v/>
      </c>
      <c r="G2992" s="71">
        <f>IF(3+Materiales!$F$430&gt;8,0,INDEX($E$2991:$L$2991,1,3+Materiales!$F$430))</f>
        <v/>
      </c>
      <c r="H2992" s="71">
        <f>IF(4+Materiales!$F$430&gt;8,0,INDEX($E$2991:$L$2991,1,4+Materiales!$F$430))</f>
        <v/>
      </c>
      <c r="I2992" s="71">
        <f>IF(5+Materiales!$F$430&gt;8,0,INDEX($E$2991:$L$2991,1,5+Materiales!$F$430))</f>
        <v/>
      </c>
      <c r="J2992" s="71">
        <f>IF(6+Materiales!$F$430&gt;8,0,INDEX($E$2991:$L$2991,1,6+Materiales!$F$430))</f>
        <v/>
      </c>
      <c r="K2992" s="71">
        <f>IF(7+Materiales!$F$430&gt;8,0,INDEX($E$2991:$L$2991,1,7+Materiales!$F$430))</f>
        <v/>
      </c>
      <c r="L2992" s="71">
        <f>IF(8+Materiales!$F$430&gt;8,0,INDEX($E$2991:$L$2991,1,8+Materiales!$F$430))</f>
        <v/>
      </c>
      <c r="M2992" s="72">
        <f>IF($A2987="","",IF(SUMPRODUCT((COLUMN($E$2991:$L$2991)-4&lt;=Materiales!$F$430)*$E$2991:$L$2991)&gt;0,"PEDIR YA (atrasado)","OK"))</f>
        <v/>
      </c>
    </row>
    <row r="2993" ht="6" customHeight="1"/>
    <row r="2994">
      <c r="A2994" s="62">
        <f>IF(Materiales!$A$431="","",Materiales!$A$431)</f>
        <v/>
      </c>
      <c r="B2994" s="62">
        <f>IF(Materiales!$B$431="","",Materiales!$B$431)</f>
        <v/>
      </c>
      <c r="C2994" s="63" t="inlineStr">
        <is>
          <t>Necesidad bruta</t>
        </is>
      </c>
      <c r="D2994" s="64" t="n"/>
      <c r="E2994" s="65">
        <f>ROUND(SUMIF(Consumo!$P$4:$P$189,"#"&amp;$A2994,Consumo!H$4:H$189),4)</f>
        <v/>
      </c>
      <c r="F2994" s="65">
        <f>ROUND(SUMIF(Consumo!$P$4:$P$189,"#"&amp;$A2994,Consumo!I$4:I$189),4)</f>
        <v/>
      </c>
      <c r="G2994" s="65">
        <f>ROUND(SUMIF(Consumo!$P$4:$P$189,"#"&amp;$A2994,Consumo!J$4:J$189),4)</f>
        <v/>
      </c>
      <c r="H2994" s="65">
        <f>ROUND(SUMIF(Consumo!$P$4:$P$189,"#"&amp;$A2994,Consumo!K$4:K$189),4)</f>
        <v/>
      </c>
      <c r="I2994" s="65">
        <f>ROUND(SUMIF(Consumo!$P$4:$P$189,"#"&amp;$A2994,Consumo!L$4:L$189),4)</f>
        <v/>
      </c>
      <c r="J2994" s="65">
        <f>ROUND(SUMIF(Consumo!$P$4:$P$189,"#"&amp;$A2994,Consumo!M$4:M$189),4)</f>
        <v/>
      </c>
      <c r="K2994" s="65">
        <f>ROUND(SUMIF(Consumo!$P$4:$P$189,"#"&amp;$A2994,Consumo!N$4:N$189),4)</f>
        <v/>
      </c>
      <c r="L2994" s="65">
        <f>ROUND(SUMIF(Consumo!$P$4:$P$189,"#"&amp;$A2994,Consumo!O$4:O$189),4)</f>
        <v/>
      </c>
      <c r="M2994" s="66" t="n"/>
    </row>
    <row r="2995">
      <c r="C2995" s="63" t="inlineStr">
        <is>
          <t>Recepciones programadas (ya pedido)</t>
        </is>
      </c>
      <c r="D2995" s="64" t="n"/>
      <c r="E2995" s="65">
        <f>SUMIF(Inventario!$M$5:$M$505,"#"&amp;$A2994,Inventario!E$5:E$505)</f>
        <v/>
      </c>
      <c r="F2995" s="65">
        <f>SUMIF(Inventario!$M$5:$M$505,"#"&amp;$A2994,Inventario!F$5:F$505)</f>
        <v/>
      </c>
      <c r="G2995" s="65">
        <f>SUMIF(Inventario!$M$5:$M$505,"#"&amp;$A2994,Inventario!G$5:G$505)</f>
        <v/>
      </c>
      <c r="H2995" s="65">
        <f>SUMIF(Inventario!$M$5:$M$505,"#"&amp;$A2994,Inventario!H$5:H$505)</f>
        <v/>
      </c>
      <c r="I2995" s="65">
        <f>SUMIF(Inventario!$M$5:$M$505,"#"&amp;$A2994,Inventario!I$5:I$505)</f>
        <v/>
      </c>
      <c r="J2995" s="65">
        <f>SUMIF(Inventario!$M$5:$M$505,"#"&amp;$A2994,Inventario!J$5:J$505)</f>
        <v/>
      </c>
      <c r="K2995" s="65">
        <f>SUMIF(Inventario!$M$5:$M$505,"#"&amp;$A2994,Inventario!K$5:K$505)</f>
        <v/>
      </c>
      <c r="L2995" s="65">
        <f>SUMIF(Inventario!$M$5:$M$505,"#"&amp;$A2994,Inventario!L$5:L$505)</f>
        <v/>
      </c>
      <c r="M2995" s="66" t="n"/>
    </row>
    <row r="2996">
      <c r="C2996" s="63" t="inlineStr">
        <is>
          <t>Stock proyectado disponible</t>
        </is>
      </c>
      <c r="D2996" s="67">
        <f>SUMIF(Inventario!$M$5:$M$505,"#"&amp;$A2994,Inventario!$C$5:$C$505)</f>
        <v/>
      </c>
      <c r="E2996" s="68">
        <f>D2996+E2995+E2998-E2994</f>
        <v/>
      </c>
      <c r="F2996" s="68">
        <f>E2996+F2995+F2998-F2994</f>
        <v/>
      </c>
      <c r="G2996" s="68">
        <f>F2996+G2995+G2998-G2994</f>
        <v/>
      </c>
      <c r="H2996" s="68">
        <f>G2996+H2995+H2998-H2994</f>
        <v/>
      </c>
      <c r="I2996" s="68">
        <f>H2996+I2995+I2998-I2994</f>
        <v/>
      </c>
      <c r="J2996" s="68">
        <f>I2996+J2995+J2998-J2994</f>
        <v/>
      </c>
      <c r="K2996" s="68">
        <f>J2996+K2995+K2998-K2994</f>
        <v/>
      </c>
      <c r="L2996" s="68">
        <f>K2996+L2995+L2998-L2994</f>
        <v/>
      </c>
      <c r="M2996" s="66" t="n"/>
    </row>
    <row r="2997">
      <c r="C2997" s="63" t="inlineStr">
        <is>
          <t>Necesidad neta</t>
        </is>
      </c>
      <c r="D2997" s="64" t="n"/>
      <c r="E2997" s="69">
        <f>MAX(0,ROUND(E2994+Materiales!$H$431-D2996-E2995,4))</f>
        <v/>
      </c>
      <c r="F2997" s="69">
        <f>MAX(0,ROUND(F2994+Materiales!$H$431-E2996-F2995,4))</f>
        <v/>
      </c>
      <c r="G2997" s="69">
        <f>MAX(0,ROUND(G2994+Materiales!$H$431-F2996-G2995,4))</f>
        <v/>
      </c>
      <c r="H2997" s="69">
        <f>MAX(0,ROUND(H2994+Materiales!$H$431-G2996-H2995,4))</f>
        <v/>
      </c>
      <c r="I2997" s="69">
        <f>MAX(0,ROUND(I2994+Materiales!$H$431-H2996-I2995,4))</f>
        <v/>
      </c>
      <c r="J2997" s="69">
        <f>MAX(0,ROUND(J2994+Materiales!$H$431-I2996-J2995,4))</f>
        <v/>
      </c>
      <c r="K2997" s="69">
        <f>MAX(0,ROUND(K2994+Materiales!$H$431-J2996-K2995,4))</f>
        <v/>
      </c>
      <c r="L2997" s="69">
        <f>MAX(0,ROUND(L2994+Materiales!$H$431-K2996-L2995,4))</f>
        <v/>
      </c>
      <c r="M2997" s="66" t="n"/>
    </row>
    <row r="2998">
      <c r="C2998" s="63" t="inlineStr">
        <is>
          <t>Recepcion de orden planificada</t>
        </is>
      </c>
      <c r="D2998" s="64" t="n"/>
      <c r="E2998" s="65">
        <f>IF(E2997&lt;=0,0,IF(Materiales!$G$431&lt;=0,E2997,ROUNDUP(E2997/Materiales!$G$431,0)*Materiales!$G$431))</f>
        <v/>
      </c>
      <c r="F2998" s="65">
        <f>IF(F2997&lt;=0,0,IF(Materiales!$G$431&lt;=0,F2997,ROUNDUP(F2997/Materiales!$G$431,0)*Materiales!$G$431))</f>
        <v/>
      </c>
      <c r="G2998" s="65">
        <f>IF(G2997&lt;=0,0,IF(Materiales!$G$431&lt;=0,G2997,ROUNDUP(G2997/Materiales!$G$431,0)*Materiales!$G$431))</f>
        <v/>
      </c>
      <c r="H2998" s="65">
        <f>IF(H2997&lt;=0,0,IF(Materiales!$G$431&lt;=0,H2997,ROUNDUP(H2997/Materiales!$G$431,0)*Materiales!$G$431))</f>
        <v/>
      </c>
      <c r="I2998" s="65">
        <f>IF(I2997&lt;=0,0,IF(Materiales!$G$431&lt;=0,I2997,ROUNDUP(I2997/Materiales!$G$431,0)*Materiales!$G$431))</f>
        <v/>
      </c>
      <c r="J2998" s="65">
        <f>IF(J2997&lt;=0,0,IF(Materiales!$G$431&lt;=0,J2997,ROUNDUP(J2997/Materiales!$G$431,0)*Materiales!$G$431))</f>
        <v/>
      </c>
      <c r="K2998" s="65">
        <f>IF(K2997&lt;=0,0,IF(Materiales!$G$431&lt;=0,K2997,ROUNDUP(K2997/Materiales!$G$431,0)*Materiales!$G$431))</f>
        <v/>
      </c>
      <c r="L2998" s="65">
        <f>IF(L2997&lt;=0,0,IF(Materiales!$G$431&lt;=0,L2997,ROUNDUP(L2997/Materiales!$G$431,0)*Materiales!$G$431))</f>
        <v/>
      </c>
      <c r="M2998" s="66" t="n"/>
    </row>
    <row r="2999">
      <c r="C2999" s="70" t="inlineStr">
        <is>
          <t>LANZAMIENTO DE ORDEN — pedir esta semana</t>
        </is>
      </c>
      <c r="D2999" s="64" t="n"/>
      <c r="E2999" s="71">
        <f>IF(1+Materiales!$F$431&gt;8,0,INDEX($E$2998:$L$2998,1,1+Materiales!$F$431))</f>
        <v/>
      </c>
      <c r="F2999" s="71">
        <f>IF(2+Materiales!$F$431&gt;8,0,INDEX($E$2998:$L$2998,1,2+Materiales!$F$431))</f>
        <v/>
      </c>
      <c r="G2999" s="71">
        <f>IF(3+Materiales!$F$431&gt;8,0,INDEX($E$2998:$L$2998,1,3+Materiales!$F$431))</f>
        <v/>
      </c>
      <c r="H2999" s="71">
        <f>IF(4+Materiales!$F$431&gt;8,0,INDEX($E$2998:$L$2998,1,4+Materiales!$F$431))</f>
        <v/>
      </c>
      <c r="I2999" s="71">
        <f>IF(5+Materiales!$F$431&gt;8,0,INDEX($E$2998:$L$2998,1,5+Materiales!$F$431))</f>
        <v/>
      </c>
      <c r="J2999" s="71">
        <f>IF(6+Materiales!$F$431&gt;8,0,INDEX($E$2998:$L$2998,1,6+Materiales!$F$431))</f>
        <v/>
      </c>
      <c r="K2999" s="71">
        <f>IF(7+Materiales!$F$431&gt;8,0,INDEX($E$2998:$L$2998,1,7+Materiales!$F$431))</f>
        <v/>
      </c>
      <c r="L2999" s="71">
        <f>IF(8+Materiales!$F$431&gt;8,0,INDEX($E$2998:$L$2998,1,8+Materiales!$F$431))</f>
        <v/>
      </c>
      <c r="M2999" s="72">
        <f>IF($A2994="","",IF(SUMPRODUCT((COLUMN($E$2998:$L$2998)-4&lt;=Materiales!$F$431)*$E$2998:$L$2998)&gt;0,"PEDIR YA (atrasado)","OK"))</f>
        <v/>
      </c>
    </row>
    <row r="3000" ht="6" customHeight="1"/>
    <row r="3001">
      <c r="A3001" s="62">
        <f>IF(Materiales!$A$432="","",Materiales!$A$432)</f>
        <v/>
      </c>
      <c r="B3001" s="62">
        <f>IF(Materiales!$B$432="","",Materiales!$B$432)</f>
        <v/>
      </c>
      <c r="C3001" s="63" t="inlineStr">
        <is>
          <t>Necesidad bruta</t>
        </is>
      </c>
      <c r="D3001" s="64" t="n"/>
      <c r="E3001" s="65">
        <f>ROUND(SUMIF(Consumo!$P$4:$P$189,"#"&amp;$A3001,Consumo!H$4:H$189),4)</f>
        <v/>
      </c>
      <c r="F3001" s="65">
        <f>ROUND(SUMIF(Consumo!$P$4:$P$189,"#"&amp;$A3001,Consumo!I$4:I$189),4)</f>
        <v/>
      </c>
      <c r="G3001" s="65">
        <f>ROUND(SUMIF(Consumo!$P$4:$P$189,"#"&amp;$A3001,Consumo!J$4:J$189),4)</f>
        <v/>
      </c>
      <c r="H3001" s="65">
        <f>ROUND(SUMIF(Consumo!$P$4:$P$189,"#"&amp;$A3001,Consumo!K$4:K$189),4)</f>
        <v/>
      </c>
      <c r="I3001" s="65">
        <f>ROUND(SUMIF(Consumo!$P$4:$P$189,"#"&amp;$A3001,Consumo!L$4:L$189),4)</f>
        <v/>
      </c>
      <c r="J3001" s="65">
        <f>ROUND(SUMIF(Consumo!$P$4:$P$189,"#"&amp;$A3001,Consumo!M$4:M$189),4)</f>
        <v/>
      </c>
      <c r="K3001" s="65">
        <f>ROUND(SUMIF(Consumo!$P$4:$P$189,"#"&amp;$A3001,Consumo!N$4:N$189),4)</f>
        <v/>
      </c>
      <c r="L3001" s="65">
        <f>ROUND(SUMIF(Consumo!$P$4:$P$189,"#"&amp;$A3001,Consumo!O$4:O$189),4)</f>
        <v/>
      </c>
      <c r="M3001" s="66" t="n"/>
    </row>
    <row r="3002">
      <c r="C3002" s="63" t="inlineStr">
        <is>
          <t>Recepciones programadas (ya pedido)</t>
        </is>
      </c>
      <c r="D3002" s="64" t="n"/>
      <c r="E3002" s="65">
        <f>SUMIF(Inventario!$M$5:$M$505,"#"&amp;$A3001,Inventario!E$5:E$505)</f>
        <v/>
      </c>
      <c r="F3002" s="65">
        <f>SUMIF(Inventario!$M$5:$M$505,"#"&amp;$A3001,Inventario!F$5:F$505)</f>
        <v/>
      </c>
      <c r="G3002" s="65">
        <f>SUMIF(Inventario!$M$5:$M$505,"#"&amp;$A3001,Inventario!G$5:G$505)</f>
        <v/>
      </c>
      <c r="H3002" s="65">
        <f>SUMIF(Inventario!$M$5:$M$505,"#"&amp;$A3001,Inventario!H$5:H$505)</f>
        <v/>
      </c>
      <c r="I3002" s="65">
        <f>SUMIF(Inventario!$M$5:$M$505,"#"&amp;$A3001,Inventario!I$5:I$505)</f>
        <v/>
      </c>
      <c r="J3002" s="65">
        <f>SUMIF(Inventario!$M$5:$M$505,"#"&amp;$A3001,Inventario!J$5:J$505)</f>
        <v/>
      </c>
      <c r="K3002" s="65">
        <f>SUMIF(Inventario!$M$5:$M$505,"#"&amp;$A3001,Inventario!K$5:K$505)</f>
        <v/>
      </c>
      <c r="L3002" s="65">
        <f>SUMIF(Inventario!$M$5:$M$505,"#"&amp;$A3001,Inventario!L$5:L$505)</f>
        <v/>
      </c>
      <c r="M3002" s="66" t="n"/>
    </row>
    <row r="3003">
      <c r="C3003" s="63" t="inlineStr">
        <is>
          <t>Stock proyectado disponible</t>
        </is>
      </c>
      <c r="D3003" s="67">
        <f>SUMIF(Inventario!$M$5:$M$505,"#"&amp;$A3001,Inventario!$C$5:$C$505)</f>
        <v/>
      </c>
      <c r="E3003" s="68">
        <f>D3003+E3002+E3005-E3001</f>
        <v/>
      </c>
      <c r="F3003" s="68">
        <f>E3003+F3002+F3005-F3001</f>
        <v/>
      </c>
      <c r="G3003" s="68">
        <f>F3003+G3002+G3005-G3001</f>
        <v/>
      </c>
      <c r="H3003" s="68">
        <f>G3003+H3002+H3005-H3001</f>
        <v/>
      </c>
      <c r="I3003" s="68">
        <f>H3003+I3002+I3005-I3001</f>
        <v/>
      </c>
      <c r="J3003" s="68">
        <f>I3003+J3002+J3005-J3001</f>
        <v/>
      </c>
      <c r="K3003" s="68">
        <f>J3003+K3002+K3005-K3001</f>
        <v/>
      </c>
      <c r="L3003" s="68">
        <f>K3003+L3002+L3005-L3001</f>
        <v/>
      </c>
      <c r="M3003" s="66" t="n"/>
    </row>
    <row r="3004">
      <c r="C3004" s="63" t="inlineStr">
        <is>
          <t>Necesidad neta</t>
        </is>
      </c>
      <c r="D3004" s="64" t="n"/>
      <c r="E3004" s="69">
        <f>MAX(0,ROUND(E3001+Materiales!$H$432-D3003-E3002,4))</f>
        <v/>
      </c>
      <c r="F3004" s="69">
        <f>MAX(0,ROUND(F3001+Materiales!$H$432-E3003-F3002,4))</f>
        <v/>
      </c>
      <c r="G3004" s="69">
        <f>MAX(0,ROUND(G3001+Materiales!$H$432-F3003-G3002,4))</f>
        <v/>
      </c>
      <c r="H3004" s="69">
        <f>MAX(0,ROUND(H3001+Materiales!$H$432-G3003-H3002,4))</f>
        <v/>
      </c>
      <c r="I3004" s="69">
        <f>MAX(0,ROUND(I3001+Materiales!$H$432-H3003-I3002,4))</f>
        <v/>
      </c>
      <c r="J3004" s="69">
        <f>MAX(0,ROUND(J3001+Materiales!$H$432-I3003-J3002,4))</f>
        <v/>
      </c>
      <c r="K3004" s="69">
        <f>MAX(0,ROUND(K3001+Materiales!$H$432-J3003-K3002,4))</f>
        <v/>
      </c>
      <c r="L3004" s="69">
        <f>MAX(0,ROUND(L3001+Materiales!$H$432-K3003-L3002,4))</f>
        <v/>
      </c>
      <c r="M3004" s="66" t="n"/>
    </row>
    <row r="3005">
      <c r="C3005" s="63" t="inlineStr">
        <is>
          <t>Recepcion de orden planificada</t>
        </is>
      </c>
      <c r="D3005" s="64" t="n"/>
      <c r="E3005" s="65">
        <f>IF(E3004&lt;=0,0,IF(Materiales!$G$432&lt;=0,E3004,ROUNDUP(E3004/Materiales!$G$432,0)*Materiales!$G$432))</f>
        <v/>
      </c>
      <c r="F3005" s="65">
        <f>IF(F3004&lt;=0,0,IF(Materiales!$G$432&lt;=0,F3004,ROUNDUP(F3004/Materiales!$G$432,0)*Materiales!$G$432))</f>
        <v/>
      </c>
      <c r="G3005" s="65">
        <f>IF(G3004&lt;=0,0,IF(Materiales!$G$432&lt;=0,G3004,ROUNDUP(G3004/Materiales!$G$432,0)*Materiales!$G$432))</f>
        <v/>
      </c>
      <c r="H3005" s="65">
        <f>IF(H3004&lt;=0,0,IF(Materiales!$G$432&lt;=0,H3004,ROUNDUP(H3004/Materiales!$G$432,0)*Materiales!$G$432))</f>
        <v/>
      </c>
      <c r="I3005" s="65">
        <f>IF(I3004&lt;=0,0,IF(Materiales!$G$432&lt;=0,I3004,ROUNDUP(I3004/Materiales!$G$432,0)*Materiales!$G$432))</f>
        <v/>
      </c>
      <c r="J3005" s="65">
        <f>IF(J3004&lt;=0,0,IF(Materiales!$G$432&lt;=0,J3004,ROUNDUP(J3004/Materiales!$G$432,0)*Materiales!$G$432))</f>
        <v/>
      </c>
      <c r="K3005" s="65">
        <f>IF(K3004&lt;=0,0,IF(Materiales!$G$432&lt;=0,K3004,ROUNDUP(K3004/Materiales!$G$432,0)*Materiales!$G$432))</f>
        <v/>
      </c>
      <c r="L3005" s="65">
        <f>IF(L3004&lt;=0,0,IF(Materiales!$G$432&lt;=0,L3004,ROUNDUP(L3004/Materiales!$G$432,0)*Materiales!$G$432))</f>
        <v/>
      </c>
      <c r="M3005" s="66" t="n"/>
    </row>
    <row r="3006">
      <c r="C3006" s="70" t="inlineStr">
        <is>
          <t>LANZAMIENTO DE ORDEN — pedir esta semana</t>
        </is>
      </c>
      <c r="D3006" s="64" t="n"/>
      <c r="E3006" s="71">
        <f>IF(1+Materiales!$F$432&gt;8,0,INDEX($E$3005:$L$3005,1,1+Materiales!$F$432))</f>
        <v/>
      </c>
      <c r="F3006" s="71">
        <f>IF(2+Materiales!$F$432&gt;8,0,INDEX($E$3005:$L$3005,1,2+Materiales!$F$432))</f>
        <v/>
      </c>
      <c r="G3006" s="71">
        <f>IF(3+Materiales!$F$432&gt;8,0,INDEX($E$3005:$L$3005,1,3+Materiales!$F$432))</f>
        <v/>
      </c>
      <c r="H3006" s="71">
        <f>IF(4+Materiales!$F$432&gt;8,0,INDEX($E$3005:$L$3005,1,4+Materiales!$F$432))</f>
        <v/>
      </c>
      <c r="I3006" s="71">
        <f>IF(5+Materiales!$F$432&gt;8,0,INDEX($E$3005:$L$3005,1,5+Materiales!$F$432))</f>
        <v/>
      </c>
      <c r="J3006" s="71">
        <f>IF(6+Materiales!$F$432&gt;8,0,INDEX($E$3005:$L$3005,1,6+Materiales!$F$432))</f>
        <v/>
      </c>
      <c r="K3006" s="71">
        <f>IF(7+Materiales!$F$432&gt;8,0,INDEX($E$3005:$L$3005,1,7+Materiales!$F$432))</f>
        <v/>
      </c>
      <c r="L3006" s="71">
        <f>IF(8+Materiales!$F$432&gt;8,0,INDEX($E$3005:$L$3005,1,8+Materiales!$F$432))</f>
        <v/>
      </c>
      <c r="M3006" s="72">
        <f>IF($A3001="","",IF(SUMPRODUCT((COLUMN($E$3005:$L$3005)-4&lt;=Materiales!$F$432)*$E$3005:$L$3005)&gt;0,"PEDIR YA (atrasado)","OK"))</f>
        <v/>
      </c>
    </row>
    <row r="3007" ht="6" customHeight="1"/>
    <row r="3008">
      <c r="A3008" s="62">
        <f>IF(Materiales!$A$433="","",Materiales!$A$433)</f>
        <v/>
      </c>
      <c r="B3008" s="62">
        <f>IF(Materiales!$B$433="","",Materiales!$B$433)</f>
        <v/>
      </c>
      <c r="C3008" s="63" t="inlineStr">
        <is>
          <t>Necesidad bruta</t>
        </is>
      </c>
      <c r="D3008" s="64" t="n"/>
      <c r="E3008" s="65">
        <f>ROUND(SUMIF(Consumo!$P$4:$P$189,"#"&amp;$A3008,Consumo!H$4:H$189),4)</f>
        <v/>
      </c>
      <c r="F3008" s="65">
        <f>ROUND(SUMIF(Consumo!$P$4:$P$189,"#"&amp;$A3008,Consumo!I$4:I$189),4)</f>
        <v/>
      </c>
      <c r="G3008" s="65">
        <f>ROUND(SUMIF(Consumo!$P$4:$P$189,"#"&amp;$A3008,Consumo!J$4:J$189),4)</f>
        <v/>
      </c>
      <c r="H3008" s="65">
        <f>ROUND(SUMIF(Consumo!$P$4:$P$189,"#"&amp;$A3008,Consumo!K$4:K$189),4)</f>
        <v/>
      </c>
      <c r="I3008" s="65">
        <f>ROUND(SUMIF(Consumo!$P$4:$P$189,"#"&amp;$A3008,Consumo!L$4:L$189),4)</f>
        <v/>
      </c>
      <c r="J3008" s="65">
        <f>ROUND(SUMIF(Consumo!$P$4:$P$189,"#"&amp;$A3008,Consumo!M$4:M$189),4)</f>
        <v/>
      </c>
      <c r="K3008" s="65">
        <f>ROUND(SUMIF(Consumo!$P$4:$P$189,"#"&amp;$A3008,Consumo!N$4:N$189),4)</f>
        <v/>
      </c>
      <c r="L3008" s="65">
        <f>ROUND(SUMIF(Consumo!$P$4:$P$189,"#"&amp;$A3008,Consumo!O$4:O$189),4)</f>
        <v/>
      </c>
      <c r="M3008" s="66" t="n"/>
    </row>
    <row r="3009">
      <c r="C3009" s="63" t="inlineStr">
        <is>
          <t>Recepciones programadas (ya pedido)</t>
        </is>
      </c>
      <c r="D3009" s="64" t="n"/>
      <c r="E3009" s="65">
        <f>SUMIF(Inventario!$M$5:$M$505,"#"&amp;$A3008,Inventario!E$5:E$505)</f>
        <v/>
      </c>
      <c r="F3009" s="65">
        <f>SUMIF(Inventario!$M$5:$M$505,"#"&amp;$A3008,Inventario!F$5:F$505)</f>
        <v/>
      </c>
      <c r="G3009" s="65">
        <f>SUMIF(Inventario!$M$5:$M$505,"#"&amp;$A3008,Inventario!G$5:G$505)</f>
        <v/>
      </c>
      <c r="H3009" s="65">
        <f>SUMIF(Inventario!$M$5:$M$505,"#"&amp;$A3008,Inventario!H$5:H$505)</f>
        <v/>
      </c>
      <c r="I3009" s="65">
        <f>SUMIF(Inventario!$M$5:$M$505,"#"&amp;$A3008,Inventario!I$5:I$505)</f>
        <v/>
      </c>
      <c r="J3009" s="65">
        <f>SUMIF(Inventario!$M$5:$M$505,"#"&amp;$A3008,Inventario!J$5:J$505)</f>
        <v/>
      </c>
      <c r="K3009" s="65">
        <f>SUMIF(Inventario!$M$5:$M$505,"#"&amp;$A3008,Inventario!K$5:K$505)</f>
        <v/>
      </c>
      <c r="L3009" s="65">
        <f>SUMIF(Inventario!$M$5:$M$505,"#"&amp;$A3008,Inventario!L$5:L$505)</f>
        <v/>
      </c>
      <c r="M3009" s="66" t="n"/>
    </row>
    <row r="3010">
      <c r="C3010" s="63" t="inlineStr">
        <is>
          <t>Stock proyectado disponible</t>
        </is>
      </c>
      <c r="D3010" s="67">
        <f>SUMIF(Inventario!$M$5:$M$505,"#"&amp;$A3008,Inventario!$C$5:$C$505)</f>
        <v/>
      </c>
      <c r="E3010" s="68">
        <f>D3010+E3009+E3012-E3008</f>
        <v/>
      </c>
      <c r="F3010" s="68">
        <f>E3010+F3009+F3012-F3008</f>
        <v/>
      </c>
      <c r="G3010" s="68">
        <f>F3010+G3009+G3012-G3008</f>
        <v/>
      </c>
      <c r="H3010" s="68">
        <f>G3010+H3009+H3012-H3008</f>
        <v/>
      </c>
      <c r="I3010" s="68">
        <f>H3010+I3009+I3012-I3008</f>
        <v/>
      </c>
      <c r="J3010" s="68">
        <f>I3010+J3009+J3012-J3008</f>
        <v/>
      </c>
      <c r="K3010" s="68">
        <f>J3010+K3009+K3012-K3008</f>
        <v/>
      </c>
      <c r="L3010" s="68">
        <f>K3010+L3009+L3012-L3008</f>
        <v/>
      </c>
      <c r="M3010" s="66" t="n"/>
    </row>
    <row r="3011">
      <c r="C3011" s="63" t="inlineStr">
        <is>
          <t>Necesidad neta</t>
        </is>
      </c>
      <c r="D3011" s="64" t="n"/>
      <c r="E3011" s="69">
        <f>MAX(0,ROUND(E3008+Materiales!$H$433-D3010-E3009,4))</f>
        <v/>
      </c>
      <c r="F3011" s="69">
        <f>MAX(0,ROUND(F3008+Materiales!$H$433-E3010-F3009,4))</f>
        <v/>
      </c>
      <c r="G3011" s="69">
        <f>MAX(0,ROUND(G3008+Materiales!$H$433-F3010-G3009,4))</f>
        <v/>
      </c>
      <c r="H3011" s="69">
        <f>MAX(0,ROUND(H3008+Materiales!$H$433-G3010-H3009,4))</f>
        <v/>
      </c>
      <c r="I3011" s="69">
        <f>MAX(0,ROUND(I3008+Materiales!$H$433-H3010-I3009,4))</f>
        <v/>
      </c>
      <c r="J3011" s="69">
        <f>MAX(0,ROUND(J3008+Materiales!$H$433-I3010-J3009,4))</f>
        <v/>
      </c>
      <c r="K3011" s="69">
        <f>MAX(0,ROUND(K3008+Materiales!$H$433-J3010-K3009,4))</f>
        <v/>
      </c>
      <c r="L3011" s="69">
        <f>MAX(0,ROUND(L3008+Materiales!$H$433-K3010-L3009,4))</f>
        <v/>
      </c>
      <c r="M3011" s="66" t="n"/>
    </row>
    <row r="3012">
      <c r="C3012" s="63" t="inlineStr">
        <is>
          <t>Recepcion de orden planificada</t>
        </is>
      </c>
      <c r="D3012" s="64" t="n"/>
      <c r="E3012" s="65">
        <f>IF(E3011&lt;=0,0,IF(Materiales!$G$433&lt;=0,E3011,ROUNDUP(E3011/Materiales!$G$433,0)*Materiales!$G$433))</f>
        <v/>
      </c>
      <c r="F3012" s="65">
        <f>IF(F3011&lt;=0,0,IF(Materiales!$G$433&lt;=0,F3011,ROUNDUP(F3011/Materiales!$G$433,0)*Materiales!$G$433))</f>
        <v/>
      </c>
      <c r="G3012" s="65">
        <f>IF(G3011&lt;=0,0,IF(Materiales!$G$433&lt;=0,G3011,ROUNDUP(G3011/Materiales!$G$433,0)*Materiales!$G$433))</f>
        <v/>
      </c>
      <c r="H3012" s="65">
        <f>IF(H3011&lt;=0,0,IF(Materiales!$G$433&lt;=0,H3011,ROUNDUP(H3011/Materiales!$G$433,0)*Materiales!$G$433))</f>
        <v/>
      </c>
      <c r="I3012" s="65">
        <f>IF(I3011&lt;=0,0,IF(Materiales!$G$433&lt;=0,I3011,ROUNDUP(I3011/Materiales!$G$433,0)*Materiales!$G$433))</f>
        <v/>
      </c>
      <c r="J3012" s="65">
        <f>IF(J3011&lt;=0,0,IF(Materiales!$G$433&lt;=0,J3011,ROUNDUP(J3011/Materiales!$G$433,0)*Materiales!$G$433))</f>
        <v/>
      </c>
      <c r="K3012" s="65">
        <f>IF(K3011&lt;=0,0,IF(Materiales!$G$433&lt;=0,K3011,ROUNDUP(K3011/Materiales!$G$433,0)*Materiales!$G$433))</f>
        <v/>
      </c>
      <c r="L3012" s="65">
        <f>IF(L3011&lt;=0,0,IF(Materiales!$G$433&lt;=0,L3011,ROUNDUP(L3011/Materiales!$G$433,0)*Materiales!$G$433))</f>
        <v/>
      </c>
      <c r="M3012" s="66" t="n"/>
    </row>
    <row r="3013">
      <c r="C3013" s="70" t="inlineStr">
        <is>
          <t>LANZAMIENTO DE ORDEN — pedir esta semana</t>
        </is>
      </c>
      <c r="D3013" s="64" t="n"/>
      <c r="E3013" s="71">
        <f>IF(1+Materiales!$F$433&gt;8,0,INDEX($E$3012:$L$3012,1,1+Materiales!$F$433))</f>
        <v/>
      </c>
      <c r="F3013" s="71">
        <f>IF(2+Materiales!$F$433&gt;8,0,INDEX($E$3012:$L$3012,1,2+Materiales!$F$433))</f>
        <v/>
      </c>
      <c r="G3013" s="71">
        <f>IF(3+Materiales!$F$433&gt;8,0,INDEX($E$3012:$L$3012,1,3+Materiales!$F$433))</f>
        <v/>
      </c>
      <c r="H3013" s="71">
        <f>IF(4+Materiales!$F$433&gt;8,0,INDEX($E$3012:$L$3012,1,4+Materiales!$F$433))</f>
        <v/>
      </c>
      <c r="I3013" s="71">
        <f>IF(5+Materiales!$F$433&gt;8,0,INDEX($E$3012:$L$3012,1,5+Materiales!$F$433))</f>
        <v/>
      </c>
      <c r="J3013" s="71">
        <f>IF(6+Materiales!$F$433&gt;8,0,INDEX($E$3012:$L$3012,1,6+Materiales!$F$433))</f>
        <v/>
      </c>
      <c r="K3013" s="71">
        <f>IF(7+Materiales!$F$433&gt;8,0,INDEX($E$3012:$L$3012,1,7+Materiales!$F$433))</f>
        <v/>
      </c>
      <c r="L3013" s="71">
        <f>IF(8+Materiales!$F$433&gt;8,0,INDEX($E$3012:$L$3012,1,8+Materiales!$F$433))</f>
        <v/>
      </c>
      <c r="M3013" s="72">
        <f>IF($A3008="","",IF(SUMPRODUCT((COLUMN($E$3012:$L$3012)-4&lt;=Materiales!$F$433)*$E$3012:$L$3012)&gt;0,"PEDIR YA (atrasado)","OK"))</f>
        <v/>
      </c>
    </row>
    <row r="3014" ht="6" customHeight="1"/>
    <row r="3015">
      <c r="A3015" s="62">
        <f>IF(Materiales!$A$434="","",Materiales!$A$434)</f>
        <v/>
      </c>
      <c r="B3015" s="62">
        <f>IF(Materiales!$B$434="","",Materiales!$B$434)</f>
        <v/>
      </c>
      <c r="C3015" s="63" t="inlineStr">
        <is>
          <t>Necesidad bruta</t>
        </is>
      </c>
      <c r="D3015" s="64" t="n"/>
      <c r="E3015" s="65">
        <f>ROUND(SUMIF(Consumo!$P$4:$P$189,"#"&amp;$A3015,Consumo!H$4:H$189),4)</f>
        <v/>
      </c>
      <c r="F3015" s="65">
        <f>ROUND(SUMIF(Consumo!$P$4:$P$189,"#"&amp;$A3015,Consumo!I$4:I$189),4)</f>
        <v/>
      </c>
      <c r="G3015" s="65">
        <f>ROUND(SUMIF(Consumo!$P$4:$P$189,"#"&amp;$A3015,Consumo!J$4:J$189),4)</f>
        <v/>
      </c>
      <c r="H3015" s="65">
        <f>ROUND(SUMIF(Consumo!$P$4:$P$189,"#"&amp;$A3015,Consumo!K$4:K$189),4)</f>
        <v/>
      </c>
      <c r="I3015" s="65">
        <f>ROUND(SUMIF(Consumo!$P$4:$P$189,"#"&amp;$A3015,Consumo!L$4:L$189),4)</f>
        <v/>
      </c>
      <c r="J3015" s="65">
        <f>ROUND(SUMIF(Consumo!$P$4:$P$189,"#"&amp;$A3015,Consumo!M$4:M$189),4)</f>
        <v/>
      </c>
      <c r="K3015" s="65">
        <f>ROUND(SUMIF(Consumo!$P$4:$P$189,"#"&amp;$A3015,Consumo!N$4:N$189),4)</f>
        <v/>
      </c>
      <c r="L3015" s="65">
        <f>ROUND(SUMIF(Consumo!$P$4:$P$189,"#"&amp;$A3015,Consumo!O$4:O$189),4)</f>
        <v/>
      </c>
      <c r="M3015" s="66" t="n"/>
    </row>
    <row r="3016">
      <c r="C3016" s="63" t="inlineStr">
        <is>
          <t>Recepciones programadas (ya pedido)</t>
        </is>
      </c>
      <c r="D3016" s="64" t="n"/>
      <c r="E3016" s="65">
        <f>SUMIF(Inventario!$M$5:$M$505,"#"&amp;$A3015,Inventario!E$5:E$505)</f>
        <v/>
      </c>
      <c r="F3016" s="65">
        <f>SUMIF(Inventario!$M$5:$M$505,"#"&amp;$A3015,Inventario!F$5:F$505)</f>
        <v/>
      </c>
      <c r="G3016" s="65">
        <f>SUMIF(Inventario!$M$5:$M$505,"#"&amp;$A3015,Inventario!G$5:G$505)</f>
        <v/>
      </c>
      <c r="H3016" s="65">
        <f>SUMIF(Inventario!$M$5:$M$505,"#"&amp;$A3015,Inventario!H$5:H$505)</f>
        <v/>
      </c>
      <c r="I3016" s="65">
        <f>SUMIF(Inventario!$M$5:$M$505,"#"&amp;$A3015,Inventario!I$5:I$505)</f>
        <v/>
      </c>
      <c r="J3016" s="65">
        <f>SUMIF(Inventario!$M$5:$M$505,"#"&amp;$A3015,Inventario!J$5:J$505)</f>
        <v/>
      </c>
      <c r="K3016" s="65">
        <f>SUMIF(Inventario!$M$5:$M$505,"#"&amp;$A3015,Inventario!K$5:K$505)</f>
        <v/>
      </c>
      <c r="L3016" s="65">
        <f>SUMIF(Inventario!$M$5:$M$505,"#"&amp;$A3015,Inventario!L$5:L$505)</f>
        <v/>
      </c>
      <c r="M3016" s="66" t="n"/>
    </row>
    <row r="3017">
      <c r="C3017" s="63" t="inlineStr">
        <is>
          <t>Stock proyectado disponible</t>
        </is>
      </c>
      <c r="D3017" s="67">
        <f>SUMIF(Inventario!$M$5:$M$505,"#"&amp;$A3015,Inventario!$C$5:$C$505)</f>
        <v/>
      </c>
      <c r="E3017" s="68">
        <f>D3017+E3016+E3019-E3015</f>
        <v/>
      </c>
      <c r="F3017" s="68">
        <f>E3017+F3016+F3019-F3015</f>
        <v/>
      </c>
      <c r="G3017" s="68">
        <f>F3017+G3016+G3019-G3015</f>
        <v/>
      </c>
      <c r="H3017" s="68">
        <f>G3017+H3016+H3019-H3015</f>
        <v/>
      </c>
      <c r="I3017" s="68">
        <f>H3017+I3016+I3019-I3015</f>
        <v/>
      </c>
      <c r="J3017" s="68">
        <f>I3017+J3016+J3019-J3015</f>
        <v/>
      </c>
      <c r="K3017" s="68">
        <f>J3017+K3016+K3019-K3015</f>
        <v/>
      </c>
      <c r="L3017" s="68">
        <f>K3017+L3016+L3019-L3015</f>
        <v/>
      </c>
      <c r="M3017" s="66" t="n"/>
    </row>
    <row r="3018">
      <c r="C3018" s="63" t="inlineStr">
        <is>
          <t>Necesidad neta</t>
        </is>
      </c>
      <c r="D3018" s="64" t="n"/>
      <c r="E3018" s="69">
        <f>MAX(0,ROUND(E3015+Materiales!$H$434-D3017-E3016,4))</f>
        <v/>
      </c>
      <c r="F3018" s="69">
        <f>MAX(0,ROUND(F3015+Materiales!$H$434-E3017-F3016,4))</f>
        <v/>
      </c>
      <c r="G3018" s="69">
        <f>MAX(0,ROUND(G3015+Materiales!$H$434-F3017-G3016,4))</f>
        <v/>
      </c>
      <c r="H3018" s="69">
        <f>MAX(0,ROUND(H3015+Materiales!$H$434-G3017-H3016,4))</f>
        <v/>
      </c>
      <c r="I3018" s="69">
        <f>MAX(0,ROUND(I3015+Materiales!$H$434-H3017-I3016,4))</f>
        <v/>
      </c>
      <c r="J3018" s="69">
        <f>MAX(0,ROUND(J3015+Materiales!$H$434-I3017-J3016,4))</f>
        <v/>
      </c>
      <c r="K3018" s="69">
        <f>MAX(0,ROUND(K3015+Materiales!$H$434-J3017-K3016,4))</f>
        <v/>
      </c>
      <c r="L3018" s="69">
        <f>MAX(0,ROUND(L3015+Materiales!$H$434-K3017-L3016,4))</f>
        <v/>
      </c>
      <c r="M3018" s="66" t="n"/>
    </row>
    <row r="3019">
      <c r="C3019" s="63" t="inlineStr">
        <is>
          <t>Recepcion de orden planificada</t>
        </is>
      </c>
      <c r="D3019" s="64" t="n"/>
      <c r="E3019" s="65">
        <f>IF(E3018&lt;=0,0,IF(Materiales!$G$434&lt;=0,E3018,ROUNDUP(E3018/Materiales!$G$434,0)*Materiales!$G$434))</f>
        <v/>
      </c>
      <c r="F3019" s="65">
        <f>IF(F3018&lt;=0,0,IF(Materiales!$G$434&lt;=0,F3018,ROUNDUP(F3018/Materiales!$G$434,0)*Materiales!$G$434))</f>
        <v/>
      </c>
      <c r="G3019" s="65">
        <f>IF(G3018&lt;=0,0,IF(Materiales!$G$434&lt;=0,G3018,ROUNDUP(G3018/Materiales!$G$434,0)*Materiales!$G$434))</f>
        <v/>
      </c>
      <c r="H3019" s="65">
        <f>IF(H3018&lt;=0,0,IF(Materiales!$G$434&lt;=0,H3018,ROUNDUP(H3018/Materiales!$G$434,0)*Materiales!$G$434))</f>
        <v/>
      </c>
      <c r="I3019" s="65">
        <f>IF(I3018&lt;=0,0,IF(Materiales!$G$434&lt;=0,I3018,ROUNDUP(I3018/Materiales!$G$434,0)*Materiales!$G$434))</f>
        <v/>
      </c>
      <c r="J3019" s="65">
        <f>IF(J3018&lt;=0,0,IF(Materiales!$G$434&lt;=0,J3018,ROUNDUP(J3018/Materiales!$G$434,0)*Materiales!$G$434))</f>
        <v/>
      </c>
      <c r="K3019" s="65">
        <f>IF(K3018&lt;=0,0,IF(Materiales!$G$434&lt;=0,K3018,ROUNDUP(K3018/Materiales!$G$434,0)*Materiales!$G$434))</f>
        <v/>
      </c>
      <c r="L3019" s="65">
        <f>IF(L3018&lt;=0,0,IF(Materiales!$G$434&lt;=0,L3018,ROUNDUP(L3018/Materiales!$G$434,0)*Materiales!$G$434))</f>
        <v/>
      </c>
      <c r="M3019" s="66" t="n"/>
    </row>
    <row r="3020">
      <c r="C3020" s="70" t="inlineStr">
        <is>
          <t>LANZAMIENTO DE ORDEN — pedir esta semana</t>
        </is>
      </c>
      <c r="D3020" s="64" t="n"/>
      <c r="E3020" s="71">
        <f>IF(1+Materiales!$F$434&gt;8,0,INDEX($E$3019:$L$3019,1,1+Materiales!$F$434))</f>
        <v/>
      </c>
      <c r="F3020" s="71">
        <f>IF(2+Materiales!$F$434&gt;8,0,INDEX($E$3019:$L$3019,1,2+Materiales!$F$434))</f>
        <v/>
      </c>
      <c r="G3020" s="71">
        <f>IF(3+Materiales!$F$434&gt;8,0,INDEX($E$3019:$L$3019,1,3+Materiales!$F$434))</f>
        <v/>
      </c>
      <c r="H3020" s="71">
        <f>IF(4+Materiales!$F$434&gt;8,0,INDEX($E$3019:$L$3019,1,4+Materiales!$F$434))</f>
        <v/>
      </c>
      <c r="I3020" s="71">
        <f>IF(5+Materiales!$F$434&gt;8,0,INDEX($E$3019:$L$3019,1,5+Materiales!$F$434))</f>
        <v/>
      </c>
      <c r="J3020" s="71">
        <f>IF(6+Materiales!$F$434&gt;8,0,INDEX($E$3019:$L$3019,1,6+Materiales!$F$434))</f>
        <v/>
      </c>
      <c r="K3020" s="71">
        <f>IF(7+Materiales!$F$434&gt;8,0,INDEX($E$3019:$L$3019,1,7+Materiales!$F$434))</f>
        <v/>
      </c>
      <c r="L3020" s="71">
        <f>IF(8+Materiales!$F$434&gt;8,0,INDEX($E$3019:$L$3019,1,8+Materiales!$F$434))</f>
        <v/>
      </c>
      <c r="M3020" s="72">
        <f>IF($A3015="","",IF(SUMPRODUCT((COLUMN($E$3019:$L$3019)-4&lt;=Materiales!$F$434)*$E$3019:$L$3019)&gt;0,"PEDIR YA (atrasado)","OK"))</f>
        <v/>
      </c>
    </row>
    <row r="3021" ht="6" customHeight="1"/>
    <row r="3022">
      <c r="A3022" s="62">
        <f>IF(Materiales!$A$435="","",Materiales!$A$435)</f>
        <v/>
      </c>
      <c r="B3022" s="62">
        <f>IF(Materiales!$B$435="","",Materiales!$B$435)</f>
        <v/>
      </c>
      <c r="C3022" s="63" t="inlineStr">
        <is>
          <t>Necesidad bruta</t>
        </is>
      </c>
      <c r="D3022" s="64" t="n"/>
      <c r="E3022" s="65">
        <f>ROUND(SUMIF(Consumo!$P$4:$P$189,"#"&amp;$A3022,Consumo!H$4:H$189),4)</f>
        <v/>
      </c>
      <c r="F3022" s="65">
        <f>ROUND(SUMIF(Consumo!$P$4:$P$189,"#"&amp;$A3022,Consumo!I$4:I$189),4)</f>
        <v/>
      </c>
      <c r="G3022" s="65">
        <f>ROUND(SUMIF(Consumo!$P$4:$P$189,"#"&amp;$A3022,Consumo!J$4:J$189),4)</f>
        <v/>
      </c>
      <c r="H3022" s="65">
        <f>ROUND(SUMIF(Consumo!$P$4:$P$189,"#"&amp;$A3022,Consumo!K$4:K$189),4)</f>
        <v/>
      </c>
      <c r="I3022" s="65">
        <f>ROUND(SUMIF(Consumo!$P$4:$P$189,"#"&amp;$A3022,Consumo!L$4:L$189),4)</f>
        <v/>
      </c>
      <c r="J3022" s="65">
        <f>ROUND(SUMIF(Consumo!$P$4:$P$189,"#"&amp;$A3022,Consumo!M$4:M$189),4)</f>
        <v/>
      </c>
      <c r="K3022" s="65">
        <f>ROUND(SUMIF(Consumo!$P$4:$P$189,"#"&amp;$A3022,Consumo!N$4:N$189),4)</f>
        <v/>
      </c>
      <c r="L3022" s="65">
        <f>ROUND(SUMIF(Consumo!$P$4:$P$189,"#"&amp;$A3022,Consumo!O$4:O$189),4)</f>
        <v/>
      </c>
      <c r="M3022" s="66" t="n"/>
    </row>
    <row r="3023">
      <c r="C3023" s="63" t="inlineStr">
        <is>
          <t>Recepciones programadas (ya pedido)</t>
        </is>
      </c>
      <c r="D3023" s="64" t="n"/>
      <c r="E3023" s="65">
        <f>SUMIF(Inventario!$M$5:$M$505,"#"&amp;$A3022,Inventario!E$5:E$505)</f>
        <v/>
      </c>
      <c r="F3023" s="65">
        <f>SUMIF(Inventario!$M$5:$M$505,"#"&amp;$A3022,Inventario!F$5:F$505)</f>
        <v/>
      </c>
      <c r="G3023" s="65">
        <f>SUMIF(Inventario!$M$5:$M$505,"#"&amp;$A3022,Inventario!G$5:G$505)</f>
        <v/>
      </c>
      <c r="H3023" s="65">
        <f>SUMIF(Inventario!$M$5:$M$505,"#"&amp;$A3022,Inventario!H$5:H$505)</f>
        <v/>
      </c>
      <c r="I3023" s="65">
        <f>SUMIF(Inventario!$M$5:$M$505,"#"&amp;$A3022,Inventario!I$5:I$505)</f>
        <v/>
      </c>
      <c r="J3023" s="65">
        <f>SUMIF(Inventario!$M$5:$M$505,"#"&amp;$A3022,Inventario!J$5:J$505)</f>
        <v/>
      </c>
      <c r="K3023" s="65">
        <f>SUMIF(Inventario!$M$5:$M$505,"#"&amp;$A3022,Inventario!K$5:K$505)</f>
        <v/>
      </c>
      <c r="L3023" s="65">
        <f>SUMIF(Inventario!$M$5:$M$505,"#"&amp;$A3022,Inventario!L$5:L$505)</f>
        <v/>
      </c>
      <c r="M3023" s="66" t="n"/>
    </row>
    <row r="3024">
      <c r="C3024" s="63" t="inlineStr">
        <is>
          <t>Stock proyectado disponible</t>
        </is>
      </c>
      <c r="D3024" s="67">
        <f>SUMIF(Inventario!$M$5:$M$505,"#"&amp;$A3022,Inventario!$C$5:$C$505)</f>
        <v/>
      </c>
      <c r="E3024" s="68">
        <f>D3024+E3023+E3026-E3022</f>
        <v/>
      </c>
      <c r="F3024" s="68">
        <f>E3024+F3023+F3026-F3022</f>
        <v/>
      </c>
      <c r="G3024" s="68">
        <f>F3024+G3023+G3026-G3022</f>
        <v/>
      </c>
      <c r="H3024" s="68">
        <f>G3024+H3023+H3026-H3022</f>
        <v/>
      </c>
      <c r="I3024" s="68">
        <f>H3024+I3023+I3026-I3022</f>
        <v/>
      </c>
      <c r="J3024" s="68">
        <f>I3024+J3023+J3026-J3022</f>
        <v/>
      </c>
      <c r="K3024" s="68">
        <f>J3024+K3023+K3026-K3022</f>
        <v/>
      </c>
      <c r="L3024" s="68">
        <f>K3024+L3023+L3026-L3022</f>
        <v/>
      </c>
      <c r="M3024" s="66" t="n"/>
    </row>
    <row r="3025">
      <c r="C3025" s="63" t="inlineStr">
        <is>
          <t>Necesidad neta</t>
        </is>
      </c>
      <c r="D3025" s="64" t="n"/>
      <c r="E3025" s="69">
        <f>MAX(0,ROUND(E3022+Materiales!$H$435-D3024-E3023,4))</f>
        <v/>
      </c>
      <c r="F3025" s="69">
        <f>MAX(0,ROUND(F3022+Materiales!$H$435-E3024-F3023,4))</f>
        <v/>
      </c>
      <c r="G3025" s="69">
        <f>MAX(0,ROUND(G3022+Materiales!$H$435-F3024-G3023,4))</f>
        <v/>
      </c>
      <c r="H3025" s="69">
        <f>MAX(0,ROUND(H3022+Materiales!$H$435-G3024-H3023,4))</f>
        <v/>
      </c>
      <c r="I3025" s="69">
        <f>MAX(0,ROUND(I3022+Materiales!$H$435-H3024-I3023,4))</f>
        <v/>
      </c>
      <c r="J3025" s="69">
        <f>MAX(0,ROUND(J3022+Materiales!$H$435-I3024-J3023,4))</f>
        <v/>
      </c>
      <c r="K3025" s="69">
        <f>MAX(0,ROUND(K3022+Materiales!$H$435-J3024-K3023,4))</f>
        <v/>
      </c>
      <c r="L3025" s="69">
        <f>MAX(0,ROUND(L3022+Materiales!$H$435-K3024-L3023,4))</f>
        <v/>
      </c>
      <c r="M3025" s="66" t="n"/>
    </row>
    <row r="3026">
      <c r="C3026" s="63" t="inlineStr">
        <is>
          <t>Recepcion de orden planificada</t>
        </is>
      </c>
      <c r="D3026" s="64" t="n"/>
      <c r="E3026" s="65">
        <f>IF(E3025&lt;=0,0,IF(Materiales!$G$435&lt;=0,E3025,ROUNDUP(E3025/Materiales!$G$435,0)*Materiales!$G$435))</f>
        <v/>
      </c>
      <c r="F3026" s="65">
        <f>IF(F3025&lt;=0,0,IF(Materiales!$G$435&lt;=0,F3025,ROUNDUP(F3025/Materiales!$G$435,0)*Materiales!$G$435))</f>
        <v/>
      </c>
      <c r="G3026" s="65">
        <f>IF(G3025&lt;=0,0,IF(Materiales!$G$435&lt;=0,G3025,ROUNDUP(G3025/Materiales!$G$435,0)*Materiales!$G$435))</f>
        <v/>
      </c>
      <c r="H3026" s="65">
        <f>IF(H3025&lt;=0,0,IF(Materiales!$G$435&lt;=0,H3025,ROUNDUP(H3025/Materiales!$G$435,0)*Materiales!$G$435))</f>
        <v/>
      </c>
      <c r="I3026" s="65">
        <f>IF(I3025&lt;=0,0,IF(Materiales!$G$435&lt;=0,I3025,ROUNDUP(I3025/Materiales!$G$435,0)*Materiales!$G$435))</f>
        <v/>
      </c>
      <c r="J3026" s="65">
        <f>IF(J3025&lt;=0,0,IF(Materiales!$G$435&lt;=0,J3025,ROUNDUP(J3025/Materiales!$G$435,0)*Materiales!$G$435))</f>
        <v/>
      </c>
      <c r="K3026" s="65">
        <f>IF(K3025&lt;=0,0,IF(Materiales!$G$435&lt;=0,K3025,ROUNDUP(K3025/Materiales!$G$435,0)*Materiales!$G$435))</f>
        <v/>
      </c>
      <c r="L3026" s="65">
        <f>IF(L3025&lt;=0,0,IF(Materiales!$G$435&lt;=0,L3025,ROUNDUP(L3025/Materiales!$G$435,0)*Materiales!$G$435))</f>
        <v/>
      </c>
      <c r="M3026" s="66" t="n"/>
    </row>
    <row r="3027">
      <c r="C3027" s="70" t="inlineStr">
        <is>
          <t>LANZAMIENTO DE ORDEN — pedir esta semana</t>
        </is>
      </c>
      <c r="D3027" s="64" t="n"/>
      <c r="E3027" s="71">
        <f>IF(1+Materiales!$F$435&gt;8,0,INDEX($E$3026:$L$3026,1,1+Materiales!$F$435))</f>
        <v/>
      </c>
      <c r="F3027" s="71">
        <f>IF(2+Materiales!$F$435&gt;8,0,INDEX($E$3026:$L$3026,1,2+Materiales!$F$435))</f>
        <v/>
      </c>
      <c r="G3027" s="71">
        <f>IF(3+Materiales!$F$435&gt;8,0,INDEX($E$3026:$L$3026,1,3+Materiales!$F$435))</f>
        <v/>
      </c>
      <c r="H3027" s="71">
        <f>IF(4+Materiales!$F$435&gt;8,0,INDEX($E$3026:$L$3026,1,4+Materiales!$F$435))</f>
        <v/>
      </c>
      <c r="I3027" s="71">
        <f>IF(5+Materiales!$F$435&gt;8,0,INDEX($E$3026:$L$3026,1,5+Materiales!$F$435))</f>
        <v/>
      </c>
      <c r="J3027" s="71">
        <f>IF(6+Materiales!$F$435&gt;8,0,INDEX($E$3026:$L$3026,1,6+Materiales!$F$435))</f>
        <v/>
      </c>
      <c r="K3027" s="71">
        <f>IF(7+Materiales!$F$435&gt;8,0,INDEX($E$3026:$L$3026,1,7+Materiales!$F$435))</f>
        <v/>
      </c>
      <c r="L3027" s="71">
        <f>IF(8+Materiales!$F$435&gt;8,0,INDEX($E$3026:$L$3026,1,8+Materiales!$F$435))</f>
        <v/>
      </c>
      <c r="M3027" s="72">
        <f>IF($A3022="","",IF(SUMPRODUCT((COLUMN($E$3026:$L$3026)-4&lt;=Materiales!$F$435)*$E$3026:$L$3026)&gt;0,"PEDIR YA (atrasado)","OK"))</f>
        <v/>
      </c>
    </row>
    <row r="3028" ht="6" customHeight="1"/>
    <row r="3029">
      <c r="A3029" s="62">
        <f>IF(Materiales!$A$436="","",Materiales!$A$436)</f>
        <v/>
      </c>
      <c r="B3029" s="62">
        <f>IF(Materiales!$B$436="","",Materiales!$B$436)</f>
        <v/>
      </c>
      <c r="C3029" s="63" t="inlineStr">
        <is>
          <t>Necesidad bruta</t>
        </is>
      </c>
      <c r="D3029" s="64" t="n"/>
      <c r="E3029" s="65">
        <f>ROUND(SUMIF(Consumo!$P$4:$P$189,"#"&amp;$A3029,Consumo!H$4:H$189),4)</f>
        <v/>
      </c>
      <c r="F3029" s="65">
        <f>ROUND(SUMIF(Consumo!$P$4:$P$189,"#"&amp;$A3029,Consumo!I$4:I$189),4)</f>
        <v/>
      </c>
      <c r="G3029" s="65">
        <f>ROUND(SUMIF(Consumo!$P$4:$P$189,"#"&amp;$A3029,Consumo!J$4:J$189),4)</f>
        <v/>
      </c>
      <c r="H3029" s="65">
        <f>ROUND(SUMIF(Consumo!$P$4:$P$189,"#"&amp;$A3029,Consumo!K$4:K$189),4)</f>
        <v/>
      </c>
      <c r="I3029" s="65">
        <f>ROUND(SUMIF(Consumo!$P$4:$P$189,"#"&amp;$A3029,Consumo!L$4:L$189),4)</f>
        <v/>
      </c>
      <c r="J3029" s="65">
        <f>ROUND(SUMIF(Consumo!$P$4:$P$189,"#"&amp;$A3029,Consumo!M$4:M$189),4)</f>
        <v/>
      </c>
      <c r="K3029" s="65">
        <f>ROUND(SUMIF(Consumo!$P$4:$P$189,"#"&amp;$A3029,Consumo!N$4:N$189),4)</f>
        <v/>
      </c>
      <c r="L3029" s="65">
        <f>ROUND(SUMIF(Consumo!$P$4:$P$189,"#"&amp;$A3029,Consumo!O$4:O$189),4)</f>
        <v/>
      </c>
      <c r="M3029" s="66" t="n"/>
    </row>
    <row r="3030">
      <c r="C3030" s="63" t="inlineStr">
        <is>
          <t>Recepciones programadas (ya pedido)</t>
        </is>
      </c>
      <c r="D3030" s="64" t="n"/>
      <c r="E3030" s="65">
        <f>SUMIF(Inventario!$M$5:$M$505,"#"&amp;$A3029,Inventario!E$5:E$505)</f>
        <v/>
      </c>
      <c r="F3030" s="65">
        <f>SUMIF(Inventario!$M$5:$M$505,"#"&amp;$A3029,Inventario!F$5:F$505)</f>
        <v/>
      </c>
      <c r="G3030" s="65">
        <f>SUMIF(Inventario!$M$5:$M$505,"#"&amp;$A3029,Inventario!G$5:G$505)</f>
        <v/>
      </c>
      <c r="H3030" s="65">
        <f>SUMIF(Inventario!$M$5:$M$505,"#"&amp;$A3029,Inventario!H$5:H$505)</f>
        <v/>
      </c>
      <c r="I3030" s="65">
        <f>SUMIF(Inventario!$M$5:$M$505,"#"&amp;$A3029,Inventario!I$5:I$505)</f>
        <v/>
      </c>
      <c r="J3030" s="65">
        <f>SUMIF(Inventario!$M$5:$M$505,"#"&amp;$A3029,Inventario!J$5:J$505)</f>
        <v/>
      </c>
      <c r="K3030" s="65">
        <f>SUMIF(Inventario!$M$5:$M$505,"#"&amp;$A3029,Inventario!K$5:K$505)</f>
        <v/>
      </c>
      <c r="L3030" s="65">
        <f>SUMIF(Inventario!$M$5:$M$505,"#"&amp;$A3029,Inventario!L$5:L$505)</f>
        <v/>
      </c>
      <c r="M3030" s="66" t="n"/>
    </row>
    <row r="3031">
      <c r="C3031" s="63" t="inlineStr">
        <is>
          <t>Stock proyectado disponible</t>
        </is>
      </c>
      <c r="D3031" s="67">
        <f>SUMIF(Inventario!$M$5:$M$505,"#"&amp;$A3029,Inventario!$C$5:$C$505)</f>
        <v/>
      </c>
      <c r="E3031" s="68">
        <f>D3031+E3030+E3033-E3029</f>
        <v/>
      </c>
      <c r="F3031" s="68">
        <f>E3031+F3030+F3033-F3029</f>
        <v/>
      </c>
      <c r="G3031" s="68">
        <f>F3031+G3030+G3033-G3029</f>
        <v/>
      </c>
      <c r="H3031" s="68">
        <f>G3031+H3030+H3033-H3029</f>
        <v/>
      </c>
      <c r="I3031" s="68">
        <f>H3031+I3030+I3033-I3029</f>
        <v/>
      </c>
      <c r="J3031" s="68">
        <f>I3031+J3030+J3033-J3029</f>
        <v/>
      </c>
      <c r="K3031" s="68">
        <f>J3031+K3030+K3033-K3029</f>
        <v/>
      </c>
      <c r="L3031" s="68">
        <f>K3031+L3030+L3033-L3029</f>
        <v/>
      </c>
      <c r="M3031" s="66" t="n"/>
    </row>
    <row r="3032">
      <c r="C3032" s="63" t="inlineStr">
        <is>
          <t>Necesidad neta</t>
        </is>
      </c>
      <c r="D3032" s="64" t="n"/>
      <c r="E3032" s="69">
        <f>MAX(0,ROUND(E3029+Materiales!$H$436-D3031-E3030,4))</f>
        <v/>
      </c>
      <c r="F3032" s="69">
        <f>MAX(0,ROUND(F3029+Materiales!$H$436-E3031-F3030,4))</f>
        <v/>
      </c>
      <c r="G3032" s="69">
        <f>MAX(0,ROUND(G3029+Materiales!$H$436-F3031-G3030,4))</f>
        <v/>
      </c>
      <c r="H3032" s="69">
        <f>MAX(0,ROUND(H3029+Materiales!$H$436-G3031-H3030,4))</f>
        <v/>
      </c>
      <c r="I3032" s="69">
        <f>MAX(0,ROUND(I3029+Materiales!$H$436-H3031-I3030,4))</f>
        <v/>
      </c>
      <c r="J3032" s="69">
        <f>MAX(0,ROUND(J3029+Materiales!$H$436-I3031-J3030,4))</f>
        <v/>
      </c>
      <c r="K3032" s="69">
        <f>MAX(0,ROUND(K3029+Materiales!$H$436-J3031-K3030,4))</f>
        <v/>
      </c>
      <c r="L3032" s="69">
        <f>MAX(0,ROUND(L3029+Materiales!$H$436-K3031-L3030,4))</f>
        <v/>
      </c>
      <c r="M3032" s="66" t="n"/>
    </row>
    <row r="3033">
      <c r="C3033" s="63" t="inlineStr">
        <is>
          <t>Recepcion de orden planificada</t>
        </is>
      </c>
      <c r="D3033" s="64" t="n"/>
      <c r="E3033" s="65">
        <f>IF(E3032&lt;=0,0,IF(Materiales!$G$436&lt;=0,E3032,ROUNDUP(E3032/Materiales!$G$436,0)*Materiales!$G$436))</f>
        <v/>
      </c>
      <c r="F3033" s="65">
        <f>IF(F3032&lt;=0,0,IF(Materiales!$G$436&lt;=0,F3032,ROUNDUP(F3032/Materiales!$G$436,0)*Materiales!$G$436))</f>
        <v/>
      </c>
      <c r="G3033" s="65">
        <f>IF(G3032&lt;=0,0,IF(Materiales!$G$436&lt;=0,G3032,ROUNDUP(G3032/Materiales!$G$436,0)*Materiales!$G$436))</f>
        <v/>
      </c>
      <c r="H3033" s="65">
        <f>IF(H3032&lt;=0,0,IF(Materiales!$G$436&lt;=0,H3032,ROUNDUP(H3032/Materiales!$G$436,0)*Materiales!$G$436))</f>
        <v/>
      </c>
      <c r="I3033" s="65">
        <f>IF(I3032&lt;=0,0,IF(Materiales!$G$436&lt;=0,I3032,ROUNDUP(I3032/Materiales!$G$436,0)*Materiales!$G$436))</f>
        <v/>
      </c>
      <c r="J3033" s="65">
        <f>IF(J3032&lt;=0,0,IF(Materiales!$G$436&lt;=0,J3032,ROUNDUP(J3032/Materiales!$G$436,0)*Materiales!$G$436))</f>
        <v/>
      </c>
      <c r="K3033" s="65">
        <f>IF(K3032&lt;=0,0,IF(Materiales!$G$436&lt;=0,K3032,ROUNDUP(K3032/Materiales!$G$436,0)*Materiales!$G$436))</f>
        <v/>
      </c>
      <c r="L3033" s="65">
        <f>IF(L3032&lt;=0,0,IF(Materiales!$G$436&lt;=0,L3032,ROUNDUP(L3032/Materiales!$G$436,0)*Materiales!$G$436))</f>
        <v/>
      </c>
      <c r="M3033" s="66" t="n"/>
    </row>
    <row r="3034">
      <c r="C3034" s="70" t="inlineStr">
        <is>
          <t>LANZAMIENTO DE ORDEN — pedir esta semana</t>
        </is>
      </c>
      <c r="D3034" s="64" t="n"/>
      <c r="E3034" s="71">
        <f>IF(1+Materiales!$F$436&gt;8,0,INDEX($E$3033:$L$3033,1,1+Materiales!$F$436))</f>
        <v/>
      </c>
      <c r="F3034" s="71">
        <f>IF(2+Materiales!$F$436&gt;8,0,INDEX($E$3033:$L$3033,1,2+Materiales!$F$436))</f>
        <v/>
      </c>
      <c r="G3034" s="71">
        <f>IF(3+Materiales!$F$436&gt;8,0,INDEX($E$3033:$L$3033,1,3+Materiales!$F$436))</f>
        <v/>
      </c>
      <c r="H3034" s="71">
        <f>IF(4+Materiales!$F$436&gt;8,0,INDEX($E$3033:$L$3033,1,4+Materiales!$F$436))</f>
        <v/>
      </c>
      <c r="I3034" s="71">
        <f>IF(5+Materiales!$F$436&gt;8,0,INDEX($E$3033:$L$3033,1,5+Materiales!$F$436))</f>
        <v/>
      </c>
      <c r="J3034" s="71">
        <f>IF(6+Materiales!$F$436&gt;8,0,INDEX($E$3033:$L$3033,1,6+Materiales!$F$436))</f>
        <v/>
      </c>
      <c r="K3034" s="71">
        <f>IF(7+Materiales!$F$436&gt;8,0,INDEX($E$3033:$L$3033,1,7+Materiales!$F$436))</f>
        <v/>
      </c>
      <c r="L3034" s="71">
        <f>IF(8+Materiales!$F$436&gt;8,0,INDEX($E$3033:$L$3033,1,8+Materiales!$F$436))</f>
        <v/>
      </c>
      <c r="M3034" s="72">
        <f>IF($A3029="","",IF(SUMPRODUCT((COLUMN($E$3033:$L$3033)-4&lt;=Materiales!$F$436)*$E$3033:$L$3033)&gt;0,"PEDIR YA (atrasado)","OK"))</f>
        <v/>
      </c>
    </row>
    <row r="3035" ht="6" customHeight="1"/>
    <row r="3036">
      <c r="A3036" s="62">
        <f>IF(Materiales!$A$437="","",Materiales!$A$437)</f>
        <v/>
      </c>
      <c r="B3036" s="62">
        <f>IF(Materiales!$B$437="","",Materiales!$B$437)</f>
        <v/>
      </c>
      <c r="C3036" s="63" t="inlineStr">
        <is>
          <t>Necesidad bruta</t>
        </is>
      </c>
      <c r="D3036" s="64" t="n"/>
      <c r="E3036" s="65">
        <f>ROUND(SUMIF(Consumo!$P$4:$P$189,"#"&amp;$A3036,Consumo!H$4:H$189),4)</f>
        <v/>
      </c>
      <c r="F3036" s="65">
        <f>ROUND(SUMIF(Consumo!$P$4:$P$189,"#"&amp;$A3036,Consumo!I$4:I$189),4)</f>
        <v/>
      </c>
      <c r="G3036" s="65">
        <f>ROUND(SUMIF(Consumo!$P$4:$P$189,"#"&amp;$A3036,Consumo!J$4:J$189),4)</f>
        <v/>
      </c>
      <c r="H3036" s="65">
        <f>ROUND(SUMIF(Consumo!$P$4:$P$189,"#"&amp;$A3036,Consumo!K$4:K$189),4)</f>
        <v/>
      </c>
      <c r="I3036" s="65">
        <f>ROUND(SUMIF(Consumo!$P$4:$P$189,"#"&amp;$A3036,Consumo!L$4:L$189),4)</f>
        <v/>
      </c>
      <c r="J3036" s="65">
        <f>ROUND(SUMIF(Consumo!$P$4:$P$189,"#"&amp;$A3036,Consumo!M$4:M$189),4)</f>
        <v/>
      </c>
      <c r="K3036" s="65">
        <f>ROUND(SUMIF(Consumo!$P$4:$P$189,"#"&amp;$A3036,Consumo!N$4:N$189),4)</f>
        <v/>
      </c>
      <c r="L3036" s="65">
        <f>ROUND(SUMIF(Consumo!$P$4:$P$189,"#"&amp;$A3036,Consumo!O$4:O$189),4)</f>
        <v/>
      </c>
      <c r="M3036" s="66" t="n"/>
    </row>
    <row r="3037">
      <c r="C3037" s="63" t="inlineStr">
        <is>
          <t>Recepciones programadas (ya pedido)</t>
        </is>
      </c>
      <c r="D3037" s="64" t="n"/>
      <c r="E3037" s="65">
        <f>SUMIF(Inventario!$M$5:$M$505,"#"&amp;$A3036,Inventario!E$5:E$505)</f>
        <v/>
      </c>
      <c r="F3037" s="65">
        <f>SUMIF(Inventario!$M$5:$M$505,"#"&amp;$A3036,Inventario!F$5:F$505)</f>
        <v/>
      </c>
      <c r="G3037" s="65">
        <f>SUMIF(Inventario!$M$5:$M$505,"#"&amp;$A3036,Inventario!G$5:G$505)</f>
        <v/>
      </c>
      <c r="H3037" s="65">
        <f>SUMIF(Inventario!$M$5:$M$505,"#"&amp;$A3036,Inventario!H$5:H$505)</f>
        <v/>
      </c>
      <c r="I3037" s="65">
        <f>SUMIF(Inventario!$M$5:$M$505,"#"&amp;$A3036,Inventario!I$5:I$505)</f>
        <v/>
      </c>
      <c r="J3037" s="65">
        <f>SUMIF(Inventario!$M$5:$M$505,"#"&amp;$A3036,Inventario!J$5:J$505)</f>
        <v/>
      </c>
      <c r="K3037" s="65">
        <f>SUMIF(Inventario!$M$5:$M$505,"#"&amp;$A3036,Inventario!K$5:K$505)</f>
        <v/>
      </c>
      <c r="L3037" s="65">
        <f>SUMIF(Inventario!$M$5:$M$505,"#"&amp;$A3036,Inventario!L$5:L$505)</f>
        <v/>
      </c>
      <c r="M3037" s="66" t="n"/>
    </row>
    <row r="3038">
      <c r="C3038" s="63" t="inlineStr">
        <is>
          <t>Stock proyectado disponible</t>
        </is>
      </c>
      <c r="D3038" s="67">
        <f>SUMIF(Inventario!$M$5:$M$505,"#"&amp;$A3036,Inventario!$C$5:$C$505)</f>
        <v/>
      </c>
      <c r="E3038" s="68">
        <f>D3038+E3037+E3040-E3036</f>
        <v/>
      </c>
      <c r="F3038" s="68">
        <f>E3038+F3037+F3040-F3036</f>
        <v/>
      </c>
      <c r="G3038" s="68">
        <f>F3038+G3037+G3040-G3036</f>
        <v/>
      </c>
      <c r="H3038" s="68">
        <f>G3038+H3037+H3040-H3036</f>
        <v/>
      </c>
      <c r="I3038" s="68">
        <f>H3038+I3037+I3040-I3036</f>
        <v/>
      </c>
      <c r="J3038" s="68">
        <f>I3038+J3037+J3040-J3036</f>
        <v/>
      </c>
      <c r="K3038" s="68">
        <f>J3038+K3037+K3040-K3036</f>
        <v/>
      </c>
      <c r="L3038" s="68">
        <f>K3038+L3037+L3040-L3036</f>
        <v/>
      </c>
      <c r="M3038" s="66" t="n"/>
    </row>
    <row r="3039">
      <c r="C3039" s="63" t="inlineStr">
        <is>
          <t>Necesidad neta</t>
        </is>
      </c>
      <c r="D3039" s="64" t="n"/>
      <c r="E3039" s="69">
        <f>MAX(0,ROUND(E3036+Materiales!$H$437-D3038-E3037,4))</f>
        <v/>
      </c>
      <c r="F3039" s="69">
        <f>MAX(0,ROUND(F3036+Materiales!$H$437-E3038-F3037,4))</f>
        <v/>
      </c>
      <c r="G3039" s="69">
        <f>MAX(0,ROUND(G3036+Materiales!$H$437-F3038-G3037,4))</f>
        <v/>
      </c>
      <c r="H3039" s="69">
        <f>MAX(0,ROUND(H3036+Materiales!$H$437-G3038-H3037,4))</f>
        <v/>
      </c>
      <c r="I3039" s="69">
        <f>MAX(0,ROUND(I3036+Materiales!$H$437-H3038-I3037,4))</f>
        <v/>
      </c>
      <c r="J3039" s="69">
        <f>MAX(0,ROUND(J3036+Materiales!$H$437-I3038-J3037,4))</f>
        <v/>
      </c>
      <c r="K3039" s="69">
        <f>MAX(0,ROUND(K3036+Materiales!$H$437-J3038-K3037,4))</f>
        <v/>
      </c>
      <c r="L3039" s="69">
        <f>MAX(0,ROUND(L3036+Materiales!$H$437-K3038-L3037,4))</f>
        <v/>
      </c>
      <c r="M3039" s="66" t="n"/>
    </row>
    <row r="3040">
      <c r="C3040" s="63" t="inlineStr">
        <is>
          <t>Recepcion de orden planificada</t>
        </is>
      </c>
      <c r="D3040" s="64" t="n"/>
      <c r="E3040" s="65">
        <f>IF(E3039&lt;=0,0,IF(Materiales!$G$437&lt;=0,E3039,ROUNDUP(E3039/Materiales!$G$437,0)*Materiales!$G$437))</f>
        <v/>
      </c>
      <c r="F3040" s="65">
        <f>IF(F3039&lt;=0,0,IF(Materiales!$G$437&lt;=0,F3039,ROUNDUP(F3039/Materiales!$G$437,0)*Materiales!$G$437))</f>
        <v/>
      </c>
      <c r="G3040" s="65">
        <f>IF(G3039&lt;=0,0,IF(Materiales!$G$437&lt;=0,G3039,ROUNDUP(G3039/Materiales!$G$437,0)*Materiales!$G$437))</f>
        <v/>
      </c>
      <c r="H3040" s="65">
        <f>IF(H3039&lt;=0,0,IF(Materiales!$G$437&lt;=0,H3039,ROUNDUP(H3039/Materiales!$G$437,0)*Materiales!$G$437))</f>
        <v/>
      </c>
      <c r="I3040" s="65">
        <f>IF(I3039&lt;=0,0,IF(Materiales!$G$437&lt;=0,I3039,ROUNDUP(I3039/Materiales!$G$437,0)*Materiales!$G$437))</f>
        <v/>
      </c>
      <c r="J3040" s="65">
        <f>IF(J3039&lt;=0,0,IF(Materiales!$G$437&lt;=0,J3039,ROUNDUP(J3039/Materiales!$G$437,0)*Materiales!$G$437))</f>
        <v/>
      </c>
      <c r="K3040" s="65">
        <f>IF(K3039&lt;=0,0,IF(Materiales!$G$437&lt;=0,K3039,ROUNDUP(K3039/Materiales!$G$437,0)*Materiales!$G$437))</f>
        <v/>
      </c>
      <c r="L3040" s="65">
        <f>IF(L3039&lt;=0,0,IF(Materiales!$G$437&lt;=0,L3039,ROUNDUP(L3039/Materiales!$G$437,0)*Materiales!$G$437))</f>
        <v/>
      </c>
      <c r="M3040" s="66" t="n"/>
    </row>
    <row r="3041">
      <c r="C3041" s="70" t="inlineStr">
        <is>
          <t>LANZAMIENTO DE ORDEN — pedir esta semana</t>
        </is>
      </c>
      <c r="D3041" s="64" t="n"/>
      <c r="E3041" s="71">
        <f>IF(1+Materiales!$F$437&gt;8,0,INDEX($E$3040:$L$3040,1,1+Materiales!$F$437))</f>
        <v/>
      </c>
      <c r="F3041" s="71">
        <f>IF(2+Materiales!$F$437&gt;8,0,INDEX($E$3040:$L$3040,1,2+Materiales!$F$437))</f>
        <v/>
      </c>
      <c r="G3041" s="71">
        <f>IF(3+Materiales!$F$437&gt;8,0,INDEX($E$3040:$L$3040,1,3+Materiales!$F$437))</f>
        <v/>
      </c>
      <c r="H3041" s="71">
        <f>IF(4+Materiales!$F$437&gt;8,0,INDEX($E$3040:$L$3040,1,4+Materiales!$F$437))</f>
        <v/>
      </c>
      <c r="I3041" s="71">
        <f>IF(5+Materiales!$F$437&gt;8,0,INDEX($E$3040:$L$3040,1,5+Materiales!$F$437))</f>
        <v/>
      </c>
      <c r="J3041" s="71">
        <f>IF(6+Materiales!$F$437&gt;8,0,INDEX($E$3040:$L$3040,1,6+Materiales!$F$437))</f>
        <v/>
      </c>
      <c r="K3041" s="71">
        <f>IF(7+Materiales!$F$437&gt;8,0,INDEX($E$3040:$L$3040,1,7+Materiales!$F$437))</f>
        <v/>
      </c>
      <c r="L3041" s="71">
        <f>IF(8+Materiales!$F$437&gt;8,0,INDEX($E$3040:$L$3040,1,8+Materiales!$F$437))</f>
        <v/>
      </c>
      <c r="M3041" s="72">
        <f>IF($A3036="","",IF(SUMPRODUCT((COLUMN($E$3040:$L$3040)-4&lt;=Materiales!$F$437)*$E$3040:$L$3040)&gt;0,"PEDIR YA (atrasado)","OK"))</f>
        <v/>
      </c>
    </row>
    <row r="3042" ht="6" customHeight="1"/>
    <row r="3043">
      <c r="A3043" s="62">
        <f>IF(Materiales!$A$438="","",Materiales!$A$438)</f>
        <v/>
      </c>
      <c r="B3043" s="62">
        <f>IF(Materiales!$B$438="","",Materiales!$B$438)</f>
        <v/>
      </c>
      <c r="C3043" s="63" t="inlineStr">
        <is>
          <t>Necesidad bruta</t>
        </is>
      </c>
      <c r="D3043" s="64" t="n"/>
      <c r="E3043" s="65">
        <f>ROUND(SUMIF(Consumo!$P$4:$P$189,"#"&amp;$A3043,Consumo!H$4:H$189),4)</f>
        <v/>
      </c>
      <c r="F3043" s="65">
        <f>ROUND(SUMIF(Consumo!$P$4:$P$189,"#"&amp;$A3043,Consumo!I$4:I$189),4)</f>
        <v/>
      </c>
      <c r="G3043" s="65">
        <f>ROUND(SUMIF(Consumo!$P$4:$P$189,"#"&amp;$A3043,Consumo!J$4:J$189),4)</f>
        <v/>
      </c>
      <c r="H3043" s="65">
        <f>ROUND(SUMIF(Consumo!$P$4:$P$189,"#"&amp;$A3043,Consumo!K$4:K$189),4)</f>
        <v/>
      </c>
      <c r="I3043" s="65">
        <f>ROUND(SUMIF(Consumo!$P$4:$P$189,"#"&amp;$A3043,Consumo!L$4:L$189),4)</f>
        <v/>
      </c>
      <c r="J3043" s="65">
        <f>ROUND(SUMIF(Consumo!$P$4:$P$189,"#"&amp;$A3043,Consumo!M$4:M$189),4)</f>
        <v/>
      </c>
      <c r="K3043" s="65">
        <f>ROUND(SUMIF(Consumo!$P$4:$P$189,"#"&amp;$A3043,Consumo!N$4:N$189),4)</f>
        <v/>
      </c>
      <c r="L3043" s="65">
        <f>ROUND(SUMIF(Consumo!$P$4:$P$189,"#"&amp;$A3043,Consumo!O$4:O$189),4)</f>
        <v/>
      </c>
      <c r="M3043" s="66" t="n"/>
    </row>
    <row r="3044">
      <c r="C3044" s="63" t="inlineStr">
        <is>
          <t>Recepciones programadas (ya pedido)</t>
        </is>
      </c>
      <c r="D3044" s="64" t="n"/>
      <c r="E3044" s="65">
        <f>SUMIF(Inventario!$M$5:$M$505,"#"&amp;$A3043,Inventario!E$5:E$505)</f>
        <v/>
      </c>
      <c r="F3044" s="65">
        <f>SUMIF(Inventario!$M$5:$M$505,"#"&amp;$A3043,Inventario!F$5:F$505)</f>
        <v/>
      </c>
      <c r="G3044" s="65">
        <f>SUMIF(Inventario!$M$5:$M$505,"#"&amp;$A3043,Inventario!G$5:G$505)</f>
        <v/>
      </c>
      <c r="H3044" s="65">
        <f>SUMIF(Inventario!$M$5:$M$505,"#"&amp;$A3043,Inventario!H$5:H$505)</f>
        <v/>
      </c>
      <c r="I3044" s="65">
        <f>SUMIF(Inventario!$M$5:$M$505,"#"&amp;$A3043,Inventario!I$5:I$505)</f>
        <v/>
      </c>
      <c r="J3044" s="65">
        <f>SUMIF(Inventario!$M$5:$M$505,"#"&amp;$A3043,Inventario!J$5:J$505)</f>
        <v/>
      </c>
      <c r="K3044" s="65">
        <f>SUMIF(Inventario!$M$5:$M$505,"#"&amp;$A3043,Inventario!K$5:K$505)</f>
        <v/>
      </c>
      <c r="L3044" s="65">
        <f>SUMIF(Inventario!$M$5:$M$505,"#"&amp;$A3043,Inventario!L$5:L$505)</f>
        <v/>
      </c>
      <c r="M3044" s="66" t="n"/>
    </row>
    <row r="3045">
      <c r="C3045" s="63" t="inlineStr">
        <is>
          <t>Stock proyectado disponible</t>
        </is>
      </c>
      <c r="D3045" s="67">
        <f>SUMIF(Inventario!$M$5:$M$505,"#"&amp;$A3043,Inventario!$C$5:$C$505)</f>
        <v/>
      </c>
      <c r="E3045" s="68">
        <f>D3045+E3044+E3047-E3043</f>
        <v/>
      </c>
      <c r="F3045" s="68">
        <f>E3045+F3044+F3047-F3043</f>
        <v/>
      </c>
      <c r="G3045" s="68">
        <f>F3045+G3044+G3047-G3043</f>
        <v/>
      </c>
      <c r="H3045" s="68">
        <f>G3045+H3044+H3047-H3043</f>
        <v/>
      </c>
      <c r="I3045" s="68">
        <f>H3045+I3044+I3047-I3043</f>
        <v/>
      </c>
      <c r="J3045" s="68">
        <f>I3045+J3044+J3047-J3043</f>
        <v/>
      </c>
      <c r="K3045" s="68">
        <f>J3045+K3044+K3047-K3043</f>
        <v/>
      </c>
      <c r="L3045" s="68">
        <f>K3045+L3044+L3047-L3043</f>
        <v/>
      </c>
      <c r="M3045" s="66" t="n"/>
    </row>
    <row r="3046">
      <c r="C3046" s="63" t="inlineStr">
        <is>
          <t>Necesidad neta</t>
        </is>
      </c>
      <c r="D3046" s="64" t="n"/>
      <c r="E3046" s="69">
        <f>MAX(0,ROUND(E3043+Materiales!$H$438-D3045-E3044,4))</f>
        <v/>
      </c>
      <c r="F3046" s="69">
        <f>MAX(0,ROUND(F3043+Materiales!$H$438-E3045-F3044,4))</f>
        <v/>
      </c>
      <c r="G3046" s="69">
        <f>MAX(0,ROUND(G3043+Materiales!$H$438-F3045-G3044,4))</f>
        <v/>
      </c>
      <c r="H3046" s="69">
        <f>MAX(0,ROUND(H3043+Materiales!$H$438-G3045-H3044,4))</f>
        <v/>
      </c>
      <c r="I3046" s="69">
        <f>MAX(0,ROUND(I3043+Materiales!$H$438-H3045-I3044,4))</f>
        <v/>
      </c>
      <c r="J3046" s="69">
        <f>MAX(0,ROUND(J3043+Materiales!$H$438-I3045-J3044,4))</f>
        <v/>
      </c>
      <c r="K3046" s="69">
        <f>MAX(0,ROUND(K3043+Materiales!$H$438-J3045-K3044,4))</f>
        <v/>
      </c>
      <c r="L3046" s="69">
        <f>MAX(0,ROUND(L3043+Materiales!$H$438-K3045-L3044,4))</f>
        <v/>
      </c>
      <c r="M3046" s="66" t="n"/>
    </row>
    <row r="3047">
      <c r="C3047" s="63" t="inlineStr">
        <is>
          <t>Recepcion de orden planificada</t>
        </is>
      </c>
      <c r="D3047" s="64" t="n"/>
      <c r="E3047" s="65">
        <f>IF(E3046&lt;=0,0,IF(Materiales!$G$438&lt;=0,E3046,ROUNDUP(E3046/Materiales!$G$438,0)*Materiales!$G$438))</f>
        <v/>
      </c>
      <c r="F3047" s="65">
        <f>IF(F3046&lt;=0,0,IF(Materiales!$G$438&lt;=0,F3046,ROUNDUP(F3046/Materiales!$G$438,0)*Materiales!$G$438))</f>
        <v/>
      </c>
      <c r="G3047" s="65">
        <f>IF(G3046&lt;=0,0,IF(Materiales!$G$438&lt;=0,G3046,ROUNDUP(G3046/Materiales!$G$438,0)*Materiales!$G$438))</f>
        <v/>
      </c>
      <c r="H3047" s="65">
        <f>IF(H3046&lt;=0,0,IF(Materiales!$G$438&lt;=0,H3046,ROUNDUP(H3046/Materiales!$G$438,0)*Materiales!$G$438))</f>
        <v/>
      </c>
      <c r="I3047" s="65">
        <f>IF(I3046&lt;=0,0,IF(Materiales!$G$438&lt;=0,I3046,ROUNDUP(I3046/Materiales!$G$438,0)*Materiales!$G$438))</f>
        <v/>
      </c>
      <c r="J3047" s="65">
        <f>IF(J3046&lt;=0,0,IF(Materiales!$G$438&lt;=0,J3046,ROUNDUP(J3046/Materiales!$G$438,0)*Materiales!$G$438))</f>
        <v/>
      </c>
      <c r="K3047" s="65">
        <f>IF(K3046&lt;=0,0,IF(Materiales!$G$438&lt;=0,K3046,ROUNDUP(K3046/Materiales!$G$438,0)*Materiales!$G$438))</f>
        <v/>
      </c>
      <c r="L3047" s="65">
        <f>IF(L3046&lt;=0,0,IF(Materiales!$G$438&lt;=0,L3046,ROUNDUP(L3046/Materiales!$G$438,0)*Materiales!$G$438))</f>
        <v/>
      </c>
      <c r="M3047" s="66" t="n"/>
    </row>
    <row r="3048">
      <c r="C3048" s="70" t="inlineStr">
        <is>
          <t>LANZAMIENTO DE ORDEN — pedir esta semana</t>
        </is>
      </c>
      <c r="D3048" s="64" t="n"/>
      <c r="E3048" s="71">
        <f>IF(1+Materiales!$F$438&gt;8,0,INDEX($E$3047:$L$3047,1,1+Materiales!$F$438))</f>
        <v/>
      </c>
      <c r="F3048" s="71">
        <f>IF(2+Materiales!$F$438&gt;8,0,INDEX($E$3047:$L$3047,1,2+Materiales!$F$438))</f>
        <v/>
      </c>
      <c r="G3048" s="71">
        <f>IF(3+Materiales!$F$438&gt;8,0,INDEX($E$3047:$L$3047,1,3+Materiales!$F$438))</f>
        <v/>
      </c>
      <c r="H3048" s="71">
        <f>IF(4+Materiales!$F$438&gt;8,0,INDEX($E$3047:$L$3047,1,4+Materiales!$F$438))</f>
        <v/>
      </c>
      <c r="I3048" s="71">
        <f>IF(5+Materiales!$F$438&gt;8,0,INDEX($E$3047:$L$3047,1,5+Materiales!$F$438))</f>
        <v/>
      </c>
      <c r="J3048" s="71">
        <f>IF(6+Materiales!$F$438&gt;8,0,INDEX($E$3047:$L$3047,1,6+Materiales!$F$438))</f>
        <v/>
      </c>
      <c r="K3048" s="71">
        <f>IF(7+Materiales!$F$438&gt;8,0,INDEX($E$3047:$L$3047,1,7+Materiales!$F$438))</f>
        <v/>
      </c>
      <c r="L3048" s="71">
        <f>IF(8+Materiales!$F$438&gt;8,0,INDEX($E$3047:$L$3047,1,8+Materiales!$F$438))</f>
        <v/>
      </c>
      <c r="M3048" s="72">
        <f>IF($A3043="","",IF(SUMPRODUCT((COLUMN($E$3047:$L$3047)-4&lt;=Materiales!$F$438)*$E$3047:$L$3047)&gt;0,"PEDIR YA (atrasado)","OK"))</f>
        <v/>
      </c>
    </row>
    <row r="3049" ht="6" customHeight="1"/>
    <row r="3050">
      <c r="A3050" s="62">
        <f>IF(Materiales!$A$439="","",Materiales!$A$439)</f>
        <v/>
      </c>
      <c r="B3050" s="62">
        <f>IF(Materiales!$B$439="","",Materiales!$B$439)</f>
        <v/>
      </c>
      <c r="C3050" s="63" t="inlineStr">
        <is>
          <t>Necesidad bruta</t>
        </is>
      </c>
      <c r="D3050" s="64" t="n"/>
      <c r="E3050" s="65">
        <f>ROUND(SUMIF(Consumo!$P$4:$P$189,"#"&amp;$A3050,Consumo!H$4:H$189),4)</f>
        <v/>
      </c>
      <c r="F3050" s="65">
        <f>ROUND(SUMIF(Consumo!$P$4:$P$189,"#"&amp;$A3050,Consumo!I$4:I$189),4)</f>
        <v/>
      </c>
      <c r="G3050" s="65">
        <f>ROUND(SUMIF(Consumo!$P$4:$P$189,"#"&amp;$A3050,Consumo!J$4:J$189),4)</f>
        <v/>
      </c>
      <c r="H3050" s="65">
        <f>ROUND(SUMIF(Consumo!$P$4:$P$189,"#"&amp;$A3050,Consumo!K$4:K$189),4)</f>
        <v/>
      </c>
      <c r="I3050" s="65">
        <f>ROUND(SUMIF(Consumo!$P$4:$P$189,"#"&amp;$A3050,Consumo!L$4:L$189),4)</f>
        <v/>
      </c>
      <c r="J3050" s="65">
        <f>ROUND(SUMIF(Consumo!$P$4:$P$189,"#"&amp;$A3050,Consumo!M$4:M$189),4)</f>
        <v/>
      </c>
      <c r="K3050" s="65">
        <f>ROUND(SUMIF(Consumo!$P$4:$P$189,"#"&amp;$A3050,Consumo!N$4:N$189),4)</f>
        <v/>
      </c>
      <c r="L3050" s="65">
        <f>ROUND(SUMIF(Consumo!$P$4:$P$189,"#"&amp;$A3050,Consumo!O$4:O$189),4)</f>
        <v/>
      </c>
      <c r="M3050" s="66" t="n"/>
    </row>
    <row r="3051">
      <c r="C3051" s="63" t="inlineStr">
        <is>
          <t>Recepciones programadas (ya pedido)</t>
        </is>
      </c>
      <c r="D3051" s="64" t="n"/>
      <c r="E3051" s="65">
        <f>SUMIF(Inventario!$M$5:$M$505,"#"&amp;$A3050,Inventario!E$5:E$505)</f>
        <v/>
      </c>
      <c r="F3051" s="65">
        <f>SUMIF(Inventario!$M$5:$M$505,"#"&amp;$A3050,Inventario!F$5:F$505)</f>
        <v/>
      </c>
      <c r="G3051" s="65">
        <f>SUMIF(Inventario!$M$5:$M$505,"#"&amp;$A3050,Inventario!G$5:G$505)</f>
        <v/>
      </c>
      <c r="H3051" s="65">
        <f>SUMIF(Inventario!$M$5:$M$505,"#"&amp;$A3050,Inventario!H$5:H$505)</f>
        <v/>
      </c>
      <c r="I3051" s="65">
        <f>SUMIF(Inventario!$M$5:$M$505,"#"&amp;$A3050,Inventario!I$5:I$505)</f>
        <v/>
      </c>
      <c r="J3051" s="65">
        <f>SUMIF(Inventario!$M$5:$M$505,"#"&amp;$A3050,Inventario!J$5:J$505)</f>
        <v/>
      </c>
      <c r="K3051" s="65">
        <f>SUMIF(Inventario!$M$5:$M$505,"#"&amp;$A3050,Inventario!K$5:K$505)</f>
        <v/>
      </c>
      <c r="L3051" s="65">
        <f>SUMIF(Inventario!$M$5:$M$505,"#"&amp;$A3050,Inventario!L$5:L$505)</f>
        <v/>
      </c>
      <c r="M3051" s="66" t="n"/>
    </row>
    <row r="3052">
      <c r="C3052" s="63" t="inlineStr">
        <is>
          <t>Stock proyectado disponible</t>
        </is>
      </c>
      <c r="D3052" s="67">
        <f>SUMIF(Inventario!$M$5:$M$505,"#"&amp;$A3050,Inventario!$C$5:$C$505)</f>
        <v/>
      </c>
      <c r="E3052" s="68">
        <f>D3052+E3051+E3054-E3050</f>
        <v/>
      </c>
      <c r="F3052" s="68">
        <f>E3052+F3051+F3054-F3050</f>
        <v/>
      </c>
      <c r="G3052" s="68">
        <f>F3052+G3051+G3054-G3050</f>
        <v/>
      </c>
      <c r="H3052" s="68">
        <f>G3052+H3051+H3054-H3050</f>
        <v/>
      </c>
      <c r="I3052" s="68">
        <f>H3052+I3051+I3054-I3050</f>
        <v/>
      </c>
      <c r="J3052" s="68">
        <f>I3052+J3051+J3054-J3050</f>
        <v/>
      </c>
      <c r="K3052" s="68">
        <f>J3052+K3051+K3054-K3050</f>
        <v/>
      </c>
      <c r="L3052" s="68">
        <f>K3052+L3051+L3054-L3050</f>
        <v/>
      </c>
      <c r="M3052" s="66" t="n"/>
    </row>
    <row r="3053">
      <c r="C3053" s="63" t="inlineStr">
        <is>
          <t>Necesidad neta</t>
        </is>
      </c>
      <c r="D3053" s="64" t="n"/>
      <c r="E3053" s="69">
        <f>MAX(0,ROUND(E3050+Materiales!$H$439-D3052-E3051,4))</f>
        <v/>
      </c>
      <c r="F3053" s="69">
        <f>MAX(0,ROUND(F3050+Materiales!$H$439-E3052-F3051,4))</f>
        <v/>
      </c>
      <c r="G3053" s="69">
        <f>MAX(0,ROUND(G3050+Materiales!$H$439-F3052-G3051,4))</f>
        <v/>
      </c>
      <c r="H3053" s="69">
        <f>MAX(0,ROUND(H3050+Materiales!$H$439-G3052-H3051,4))</f>
        <v/>
      </c>
      <c r="I3053" s="69">
        <f>MAX(0,ROUND(I3050+Materiales!$H$439-H3052-I3051,4))</f>
        <v/>
      </c>
      <c r="J3053" s="69">
        <f>MAX(0,ROUND(J3050+Materiales!$H$439-I3052-J3051,4))</f>
        <v/>
      </c>
      <c r="K3053" s="69">
        <f>MAX(0,ROUND(K3050+Materiales!$H$439-J3052-K3051,4))</f>
        <v/>
      </c>
      <c r="L3053" s="69">
        <f>MAX(0,ROUND(L3050+Materiales!$H$439-K3052-L3051,4))</f>
        <v/>
      </c>
      <c r="M3053" s="66" t="n"/>
    </row>
    <row r="3054">
      <c r="C3054" s="63" t="inlineStr">
        <is>
          <t>Recepcion de orden planificada</t>
        </is>
      </c>
      <c r="D3054" s="64" t="n"/>
      <c r="E3054" s="65">
        <f>IF(E3053&lt;=0,0,IF(Materiales!$G$439&lt;=0,E3053,ROUNDUP(E3053/Materiales!$G$439,0)*Materiales!$G$439))</f>
        <v/>
      </c>
      <c r="F3054" s="65">
        <f>IF(F3053&lt;=0,0,IF(Materiales!$G$439&lt;=0,F3053,ROUNDUP(F3053/Materiales!$G$439,0)*Materiales!$G$439))</f>
        <v/>
      </c>
      <c r="G3054" s="65">
        <f>IF(G3053&lt;=0,0,IF(Materiales!$G$439&lt;=0,G3053,ROUNDUP(G3053/Materiales!$G$439,0)*Materiales!$G$439))</f>
        <v/>
      </c>
      <c r="H3054" s="65">
        <f>IF(H3053&lt;=0,0,IF(Materiales!$G$439&lt;=0,H3053,ROUNDUP(H3053/Materiales!$G$439,0)*Materiales!$G$439))</f>
        <v/>
      </c>
      <c r="I3054" s="65">
        <f>IF(I3053&lt;=0,0,IF(Materiales!$G$439&lt;=0,I3053,ROUNDUP(I3053/Materiales!$G$439,0)*Materiales!$G$439))</f>
        <v/>
      </c>
      <c r="J3054" s="65">
        <f>IF(J3053&lt;=0,0,IF(Materiales!$G$439&lt;=0,J3053,ROUNDUP(J3053/Materiales!$G$439,0)*Materiales!$G$439))</f>
        <v/>
      </c>
      <c r="K3054" s="65">
        <f>IF(K3053&lt;=0,0,IF(Materiales!$G$439&lt;=0,K3053,ROUNDUP(K3053/Materiales!$G$439,0)*Materiales!$G$439))</f>
        <v/>
      </c>
      <c r="L3054" s="65">
        <f>IF(L3053&lt;=0,0,IF(Materiales!$G$439&lt;=0,L3053,ROUNDUP(L3053/Materiales!$G$439,0)*Materiales!$G$439))</f>
        <v/>
      </c>
      <c r="M3054" s="66" t="n"/>
    </row>
    <row r="3055">
      <c r="C3055" s="70" t="inlineStr">
        <is>
          <t>LANZAMIENTO DE ORDEN — pedir esta semana</t>
        </is>
      </c>
      <c r="D3055" s="64" t="n"/>
      <c r="E3055" s="71">
        <f>IF(1+Materiales!$F$439&gt;8,0,INDEX($E$3054:$L$3054,1,1+Materiales!$F$439))</f>
        <v/>
      </c>
      <c r="F3055" s="71">
        <f>IF(2+Materiales!$F$439&gt;8,0,INDEX($E$3054:$L$3054,1,2+Materiales!$F$439))</f>
        <v/>
      </c>
      <c r="G3055" s="71">
        <f>IF(3+Materiales!$F$439&gt;8,0,INDEX($E$3054:$L$3054,1,3+Materiales!$F$439))</f>
        <v/>
      </c>
      <c r="H3055" s="71">
        <f>IF(4+Materiales!$F$439&gt;8,0,INDEX($E$3054:$L$3054,1,4+Materiales!$F$439))</f>
        <v/>
      </c>
      <c r="I3055" s="71">
        <f>IF(5+Materiales!$F$439&gt;8,0,INDEX($E$3054:$L$3054,1,5+Materiales!$F$439))</f>
        <v/>
      </c>
      <c r="J3055" s="71">
        <f>IF(6+Materiales!$F$439&gt;8,0,INDEX($E$3054:$L$3054,1,6+Materiales!$F$439))</f>
        <v/>
      </c>
      <c r="K3055" s="71">
        <f>IF(7+Materiales!$F$439&gt;8,0,INDEX($E$3054:$L$3054,1,7+Materiales!$F$439))</f>
        <v/>
      </c>
      <c r="L3055" s="71">
        <f>IF(8+Materiales!$F$439&gt;8,0,INDEX($E$3054:$L$3054,1,8+Materiales!$F$439))</f>
        <v/>
      </c>
      <c r="M3055" s="72">
        <f>IF($A3050="","",IF(SUMPRODUCT((COLUMN($E$3054:$L$3054)-4&lt;=Materiales!$F$439)*$E$3054:$L$3054)&gt;0,"PEDIR YA (atrasado)","OK"))</f>
        <v/>
      </c>
    </row>
    <row r="3056" ht="6" customHeight="1"/>
    <row r="3057">
      <c r="A3057" s="62">
        <f>IF(Materiales!$A$440="","",Materiales!$A$440)</f>
        <v/>
      </c>
      <c r="B3057" s="62">
        <f>IF(Materiales!$B$440="","",Materiales!$B$440)</f>
        <v/>
      </c>
      <c r="C3057" s="63" t="inlineStr">
        <is>
          <t>Necesidad bruta</t>
        </is>
      </c>
      <c r="D3057" s="64" t="n"/>
      <c r="E3057" s="65">
        <f>ROUND(SUMIF(Consumo!$P$4:$P$189,"#"&amp;$A3057,Consumo!H$4:H$189),4)</f>
        <v/>
      </c>
      <c r="F3057" s="65">
        <f>ROUND(SUMIF(Consumo!$P$4:$P$189,"#"&amp;$A3057,Consumo!I$4:I$189),4)</f>
        <v/>
      </c>
      <c r="G3057" s="65">
        <f>ROUND(SUMIF(Consumo!$P$4:$P$189,"#"&amp;$A3057,Consumo!J$4:J$189),4)</f>
        <v/>
      </c>
      <c r="H3057" s="65">
        <f>ROUND(SUMIF(Consumo!$P$4:$P$189,"#"&amp;$A3057,Consumo!K$4:K$189),4)</f>
        <v/>
      </c>
      <c r="I3057" s="65">
        <f>ROUND(SUMIF(Consumo!$P$4:$P$189,"#"&amp;$A3057,Consumo!L$4:L$189),4)</f>
        <v/>
      </c>
      <c r="J3057" s="65">
        <f>ROUND(SUMIF(Consumo!$P$4:$P$189,"#"&amp;$A3057,Consumo!M$4:M$189),4)</f>
        <v/>
      </c>
      <c r="K3057" s="65">
        <f>ROUND(SUMIF(Consumo!$P$4:$P$189,"#"&amp;$A3057,Consumo!N$4:N$189),4)</f>
        <v/>
      </c>
      <c r="L3057" s="65">
        <f>ROUND(SUMIF(Consumo!$P$4:$P$189,"#"&amp;$A3057,Consumo!O$4:O$189),4)</f>
        <v/>
      </c>
      <c r="M3057" s="66" t="n"/>
    </row>
    <row r="3058">
      <c r="C3058" s="63" t="inlineStr">
        <is>
          <t>Recepciones programadas (ya pedido)</t>
        </is>
      </c>
      <c r="D3058" s="64" t="n"/>
      <c r="E3058" s="65">
        <f>SUMIF(Inventario!$M$5:$M$505,"#"&amp;$A3057,Inventario!E$5:E$505)</f>
        <v/>
      </c>
      <c r="F3058" s="65">
        <f>SUMIF(Inventario!$M$5:$M$505,"#"&amp;$A3057,Inventario!F$5:F$505)</f>
        <v/>
      </c>
      <c r="G3058" s="65">
        <f>SUMIF(Inventario!$M$5:$M$505,"#"&amp;$A3057,Inventario!G$5:G$505)</f>
        <v/>
      </c>
      <c r="H3058" s="65">
        <f>SUMIF(Inventario!$M$5:$M$505,"#"&amp;$A3057,Inventario!H$5:H$505)</f>
        <v/>
      </c>
      <c r="I3058" s="65">
        <f>SUMIF(Inventario!$M$5:$M$505,"#"&amp;$A3057,Inventario!I$5:I$505)</f>
        <v/>
      </c>
      <c r="J3058" s="65">
        <f>SUMIF(Inventario!$M$5:$M$505,"#"&amp;$A3057,Inventario!J$5:J$505)</f>
        <v/>
      </c>
      <c r="K3058" s="65">
        <f>SUMIF(Inventario!$M$5:$M$505,"#"&amp;$A3057,Inventario!K$5:K$505)</f>
        <v/>
      </c>
      <c r="L3058" s="65">
        <f>SUMIF(Inventario!$M$5:$M$505,"#"&amp;$A3057,Inventario!L$5:L$505)</f>
        <v/>
      </c>
      <c r="M3058" s="66" t="n"/>
    </row>
    <row r="3059">
      <c r="C3059" s="63" t="inlineStr">
        <is>
          <t>Stock proyectado disponible</t>
        </is>
      </c>
      <c r="D3059" s="67">
        <f>SUMIF(Inventario!$M$5:$M$505,"#"&amp;$A3057,Inventario!$C$5:$C$505)</f>
        <v/>
      </c>
      <c r="E3059" s="68">
        <f>D3059+E3058+E3061-E3057</f>
        <v/>
      </c>
      <c r="F3059" s="68">
        <f>E3059+F3058+F3061-F3057</f>
        <v/>
      </c>
      <c r="G3059" s="68">
        <f>F3059+G3058+G3061-G3057</f>
        <v/>
      </c>
      <c r="H3059" s="68">
        <f>G3059+H3058+H3061-H3057</f>
        <v/>
      </c>
      <c r="I3059" s="68">
        <f>H3059+I3058+I3061-I3057</f>
        <v/>
      </c>
      <c r="J3059" s="68">
        <f>I3059+J3058+J3061-J3057</f>
        <v/>
      </c>
      <c r="K3059" s="68">
        <f>J3059+K3058+K3061-K3057</f>
        <v/>
      </c>
      <c r="L3059" s="68">
        <f>K3059+L3058+L3061-L3057</f>
        <v/>
      </c>
      <c r="M3059" s="66" t="n"/>
    </row>
    <row r="3060">
      <c r="C3060" s="63" t="inlineStr">
        <is>
          <t>Necesidad neta</t>
        </is>
      </c>
      <c r="D3060" s="64" t="n"/>
      <c r="E3060" s="69">
        <f>MAX(0,ROUND(E3057+Materiales!$H$440-D3059-E3058,4))</f>
        <v/>
      </c>
      <c r="F3060" s="69">
        <f>MAX(0,ROUND(F3057+Materiales!$H$440-E3059-F3058,4))</f>
        <v/>
      </c>
      <c r="G3060" s="69">
        <f>MAX(0,ROUND(G3057+Materiales!$H$440-F3059-G3058,4))</f>
        <v/>
      </c>
      <c r="H3060" s="69">
        <f>MAX(0,ROUND(H3057+Materiales!$H$440-G3059-H3058,4))</f>
        <v/>
      </c>
      <c r="I3060" s="69">
        <f>MAX(0,ROUND(I3057+Materiales!$H$440-H3059-I3058,4))</f>
        <v/>
      </c>
      <c r="J3060" s="69">
        <f>MAX(0,ROUND(J3057+Materiales!$H$440-I3059-J3058,4))</f>
        <v/>
      </c>
      <c r="K3060" s="69">
        <f>MAX(0,ROUND(K3057+Materiales!$H$440-J3059-K3058,4))</f>
        <v/>
      </c>
      <c r="L3060" s="69">
        <f>MAX(0,ROUND(L3057+Materiales!$H$440-K3059-L3058,4))</f>
        <v/>
      </c>
      <c r="M3060" s="66" t="n"/>
    </row>
    <row r="3061">
      <c r="C3061" s="63" t="inlineStr">
        <is>
          <t>Recepcion de orden planificada</t>
        </is>
      </c>
      <c r="D3061" s="64" t="n"/>
      <c r="E3061" s="65">
        <f>IF(E3060&lt;=0,0,IF(Materiales!$G$440&lt;=0,E3060,ROUNDUP(E3060/Materiales!$G$440,0)*Materiales!$G$440))</f>
        <v/>
      </c>
      <c r="F3061" s="65">
        <f>IF(F3060&lt;=0,0,IF(Materiales!$G$440&lt;=0,F3060,ROUNDUP(F3060/Materiales!$G$440,0)*Materiales!$G$440))</f>
        <v/>
      </c>
      <c r="G3061" s="65">
        <f>IF(G3060&lt;=0,0,IF(Materiales!$G$440&lt;=0,G3060,ROUNDUP(G3060/Materiales!$G$440,0)*Materiales!$G$440))</f>
        <v/>
      </c>
      <c r="H3061" s="65">
        <f>IF(H3060&lt;=0,0,IF(Materiales!$G$440&lt;=0,H3060,ROUNDUP(H3060/Materiales!$G$440,0)*Materiales!$G$440))</f>
        <v/>
      </c>
      <c r="I3061" s="65">
        <f>IF(I3060&lt;=0,0,IF(Materiales!$G$440&lt;=0,I3060,ROUNDUP(I3060/Materiales!$G$440,0)*Materiales!$G$440))</f>
        <v/>
      </c>
      <c r="J3061" s="65">
        <f>IF(J3060&lt;=0,0,IF(Materiales!$G$440&lt;=0,J3060,ROUNDUP(J3060/Materiales!$G$440,0)*Materiales!$G$440))</f>
        <v/>
      </c>
      <c r="K3061" s="65">
        <f>IF(K3060&lt;=0,0,IF(Materiales!$G$440&lt;=0,K3060,ROUNDUP(K3060/Materiales!$G$440,0)*Materiales!$G$440))</f>
        <v/>
      </c>
      <c r="L3061" s="65">
        <f>IF(L3060&lt;=0,0,IF(Materiales!$G$440&lt;=0,L3060,ROUNDUP(L3060/Materiales!$G$440,0)*Materiales!$G$440))</f>
        <v/>
      </c>
      <c r="M3061" s="66" t="n"/>
    </row>
    <row r="3062">
      <c r="C3062" s="70" t="inlineStr">
        <is>
          <t>LANZAMIENTO DE ORDEN — pedir esta semana</t>
        </is>
      </c>
      <c r="D3062" s="64" t="n"/>
      <c r="E3062" s="71">
        <f>IF(1+Materiales!$F$440&gt;8,0,INDEX($E$3061:$L$3061,1,1+Materiales!$F$440))</f>
        <v/>
      </c>
      <c r="F3062" s="71">
        <f>IF(2+Materiales!$F$440&gt;8,0,INDEX($E$3061:$L$3061,1,2+Materiales!$F$440))</f>
        <v/>
      </c>
      <c r="G3062" s="71">
        <f>IF(3+Materiales!$F$440&gt;8,0,INDEX($E$3061:$L$3061,1,3+Materiales!$F$440))</f>
        <v/>
      </c>
      <c r="H3062" s="71">
        <f>IF(4+Materiales!$F$440&gt;8,0,INDEX($E$3061:$L$3061,1,4+Materiales!$F$440))</f>
        <v/>
      </c>
      <c r="I3062" s="71">
        <f>IF(5+Materiales!$F$440&gt;8,0,INDEX($E$3061:$L$3061,1,5+Materiales!$F$440))</f>
        <v/>
      </c>
      <c r="J3062" s="71">
        <f>IF(6+Materiales!$F$440&gt;8,0,INDEX($E$3061:$L$3061,1,6+Materiales!$F$440))</f>
        <v/>
      </c>
      <c r="K3062" s="71">
        <f>IF(7+Materiales!$F$440&gt;8,0,INDEX($E$3061:$L$3061,1,7+Materiales!$F$440))</f>
        <v/>
      </c>
      <c r="L3062" s="71">
        <f>IF(8+Materiales!$F$440&gt;8,0,INDEX($E$3061:$L$3061,1,8+Materiales!$F$440))</f>
        <v/>
      </c>
      <c r="M3062" s="72">
        <f>IF($A3057="","",IF(SUMPRODUCT((COLUMN($E$3061:$L$3061)-4&lt;=Materiales!$F$440)*$E$3061:$L$3061)&gt;0,"PEDIR YA (atrasado)","OK"))</f>
        <v/>
      </c>
    </row>
    <row r="3063" ht="6" customHeight="1"/>
    <row r="3064">
      <c r="A3064" s="62">
        <f>IF(Materiales!$A$441="","",Materiales!$A$441)</f>
        <v/>
      </c>
      <c r="B3064" s="62">
        <f>IF(Materiales!$B$441="","",Materiales!$B$441)</f>
        <v/>
      </c>
      <c r="C3064" s="63" t="inlineStr">
        <is>
          <t>Necesidad bruta</t>
        </is>
      </c>
      <c r="D3064" s="64" t="n"/>
      <c r="E3064" s="65">
        <f>ROUND(SUMIF(Consumo!$P$4:$P$189,"#"&amp;$A3064,Consumo!H$4:H$189),4)</f>
        <v/>
      </c>
      <c r="F3064" s="65">
        <f>ROUND(SUMIF(Consumo!$P$4:$P$189,"#"&amp;$A3064,Consumo!I$4:I$189),4)</f>
        <v/>
      </c>
      <c r="G3064" s="65">
        <f>ROUND(SUMIF(Consumo!$P$4:$P$189,"#"&amp;$A3064,Consumo!J$4:J$189),4)</f>
        <v/>
      </c>
      <c r="H3064" s="65">
        <f>ROUND(SUMIF(Consumo!$P$4:$P$189,"#"&amp;$A3064,Consumo!K$4:K$189),4)</f>
        <v/>
      </c>
      <c r="I3064" s="65">
        <f>ROUND(SUMIF(Consumo!$P$4:$P$189,"#"&amp;$A3064,Consumo!L$4:L$189),4)</f>
        <v/>
      </c>
      <c r="J3064" s="65">
        <f>ROUND(SUMIF(Consumo!$P$4:$P$189,"#"&amp;$A3064,Consumo!M$4:M$189),4)</f>
        <v/>
      </c>
      <c r="K3064" s="65">
        <f>ROUND(SUMIF(Consumo!$P$4:$P$189,"#"&amp;$A3064,Consumo!N$4:N$189),4)</f>
        <v/>
      </c>
      <c r="L3064" s="65">
        <f>ROUND(SUMIF(Consumo!$P$4:$P$189,"#"&amp;$A3064,Consumo!O$4:O$189),4)</f>
        <v/>
      </c>
      <c r="M3064" s="66" t="n"/>
    </row>
    <row r="3065">
      <c r="C3065" s="63" t="inlineStr">
        <is>
          <t>Recepciones programadas (ya pedido)</t>
        </is>
      </c>
      <c r="D3065" s="64" t="n"/>
      <c r="E3065" s="65">
        <f>SUMIF(Inventario!$M$5:$M$505,"#"&amp;$A3064,Inventario!E$5:E$505)</f>
        <v/>
      </c>
      <c r="F3065" s="65">
        <f>SUMIF(Inventario!$M$5:$M$505,"#"&amp;$A3064,Inventario!F$5:F$505)</f>
        <v/>
      </c>
      <c r="G3065" s="65">
        <f>SUMIF(Inventario!$M$5:$M$505,"#"&amp;$A3064,Inventario!G$5:G$505)</f>
        <v/>
      </c>
      <c r="H3065" s="65">
        <f>SUMIF(Inventario!$M$5:$M$505,"#"&amp;$A3064,Inventario!H$5:H$505)</f>
        <v/>
      </c>
      <c r="I3065" s="65">
        <f>SUMIF(Inventario!$M$5:$M$505,"#"&amp;$A3064,Inventario!I$5:I$505)</f>
        <v/>
      </c>
      <c r="J3065" s="65">
        <f>SUMIF(Inventario!$M$5:$M$505,"#"&amp;$A3064,Inventario!J$5:J$505)</f>
        <v/>
      </c>
      <c r="K3065" s="65">
        <f>SUMIF(Inventario!$M$5:$M$505,"#"&amp;$A3064,Inventario!K$5:K$505)</f>
        <v/>
      </c>
      <c r="L3065" s="65">
        <f>SUMIF(Inventario!$M$5:$M$505,"#"&amp;$A3064,Inventario!L$5:L$505)</f>
        <v/>
      </c>
      <c r="M3065" s="66" t="n"/>
    </row>
    <row r="3066">
      <c r="C3066" s="63" t="inlineStr">
        <is>
          <t>Stock proyectado disponible</t>
        </is>
      </c>
      <c r="D3066" s="67">
        <f>SUMIF(Inventario!$M$5:$M$505,"#"&amp;$A3064,Inventario!$C$5:$C$505)</f>
        <v/>
      </c>
      <c r="E3066" s="68">
        <f>D3066+E3065+E3068-E3064</f>
        <v/>
      </c>
      <c r="F3066" s="68">
        <f>E3066+F3065+F3068-F3064</f>
        <v/>
      </c>
      <c r="G3066" s="68">
        <f>F3066+G3065+G3068-G3064</f>
        <v/>
      </c>
      <c r="H3066" s="68">
        <f>G3066+H3065+H3068-H3064</f>
        <v/>
      </c>
      <c r="I3066" s="68">
        <f>H3066+I3065+I3068-I3064</f>
        <v/>
      </c>
      <c r="J3066" s="68">
        <f>I3066+J3065+J3068-J3064</f>
        <v/>
      </c>
      <c r="K3066" s="68">
        <f>J3066+K3065+K3068-K3064</f>
        <v/>
      </c>
      <c r="L3066" s="68">
        <f>K3066+L3065+L3068-L3064</f>
        <v/>
      </c>
      <c r="M3066" s="66" t="n"/>
    </row>
    <row r="3067">
      <c r="C3067" s="63" t="inlineStr">
        <is>
          <t>Necesidad neta</t>
        </is>
      </c>
      <c r="D3067" s="64" t="n"/>
      <c r="E3067" s="69">
        <f>MAX(0,ROUND(E3064+Materiales!$H$441-D3066-E3065,4))</f>
        <v/>
      </c>
      <c r="F3067" s="69">
        <f>MAX(0,ROUND(F3064+Materiales!$H$441-E3066-F3065,4))</f>
        <v/>
      </c>
      <c r="G3067" s="69">
        <f>MAX(0,ROUND(G3064+Materiales!$H$441-F3066-G3065,4))</f>
        <v/>
      </c>
      <c r="H3067" s="69">
        <f>MAX(0,ROUND(H3064+Materiales!$H$441-G3066-H3065,4))</f>
        <v/>
      </c>
      <c r="I3067" s="69">
        <f>MAX(0,ROUND(I3064+Materiales!$H$441-H3066-I3065,4))</f>
        <v/>
      </c>
      <c r="J3067" s="69">
        <f>MAX(0,ROUND(J3064+Materiales!$H$441-I3066-J3065,4))</f>
        <v/>
      </c>
      <c r="K3067" s="69">
        <f>MAX(0,ROUND(K3064+Materiales!$H$441-J3066-K3065,4))</f>
        <v/>
      </c>
      <c r="L3067" s="69">
        <f>MAX(0,ROUND(L3064+Materiales!$H$441-K3066-L3065,4))</f>
        <v/>
      </c>
      <c r="M3067" s="66" t="n"/>
    </row>
    <row r="3068">
      <c r="C3068" s="63" t="inlineStr">
        <is>
          <t>Recepcion de orden planificada</t>
        </is>
      </c>
      <c r="D3068" s="64" t="n"/>
      <c r="E3068" s="65">
        <f>IF(E3067&lt;=0,0,IF(Materiales!$G$441&lt;=0,E3067,ROUNDUP(E3067/Materiales!$G$441,0)*Materiales!$G$441))</f>
        <v/>
      </c>
      <c r="F3068" s="65">
        <f>IF(F3067&lt;=0,0,IF(Materiales!$G$441&lt;=0,F3067,ROUNDUP(F3067/Materiales!$G$441,0)*Materiales!$G$441))</f>
        <v/>
      </c>
      <c r="G3068" s="65">
        <f>IF(G3067&lt;=0,0,IF(Materiales!$G$441&lt;=0,G3067,ROUNDUP(G3067/Materiales!$G$441,0)*Materiales!$G$441))</f>
        <v/>
      </c>
      <c r="H3068" s="65">
        <f>IF(H3067&lt;=0,0,IF(Materiales!$G$441&lt;=0,H3067,ROUNDUP(H3067/Materiales!$G$441,0)*Materiales!$G$441))</f>
        <v/>
      </c>
      <c r="I3068" s="65">
        <f>IF(I3067&lt;=0,0,IF(Materiales!$G$441&lt;=0,I3067,ROUNDUP(I3067/Materiales!$G$441,0)*Materiales!$G$441))</f>
        <v/>
      </c>
      <c r="J3068" s="65">
        <f>IF(J3067&lt;=0,0,IF(Materiales!$G$441&lt;=0,J3067,ROUNDUP(J3067/Materiales!$G$441,0)*Materiales!$G$441))</f>
        <v/>
      </c>
      <c r="K3068" s="65">
        <f>IF(K3067&lt;=0,0,IF(Materiales!$G$441&lt;=0,K3067,ROUNDUP(K3067/Materiales!$G$441,0)*Materiales!$G$441))</f>
        <v/>
      </c>
      <c r="L3068" s="65">
        <f>IF(L3067&lt;=0,0,IF(Materiales!$G$441&lt;=0,L3067,ROUNDUP(L3067/Materiales!$G$441,0)*Materiales!$G$441))</f>
        <v/>
      </c>
      <c r="M3068" s="66" t="n"/>
    </row>
    <row r="3069">
      <c r="C3069" s="70" t="inlineStr">
        <is>
          <t>LANZAMIENTO DE ORDEN — pedir esta semana</t>
        </is>
      </c>
      <c r="D3069" s="64" t="n"/>
      <c r="E3069" s="71">
        <f>IF(1+Materiales!$F$441&gt;8,0,INDEX($E$3068:$L$3068,1,1+Materiales!$F$441))</f>
        <v/>
      </c>
      <c r="F3069" s="71">
        <f>IF(2+Materiales!$F$441&gt;8,0,INDEX($E$3068:$L$3068,1,2+Materiales!$F$441))</f>
        <v/>
      </c>
      <c r="G3069" s="71">
        <f>IF(3+Materiales!$F$441&gt;8,0,INDEX($E$3068:$L$3068,1,3+Materiales!$F$441))</f>
        <v/>
      </c>
      <c r="H3069" s="71">
        <f>IF(4+Materiales!$F$441&gt;8,0,INDEX($E$3068:$L$3068,1,4+Materiales!$F$441))</f>
        <v/>
      </c>
      <c r="I3069" s="71">
        <f>IF(5+Materiales!$F$441&gt;8,0,INDEX($E$3068:$L$3068,1,5+Materiales!$F$441))</f>
        <v/>
      </c>
      <c r="J3069" s="71">
        <f>IF(6+Materiales!$F$441&gt;8,0,INDEX($E$3068:$L$3068,1,6+Materiales!$F$441))</f>
        <v/>
      </c>
      <c r="K3069" s="71">
        <f>IF(7+Materiales!$F$441&gt;8,0,INDEX($E$3068:$L$3068,1,7+Materiales!$F$441))</f>
        <v/>
      </c>
      <c r="L3069" s="71">
        <f>IF(8+Materiales!$F$441&gt;8,0,INDEX($E$3068:$L$3068,1,8+Materiales!$F$441))</f>
        <v/>
      </c>
      <c r="M3069" s="72">
        <f>IF($A3064="","",IF(SUMPRODUCT((COLUMN($E$3068:$L$3068)-4&lt;=Materiales!$F$441)*$E$3068:$L$3068)&gt;0,"PEDIR YA (atrasado)","OK"))</f>
        <v/>
      </c>
    </row>
    <row r="3070" ht="6" customHeight="1"/>
    <row r="3071">
      <c r="A3071" s="62">
        <f>IF(Materiales!$A$442="","",Materiales!$A$442)</f>
        <v/>
      </c>
      <c r="B3071" s="62">
        <f>IF(Materiales!$B$442="","",Materiales!$B$442)</f>
        <v/>
      </c>
      <c r="C3071" s="63" t="inlineStr">
        <is>
          <t>Necesidad bruta</t>
        </is>
      </c>
      <c r="D3071" s="64" t="n"/>
      <c r="E3071" s="65">
        <f>ROUND(SUMIF(Consumo!$P$4:$P$189,"#"&amp;$A3071,Consumo!H$4:H$189),4)</f>
        <v/>
      </c>
      <c r="F3071" s="65">
        <f>ROUND(SUMIF(Consumo!$P$4:$P$189,"#"&amp;$A3071,Consumo!I$4:I$189),4)</f>
        <v/>
      </c>
      <c r="G3071" s="65">
        <f>ROUND(SUMIF(Consumo!$P$4:$P$189,"#"&amp;$A3071,Consumo!J$4:J$189),4)</f>
        <v/>
      </c>
      <c r="H3071" s="65">
        <f>ROUND(SUMIF(Consumo!$P$4:$P$189,"#"&amp;$A3071,Consumo!K$4:K$189),4)</f>
        <v/>
      </c>
      <c r="I3071" s="65">
        <f>ROUND(SUMIF(Consumo!$P$4:$P$189,"#"&amp;$A3071,Consumo!L$4:L$189),4)</f>
        <v/>
      </c>
      <c r="J3071" s="65">
        <f>ROUND(SUMIF(Consumo!$P$4:$P$189,"#"&amp;$A3071,Consumo!M$4:M$189),4)</f>
        <v/>
      </c>
      <c r="K3071" s="65">
        <f>ROUND(SUMIF(Consumo!$P$4:$P$189,"#"&amp;$A3071,Consumo!N$4:N$189),4)</f>
        <v/>
      </c>
      <c r="L3071" s="65">
        <f>ROUND(SUMIF(Consumo!$P$4:$P$189,"#"&amp;$A3071,Consumo!O$4:O$189),4)</f>
        <v/>
      </c>
      <c r="M3071" s="66" t="n"/>
    </row>
    <row r="3072">
      <c r="C3072" s="63" t="inlineStr">
        <is>
          <t>Recepciones programadas (ya pedido)</t>
        </is>
      </c>
      <c r="D3072" s="64" t="n"/>
      <c r="E3072" s="65">
        <f>SUMIF(Inventario!$M$5:$M$505,"#"&amp;$A3071,Inventario!E$5:E$505)</f>
        <v/>
      </c>
      <c r="F3072" s="65">
        <f>SUMIF(Inventario!$M$5:$M$505,"#"&amp;$A3071,Inventario!F$5:F$505)</f>
        <v/>
      </c>
      <c r="G3072" s="65">
        <f>SUMIF(Inventario!$M$5:$M$505,"#"&amp;$A3071,Inventario!G$5:G$505)</f>
        <v/>
      </c>
      <c r="H3072" s="65">
        <f>SUMIF(Inventario!$M$5:$M$505,"#"&amp;$A3071,Inventario!H$5:H$505)</f>
        <v/>
      </c>
      <c r="I3072" s="65">
        <f>SUMIF(Inventario!$M$5:$M$505,"#"&amp;$A3071,Inventario!I$5:I$505)</f>
        <v/>
      </c>
      <c r="J3072" s="65">
        <f>SUMIF(Inventario!$M$5:$M$505,"#"&amp;$A3071,Inventario!J$5:J$505)</f>
        <v/>
      </c>
      <c r="K3072" s="65">
        <f>SUMIF(Inventario!$M$5:$M$505,"#"&amp;$A3071,Inventario!K$5:K$505)</f>
        <v/>
      </c>
      <c r="L3072" s="65">
        <f>SUMIF(Inventario!$M$5:$M$505,"#"&amp;$A3071,Inventario!L$5:L$505)</f>
        <v/>
      </c>
      <c r="M3072" s="66" t="n"/>
    </row>
    <row r="3073">
      <c r="C3073" s="63" t="inlineStr">
        <is>
          <t>Stock proyectado disponible</t>
        </is>
      </c>
      <c r="D3073" s="67">
        <f>SUMIF(Inventario!$M$5:$M$505,"#"&amp;$A3071,Inventario!$C$5:$C$505)</f>
        <v/>
      </c>
      <c r="E3073" s="68">
        <f>D3073+E3072+E3075-E3071</f>
        <v/>
      </c>
      <c r="F3073" s="68">
        <f>E3073+F3072+F3075-F3071</f>
        <v/>
      </c>
      <c r="G3073" s="68">
        <f>F3073+G3072+G3075-G3071</f>
        <v/>
      </c>
      <c r="H3073" s="68">
        <f>G3073+H3072+H3075-H3071</f>
        <v/>
      </c>
      <c r="I3073" s="68">
        <f>H3073+I3072+I3075-I3071</f>
        <v/>
      </c>
      <c r="J3073" s="68">
        <f>I3073+J3072+J3075-J3071</f>
        <v/>
      </c>
      <c r="K3073" s="68">
        <f>J3073+K3072+K3075-K3071</f>
        <v/>
      </c>
      <c r="L3073" s="68">
        <f>K3073+L3072+L3075-L3071</f>
        <v/>
      </c>
      <c r="M3073" s="66" t="n"/>
    </row>
    <row r="3074">
      <c r="C3074" s="63" t="inlineStr">
        <is>
          <t>Necesidad neta</t>
        </is>
      </c>
      <c r="D3074" s="64" t="n"/>
      <c r="E3074" s="69">
        <f>MAX(0,ROUND(E3071+Materiales!$H$442-D3073-E3072,4))</f>
        <v/>
      </c>
      <c r="F3074" s="69">
        <f>MAX(0,ROUND(F3071+Materiales!$H$442-E3073-F3072,4))</f>
        <v/>
      </c>
      <c r="G3074" s="69">
        <f>MAX(0,ROUND(G3071+Materiales!$H$442-F3073-G3072,4))</f>
        <v/>
      </c>
      <c r="H3074" s="69">
        <f>MAX(0,ROUND(H3071+Materiales!$H$442-G3073-H3072,4))</f>
        <v/>
      </c>
      <c r="I3074" s="69">
        <f>MAX(0,ROUND(I3071+Materiales!$H$442-H3073-I3072,4))</f>
        <v/>
      </c>
      <c r="J3074" s="69">
        <f>MAX(0,ROUND(J3071+Materiales!$H$442-I3073-J3072,4))</f>
        <v/>
      </c>
      <c r="K3074" s="69">
        <f>MAX(0,ROUND(K3071+Materiales!$H$442-J3073-K3072,4))</f>
        <v/>
      </c>
      <c r="L3074" s="69">
        <f>MAX(0,ROUND(L3071+Materiales!$H$442-K3073-L3072,4))</f>
        <v/>
      </c>
      <c r="M3074" s="66" t="n"/>
    </row>
    <row r="3075">
      <c r="C3075" s="63" t="inlineStr">
        <is>
          <t>Recepcion de orden planificada</t>
        </is>
      </c>
      <c r="D3075" s="64" t="n"/>
      <c r="E3075" s="65">
        <f>IF(E3074&lt;=0,0,IF(Materiales!$G$442&lt;=0,E3074,ROUNDUP(E3074/Materiales!$G$442,0)*Materiales!$G$442))</f>
        <v/>
      </c>
      <c r="F3075" s="65">
        <f>IF(F3074&lt;=0,0,IF(Materiales!$G$442&lt;=0,F3074,ROUNDUP(F3074/Materiales!$G$442,0)*Materiales!$G$442))</f>
        <v/>
      </c>
      <c r="G3075" s="65">
        <f>IF(G3074&lt;=0,0,IF(Materiales!$G$442&lt;=0,G3074,ROUNDUP(G3074/Materiales!$G$442,0)*Materiales!$G$442))</f>
        <v/>
      </c>
      <c r="H3075" s="65">
        <f>IF(H3074&lt;=0,0,IF(Materiales!$G$442&lt;=0,H3074,ROUNDUP(H3074/Materiales!$G$442,0)*Materiales!$G$442))</f>
        <v/>
      </c>
      <c r="I3075" s="65">
        <f>IF(I3074&lt;=0,0,IF(Materiales!$G$442&lt;=0,I3074,ROUNDUP(I3074/Materiales!$G$442,0)*Materiales!$G$442))</f>
        <v/>
      </c>
      <c r="J3075" s="65">
        <f>IF(J3074&lt;=0,0,IF(Materiales!$G$442&lt;=0,J3074,ROUNDUP(J3074/Materiales!$G$442,0)*Materiales!$G$442))</f>
        <v/>
      </c>
      <c r="K3075" s="65">
        <f>IF(K3074&lt;=0,0,IF(Materiales!$G$442&lt;=0,K3074,ROUNDUP(K3074/Materiales!$G$442,0)*Materiales!$G$442))</f>
        <v/>
      </c>
      <c r="L3075" s="65">
        <f>IF(L3074&lt;=0,0,IF(Materiales!$G$442&lt;=0,L3074,ROUNDUP(L3074/Materiales!$G$442,0)*Materiales!$G$442))</f>
        <v/>
      </c>
      <c r="M3075" s="66" t="n"/>
    </row>
    <row r="3076">
      <c r="C3076" s="70" t="inlineStr">
        <is>
          <t>LANZAMIENTO DE ORDEN — pedir esta semana</t>
        </is>
      </c>
      <c r="D3076" s="64" t="n"/>
      <c r="E3076" s="71">
        <f>IF(1+Materiales!$F$442&gt;8,0,INDEX($E$3075:$L$3075,1,1+Materiales!$F$442))</f>
        <v/>
      </c>
      <c r="F3076" s="71">
        <f>IF(2+Materiales!$F$442&gt;8,0,INDEX($E$3075:$L$3075,1,2+Materiales!$F$442))</f>
        <v/>
      </c>
      <c r="G3076" s="71">
        <f>IF(3+Materiales!$F$442&gt;8,0,INDEX($E$3075:$L$3075,1,3+Materiales!$F$442))</f>
        <v/>
      </c>
      <c r="H3076" s="71">
        <f>IF(4+Materiales!$F$442&gt;8,0,INDEX($E$3075:$L$3075,1,4+Materiales!$F$442))</f>
        <v/>
      </c>
      <c r="I3076" s="71">
        <f>IF(5+Materiales!$F$442&gt;8,0,INDEX($E$3075:$L$3075,1,5+Materiales!$F$442))</f>
        <v/>
      </c>
      <c r="J3076" s="71">
        <f>IF(6+Materiales!$F$442&gt;8,0,INDEX($E$3075:$L$3075,1,6+Materiales!$F$442))</f>
        <v/>
      </c>
      <c r="K3076" s="71">
        <f>IF(7+Materiales!$F$442&gt;8,0,INDEX($E$3075:$L$3075,1,7+Materiales!$F$442))</f>
        <v/>
      </c>
      <c r="L3076" s="71">
        <f>IF(8+Materiales!$F$442&gt;8,0,INDEX($E$3075:$L$3075,1,8+Materiales!$F$442))</f>
        <v/>
      </c>
      <c r="M3076" s="72">
        <f>IF($A3071="","",IF(SUMPRODUCT((COLUMN($E$3075:$L$3075)-4&lt;=Materiales!$F$442)*$E$3075:$L$3075)&gt;0,"PEDIR YA (atrasado)","OK"))</f>
        <v/>
      </c>
    </row>
    <row r="3077" ht="6" customHeight="1"/>
    <row r="3078">
      <c r="A3078" s="62">
        <f>IF(Materiales!$A$443="","",Materiales!$A$443)</f>
        <v/>
      </c>
      <c r="B3078" s="62">
        <f>IF(Materiales!$B$443="","",Materiales!$B$443)</f>
        <v/>
      </c>
      <c r="C3078" s="63" t="inlineStr">
        <is>
          <t>Necesidad bruta</t>
        </is>
      </c>
      <c r="D3078" s="64" t="n"/>
      <c r="E3078" s="65">
        <f>ROUND(SUMIF(Consumo!$P$4:$P$189,"#"&amp;$A3078,Consumo!H$4:H$189),4)</f>
        <v/>
      </c>
      <c r="F3078" s="65">
        <f>ROUND(SUMIF(Consumo!$P$4:$P$189,"#"&amp;$A3078,Consumo!I$4:I$189),4)</f>
        <v/>
      </c>
      <c r="G3078" s="65">
        <f>ROUND(SUMIF(Consumo!$P$4:$P$189,"#"&amp;$A3078,Consumo!J$4:J$189),4)</f>
        <v/>
      </c>
      <c r="H3078" s="65">
        <f>ROUND(SUMIF(Consumo!$P$4:$P$189,"#"&amp;$A3078,Consumo!K$4:K$189),4)</f>
        <v/>
      </c>
      <c r="I3078" s="65">
        <f>ROUND(SUMIF(Consumo!$P$4:$P$189,"#"&amp;$A3078,Consumo!L$4:L$189),4)</f>
        <v/>
      </c>
      <c r="J3078" s="65">
        <f>ROUND(SUMIF(Consumo!$P$4:$P$189,"#"&amp;$A3078,Consumo!M$4:M$189),4)</f>
        <v/>
      </c>
      <c r="K3078" s="65">
        <f>ROUND(SUMIF(Consumo!$P$4:$P$189,"#"&amp;$A3078,Consumo!N$4:N$189),4)</f>
        <v/>
      </c>
      <c r="L3078" s="65">
        <f>ROUND(SUMIF(Consumo!$P$4:$P$189,"#"&amp;$A3078,Consumo!O$4:O$189),4)</f>
        <v/>
      </c>
      <c r="M3078" s="66" t="n"/>
    </row>
    <row r="3079">
      <c r="C3079" s="63" t="inlineStr">
        <is>
          <t>Recepciones programadas (ya pedido)</t>
        </is>
      </c>
      <c r="D3079" s="64" t="n"/>
      <c r="E3079" s="65">
        <f>SUMIF(Inventario!$M$5:$M$505,"#"&amp;$A3078,Inventario!E$5:E$505)</f>
        <v/>
      </c>
      <c r="F3079" s="65">
        <f>SUMIF(Inventario!$M$5:$M$505,"#"&amp;$A3078,Inventario!F$5:F$505)</f>
        <v/>
      </c>
      <c r="G3079" s="65">
        <f>SUMIF(Inventario!$M$5:$M$505,"#"&amp;$A3078,Inventario!G$5:G$505)</f>
        <v/>
      </c>
      <c r="H3079" s="65">
        <f>SUMIF(Inventario!$M$5:$M$505,"#"&amp;$A3078,Inventario!H$5:H$505)</f>
        <v/>
      </c>
      <c r="I3079" s="65">
        <f>SUMIF(Inventario!$M$5:$M$505,"#"&amp;$A3078,Inventario!I$5:I$505)</f>
        <v/>
      </c>
      <c r="J3079" s="65">
        <f>SUMIF(Inventario!$M$5:$M$505,"#"&amp;$A3078,Inventario!J$5:J$505)</f>
        <v/>
      </c>
      <c r="K3079" s="65">
        <f>SUMIF(Inventario!$M$5:$M$505,"#"&amp;$A3078,Inventario!K$5:K$505)</f>
        <v/>
      </c>
      <c r="L3079" s="65">
        <f>SUMIF(Inventario!$M$5:$M$505,"#"&amp;$A3078,Inventario!L$5:L$505)</f>
        <v/>
      </c>
      <c r="M3079" s="66" t="n"/>
    </row>
    <row r="3080">
      <c r="C3080" s="63" t="inlineStr">
        <is>
          <t>Stock proyectado disponible</t>
        </is>
      </c>
      <c r="D3080" s="67">
        <f>SUMIF(Inventario!$M$5:$M$505,"#"&amp;$A3078,Inventario!$C$5:$C$505)</f>
        <v/>
      </c>
      <c r="E3080" s="68">
        <f>D3080+E3079+E3082-E3078</f>
        <v/>
      </c>
      <c r="F3080" s="68">
        <f>E3080+F3079+F3082-F3078</f>
        <v/>
      </c>
      <c r="G3080" s="68">
        <f>F3080+G3079+G3082-G3078</f>
        <v/>
      </c>
      <c r="H3080" s="68">
        <f>G3080+H3079+H3082-H3078</f>
        <v/>
      </c>
      <c r="I3080" s="68">
        <f>H3080+I3079+I3082-I3078</f>
        <v/>
      </c>
      <c r="J3080" s="68">
        <f>I3080+J3079+J3082-J3078</f>
        <v/>
      </c>
      <c r="K3080" s="68">
        <f>J3080+K3079+K3082-K3078</f>
        <v/>
      </c>
      <c r="L3080" s="68">
        <f>K3080+L3079+L3082-L3078</f>
        <v/>
      </c>
      <c r="M3080" s="66" t="n"/>
    </row>
    <row r="3081">
      <c r="C3081" s="63" t="inlineStr">
        <is>
          <t>Necesidad neta</t>
        </is>
      </c>
      <c r="D3081" s="64" t="n"/>
      <c r="E3081" s="69">
        <f>MAX(0,ROUND(E3078+Materiales!$H$443-D3080-E3079,4))</f>
        <v/>
      </c>
      <c r="F3081" s="69">
        <f>MAX(0,ROUND(F3078+Materiales!$H$443-E3080-F3079,4))</f>
        <v/>
      </c>
      <c r="G3081" s="69">
        <f>MAX(0,ROUND(G3078+Materiales!$H$443-F3080-G3079,4))</f>
        <v/>
      </c>
      <c r="H3081" s="69">
        <f>MAX(0,ROUND(H3078+Materiales!$H$443-G3080-H3079,4))</f>
        <v/>
      </c>
      <c r="I3081" s="69">
        <f>MAX(0,ROUND(I3078+Materiales!$H$443-H3080-I3079,4))</f>
        <v/>
      </c>
      <c r="J3081" s="69">
        <f>MAX(0,ROUND(J3078+Materiales!$H$443-I3080-J3079,4))</f>
        <v/>
      </c>
      <c r="K3081" s="69">
        <f>MAX(0,ROUND(K3078+Materiales!$H$443-J3080-K3079,4))</f>
        <v/>
      </c>
      <c r="L3081" s="69">
        <f>MAX(0,ROUND(L3078+Materiales!$H$443-K3080-L3079,4))</f>
        <v/>
      </c>
      <c r="M3081" s="66" t="n"/>
    </row>
    <row r="3082">
      <c r="C3082" s="63" t="inlineStr">
        <is>
          <t>Recepcion de orden planificada</t>
        </is>
      </c>
      <c r="D3082" s="64" t="n"/>
      <c r="E3082" s="65">
        <f>IF(E3081&lt;=0,0,IF(Materiales!$G$443&lt;=0,E3081,ROUNDUP(E3081/Materiales!$G$443,0)*Materiales!$G$443))</f>
        <v/>
      </c>
      <c r="F3082" s="65">
        <f>IF(F3081&lt;=0,0,IF(Materiales!$G$443&lt;=0,F3081,ROUNDUP(F3081/Materiales!$G$443,0)*Materiales!$G$443))</f>
        <v/>
      </c>
      <c r="G3082" s="65">
        <f>IF(G3081&lt;=0,0,IF(Materiales!$G$443&lt;=0,G3081,ROUNDUP(G3081/Materiales!$G$443,0)*Materiales!$G$443))</f>
        <v/>
      </c>
      <c r="H3082" s="65">
        <f>IF(H3081&lt;=0,0,IF(Materiales!$G$443&lt;=0,H3081,ROUNDUP(H3081/Materiales!$G$443,0)*Materiales!$G$443))</f>
        <v/>
      </c>
      <c r="I3082" s="65">
        <f>IF(I3081&lt;=0,0,IF(Materiales!$G$443&lt;=0,I3081,ROUNDUP(I3081/Materiales!$G$443,0)*Materiales!$G$443))</f>
        <v/>
      </c>
      <c r="J3082" s="65">
        <f>IF(J3081&lt;=0,0,IF(Materiales!$G$443&lt;=0,J3081,ROUNDUP(J3081/Materiales!$G$443,0)*Materiales!$G$443))</f>
        <v/>
      </c>
      <c r="K3082" s="65">
        <f>IF(K3081&lt;=0,0,IF(Materiales!$G$443&lt;=0,K3081,ROUNDUP(K3081/Materiales!$G$443,0)*Materiales!$G$443))</f>
        <v/>
      </c>
      <c r="L3082" s="65">
        <f>IF(L3081&lt;=0,0,IF(Materiales!$G$443&lt;=0,L3081,ROUNDUP(L3081/Materiales!$G$443,0)*Materiales!$G$443))</f>
        <v/>
      </c>
      <c r="M3082" s="66" t="n"/>
    </row>
    <row r="3083">
      <c r="C3083" s="70" t="inlineStr">
        <is>
          <t>LANZAMIENTO DE ORDEN — pedir esta semana</t>
        </is>
      </c>
      <c r="D3083" s="64" t="n"/>
      <c r="E3083" s="71">
        <f>IF(1+Materiales!$F$443&gt;8,0,INDEX($E$3082:$L$3082,1,1+Materiales!$F$443))</f>
        <v/>
      </c>
      <c r="F3083" s="71">
        <f>IF(2+Materiales!$F$443&gt;8,0,INDEX($E$3082:$L$3082,1,2+Materiales!$F$443))</f>
        <v/>
      </c>
      <c r="G3083" s="71">
        <f>IF(3+Materiales!$F$443&gt;8,0,INDEX($E$3082:$L$3082,1,3+Materiales!$F$443))</f>
        <v/>
      </c>
      <c r="H3083" s="71">
        <f>IF(4+Materiales!$F$443&gt;8,0,INDEX($E$3082:$L$3082,1,4+Materiales!$F$443))</f>
        <v/>
      </c>
      <c r="I3083" s="71">
        <f>IF(5+Materiales!$F$443&gt;8,0,INDEX($E$3082:$L$3082,1,5+Materiales!$F$443))</f>
        <v/>
      </c>
      <c r="J3083" s="71">
        <f>IF(6+Materiales!$F$443&gt;8,0,INDEX($E$3082:$L$3082,1,6+Materiales!$F$443))</f>
        <v/>
      </c>
      <c r="K3083" s="71">
        <f>IF(7+Materiales!$F$443&gt;8,0,INDEX($E$3082:$L$3082,1,7+Materiales!$F$443))</f>
        <v/>
      </c>
      <c r="L3083" s="71">
        <f>IF(8+Materiales!$F$443&gt;8,0,INDEX($E$3082:$L$3082,1,8+Materiales!$F$443))</f>
        <v/>
      </c>
      <c r="M3083" s="72">
        <f>IF($A3078="","",IF(SUMPRODUCT((COLUMN($E$3082:$L$3082)-4&lt;=Materiales!$F$443)*$E$3082:$L$3082)&gt;0,"PEDIR YA (atrasado)","OK"))</f>
        <v/>
      </c>
    </row>
    <row r="3084" ht="6" customHeight="1"/>
    <row r="3085">
      <c r="A3085" s="62">
        <f>IF(Materiales!$A$444="","",Materiales!$A$444)</f>
        <v/>
      </c>
      <c r="B3085" s="62">
        <f>IF(Materiales!$B$444="","",Materiales!$B$444)</f>
        <v/>
      </c>
      <c r="C3085" s="63" t="inlineStr">
        <is>
          <t>Necesidad bruta</t>
        </is>
      </c>
      <c r="D3085" s="64" t="n"/>
      <c r="E3085" s="65">
        <f>ROUND(SUMIF(Consumo!$P$4:$P$189,"#"&amp;$A3085,Consumo!H$4:H$189),4)</f>
        <v/>
      </c>
      <c r="F3085" s="65">
        <f>ROUND(SUMIF(Consumo!$P$4:$P$189,"#"&amp;$A3085,Consumo!I$4:I$189),4)</f>
        <v/>
      </c>
      <c r="G3085" s="65">
        <f>ROUND(SUMIF(Consumo!$P$4:$P$189,"#"&amp;$A3085,Consumo!J$4:J$189),4)</f>
        <v/>
      </c>
      <c r="H3085" s="65">
        <f>ROUND(SUMIF(Consumo!$P$4:$P$189,"#"&amp;$A3085,Consumo!K$4:K$189),4)</f>
        <v/>
      </c>
      <c r="I3085" s="65">
        <f>ROUND(SUMIF(Consumo!$P$4:$P$189,"#"&amp;$A3085,Consumo!L$4:L$189),4)</f>
        <v/>
      </c>
      <c r="J3085" s="65">
        <f>ROUND(SUMIF(Consumo!$P$4:$P$189,"#"&amp;$A3085,Consumo!M$4:M$189),4)</f>
        <v/>
      </c>
      <c r="K3085" s="65">
        <f>ROUND(SUMIF(Consumo!$P$4:$P$189,"#"&amp;$A3085,Consumo!N$4:N$189),4)</f>
        <v/>
      </c>
      <c r="L3085" s="65">
        <f>ROUND(SUMIF(Consumo!$P$4:$P$189,"#"&amp;$A3085,Consumo!O$4:O$189),4)</f>
        <v/>
      </c>
      <c r="M3085" s="66" t="n"/>
    </row>
    <row r="3086">
      <c r="C3086" s="63" t="inlineStr">
        <is>
          <t>Recepciones programadas (ya pedido)</t>
        </is>
      </c>
      <c r="D3086" s="64" t="n"/>
      <c r="E3086" s="65">
        <f>SUMIF(Inventario!$M$5:$M$505,"#"&amp;$A3085,Inventario!E$5:E$505)</f>
        <v/>
      </c>
      <c r="F3086" s="65">
        <f>SUMIF(Inventario!$M$5:$M$505,"#"&amp;$A3085,Inventario!F$5:F$505)</f>
        <v/>
      </c>
      <c r="G3086" s="65">
        <f>SUMIF(Inventario!$M$5:$M$505,"#"&amp;$A3085,Inventario!G$5:G$505)</f>
        <v/>
      </c>
      <c r="H3086" s="65">
        <f>SUMIF(Inventario!$M$5:$M$505,"#"&amp;$A3085,Inventario!H$5:H$505)</f>
        <v/>
      </c>
      <c r="I3086" s="65">
        <f>SUMIF(Inventario!$M$5:$M$505,"#"&amp;$A3085,Inventario!I$5:I$505)</f>
        <v/>
      </c>
      <c r="J3086" s="65">
        <f>SUMIF(Inventario!$M$5:$M$505,"#"&amp;$A3085,Inventario!J$5:J$505)</f>
        <v/>
      </c>
      <c r="K3086" s="65">
        <f>SUMIF(Inventario!$M$5:$M$505,"#"&amp;$A3085,Inventario!K$5:K$505)</f>
        <v/>
      </c>
      <c r="L3086" s="65">
        <f>SUMIF(Inventario!$M$5:$M$505,"#"&amp;$A3085,Inventario!L$5:L$505)</f>
        <v/>
      </c>
      <c r="M3086" s="66" t="n"/>
    </row>
    <row r="3087">
      <c r="C3087" s="63" t="inlineStr">
        <is>
          <t>Stock proyectado disponible</t>
        </is>
      </c>
      <c r="D3087" s="67">
        <f>SUMIF(Inventario!$M$5:$M$505,"#"&amp;$A3085,Inventario!$C$5:$C$505)</f>
        <v/>
      </c>
      <c r="E3087" s="68">
        <f>D3087+E3086+E3089-E3085</f>
        <v/>
      </c>
      <c r="F3087" s="68">
        <f>E3087+F3086+F3089-F3085</f>
        <v/>
      </c>
      <c r="G3087" s="68">
        <f>F3087+G3086+G3089-G3085</f>
        <v/>
      </c>
      <c r="H3087" s="68">
        <f>G3087+H3086+H3089-H3085</f>
        <v/>
      </c>
      <c r="I3087" s="68">
        <f>H3087+I3086+I3089-I3085</f>
        <v/>
      </c>
      <c r="J3087" s="68">
        <f>I3087+J3086+J3089-J3085</f>
        <v/>
      </c>
      <c r="K3087" s="68">
        <f>J3087+K3086+K3089-K3085</f>
        <v/>
      </c>
      <c r="L3087" s="68">
        <f>K3087+L3086+L3089-L3085</f>
        <v/>
      </c>
      <c r="M3087" s="66" t="n"/>
    </row>
    <row r="3088">
      <c r="C3088" s="63" t="inlineStr">
        <is>
          <t>Necesidad neta</t>
        </is>
      </c>
      <c r="D3088" s="64" t="n"/>
      <c r="E3088" s="69">
        <f>MAX(0,ROUND(E3085+Materiales!$H$444-D3087-E3086,4))</f>
        <v/>
      </c>
      <c r="F3088" s="69">
        <f>MAX(0,ROUND(F3085+Materiales!$H$444-E3087-F3086,4))</f>
        <v/>
      </c>
      <c r="G3088" s="69">
        <f>MAX(0,ROUND(G3085+Materiales!$H$444-F3087-G3086,4))</f>
        <v/>
      </c>
      <c r="H3088" s="69">
        <f>MAX(0,ROUND(H3085+Materiales!$H$444-G3087-H3086,4))</f>
        <v/>
      </c>
      <c r="I3088" s="69">
        <f>MAX(0,ROUND(I3085+Materiales!$H$444-H3087-I3086,4))</f>
        <v/>
      </c>
      <c r="J3088" s="69">
        <f>MAX(0,ROUND(J3085+Materiales!$H$444-I3087-J3086,4))</f>
        <v/>
      </c>
      <c r="K3088" s="69">
        <f>MAX(0,ROUND(K3085+Materiales!$H$444-J3087-K3086,4))</f>
        <v/>
      </c>
      <c r="L3088" s="69">
        <f>MAX(0,ROUND(L3085+Materiales!$H$444-K3087-L3086,4))</f>
        <v/>
      </c>
      <c r="M3088" s="66" t="n"/>
    </row>
    <row r="3089">
      <c r="C3089" s="63" t="inlineStr">
        <is>
          <t>Recepcion de orden planificada</t>
        </is>
      </c>
      <c r="D3089" s="64" t="n"/>
      <c r="E3089" s="65">
        <f>IF(E3088&lt;=0,0,IF(Materiales!$G$444&lt;=0,E3088,ROUNDUP(E3088/Materiales!$G$444,0)*Materiales!$G$444))</f>
        <v/>
      </c>
      <c r="F3089" s="65">
        <f>IF(F3088&lt;=0,0,IF(Materiales!$G$444&lt;=0,F3088,ROUNDUP(F3088/Materiales!$G$444,0)*Materiales!$G$444))</f>
        <v/>
      </c>
      <c r="G3089" s="65">
        <f>IF(G3088&lt;=0,0,IF(Materiales!$G$444&lt;=0,G3088,ROUNDUP(G3088/Materiales!$G$444,0)*Materiales!$G$444))</f>
        <v/>
      </c>
      <c r="H3089" s="65">
        <f>IF(H3088&lt;=0,0,IF(Materiales!$G$444&lt;=0,H3088,ROUNDUP(H3088/Materiales!$G$444,0)*Materiales!$G$444))</f>
        <v/>
      </c>
      <c r="I3089" s="65">
        <f>IF(I3088&lt;=0,0,IF(Materiales!$G$444&lt;=0,I3088,ROUNDUP(I3088/Materiales!$G$444,0)*Materiales!$G$444))</f>
        <v/>
      </c>
      <c r="J3089" s="65">
        <f>IF(J3088&lt;=0,0,IF(Materiales!$G$444&lt;=0,J3088,ROUNDUP(J3088/Materiales!$G$444,0)*Materiales!$G$444))</f>
        <v/>
      </c>
      <c r="K3089" s="65">
        <f>IF(K3088&lt;=0,0,IF(Materiales!$G$444&lt;=0,K3088,ROUNDUP(K3088/Materiales!$G$444,0)*Materiales!$G$444))</f>
        <v/>
      </c>
      <c r="L3089" s="65">
        <f>IF(L3088&lt;=0,0,IF(Materiales!$G$444&lt;=0,L3088,ROUNDUP(L3088/Materiales!$G$444,0)*Materiales!$G$444))</f>
        <v/>
      </c>
      <c r="M3089" s="66" t="n"/>
    </row>
    <row r="3090">
      <c r="C3090" s="70" t="inlineStr">
        <is>
          <t>LANZAMIENTO DE ORDEN — pedir esta semana</t>
        </is>
      </c>
      <c r="D3090" s="64" t="n"/>
      <c r="E3090" s="71">
        <f>IF(1+Materiales!$F$444&gt;8,0,INDEX($E$3089:$L$3089,1,1+Materiales!$F$444))</f>
        <v/>
      </c>
      <c r="F3090" s="71">
        <f>IF(2+Materiales!$F$444&gt;8,0,INDEX($E$3089:$L$3089,1,2+Materiales!$F$444))</f>
        <v/>
      </c>
      <c r="G3090" s="71">
        <f>IF(3+Materiales!$F$444&gt;8,0,INDEX($E$3089:$L$3089,1,3+Materiales!$F$444))</f>
        <v/>
      </c>
      <c r="H3090" s="71">
        <f>IF(4+Materiales!$F$444&gt;8,0,INDEX($E$3089:$L$3089,1,4+Materiales!$F$444))</f>
        <v/>
      </c>
      <c r="I3090" s="71">
        <f>IF(5+Materiales!$F$444&gt;8,0,INDEX($E$3089:$L$3089,1,5+Materiales!$F$444))</f>
        <v/>
      </c>
      <c r="J3090" s="71">
        <f>IF(6+Materiales!$F$444&gt;8,0,INDEX($E$3089:$L$3089,1,6+Materiales!$F$444))</f>
        <v/>
      </c>
      <c r="K3090" s="71">
        <f>IF(7+Materiales!$F$444&gt;8,0,INDEX($E$3089:$L$3089,1,7+Materiales!$F$444))</f>
        <v/>
      </c>
      <c r="L3090" s="71">
        <f>IF(8+Materiales!$F$444&gt;8,0,INDEX($E$3089:$L$3089,1,8+Materiales!$F$444))</f>
        <v/>
      </c>
      <c r="M3090" s="72">
        <f>IF($A3085="","",IF(SUMPRODUCT((COLUMN($E$3089:$L$3089)-4&lt;=Materiales!$F$444)*$E$3089:$L$3089)&gt;0,"PEDIR YA (atrasado)","OK"))</f>
        <v/>
      </c>
    </row>
    <row r="3091" ht="6" customHeight="1"/>
    <row r="3092">
      <c r="A3092" s="62">
        <f>IF(Materiales!$A$445="","",Materiales!$A$445)</f>
        <v/>
      </c>
      <c r="B3092" s="62">
        <f>IF(Materiales!$B$445="","",Materiales!$B$445)</f>
        <v/>
      </c>
      <c r="C3092" s="63" t="inlineStr">
        <is>
          <t>Necesidad bruta</t>
        </is>
      </c>
      <c r="D3092" s="64" t="n"/>
      <c r="E3092" s="65">
        <f>ROUND(SUMIF(Consumo!$P$4:$P$189,"#"&amp;$A3092,Consumo!H$4:H$189),4)</f>
        <v/>
      </c>
      <c r="F3092" s="65">
        <f>ROUND(SUMIF(Consumo!$P$4:$P$189,"#"&amp;$A3092,Consumo!I$4:I$189),4)</f>
        <v/>
      </c>
      <c r="G3092" s="65">
        <f>ROUND(SUMIF(Consumo!$P$4:$P$189,"#"&amp;$A3092,Consumo!J$4:J$189),4)</f>
        <v/>
      </c>
      <c r="H3092" s="65">
        <f>ROUND(SUMIF(Consumo!$P$4:$P$189,"#"&amp;$A3092,Consumo!K$4:K$189),4)</f>
        <v/>
      </c>
      <c r="I3092" s="65">
        <f>ROUND(SUMIF(Consumo!$P$4:$P$189,"#"&amp;$A3092,Consumo!L$4:L$189),4)</f>
        <v/>
      </c>
      <c r="J3092" s="65">
        <f>ROUND(SUMIF(Consumo!$P$4:$P$189,"#"&amp;$A3092,Consumo!M$4:M$189),4)</f>
        <v/>
      </c>
      <c r="K3092" s="65">
        <f>ROUND(SUMIF(Consumo!$P$4:$P$189,"#"&amp;$A3092,Consumo!N$4:N$189),4)</f>
        <v/>
      </c>
      <c r="L3092" s="65">
        <f>ROUND(SUMIF(Consumo!$P$4:$P$189,"#"&amp;$A3092,Consumo!O$4:O$189),4)</f>
        <v/>
      </c>
      <c r="M3092" s="66" t="n"/>
    </row>
    <row r="3093">
      <c r="C3093" s="63" t="inlineStr">
        <is>
          <t>Recepciones programadas (ya pedido)</t>
        </is>
      </c>
      <c r="D3093" s="64" t="n"/>
      <c r="E3093" s="65">
        <f>SUMIF(Inventario!$M$5:$M$505,"#"&amp;$A3092,Inventario!E$5:E$505)</f>
        <v/>
      </c>
      <c r="F3093" s="65">
        <f>SUMIF(Inventario!$M$5:$M$505,"#"&amp;$A3092,Inventario!F$5:F$505)</f>
        <v/>
      </c>
      <c r="G3093" s="65">
        <f>SUMIF(Inventario!$M$5:$M$505,"#"&amp;$A3092,Inventario!G$5:G$505)</f>
        <v/>
      </c>
      <c r="H3093" s="65">
        <f>SUMIF(Inventario!$M$5:$M$505,"#"&amp;$A3092,Inventario!H$5:H$505)</f>
        <v/>
      </c>
      <c r="I3093" s="65">
        <f>SUMIF(Inventario!$M$5:$M$505,"#"&amp;$A3092,Inventario!I$5:I$505)</f>
        <v/>
      </c>
      <c r="J3093" s="65">
        <f>SUMIF(Inventario!$M$5:$M$505,"#"&amp;$A3092,Inventario!J$5:J$505)</f>
        <v/>
      </c>
      <c r="K3093" s="65">
        <f>SUMIF(Inventario!$M$5:$M$505,"#"&amp;$A3092,Inventario!K$5:K$505)</f>
        <v/>
      </c>
      <c r="L3093" s="65">
        <f>SUMIF(Inventario!$M$5:$M$505,"#"&amp;$A3092,Inventario!L$5:L$505)</f>
        <v/>
      </c>
      <c r="M3093" s="66" t="n"/>
    </row>
    <row r="3094">
      <c r="C3094" s="63" t="inlineStr">
        <is>
          <t>Stock proyectado disponible</t>
        </is>
      </c>
      <c r="D3094" s="67">
        <f>SUMIF(Inventario!$M$5:$M$505,"#"&amp;$A3092,Inventario!$C$5:$C$505)</f>
        <v/>
      </c>
      <c r="E3094" s="68">
        <f>D3094+E3093+E3096-E3092</f>
        <v/>
      </c>
      <c r="F3094" s="68">
        <f>E3094+F3093+F3096-F3092</f>
        <v/>
      </c>
      <c r="G3094" s="68">
        <f>F3094+G3093+G3096-G3092</f>
        <v/>
      </c>
      <c r="H3094" s="68">
        <f>G3094+H3093+H3096-H3092</f>
        <v/>
      </c>
      <c r="I3094" s="68">
        <f>H3094+I3093+I3096-I3092</f>
        <v/>
      </c>
      <c r="J3094" s="68">
        <f>I3094+J3093+J3096-J3092</f>
        <v/>
      </c>
      <c r="K3094" s="68">
        <f>J3094+K3093+K3096-K3092</f>
        <v/>
      </c>
      <c r="L3094" s="68">
        <f>K3094+L3093+L3096-L3092</f>
        <v/>
      </c>
      <c r="M3094" s="66" t="n"/>
    </row>
    <row r="3095">
      <c r="C3095" s="63" t="inlineStr">
        <is>
          <t>Necesidad neta</t>
        </is>
      </c>
      <c r="D3095" s="64" t="n"/>
      <c r="E3095" s="69">
        <f>MAX(0,ROUND(E3092+Materiales!$H$445-D3094-E3093,4))</f>
        <v/>
      </c>
      <c r="F3095" s="69">
        <f>MAX(0,ROUND(F3092+Materiales!$H$445-E3094-F3093,4))</f>
        <v/>
      </c>
      <c r="G3095" s="69">
        <f>MAX(0,ROUND(G3092+Materiales!$H$445-F3094-G3093,4))</f>
        <v/>
      </c>
      <c r="H3095" s="69">
        <f>MAX(0,ROUND(H3092+Materiales!$H$445-G3094-H3093,4))</f>
        <v/>
      </c>
      <c r="I3095" s="69">
        <f>MAX(0,ROUND(I3092+Materiales!$H$445-H3094-I3093,4))</f>
        <v/>
      </c>
      <c r="J3095" s="69">
        <f>MAX(0,ROUND(J3092+Materiales!$H$445-I3094-J3093,4))</f>
        <v/>
      </c>
      <c r="K3095" s="69">
        <f>MAX(0,ROUND(K3092+Materiales!$H$445-J3094-K3093,4))</f>
        <v/>
      </c>
      <c r="L3095" s="69">
        <f>MAX(0,ROUND(L3092+Materiales!$H$445-K3094-L3093,4))</f>
        <v/>
      </c>
      <c r="M3095" s="66" t="n"/>
    </row>
    <row r="3096">
      <c r="C3096" s="63" t="inlineStr">
        <is>
          <t>Recepcion de orden planificada</t>
        </is>
      </c>
      <c r="D3096" s="64" t="n"/>
      <c r="E3096" s="65">
        <f>IF(E3095&lt;=0,0,IF(Materiales!$G$445&lt;=0,E3095,ROUNDUP(E3095/Materiales!$G$445,0)*Materiales!$G$445))</f>
        <v/>
      </c>
      <c r="F3096" s="65">
        <f>IF(F3095&lt;=0,0,IF(Materiales!$G$445&lt;=0,F3095,ROUNDUP(F3095/Materiales!$G$445,0)*Materiales!$G$445))</f>
        <v/>
      </c>
      <c r="G3096" s="65">
        <f>IF(G3095&lt;=0,0,IF(Materiales!$G$445&lt;=0,G3095,ROUNDUP(G3095/Materiales!$G$445,0)*Materiales!$G$445))</f>
        <v/>
      </c>
      <c r="H3096" s="65">
        <f>IF(H3095&lt;=0,0,IF(Materiales!$G$445&lt;=0,H3095,ROUNDUP(H3095/Materiales!$G$445,0)*Materiales!$G$445))</f>
        <v/>
      </c>
      <c r="I3096" s="65">
        <f>IF(I3095&lt;=0,0,IF(Materiales!$G$445&lt;=0,I3095,ROUNDUP(I3095/Materiales!$G$445,0)*Materiales!$G$445))</f>
        <v/>
      </c>
      <c r="J3096" s="65">
        <f>IF(J3095&lt;=0,0,IF(Materiales!$G$445&lt;=0,J3095,ROUNDUP(J3095/Materiales!$G$445,0)*Materiales!$G$445))</f>
        <v/>
      </c>
      <c r="K3096" s="65">
        <f>IF(K3095&lt;=0,0,IF(Materiales!$G$445&lt;=0,K3095,ROUNDUP(K3095/Materiales!$G$445,0)*Materiales!$G$445))</f>
        <v/>
      </c>
      <c r="L3096" s="65">
        <f>IF(L3095&lt;=0,0,IF(Materiales!$G$445&lt;=0,L3095,ROUNDUP(L3095/Materiales!$G$445,0)*Materiales!$G$445))</f>
        <v/>
      </c>
      <c r="M3096" s="66" t="n"/>
    </row>
    <row r="3097">
      <c r="C3097" s="70" t="inlineStr">
        <is>
          <t>LANZAMIENTO DE ORDEN — pedir esta semana</t>
        </is>
      </c>
      <c r="D3097" s="64" t="n"/>
      <c r="E3097" s="71">
        <f>IF(1+Materiales!$F$445&gt;8,0,INDEX($E$3096:$L$3096,1,1+Materiales!$F$445))</f>
        <v/>
      </c>
      <c r="F3097" s="71">
        <f>IF(2+Materiales!$F$445&gt;8,0,INDEX($E$3096:$L$3096,1,2+Materiales!$F$445))</f>
        <v/>
      </c>
      <c r="G3097" s="71">
        <f>IF(3+Materiales!$F$445&gt;8,0,INDEX($E$3096:$L$3096,1,3+Materiales!$F$445))</f>
        <v/>
      </c>
      <c r="H3097" s="71">
        <f>IF(4+Materiales!$F$445&gt;8,0,INDEX($E$3096:$L$3096,1,4+Materiales!$F$445))</f>
        <v/>
      </c>
      <c r="I3097" s="71">
        <f>IF(5+Materiales!$F$445&gt;8,0,INDEX($E$3096:$L$3096,1,5+Materiales!$F$445))</f>
        <v/>
      </c>
      <c r="J3097" s="71">
        <f>IF(6+Materiales!$F$445&gt;8,0,INDEX($E$3096:$L$3096,1,6+Materiales!$F$445))</f>
        <v/>
      </c>
      <c r="K3097" s="71">
        <f>IF(7+Materiales!$F$445&gt;8,0,INDEX($E$3096:$L$3096,1,7+Materiales!$F$445))</f>
        <v/>
      </c>
      <c r="L3097" s="71">
        <f>IF(8+Materiales!$F$445&gt;8,0,INDEX($E$3096:$L$3096,1,8+Materiales!$F$445))</f>
        <v/>
      </c>
      <c r="M3097" s="72">
        <f>IF($A3092="","",IF(SUMPRODUCT((COLUMN($E$3096:$L$3096)-4&lt;=Materiales!$F$445)*$E$3096:$L$3096)&gt;0,"PEDIR YA (atrasado)","OK"))</f>
        <v/>
      </c>
    </row>
    <row r="3098" ht="6" customHeight="1"/>
    <row r="3099">
      <c r="A3099" s="62">
        <f>IF(Materiales!$A$446="","",Materiales!$A$446)</f>
        <v/>
      </c>
      <c r="B3099" s="62">
        <f>IF(Materiales!$B$446="","",Materiales!$B$446)</f>
        <v/>
      </c>
      <c r="C3099" s="63" t="inlineStr">
        <is>
          <t>Necesidad bruta</t>
        </is>
      </c>
      <c r="D3099" s="64" t="n"/>
      <c r="E3099" s="65">
        <f>ROUND(SUMIF(Consumo!$P$4:$P$189,"#"&amp;$A3099,Consumo!H$4:H$189),4)</f>
        <v/>
      </c>
      <c r="F3099" s="65">
        <f>ROUND(SUMIF(Consumo!$P$4:$P$189,"#"&amp;$A3099,Consumo!I$4:I$189),4)</f>
        <v/>
      </c>
      <c r="G3099" s="65">
        <f>ROUND(SUMIF(Consumo!$P$4:$P$189,"#"&amp;$A3099,Consumo!J$4:J$189),4)</f>
        <v/>
      </c>
      <c r="H3099" s="65">
        <f>ROUND(SUMIF(Consumo!$P$4:$P$189,"#"&amp;$A3099,Consumo!K$4:K$189),4)</f>
        <v/>
      </c>
      <c r="I3099" s="65">
        <f>ROUND(SUMIF(Consumo!$P$4:$P$189,"#"&amp;$A3099,Consumo!L$4:L$189),4)</f>
        <v/>
      </c>
      <c r="J3099" s="65">
        <f>ROUND(SUMIF(Consumo!$P$4:$P$189,"#"&amp;$A3099,Consumo!M$4:M$189),4)</f>
        <v/>
      </c>
      <c r="K3099" s="65">
        <f>ROUND(SUMIF(Consumo!$P$4:$P$189,"#"&amp;$A3099,Consumo!N$4:N$189),4)</f>
        <v/>
      </c>
      <c r="L3099" s="65">
        <f>ROUND(SUMIF(Consumo!$P$4:$P$189,"#"&amp;$A3099,Consumo!O$4:O$189),4)</f>
        <v/>
      </c>
      <c r="M3099" s="66" t="n"/>
    </row>
    <row r="3100">
      <c r="C3100" s="63" t="inlineStr">
        <is>
          <t>Recepciones programadas (ya pedido)</t>
        </is>
      </c>
      <c r="D3100" s="64" t="n"/>
      <c r="E3100" s="65">
        <f>SUMIF(Inventario!$M$5:$M$505,"#"&amp;$A3099,Inventario!E$5:E$505)</f>
        <v/>
      </c>
      <c r="F3100" s="65">
        <f>SUMIF(Inventario!$M$5:$M$505,"#"&amp;$A3099,Inventario!F$5:F$505)</f>
        <v/>
      </c>
      <c r="G3100" s="65">
        <f>SUMIF(Inventario!$M$5:$M$505,"#"&amp;$A3099,Inventario!G$5:G$505)</f>
        <v/>
      </c>
      <c r="H3100" s="65">
        <f>SUMIF(Inventario!$M$5:$M$505,"#"&amp;$A3099,Inventario!H$5:H$505)</f>
        <v/>
      </c>
      <c r="I3100" s="65">
        <f>SUMIF(Inventario!$M$5:$M$505,"#"&amp;$A3099,Inventario!I$5:I$505)</f>
        <v/>
      </c>
      <c r="J3100" s="65">
        <f>SUMIF(Inventario!$M$5:$M$505,"#"&amp;$A3099,Inventario!J$5:J$505)</f>
        <v/>
      </c>
      <c r="K3100" s="65">
        <f>SUMIF(Inventario!$M$5:$M$505,"#"&amp;$A3099,Inventario!K$5:K$505)</f>
        <v/>
      </c>
      <c r="L3100" s="65">
        <f>SUMIF(Inventario!$M$5:$M$505,"#"&amp;$A3099,Inventario!L$5:L$505)</f>
        <v/>
      </c>
      <c r="M3100" s="66" t="n"/>
    </row>
    <row r="3101">
      <c r="C3101" s="63" t="inlineStr">
        <is>
          <t>Stock proyectado disponible</t>
        </is>
      </c>
      <c r="D3101" s="67">
        <f>SUMIF(Inventario!$M$5:$M$505,"#"&amp;$A3099,Inventario!$C$5:$C$505)</f>
        <v/>
      </c>
      <c r="E3101" s="68">
        <f>D3101+E3100+E3103-E3099</f>
        <v/>
      </c>
      <c r="F3101" s="68">
        <f>E3101+F3100+F3103-F3099</f>
        <v/>
      </c>
      <c r="G3101" s="68">
        <f>F3101+G3100+G3103-G3099</f>
        <v/>
      </c>
      <c r="H3101" s="68">
        <f>G3101+H3100+H3103-H3099</f>
        <v/>
      </c>
      <c r="I3101" s="68">
        <f>H3101+I3100+I3103-I3099</f>
        <v/>
      </c>
      <c r="J3101" s="68">
        <f>I3101+J3100+J3103-J3099</f>
        <v/>
      </c>
      <c r="K3101" s="68">
        <f>J3101+K3100+K3103-K3099</f>
        <v/>
      </c>
      <c r="L3101" s="68">
        <f>K3101+L3100+L3103-L3099</f>
        <v/>
      </c>
      <c r="M3101" s="66" t="n"/>
    </row>
    <row r="3102">
      <c r="C3102" s="63" t="inlineStr">
        <is>
          <t>Necesidad neta</t>
        </is>
      </c>
      <c r="D3102" s="64" t="n"/>
      <c r="E3102" s="69">
        <f>MAX(0,ROUND(E3099+Materiales!$H$446-D3101-E3100,4))</f>
        <v/>
      </c>
      <c r="F3102" s="69">
        <f>MAX(0,ROUND(F3099+Materiales!$H$446-E3101-F3100,4))</f>
        <v/>
      </c>
      <c r="G3102" s="69">
        <f>MAX(0,ROUND(G3099+Materiales!$H$446-F3101-G3100,4))</f>
        <v/>
      </c>
      <c r="H3102" s="69">
        <f>MAX(0,ROUND(H3099+Materiales!$H$446-G3101-H3100,4))</f>
        <v/>
      </c>
      <c r="I3102" s="69">
        <f>MAX(0,ROUND(I3099+Materiales!$H$446-H3101-I3100,4))</f>
        <v/>
      </c>
      <c r="J3102" s="69">
        <f>MAX(0,ROUND(J3099+Materiales!$H$446-I3101-J3100,4))</f>
        <v/>
      </c>
      <c r="K3102" s="69">
        <f>MAX(0,ROUND(K3099+Materiales!$H$446-J3101-K3100,4))</f>
        <v/>
      </c>
      <c r="L3102" s="69">
        <f>MAX(0,ROUND(L3099+Materiales!$H$446-K3101-L3100,4))</f>
        <v/>
      </c>
      <c r="M3102" s="66" t="n"/>
    </row>
    <row r="3103">
      <c r="C3103" s="63" t="inlineStr">
        <is>
          <t>Recepcion de orden planificada</t>
        </is>
      </c>
      <c r="D3103" s="64" t="n"/>
      <c r="E3103" s="65">
        <f>IF(E3102&lt;=0,0,IF(Materiales!$G$446&lt;=0,E3102,ROUNDUP(E3102/Materiales!$G$446,0)*Materiales!$G$446))</f>
        <v/>
      </c>
      <c r="F3103" s="65">
        <f>IF(F3102&lt;=0,0,IF(Materiales!$G$446&lt;=0,F3102,ROUNDUP(F3102/Materiales!$G$446,0)*Materiales!$G$446))</f>
        <v/>
      </c>
      <c r="G3103" s="65">
        <f>IF(G3102&lt;=0,0,IF(Materiales!$G$446&lt;=0,G3102,ROUNDUP(G3102/Materiales!$G$446,0)*Materiales!$G$446))</f>
        <v/>
      </c>
      <c r="H3103" s="65">
        <f>IF(H3102&lt;=0,0,IF(Materiales!$G$446&lt;=0,H3102,ROUNDUP(H3102/Materiales!$G$446,0)*Materiales!$G$446))</f>
        <v/>
      </c>
      <c r="I3103" s="65">
        <f>IF(I3102&lt;=0,0,IF(Materiales!$G$446&lt;=0,I3102,ROUNDUP(I3102/Materiales!$G$446,0)*Materiales!$G$446))</f>
        <v/>
      </c>
      <c r="J3103" s="65">
        <f>IF(J3102&lt;=0,0,IF(Materiales!$G$446&lt;=0,J3102,ROUNDUP(J3102/Materiales!$G$446,0)*Materiales!$G$446))</f>
        <v/>
      </c>
      <c r="K3103" s="65">
        <f>IF(K3102&lt;=0,0,IF(Materiales!$G$446&lt;=0,K3102,ROUNDUP(K3102/Materiales!$G$446,0)*Materiales!$G$446))</f>
        <v/>
      </c>
      <c r="L3103" s="65">
        <f>IF(L3102&lt;=0,0,IF(Materiales!$G$446&lt;=0,L3102,ROUNDUP(L3102/Materiales!$G$446,0)*Materiales!$G$446))</f>
        <v/>
      </c>
      <c r="M3103" s="66" t="n"/>
    </row>
    <row r="3104">
      <c r="C3104" s="70" t="inlineStr">
        <is>
          <t>LANZAMIENTO DE ORDEN — pedir esta semana</t>
        </is>
      </c>
      <c r="D3104" s="64" t="n"/>
      <c r="E3104" s="71">
        <f>IF(1+Materiales!$F$446&gt;8,0,INDEX($E$3103:$L$3103,1,1+Materiales!$F$446))</f>
        <v/>
      </c>
      <c r="F3104" s="71">
        <f>IF(2+Materiales!$F$446&gt;8,0,INDEX($E$3103:$L$3103,1,2+Materiales!$F$446))</f>
        <v/>
      </c>
      <c r="G3104" s="71">
        <f>IF(3+Materiales!$F$446&gt;8,0,INDEX($E$3103:$L$3103,1,3+Materiales!$F$446))</f>
        <v/>
      </c>
      <c r="H3104" s="71">
        <f>IF(4+Materiales!$F$446&gt;8,0,INDEX($E$3103:$L$3103,1,4+Materiales!$F$446))</f>
        <v/>
      </c>
      <c r="I3104" s="71">
        <f>IF(5+Materiales!$F$446&gt;8,0,INDEX($E$3103:$L$3103,1,5+Materiales!$F$446))</f>
        <v/>
      </c>
      <c r="J3104" s="71">
        <f>IF(6+Materiales!$F$446&gt;8,0,INDEX($E$3103:$L$3103,1,6+Materiales!$F$446))</f>
        <v/>
      </c>
      <c r="K3104" s="71">
        <f>IF(7+Materiales!$F$446&gt;8,0,INDEX($E$3103:$L$3103,1,7+Materiales!$F$446))</f>
        <v/>
      </c>
      <c r="L3104" s="71">
        <f>IF(8+Materiales!$F$446&gt;8,0,INDEX($E$3103:$L$3103,1,8+Materiales!$F$446))</f>
        <v/>
      </c>
      <c r="M3104" s="72">
        <f>IF($A3099="","",IF(SUMPRODUCT((COLUMN($E$3103:$L$3103)-4&lt;=Materiales!$F$446)*$E$3103:$L$3103)&gt;0,"PEDIR YA (atrasado)","OK"))</f>
        <v/>
      </c>
    </row>
    <row r="3105" ht="6" customHeight="1"/>
    <row r="3106">
      <c r="A3106" s="62">
        <f>IF(Materiales!$A$447="","",Materiales!$A$447)</f>
        <v/>
      </c>
      <c r="B3106" s="62">
        <f>IF(Materiales!$B$447="","",Materiales!$B$447)</f>
        <v/>
      </c>
      <c r="C3106" s="63" t="inlineStr">
        <is>
          <t>Necesidad bruta</t>
        </is>
      </c>
      <c r="D3106" s="64" t="n"/>
      <c r="E3106" s="65">
        <f>ROUND(SUMIF(Consumo!$P$4:$P$189,"#"&amp;$A3106,Consumo!H$4:H$189),4)</f>
        <v/>
      </c>
      <c r="F3106" s="65">
        <f>ROUND(SUMIF(Consumo!$P$4:$P$189,"#"&amp;$A3106,Consumo!I$4:I$189),4)</f>
        <v/>
      </c>
      <c r="G3106" s="65">
        <f>ROUND(SUMIF(Consumo!$P$4:$P$189,"#"&amp;$A3106,Consumo!J$4:J$189),4)</f>
        <v/>
      </c>
      <c r="H3106" s="65">
        <f>ROUND(SUMIF(Consumo!$P$4:$P$189,"#"&amp;$A3106,Consumo!K$4:K$189),4)</f>
        <v/>
      </c>
      <c r="I3106" s="65">
        <f>ROUND(SUMIF(Consumo!$P$4:$P$189,"#"&amp;$A3106,Consumo!L$4:L$189),4)</f>
        <v/>
      </c>
      <c r="J3106" s="65">
        <f>ROUND(SUMIF(Consumo!$P$4:$P$189,"#"&amp;$A3106,Consumo!M$4:M$189),4)</f>
        <v/>
      </c>
      <c r="K3106" s="65">
        <f>ROUND(SUMIF(Consumo!$P$4:$P$189,"#"&amp;$A3106,Consumo!N$4:N$189),4)</f>
        <v/>
      </c>
      <c r="L3106" s="65">
        <f>ROUND(SUMIF(Consumo!$P$4:$P$189,"#"&amp;$A3106,Consumo!O$4:O$189),4)</f>
        <v/>
      </c>
      <c r="M3106" s="66" t="n"/>
    </row>
    <row r="3107">
      <c r="C3107" s="63" t="inlineStr">
        <is>
          <t>Recepciones programadas (ya pedido)</t>
        </is>
      </c>
      <c r="D3107" s="64" t="n"/>
      <c r="E3107" s="65">
        <f>SUMIF(Inventario!$M$5:$M$505,"#"&amp;$A3106,Inventario!E$5:E$505)</f>
        <v/>
      </c>
      <c r="F3107" s="65">
        <f>SUMIF(Inventario!$M$5:$M$505,"#"&amp;$A3106,Inventario!F$5:F$505)</f>
        <v/>
      </c>
      <c r="G3107" s="65">
        <f>SUMIF(Inventario!$M$5:$M$505,"#"&amp;$A3106,Inventario!G$5:G$505)</f>
        <v/>
      </c>
      <c r="H3107" s="65">
        <f>SUMIF(Inventario!$M$5:$M$505,"#"&amp;$A3106,Inventario!H$5:H$505)</f>
        <v/>
      </c>
      <c r="I3107" s="65">
        <f>SUMIF(Inventario!$M$5:$M$505,"#"&amp;$A3106,Inventario!I$5:I$505)</f>
        <v/>
      </c>
      <c r="J3107" s="65">
        <f>SUMIF(Inventario!$M$5:$M$505,"#"&amp;$A3106,Inventario!J$5:J$505)</f>
        <v/>
      </c>
      <c r="K3107" s="65">
        <f>SUMIF(Inventario!$M$5:$M$505,"#"&amp;$A3106,Inventario!K$5:K$505)</f>
        <v/>
      </c>
      <c r="L3107" s="65">
        <f>SUMIF(Inventario!$M$5:$M$505,"#"&amp;$A3106,Inventario!L$5:L$505)</f>
        <v/>
      </c>
      <c r="M3107" s="66" t="n"/>
    </row>
    <row r="3108">
      <c r="C3108" s="63" t="inlineStr">
        <is>
          <t>Stock proyectado disponible</t>
        </is>
      </c>
      <c r="D3108" s="67">
        <f>SUMIF(Inventario!$M$5:$M$505,"#"&amp;$A3106,Inventario!$C$5:$C$505)</f>
        <v/>
      </c>
      <c r="E3108" s="68">
        <f>D3108+E3107+E3110-E3106</f>
        <v/>
      </c>
      <c r="F3108" s="68">
        <f>E3108+F3107+F3110-F3106</f>
        <v/>
      </c>
      <c r="G3108" s="68">
        <f>F3108+G3107+G3110-G3106</f>
        <v/>
      </c>
      <c r="H3108" s="68">
        <f>G3108+H3107+H3110-H3106</f>
        <v/>
      </c>
      <c r="I3108" s="68">
        <f>H3108+I3107+I3110-I3106</f>
        <v/>
      </c>
      <c r="J3108" s="68">
        <f>I3108+J3107+J3110-J3106</f>
        <v/>
      </c>
      <c r="K3108" s="68">
        <f>J3108+K3107+K3110-K3106</f>
        <v/>
      </c>
      <c r="L3108" s="68">
        <f>K3108+L3107+L3110-L3106</f>
        <v/>
      </c>
      <c r="M3108" s="66" t="n"/>
    </row>
    <row r="3109">
      <c r="C3109" s="63" t="inlineStr">
        <is>
          <t>Necesidad neta</t>
        </is>
      </c>
      <c r="D3109" s="64" t="n"/>
      <c r="E3109" s="69">
        <f>MAX(0,ROUND(E3106+Materiales!$H$447-D3108-E3107,4))</f>
        <v/>
      </c>
      <c r="F3109" s="69">
        <f>MAX(0,ROUND(F3106+Materiales!$H$447-E3108-F3107,4))</f>
        <v/>
      </c>
      <c r="G3109" s="69">
        <f>MAX(0,ROUND(G3106+Materiales!$H$447-F3108-G3107,4))</f>
        <v/>
      </c>
      <c r="H3109" s="69">
        <f>MAX(0,ROUND(H3106+Materiales!$H$447-G3108-H3107,4))</f>
        <v/>
      </c>
      <c r="I3109" s="69">
        <f>MAX(0,ROUND(I3106+Materiales!$H$447-H3108-I3107,4))</f>
        <v/>
      </c>
      <c r="J3109" s="69">
        <f>MAX(0,ROUND(J3106+Materiales!$H$447-I3108-J3107,4))</f>
        <v/>
      </c>
      <c r="K3109" s="69">
        <f>MAX(0,ROUND(K3106+Materiales!$H$447-J3108-K3107,4))</f>
        <v/>
      </c>
      <c r="L3109" s="69">
        <f>MAX(0,ROUND(L3106+Materiales!$H$447-K3108-L3107,4))</f>
        <v/>
      </c>
      <c r="M3109" s="66" t="n"/>
    </row>
    <row r="3110">
      <c r="C3110" s="63" t="inlineStr">
        <is>
          <t>Recepcion de orden planificada</t>
        </is>
      </c>
      <c r="D3110" s="64" t="n"/>
      <c r="E3110" s="65">
        <f>IF(E3109&lt;=0,0,IF(Materiales!$G$447&lt;=0,E3109,ROUNDUP(E3109/Materiales!$G$447,0)*Materiales!$G$447))</f>
        <v/>
      </c>
      <c r="F3110" s="65">
        <f>IF(F3109&lt;=0,0,IF(Materiales!$G$447&lt;=0,F3109,ROUNDUP(F3109/Materiales!$G$447,0)*Materiales!$G$447))</f>
        <v/>
      </c>
      <c r="G3110" s="65">
        <f>IF(G3109&lt;=0,0,IF(Materiales!$G$447&lt;=0,G3109,ROUNDUP(G3109/Materiales!$G$447,0)*Materiales!$G$447))</f>
        <v/>
      </c>
      <c r="H3110" s="65">
        <f>IF(H3109&lt;=0,0,IF(Materiales!$G$447&lt;=0,H3109,ROUNDUP(H3109/Materiales!$G$447,0)*Materiales!$G$447))</f>
        <v/>
      </c>
      <c r="I3110" s="65">
        <f>IF(I3109&lt;=0,0,IF(Materiales!$G$447&lt;=0,I3109,ROUNDUP(I3109/Materiales!$G$447,0)*Materiales!$G$447))</f>
        <v/>
      </c>
      <c r="J3110" s="65">
        <f>IF(J3109&lt;=0,0,IF(Materiales!$G$447&lt;=0,J3109,ROUNDUP(J3109/Materiales!$G$447,0)*Materiales!$G$447))</f>
        <v/>
      </c>
      <c r="K3110" s="65">
        <f>IF(K3109&lt;=0,0,IF(Materiales!$G$447&lt;=0,K3109,ROUNDUP(K3109/Materiales!$G$447,0)*Materiales!$G$447))</f>
        <v/>
      </c>
      <c r="L3110" s="65">
        <f>IF(L3109&lt;=0,0,IF(Materiales!$G$447&lt;=0,L3109,ROUNDUP(L3109/Materiales!$G$447,0)*Materiales!$G$447))</f>
        <v/>
      </c>
      <c r="M3110" s="66" t="n"/>
    </row>
    <row r="3111">
      <c r="C3111" s="70" t="inlineStr">
        <is>
          <t>LANZAMIENTO DE ORDEN — pedir esta semana</t>
        </is>
      </c>
      <c r="D3111" s="64" t="n"/>
      <c r="E3111" s="71">
        <f>IF(1+Materiales!$F$447&gt;8,0,INDEX($E$3110:$L$3110,1,1+Materiales!$F$447))</f>
        <v/>
      </c>
      <c r="F3111" s="71">
        <f>IF(2+Materiales!$F$447&gt;8,0,INDEX($E$3110:$L$3110,1,2+Materiales!$F$447))</f>
        <v/>
      </c>
      <c r="G3111" s="71">
        <f>IF(3+Materiales!$F$447&gt;8,0,INDEX($E$3110:$L$3110,1,3+Materiales!$F$447))</f>
        <v/>
      </c>
      <c r="H3111" s="71">
        <f>IF(4+Materiales!$F$447&gt;8,0,INDEX($E$3110:$L$3110,1,4+Materiales!$F$447))</f>
        <v/>
      </c>
      <c r="I3111" s="71">
        <f>IF(5+Materiales!$F$447&gt;8,0,INDEX($E$3110:$L$3110,1,5+Materiales!$F$447))</f>
        <v/>
      </c>
      <c r="J3111" s="71">
        <f>IF(6+Materiales!$F$447&gt;8,0,INDEX($E$3110:$L$3110,1,6+Materiales!$F$447))</f>
        <v/>
      </c>
      <c r="K3111" s="71">
        <f>IF(7+Materiales!$F$447&gt;8,0,INDEX($E$3110:$L$3110,1,7+Materiales!$F$447))</f>
        <v/>
      </c>
      <c r="L3111" s="71">
        <f>IF(8+Materiales!$F$447&gt;8,0,INDEX($E$3110:$L$3110,1,8+Materiales!$F$447))</f>
        <v/>
      </c>
      <c r="M3111" s="72">
        <f>IF($A3106="","",IF(SUMPRODUCT((COLUMN($E$3110:$L$3110)-4&lt;=Materiales!$F$447)*$E$3110:$L$3110)&gt;0,"PEDIR YA (atrasado)","OK"))</f>
        <v/>
      </c>
    </row>
    <row r="3112" ht="6" customHeight="1"/>
    <row r="3113">
      <c r="A3113" s="62">
        <f>IF(Materiales!$A$448="","",Materiales!$A$448)</f>
        <v/>
      </c>
      <c r="B3113" s="62">
        <f>IF(Materiales!$B$448="","",Materiales!$B$448)</f>
        <v/>
      </c>
      <c r="C3113" s="63" t="inlineStr">
        <is>
          <t>Necesidad bruta</t>
        </is>
      </c>
      <c r="D3113" s="64" t="n"/>
      <c r="E3113" s="65">
        <f>ROUND(SUMIF(Consumo!$P$4:$P$189,"#"&amp;$A3113,Consumo!H$4:H$189),4)</f>
        <v/>
      </c>
      <c r="F3113" s="65">
        <f>ROUND(SUMIF(Consumo!$P$4:$P$189,"#"&amp;$A3113,Consumo!I$4:I$189),4)</f>
        <v/>
      </c>
      <c r="G3113" s="65">
        <f>ROUND(SUMIF(Consumo!$P$4:$P$189,"#"&amp;$A3113,Consumo!J$4:J$189),4)</f>
        <v/>
      </c>
      <c r="H3113" s="65">
        <f>ROUND(SUMIF(Consumo!$P$4:$P$189,"#"&amp;$A3113,Consumo!K$4:K$189),4)</f>
        <v/>
      </c>
      <c r="I3113" s="65">
        <f>ROUND(SUMIF(Consumo!$P$4:$P$189,"#"&amp;$A3113,Consumo!L$4:L$189),4)</f>
        <v/>
      </c>
      <c r="J3113" s="65">
        <f>ROUND(SUMIF(Consumo!$P$4:$P$189,"#"&amp;$A3113,Consumo!M$4:M$189),4)</f>
        <v/>
      </c>
      <c r="K3113" s="65">
        <f>ROUND(SUMIF(Consumo!$P$4:$P$189,"#"&amp;$A3113,Consumo!N$4:N$189),4)</f>
        <v/>
      </c>
      <c r="L3113" s="65">
        <f>ROUND(SUMIF(Consumo!$P$4:$P$189,"#"&amp;$A3113,Consumo!O$4:O$189),4)</f>
        <v/>
      </c>
      <c r="M3113" s="66" t="n"/>
    </row>
    <row r="3114">
      <c r="C3114" s="63" t="inlineStr">
        <is>
          <t>Recepciones programadas (ya pedido)</t>
        </is>
      </c>
      <c r="D3114" s="64" t="n"/>
      <c r="E3114" s="65">
        <f>SUMIF(Inventario!$M$5:$M$505,"#"&amp;$A3113,Inventario!E$5:E$505)</f>
        <v/>
      </c>
      <c r="F3114" s="65">
        <f>SUMIF(Inventario!$M$5:$M$505,"#"&amp;$A3113,Inventario!F$5:F$505)</f>
        <v/>
      </c>
      <c r="G3114" s="65">
        <f>SUMIF(Inventario!$M$5:$M$505,"#"&amp;$A3113,Inventario!G$5:G$505)</f>
        <v/>
      </c>
      <c r="H3114" s="65">
        <f>SUMIF(Inventario!$M$5:$M$505,"#"&amp;$A3113,Inventario!H$5:H$505)</f>
        <v/>
      </c>
      <c r="I3114" s="65">
        <f>SUMIF(Inventario!$M$5:$M$505,"#"&amp;$A3113,Inventario!I$5:I$505)</f>
        <v/>
      </c>
      <c r="J3114" s="65">
        <f>SUMIF(Inventario!$M$5:$M$505,"#"&amp;$A3113,Inventario!J$5:J$505)</f>
        <v/>
      </c>
      <c r="K3114" s="65">
        <f>SUMIF(Inventario!$M$5:$M$505,"#"&amp;$A3113,Inventario!K$5:K$505)</f>
        <v/>
      </c>
      <c r="L3114" s="65">
        <f>SUMIF(Inventario!$M$5:$M$505,"#"&amp;$A3113,Inventario!L$5:L$505)</f>
        <v/>
      </c>
      <c r="M3114" s="66" t="n"/>
    </row>
    <row r="3115">
      <c r="C3115" s="63" t="inlineStr">
        <is>
          <t>Stock proyectado disponible</t>
        </is>
      </c>
      <c r="D3115" s="67">
        <f>SUMIF(Inventario!$M$5:$M$505,"#"&amp;$A3113,Inventario!$C$5:$C$505)</f>
        <v/>
      </c>
      <c r="E3115" s="68">
        <f>D3115+E3114+E3117-E3113</f>
        <v/>
      </c>
      <c r="F3115" s="68">
        <f>E3115+F3114+F3117-F3113</f>
        <v/>
      </c>
      <c r="G3115" s="68">
        <f>F3115+G3114+G3117-G3113</f>
        <v/>
      </c>
      <c r="H3115" s="68">
        <f>G3115+H3114+H3117-H3113</f>
        <v/>
      </c>
      <c r="I3115" s="68">
        <f>H3115+I3114+I3117-I3113</f>
        <v/>
      </c>
      <c r="J3115" s="68">
        <f>I3115+J3114+J3117-J3113</f>
        <v/>
      </c>
      <c r="K3115" s="68">
        <f>J3115+K3114+K3117-K3113</f>
        <v/>
      </c>
      <c r="L3115" s="68">
        <f>K3115+L3114+L3117-L3113</f>
        <v/>
      </c>
      <c r="M3115" s="66" t="n"/>
    </row>
    <row r="3116">
      <c r="C3116" s="63" t="inlineStr">
        <is>
          <t>Necesidad neta</t>
        </is>
      </c>
      <c r="D3116" s="64" t="n"/>
      <c r="E3116" s="69">
        <f>MAX(0,ROUND(E3113+Materiales!$H$448-D3115-E3114,4))</f>
        <v/>
      </c>
      <c r="F3116" s="69">
        <f>MAX(0,ROUND(F3113+Materiales!$H$448-E3115-F3114,4))</f>
        <v/>
      </c>
      <c r="G3116" s="69">
        <f>MAX(0,ROUND(G3113+Materiales!$H$448-F3115-G3114,4))</f>
        <v/>
      </c>
      <c r="H3116" s="69">
        <f>MAX(0,ROUND(H3113+Materiales!$H$448-G3115-H3114,4))</f>
        <v/>
      </c>
      <c r="I3116" s="69">
        <f>MAX(0,ROUND(I3113+Materiales!$H$448-H3115-I3114,4))</f>
        <v/>
      </c>
      <c r="J3116" s="69">
        <f>MAX(0,ROUND(J3113+Materiales!$H$448-I3115-J3114,4))</f>
        <v/>
      </c>
      <c r="K3116" s="69">
        <f>MAX(0,ROUND(K3113+Materiales!$H$448-J3115-K3114,4))</f>
        <v/>
      </c>
      <c r="L3116" s="69">
        <f>MAX(0,ROUND(L3113+Materiales!$H$448-K3115-L3114,4))</f>
        <v/>
      </c>
      <c r="M3116" s="66" t="n"/>
    </row>
    <row r="3117">
      <c r="C3117" s="63" t="inlineStr">
        <is>
          <t>Recepcion de orden planificada</t>
        </is>
      </c>
      <c r="D3117" s="64" t="n"/>
      <c r="E3117" s="65">
        <f>IF(E3116&lt;=0,0,IF(Materiales!$G$448&lt;=0,E3116,ROUNDUP(E3116/Materiales!$G$448,0)*Materiales!$G$448))</f>
        <v/>
      </c>
      <c r="F3117" s="65">
        <f>IF(F3116&lt;=0,0,IF(Materiales!$G$448&lt;=0,F3116,ROUNDUP(F3116/Materiales!$G$448,0)*Materiales!$G$448))</f>
        <v/>
      </c>
      <c r="G3117" s="65">
        <f>IF(G3116&lt;=0,0,IF(Materiales!$G$448&lt;=0,G3116,ROUNDUP(G3116/Materiales!$G$448,0)*Materiales!$G$448))</f>
        <v/>
      </c>
      <c r="H3117" s="65">
        <f>IF(H3116&lt;=0,0,IF(Materiales!$G$448&lt;=0,H3116,ROUNDUP(H3116/Materiales!$G$448,0)*Materiales!$G$448))</f>
        <v/>
      </c>
      <c r="I3117" s="65">
        <f>IF(I3116&lt;=0,0,IF(Materiales!$G$448&lt;=0,I3116,ROUNDUP(I3116/Materiales!$G$448,0)*Materiales!$G$448))</f>
        <v/>
      </c>
      <c r="J3117" s="65">
        <f>IF(J3116&lt;=0,0,IF(Materiales!$G$448&lt;=0,J3116,ROUNDUP(J3116/Materiales!$G$448,0)*Materiales!$G$448))</f>
        <v/>
      </c>
      <c r="K3117" s="65">
        <f>IF(K3116&lt;=0,0,IF(Materiales!$G$448&lt;=0,K3116,ROUNDUP(K3116/Materiales!$G$448,0)*Materiales!$G$448))</f>
        <v/>
      </c>
      <c r="L3117" s="65">
        <f>IF(L3116&lt;=0,0,IF(Materiales!$G$448&lt;=0,L3116,ROUNDUP(L3116/Materiales!$G$448,0)*Materiales!$G$448))</f>
        <v/>
      </c>
      <c r="M3117" s="66" t="n"/>
    </row>
    <row r="3118">
      <c r="C3118" s="70" t="inlineStr">
        <is>
          <t>LANZAMIENTO DE ORDEN — pedir esta semana</t>
        </is>
      </c>
      <c r="D3118" s="64" t="n"/>
      <c r="E3118" s="71">
        <f>IF(1+Materiales!$F$448&gt;8,0,INDEX($E$3117:$L$3117,1,1+Materiales!$F$448))</f>
        <v/>
      </c>
      <c r="F3118" s="71">
        <f>IF(2+Materiales!$F$448&gt;8,0,INDEX($E$3117:$L$3117,1,2+Materiales!$F$448))</f>
        <v/>
      </c>
      <c r="G3118" s="71">
        <f>IF(3+Materiales!$F$448&gt;8,0,INDEX($E$3117:$L$3117,1,3+Materiales!$F$448))</f>
        <v/>
      </c>
      <c r="H3118" s="71">
        <f>IF(4+Materiales!$F$448&gt;8,0,INDEX($E$3117:$L$3117,1,4+Materiales!$F$448))</f>
        <v/>
      </c>
      <c r="I3118" s="71">
        <f>IF(5+Materiales!$F$448&gt;8,0,INDEX($E$3117:$L$3117,1,5+Materiales!$F$448))</f>
        <v/>
      </c>
      <c r="J3118" s="71">
        <f>IF(6+Materiales!$F$448&gt;8,0,INDEX($E$3117:$L$3117,1,6+Materiales!$F$448))</f>
        <v/>
      </c>
      <c r="K3118" s="71">
        <f>IF(7+Materiales!$F$448&gt;8,0,INDEX($E$3117:$L$3117,1,7+Materiales!$F$448))</f>
        <v/>
      </c>
      <c r="L3118" s="71">
        <f>IF(8+Materiales!$F$448&gt;8,0,INDEX($E$3117:$L$3117,1,8+Materiales!$F$448))</f>
        <v/>
      </c>
      <c r="M3118" s="72">
        <f>IF($A3113="","",IF(SUMPRODUCT((COLUMN($E$3117:$L$3117)-4&lt;=Materiales!$F$448)*$E$3117:$L$3117)&gt;0,"PEDIR YA (atrasado)","OK"))</f>
        <v/>
      </c>
    </row>
    <row r="3119" ht="6" customHeight="1"/>
    <row r="3120">
      <c r="A3120" s="62">
        <f>IF(Materiales!$A$449="","",Materiales!$A$449)</f>
        <v/>
      </c>
      <c r="B3120" s="62">
        <f>IF(Materiales!$B$449="","",Materiales!$B$449)</f>
        <v/>
      </c>
      <c r="C3120" s="63" t="inlineStr">
        <is>
          <t>Necesidad bruta</t>
        </is>
      </c>
      <c r="D3120" s="64" t="n"/>
      <c r="E3120" s="65">
        <f>ROUND(SUMIF(Consumo!$P$4:$P$189,"#"&amp;$A3120,Consumo!H$4:H$189),4)</f>
        <v/>
      </c>
      <c r="F3120" s="65">
        <f>ROUND(SUMIF(Consumo!$P$4:$P$189,"#"&amp;$A3120,Consumo!I$4:I$189),4)</f>
        <v/>
      </c>
      <c r="G3120" s="65">
        <f>ROUND(SUMIF(Consumo!$P$4:$P$189,"#"&amp;$A3120,Consumo!J$4:J$189),4)</f>
        <v/>
      </c>
      <c r="H3120" s="65">
        <f>ROUND(SUMIF(Consumo!$P$4:$P$189,"#"&amp;$A3120,Consumo!K$4:K$189),4)</f>
        <v/>
      </c>
      <c r="I3120" s="65">
        <f>ROUND(SUMIF(Consumo!$P$4:$P$189,"#"&amp;$A3120,Consumo!L$4:L$189),4)</f>
        <v/>
      </c>
      <c r="J3120" s="65">
        <f>ROUND(SUMIF(Consumo!$P$4:$P$189,"#"&amp;$A3120,Consumo!M$4:M$189),4)</f>
        <v/>
      </c>
      <c r="K3120" s="65">
        <f>ROUND(SUMIF(Consumo!$P$4:$P$189,"#"&amp;$A3120,Consumo!N$4:N$189),4)</f>
        <v/>
      </c>
      <c r="L3120" s="65">
        <f>ROUND(SUMIF(Consumo!$P$4:$P$189,"#"&amp;$A3120,Consumo!O$4:O$189),4)</f>
        <v/>
      </c>
      <c r="M3120" s="66" t="n"/>
    </row>
    <row r="3121">
      <c r="C3121" s="63" t="inlineStr">
        <is>
          <t>Recepciones programadas (ya pedido)</t>
        </is>
      </c>
      <c r="D3121" s="64" t="n"/>
      <c r="E3121" s="65">
        <f>SUMIF(Inventario!$M$5:$M$505,"#"&amp;$A3120,Inventario!E$5:E$505)</f>
        <v/>
      </c>
      <c r="F3121" s="65">
        <f>SUMIF(Inventario!$M$5:$M$505,"#"&amp;$A3120,Inventario!F$5:F$505)</f>
        <v/>
      </c>
      <c r="G3121" s="65">
        <f>SUMIF(Inventario!$M$5:$M$505,"#"&amp;$A3120,Inventario!G$5:G$505)</f>
        <v/>
      </c>
      <c r="H3121" s="65">
        <f>SUMIF(Inventario!$M$5:$M$505,"#"&amp;$A3120,Inventario!H$5:H$505)</f>
        <v/>
      </c>
      <c r="I3121" s="65">
        <f>SUMIF(Inventario!$M$5:$M$505,"#"&amp;$A3120,Inventario!I$5:I$505)</f>
        <v/>
      </c>
      <c r="J3121" s="65">
        <f>SUMIF(Inventario!$M$5:$M$505,"#"&amp;$A3120,Inventario!J$5:J$505)</f>
        <v/>
      </c>
      <c r="K3121" s="65">
        <f>SUMIF(Inventario!$M$5:$M$505,"#"&amp;$A3120,Inventario!K$5:K$505)</f>
        <v/>
      </c>
      <c r="L3121" s="65">
        <f>SUMIF(Inventario!$M$5:$M$505,"#"&amp;$A3120,Inventario!L$5:L$505)</f>
        <v/>
      </c>
      <c r="M3121" s="66" t="n"/>
    </row>
    <row r="3122">
      <c r="C3122" s="63" t="inlineStr">
        <is>
          <t>Stock proyectado disponible</t>
        </is>
      </c>
      <c r="D3122" s="67">
        <f>SUMIF(Inventario!$M$5:$M$505,"#"&amp;$A3120,Inventario!$C$5:$C$505)</f>
        <v/>
      </c>
      <c r="E3122" s="68">
        <f>D3122+E3121+E3124-E3120</f>
        <v/>
      </c>
      <c r="F3122" s="68">
        <f>E3122+F3121+F3124-F3120</f>
        <v/>
      </c>
      <c r="G3122" s="68">
        <f>F3122+G3121+G3124-G3120</f>
        <v/>
      </c>
      <c r="H3122" s="68">
        <f>G3122+H3121+H3124-H3120</f>
        <v/>
      </c>
      <c r="I3122" s="68">
        <f>H3122+I3121+I3124-I3120</f>
        <v/>
      </c>
      <c r="J3122" s="68">
        <f>I3122+J3121+J3124-J3120</f>
        <v/>
      </c>
      <c r="K3122" s="68">
        <f>J3122+K3121+K3124-K3120</f>
        <v/>
      </c>
      <c r="L3122" s="68">
        <f>K3122+L3121+L3124-L3120</f>
        <v/>
      </c>
      <c r="M3122" s="66" t="n"/>
    </row>
    <row r="3123">
      <c r="C3123" s="63" t="inlineStr">
        <is>
          <t>Necesidad neta</t>
        </is>
      </c>
      <c r="D3123" s="64" t="n"/>
      <c r="E3123" s="69">
        <f>MAX(0,ROUND(E3120+Materiales!$H$449-D3122-E3121,4))</f>
        <v/>
      </c>
      <c r="F3123" s="69">
        <f>MAX(0,ROUND(F3120+Materiales!$H$449-E3122-F3121,4))</f>
        <v/>
      </c>
      <c r="G3123" s="69">
        <f>MAX(0,ROUND(G3120+Materiales!$H$449-F3122-G3121,4))</f>
        <v/>
      </c>
      <c r="H3123" s="69">
        <f>MAX(0,ROUND(H3120+Materiales!$H$449-G3122-H3121,4))</f>
        <v/>
      </c>
      <c r="I3123" s="69">
        <f>MAX(0,ROUND(I3120+Materiales!$H$449-H3122-I3121,4))</f>
        <v/>
      </c>
      <c r="J3123" s="69">
        <f>MAX(0,ROUND(J3120+Materiales!$H$449-I3122-J3121,4))</f>
        <v/>
      </c>
      <c r="K3123" s="69">
        <f>MAX(0,ROUND(K3120+Materiales!$H$449-J3122-K3121,4))</f>
        <v/>
      </c>
      <c r="L3123" s="69">
        <f>MAX(0,ROUND(L3120+Materiales!$H$449-K3122-L3121,4))</f>
        <v/>
      </c>
      <c r="M3123" s="66" t="n"/>
    </row>
    <row r="3124">
      <c r="C3124" s="63" t="inlineStr">
        <is>
          <t>Recepcion de orden planificada</t>
        </is>
      </c>
      <c r="D3124" s="64" t="n"/>
      <c r="E3124" s="65">
        <f>IF(E3123&lt;=0,0,IF(Materiales!$G$449&lt;=0,E3123,ROUNDUP(E3123/Materiales!$G$449,0)*Materiales!$G$449))</f>
        <v/>
      </c>
      <c r="F3124" s="65">
        <f>IF(F3123&lt;=0,0,IF(Materiales!$G$449&lt;=0,F3123,ROUNDUP(F3123/Materiales!$G$449,0)*Materiales!$G$449))</f>
        <v/>
      </c>
      <c r="G3124" s="65">
        <f>IF(G3123&lt;=0,0,IF(Materiales!$G$449&lt;=0,G3123,ROUNDUP(G3123/Materiales!$G$449,0)*Materiales!$G$449))</f>
        <v/>
      </c>
      <c r="H3124" s="65">
        <f>IF(H3123&lt;=0,0,IF(Materiales!$G$449&lt;=0,H3123,ROUNDUP(H3123/Materiales!$G$449,0)*Materiales!$G$449))</f>
        <v/>
      </c>
      <c r="I3124" s="65">
        <f>IF(I3123&lt;=0,0,IF(Materiales!$G$449&lt;=0,I3123,ROUNDUP(I3123/Materiales!$G$449,0)*Materiales!$G$449))</f>
        <v/>
      </c>
      <c r="J3124" s="65">
        <f>IF(J3123&lt;=0,0,IF(Materiales!$G$449&lt;=0,J3123,ROUNDUP(J3123/Materiales!$G$449,0)*Materiales!$G$449))</f>
        <v/>
      </c>
      <c r="K3124" s="65">
        <f>IF(K3123&lt;=0,0,IF(Materiales!$G$449&lt;=0,K3123,ROUNDUP(K3123/Materiales!$G$449,0)*Materiales!$G$449))</f>
        <v/>
      </c>
      <c r="L3124" s="65">
        <f>IF(L3123&lt;=0,0,IF(Materiales!$G$449&lt;=0,L3123,ROUNDUP(L3123/Materiales!$G$449,0)*Materiales!$G$449))</f>
        <v/>
      </c>
      <c r="M3124" s="66" t="n"/>
    </row>
    <row r="3125">
      <c r="C3125" s="70" t="inlineStr">
        <is>
          <t>LANZAMIENTO DE ORDEN — pedir esta semana</t>
        </is>
      </c>
      <c r="D3125" s="64" t="n"/>
      <c r="E3125" s="71">
        <f>IF(1+Materiales!$F$449&gt;8,0,INDEX($E$3124:$L$3124,1,1+Materiales!$F$449))</f>
        <v/>
      </c>
      <c r="F3125" s="71">
        <f>IF(2+Materiales!$F$449&gt;8,0,INDEX($E$3124:$L$3124,1,2+Materiales!$F$449))</f>
        <v/>
      </c>
      <c r="G3125" s="71">
        <f>IF(3+Materiales!$F$449&gt;8,0,INDEX($E$3124:$L$3124,1,3+Materiales!$F$449))</f>
        <v/>
      </c>
      <c r="H3125" s="71">
        <f>IF(4+Materiales!$F$449&gt;8,0,INDEX($E$3124:$L$3124,1,4+Materiales!$F$449))</f>
        <v/>
      </c>
      <c r="I3125" s="71">
        <f>IF(5+Materiales!$F$449&gt;8,0,INDEX($E$3124:$L$3124,1,5+Materiales!$F$449))</f>
        <v/>
      </c>
      <c r="J3125" s="71">
        <f>IF(6+Materiales!$F$449&gt;8,0,INDEX($E$3124:$L$3124,1,6+Materiales!$F$449))</f>
        <v/>
      </c>
      <c r="K3125" s="71">
        <f>IF(7+Materiales!$F$449&gt;8,0,INDEX($E$3124:$L$3124,1,7+Materiales!$F$449))</f>
        <v/>
      </c>
      <c r="L3125" s="71">
        <f>IF(8+Materiales!$F$449&gt;8,0,INDEX($E$3124:$L$3124,1,8+Materiales!$F$449))</f>
        <v/>
      </c>
      <c r="M3125" s="72">
        <f>IF($A3120="","",IF(SUMPRODUCT((COLUMN($E$3124:$L$3124)-4&lt;=Materiales!$F$449)*$E$3124:$L$3124)&gt;0,"PEDIR YA (atrasado)","OK"))</f>
        <v/>
      </c>
    </row>
    <row r="3126" ht="6" customHeight="1"/>
    <row r="3127">
      <c r="A3127" s="62">
        <f>IF(Materiales!$A$450="","",Materiales!$A$450)</f>
        <v/>
      </c>
      <c r="B3127" s="62">
        <f>IF(Materiales!$B$450="","",Materiales!$B$450)</f>
        <v/>
      </c>
      <c r="C3127" s="63" t="inlineStr">
        <is>
          <t>Necesidad bruta</t>
        </is>
      </c>
      <c r="D3127" s="64" t="n"/>
      <c r="E3127" s="65">
        <f>ROUND(SUMIF(Consumo!$P$4:$P$189,"#"&amp;$A3127,Consumo!H$4:H$189),4)</f>
        <v/>
      </c>
      <c r="F3127" s="65">
        <f>ROUND(SUMIF(Consumo!$P$4:$P$189,"#"&amp;$A3127,Consumo!I$4:I$189),4)</f>
        <v/>
      </c>
      <c r="G3127" s="65">
        <f>ROUND(SUMIF(Consumo!$P$4:$P$189,"#"&amp;$A3127,Consumo!J$4:J$189),4)</f>
        <v/>
      </c>
      <c r="H3127" s="65">
        <f>ROUND(SUMIF(Consumo!$P$4:$P$189,"#"&amp;$A3127,Consumo!K$4:K$189),4)</f>
        <v/>
      </c>
      <c r="I3127" s="65">
        <f>ROUND(SUMIF(Consumo!$P$4:$P$189,"#"&amp;$A3127,Consumo!L$4:L$189),4)</f>
        <v/>
      </c>
      <c r="J3127" s="65">
        <f>ROUND(SUMIF(Consumo!$P$4:$P$189,"#"&amp;$A3127,Consumo!M$4:M$189),4)</f>
        <v/>
      </c>
      <c r="K3127" s="65">
        <f>ROUND(SUMIF(Consumo!$P$4:$P$189,"#"&amp;$A3127,Consumo!N$4:N$189),4)</f>
        <v/>
      </c>
      <c r="L3127" s="65">
        <f>ROUND(SUMIF(Consumo!$P$4:$P$189,"#"&amp;$A3127,Consumo!O$4:O$189),4)</f>
        <v/>
      </c>
      <c r="M3127" s="66" t="n"/>
    </row>
    <row r="3128">
      <c r="C3128" s="63" t="inlineStr">
        <is>
          <t>Recepciones programadas (ya pedido)</t>
        </is>
      </c>
      <c r="D3128" s="64" t="n"/>
      <c r="E3128" s="65">
        <f>SUMIF(Inventario!$M$5:$M$505,"#"&amp;$A3127,Inventario!E$5:E$505)</f>
        <v/>
      </c>
      <c r="F3128" s="65">
        <f>SUMIF(Inventario!$M$5:$M$505,"#"&amp;$A3127,Inventario!F$5:F$505)</f>
        <v/>
      </c>
      <c r="G3128" s="65">
        <f>SUMIF(Inventario!$M$5:$M$505,"#"&amp;$A3127,Inventario!G$5:G$505)</f>
        <v/>
      </c>
      <c r="H3128" s="65">
        <f>SUMIF(Inventario!$M$5:$M$505,"#"&amp;$A3127,Inventario!H$5:H$505)</f>
        <v/>
      </c>
      <c r="I3128" s="65">
        <f>SUMIF(Inventario!$M$5:$M$505,"#"&amp;$A3127,Inventario!I$5:I$505)</f>
        <v/>
      </c>
      <c r="J3128" s="65">
        <f>SUMIF(Inventario!$M$5:$M$505,"#"&amp;$A3127,Inventario!J$5:J$505)</f>
        <v/>
      </c>
      <c r="K3128" s="65">
        <f>SUMIF(Inventario!$M$5:$M$505,"#"&amp;$A3127,Inventario!K$5:K$505)</f>
        <v/>
      </c>
      <c r="L3128" s="65">
        <f>SUMIF(Inventario!$M$5:$M$505,"#"&amp;$A3127,Inventario!L$5:L$505)</f>
        <v/>
      </c>
      <c r="M3128" s="66" t="n"/>
    </row>
    <row r="3129">
      <c r="C3129" s="63" t="inlineStr">
        <is>
          <t>Stock proyectado disponible</t>
        </is>
      </c>
      <c r="D3129" s="67">
        <f>SUMIF(Inventario!$M$5:$M$505,"#"&amp;$A3127,Inventario!$C$5:$C$505)</f>
        <v/>
      </c>
      <c r="E3129" s="68">
        <f>D3129+E3128+E3131-E3127</f>
        <v/>
      </c>
      <c r="F3129" s="68">
        <f>E3129+F3128+F3131-F3127</f>
        <v/>
      </c>
      <c r="G3129" s="68">
        <f>F3129+G3128+G3131-G3127</f>
        <v/>
      </c>
      <c r="H3129" s="68">
        <f>G3129+H3128+H3131-H3127</f>
        <v/>
      </c>
      <c r="I3129" s="68">
        <f>H3129+I3128+I3131-I3127</f>
        <v/>
      </c>
      <c r="J3129" s="68">
        <f>I3129+J3128+J3131-J3127</f>
        <v/>
      </c>
      <c r="K3129" s="68">
        <f>J3129+K3128+K3131-K3127</f>
        <v/>
      </c>
      <c r="L3129" s="68">
        <f>K3129+L3128+L3131-L3127</f>
        <v/>
      </c>
      <c r="M3129" s="66" t="n"/>
    </row>
    <row r="3130">
      <c r="C3130" s="63" t="inlineStr">
        <is>
          <t>Necesidad neta</t>
        </is>
      </c>
      <c r="D3130" s="64" t="n"/>
      <c r="E3130" s="69">
        <f>MAX(0,ROUND(E3127+Materiales!$H$450-D3129-E3128,4))</f>
        <v/>
      </c>
      <c r="F3130" s="69">
        <f>MAX(0,ROUND(F3127+Materiales!$H$450-E3129-F3128,4))</f>
        <v/>
      </c>
      <c r="G3130" s="69">
        <f>MAX(0,ROUND(G3127+Materiales!$H$450-F3129-G3128,4))</f>
        <v/>
      </c>
      <c r="H3130" s="69">
        <f>MAX(0,ROUND(H3127+Materiales!$H$450-G3129-H3128,4))</f>
        <v/>
      </c>
      <c r="I3130" s="69">
        <f>MAX(0,ROUND(I3127+Materiales!$H$450-H3129-I3128,4))</f>
        <v/>
      </c>
      <c r="J3130" s="69">
        <f>MAX(0,ROUND(J3127+Materiales!$H$450-I3129-J3128,4))</f>
        <v/>
      </c>
      <c r="K3130" s="69">
        <f>MAX(0,ROUND(K3127+Materiales!$H$450-J3129-K3128,4))</f>
        <v/>
      </c>
      <c r="L3130" s="69">
        <f>MAX(0,ROUND(L3127+Materiales!$H$450-K3129-L3128,4))</f>
        <v/>
      </c>
      <c r="M3130" s="66" t="n"/>
    </row>
    <row r="3131">
      <c r="C3131" s="63" t="inlineStr">
        <is>
          <t>Recepcion de orden planificada</t>
        </is>
      </c>
      <c r="D3131" s="64" t="n"/>
      <c r="E3131" s="65">
        <f>IF(E3130&lt;=0,0,IF(Materiales!$G$450&lt;=0,E3130,ROUNDUP(E3130/Materiales!$G$450,0)*Materiales!$G$450))</f>
        <v/>
      </c>
      <c r="F3131" s="65">
        <f>IF(F3130&lt;=0,0,IF(Materiales!$G$450&lt;=0,F3130,ROUNDUP(F3130/Materiales!$G$450,0)*Materiales!$G$450))</f>
        <v/>
      </c>
      <c r="G3131" s="65">
        <f>IF(G3130&lt;=0,0,IF(Materiales!$G$450&lt;=0,G3130,ROUNDUP(G3130/Materiales!$G$450,0)*Materiales!$G$450))</f>
        <v/>
      </c>
      <c r="H3131" s="65">
        <f>IF(H3130&lt;=0,0,IF(Materiales!$G$450&lt;=0,H3130,ROUNDUP(H3130/Materiales!$G$450,0)*Materiales!$G$450))</f>
        <v/>
      </c>
      <c r="I3131" s="65">
        <f>IF(I3130&lt;=0,0,IF(Materiales!$G$450&lt;=0,I3130,ROUNDUP(I3130/Materiales!$G$450,0)*Materiales!$G$450))</f>
        <v/>
      </c>
      <c r="J3131" s="65">
        <f>IF(J3130&lt;=0,0,IF(Materiales!$G$450&lt;=0,J3130,ROUNDUP(J3130/Materiales!$G$450,0)*Materiales!$G$450))</f>
        <v/>
      </c>
      <c r="K3131" s="65">
        <f>IF(K3130&lt;=0,0,IF(Materiales!$G$450&lt;=0,K3130,ROUNDUP(K3130/Materiales!$G$450,0)*Materiales!$G$450))</f>
        <v/>
      </c>
      <c r="L3131" s="65">
        <f>IF(L3130&lt;=0,0,IF(Materiales!$G$450&lt;=0,L3130,ROUNDUP(L3130/Materiales!$G$450,0)*Materiales!$G$450))</f>
        <v/>
      </c>
      <c r="M3131" s="66" t="n"/>
    </row>
    <row r="3132">
      <c r="C3132" s="70" t="inlineStr">
        <is>
          <t>LANZAMIENTO DE ORDEN — pedir esta semana</t>
        </is>
      </c>
      <c r="D3132" s="64" t="n"/>
      <c r="E3132" s="71">
        <f>IF(1+Materiales!$F$450&gt;8,0,INDEX($E$3131:$L$3131,1,1+Materiales!$F$450))</f>
        <v/>
      </c>
      <c r="F3132" s="71">
        <f>IF(2+Materiales!$F$450&gt;8,0,INDEX($E$3131:$L$3131,1,2+Materiales!$F$450))</f>
        <v/>
      </c>
      <c r="G3132" s="71">
        <f>IF(3+Materiales!$F$450&gt;8,0,INDEX($E$3131:$L$3131,1,3+Materiales!$F$450))</f>
        <v/>
      </c>
      <c r="H3132" s="71">
        <f>IF(4+Materiales!$F$450&gt;8,0,INDEX($E$3131:$L$3131,1,4+Materiales!$F$450))</f>
        <v/>
      </c>
      <c r="I3132" s="71">
        <f>IF(5+Materiales!$F$450&gt;8,0,INDEX($E$3131:$L$3131,1,5+Materiales!$F$450))</f>
        <v/>
      </c>
      <c r="J3132" s="71">
        <f>IF(6+Materiales!$F$450&gt;8,0,INDEX($E$3131:$L$3131,1,6+Materiales!$F$450))</f>
        <v/>
      </c>
      <c r="K3132" s="71">
        <f>IF(7+Materiales!$F$450&gt;8,0,INDEX($E$3131:$L$3131,1,7+Materiales!$F$450))</f>
        <v/>
      </c>
      <c r="L3132" s="71">
        <f>IF(8+Materiales!$F$450&gt;8,0,INDEX($E$3131:$L$3131,1,8+Materiales!$F$450))</f>
        <v/>
      </c>
      <c r="M3132" s="72">
        <f>IF($A3127="","",IF(SUMPRODUCT((COLUMN($E$3131:$L$3131)-4&lt;=Materiales!$F$450)*$E$3131:$L$3131)&gt;0,"PEDIR YA (atrasado)","OK"))</f>
        <v/>
      </c>
    </row>
    <row r="3133" ht="6" customHeight="1"/>
    <row r="3134">
      <c r="A3134" s="62">
        <f>IF(Materiales!$A$451="","",Materiales!$A$451)</f>
        <v/>
      </c>
      <c r="B3134" s="62">
        <f>IF(Materiales!$B$451="","",Materiales!$B$451)</f>
        <v/>
      </c>
      <c r="C3134" s="63" t="inlineStr">
        <is>
          <t>Necesidad bruta</t>
        </is>
      </c>
      <c r="D3134" s="64" t="n"/>
      <c r="E3134" s="65">
        <f>ROUND(SUMIF(Consumo!$P$4:$P$189,"#"&amp;$A3134,Consumo!H$4:H$189),4)</f>
        <v/>
      </c>
      <c r="F3134" s="65">
        <f>ROUND(SUMIF(Consumo!$P$4:$P$189,"#"&amp;$A3134,Consumo!I$4:I$189),4)</f>
        <v/>
      </c>
      <c r="G3134" s="65">
        <f>ROUND(SUMIF(Consumo!$P$4:$P$189,"#"&amp;$A3134,Consumo!J$4:J$189),4)</f>
        <v/>
      </c>
      <c r="H3134" s="65">
        <f>ROUND(SUMIF(Consumo!$P$4:$P$189,"#"&amp;$A3134,Consumo!K$4:K$189),4)</f>
        <v/>
      </c>
      <c r="I3134" s="65">
        <f>ROUND(SUMIF(Consumo!$P$4:$P$189,"#"&amp;$A3134,Consumo!L$4:L$189),4)</f>
        <v/>
      </c>
      <c r="J3134" s="65">
        <f>ROUND(SUMIF(Consumo!$P$4:$P$189,"#"&amp;$A3134,Consumo!M$4:M$189),4)</f>
        <v/>
      </c>
      <c r="K3134" s="65">
        <f>ROUND(SUMIF(Consumo!$P$4:$P$189,"#"&amp;$A3134,Consumo!N$4:N$189),4)</f>
        <v/>
      </c>
      <c r="L3134" s="65">
        <f>ROUND(SUMIF(Consumo!$P$4:$P$189,"#"&amp;$A3134,Consumo!O$4:O$189),4)</f>
        <v/>
      </c>
      <c r="M3134" s="66" t="n"/>
    </row>
    <row r="3135">
      <c r="C3135" s="63" t="inlineStr">
        <is>
          <t>Recepciones programadas (ya pedido)</t>
        </is>
      </c>
      <c r="D3135" s="64" t="n"/>
      <c r="E3135" s="65">
        <f>SUMIF(Inventario!$M$5:$M$505,"#"&amp;$A3134,Inventario!E$5:E$505)</f>
        <v/>
      </c>
      <c r="F3135" s="65">
        <f>SUMIF(Inventario!$M$5:$M$505,"#"&amp;$A3134,Inventario!F$5:F$505)</f>
        <v/>
      </c>
      <c r="G3135" s="65">
        <f>SUMIF(Inventario!$M$5:$M$505,"#"&amp;$A3134,Inventario!G$5:G$505)</f>
        <v/>
      </c>
      <c r="H3135" s="65">
        <f>SUMIF(Inventario!$M$5:$M$505,"#"&amp;$A3134,Inventario!H$5:H$505)</f>
        <v/>
      </c>
      <c r="I3135" s="65">
        <f>SUMIF(Inventario!$M$5:$M$505,"#"&amp;$A3134,Inventario!I$5:I$505)</f>
        <v/>
      </c>
      <c r="J3135" s="65">
        <f>SUMIF(Inventario!$M$5:$M$505,"#"&amp;$A3134,Inventario!J$5:J$505)</f>
        <v/>
      </c>
      <c r="K3135" s="65">
        <f>SUMIF(Inventario!$M$5:$M$505,"#"&amp;$A3134,Inventario!K$5:K$505)</f>
        <v/>
      </c>
      <c r="L3135" s="65">
        <f>SUMIF(Inventario!$M$5:$M$505,"#"&amp;$A3134,Inventario!L$5:L$505)</f>
        <v/>
      </c>
      <c r="M3135" s="66" t="n"/>
    </row>
    <row r="3136">
      <c r="C3136" s="63" t="inlineStr">
        <is>
          <t>Stock proyectado disponible</t>
        </is>
      </c>
      <c r="D3136" s="67">
        <f>SUMIF(Inventario!$M$5:$M$505,"#"&amp;$A3134,Inventario!$C$5:$C$505)</f>
        <v/>
      </c>
      <c r="E3136" s="68">
        <f>D3136+E3135+E3138-E3134</f>
        <v/>
      </c>
      <c r="F3136" s="68">
        <f>E3136+F3135+F3138-F3134</f>
        <v/>
      </c>
      <c r="G3136" s="68">
        <f>F3136+G3135+G3138-G3134</f>
        <v/>
      </c>
      <c r="H3136" s="68">
        <f>G3136+H3135+H3138-H3134</f>
        <v/>
      </c>
      <c r="I3136" s="68">
        <f>H3136+I3135+I3138-I3134</f>
        <v/>
      </c>
      <c r="J3136" s="68">
        <f>I3136+J3135+J3138-J3134</f>
        <v/>
      </c>
      <c r="K3136" s="68">
        <f>J3136+K3135+K3138-K3134</f>
        <v/>
      </c>
      <c r="L3136" s="68">
        <f>K3136+L3135+L3138-L3134</f>
        <v/>
      </c>
      <c r="M3136" s="66" t="n"/>
    </row>
    <row r="3137">
      <c r="C3137" s="63" t="inlineStr">
        <is>
          <t>Necesidad neta</t>
        </is>
      </c>
      <c r="D3137" s="64" t="n"/>
      <c r="E3137" s="69">
        <f>MAX(0,ROUND(E3134+Materiales!$H$451-D3136-E3135,4))</f>
        <v/>
      </c>
      <c r="F3137" s="69">
        <f>MAX(0,ROUND(F3134+Materiales!$H$451-E3136-F3135,4))</f>
        <v/>
      </c>
      <c r="G3137" s="69">
        <f>MAX(0,ROUND(G3134+Materiales!$H$451-F3136-G3135,4))</f>
        <v/>
      </c>
      <c r="H3137" s="69">
        <f>MAX(0,ROUND(H3134+Materiales!$H$451-G3136-H3135,4))</f>
        <v/>
      </c>
      <c r="I3137" s="69">
        <f>MAX(0,ROUND(I3134+Materiales!$H$451-H3136-I3135,4))</f>
        <v/>
      </c>
      <c r="J3137" s="69">
        <f>MAX(0,ROUND(J3134+Materiales!$H$451-I3136-J3135,4))</f>
        <v/>
      </c>
      <c r="K3137" s="69">
        <f>MAX(0,ROUND(K3134+Materiales!$H$451-J3136-K3135,4))</f>
        <v/>
      </c>
      <c r="L3137" s="69">
        <f>MAX(0,ROUND(L3134+Materiales!$H$451-K3136-L3135,4))</f>
        <v/>
      </c>
      <c r="M3137" s="66" t="n"/>
    </row>
    <row r="3138">
      <c r="C3138" s="63" t="inlineStr">
        <is>
          <t>Recepcion de orden planificada</t>
        </is>
      </c>
      <c r="D3138" s="64" t="n"/>
      <c r="E3138" s="65">
        <f>IF(E3137&lt;=0,0,IF(Materiales!$G$451&lt;=0,E3137,ROUNDUP(E3137/Materiales!$G$451,0)*Materiales!$G$451))</f>
        <v/>
      </c>
      <c r="F3138" s="65">
        <f>IF(F3137&lt;=0,0,IF(Materiales!$G$451&lt;=0,F3137,ROUNDUP(F3137/Materiales!$G$451,0)*Materiales!$G$451))</f>
        <v/>
      </c>
      <c r="G3138" s="65">
        <f>IF(G3137&lt;=0,0,IF(Materiales!$G$451&lt;=0,G3137,ROUNDUP(G3137/Materiales!$G$451,0)*Materiales!$G$451))</f>
        <v/>
      </c>
      <c r="H3138" s="65">
        <f>IF(H3137&lt;=0,0,IF(Materiales!$G$451&lt;=0,H3137,ROUNDUP(H3137/Materiales!$G$451,0)*Materiales!$G$451))</f>
        <v/>
      </c>
      <c r="I3138" s="65">
        <f>IF(I3137&lt;=0,0,IF(Materiales!$G$451&lt;=0,I3137,ROUNDUP(I3137/Materiales!$G$451,0)*Materiales!$G$451))</f>
        <v/>
      </c>
      <c r="J3138" s="65">
        <f>IF(J3137&lt;=0,0,IF(Materiales!$G$451&lt;=0,J3137,ROUNDUP(J3137/Materiales!$G$451,0)*Materiales!$G$451))</f>
        <v/>
      </c>
      <c r="K3138" s="65">
        <f>IF(K3137&lt;=0,0,IF(Materiales!$G$451&lt;=0,K3137,ROUNDUP(K3137/Materiales!$G$451,0)*Materiales!$G$451))</f>
        <v/>
      </c>
      <c r="L3138" s="65">
        <f>IF(L3137&lt;=0,0,IF(Materiales!$G$451&lt;=0,L3137,ROUNDUP(L3137/Materiales!$G$451,0)*Materiales!$G$451))</f>
        <v/>
      </c>
      <c r="M3138" s="66" t="n"/>
    </row>
    <row r="3139">
      <c r="C3139" s="70" t="inlineStr">
        <is>
          <t>LANZAMIENTO DE ORDEN — pedir esta semana</t>
        </is>
      </c>
      <c r="D3139" s="64" t="n"/>
      <c r="E3139" s="71">
        <f>IF(1+Materiales!$F$451&gt;8,0,INDEX($E$3138:$L$3138,1,1+Materiales!$F$451))</f>
        <v/>
      </c>
      <c r="F3139" s="71">
        <f>IF(2+Materiales!$F$451&gt;8,0,INDEX($E$3138:$L$3138,1,2+Materiales!$F$451))</f>
        <v/>
      </c>
      <c r="G3139" s="71">
        <f>IF(3+Materiales!$F$451&gt;8,0,INDEX($E$3138:$L$3138,1,3+Materiales!$F$451))</f>
        <v/>
      </c>
      <c r="H3139" s="71">
        <f>IF(4+Materiales!$F$451&gt;8,0,INDEX($E$3138:$L$3138,1,4+Materiales!$F$451))</f>
        <v/>
      </c>
      <c r="I3139" s="71">
        <f>IF(5+Materiales!$F$451&gt;8,0,INDEX($E$3138:$L$3138,1,5+Materiales!$F$451))</f>
        <v/>
      </c>
      <c r="J3139" s="71">
        <f>IF(6+Materiales!$F$451&gt;8,0,INDEX($E$3138:$L$3138,1,6+Materiales!$F$451))</f>
        <v/>
      </c>
      <c r="K3139" s="71">
        <f>IF(7+Materiales!$F$451&gt;8,0,INDEX($E$3138:$L$3138,1,7+Materiales!$F$451))</f>
        <v/>
      </c>
      <c r="L3139" s="71">
        <f>IF(8+Materiales!$F$451&gt;8,0,INDEX($E$3138:$L$3138,1,8+Materiales!$F$451))</f>
        <v/>
      </c>
      <c r="M3139" s="72">
        <f>IF($A3134="","",IF(SUMPRODUCT((COLUMN($E$3138:$L$3138)-4&lt;=Materiales!$F$451)*$E$3138:$L$3138)&gt;0,"PEDIR YA (atrasado)","OK"))</f>
        <v/>
      </c>
    </row>
    <row r="3140" ht="6" customHeight="1"/>
    <row r="3141">
      <c r="A3141" s="62">
        <f>IF(Materiales!$A$452="","",Materiales!$A$452)</f>
        <v/>
      </c>
      <c r="B3141" s="62">
        <f>IF(Materiales!$B$452="","",Materiales!$B$452)</f>
        <v/>
      </c>
      <c r="C3141" s="63" t="inlineStr">
        <is>
          <t>Necesidad bruta</t>
        </is>
      </c>
      <c r="D3141" s="64" t="n"/>
      <c r="E3141" s="65">
        <f>ROUND(SUMIF(Consumo!$P$4:$P$189,"#"&amp;$A3141,Consumo!H$4:H$189),4)</f>
        <v/>
      </c>
      <c r="F3141" s="65">
        <f>ROUND(SUMIF(Consumo!$P$4:$P$189,"#"&amp;$A3141,Consumo!I$4:I$189),4)</f>
        <v/>
      </c>
      <c r="G3141" s="65">
        <f>ROUND(SUMIF(Consumo!$P$4:$P$189,"#"&amp;$A3141,Consumo!J$4:J$189),4)</f>
        <v/>
      </c>
      <c r="H3141" s="65">
        <f>ROUND(SUMIF(Consumo!$P$4:$P$189,"#"&amp;$A3141,Consumo!K$4:K$189),4)</f>
        <v/>
      </c>
      <c r="I3141" s="65">
        <f>ROUND(SUMIF(Consumo!$P$4:$P$189,"#"&amp;$A3141,Consumo!L$4:L$189),4)</f>
        <v/>
      </c>
      <c r="J3141" s="65">
        <f>ROUND(SUMIF(Consumo!$P$4:$P$189,"#"&amp;$A3141,Consumo!M$4:M$189),4)</f>
        <v/>
      </c>
      <c r="K3141" s="65">
        <f>ROUND(SUMIF(Consumo!$P$4:$P$189,"#"&amp;$A3141,Consumo!N$4:N$189),4)</f>
        <v/>
      </c>
      <c r="L3141" s="65">
        <f>ROUND(SUMIF(Consumo!$P$4:$P$189,"#"&amp;$A3141,Consumo!O$4:O$189),4)</f>
        <v/>
      </c>
      <c r="M3141" s="66" t="n"/>
    </row>
    <row r="3142">
      <c r="C3142" s="63" t="inlineStr">
        <is>
          <t>Recepciones programadas (ya pedido)</t>
        </is>
      </c>
      <c r="D3142" s="64" t="n"/>
      <c r="E3142" s="65">
        <f>SUMIF(Inventario!$M$5:$M$505,"#"&amp;$A3141,Inventario!E$5:E$505)</f>
        <v/>
      </c>
      <c r="F3142" s="65">
        <f>SUMIF(Inventario!$M$5:$M$505,"#"&amp;$A3141,Inventario!F$5:F$505)</f>
        <v/>
      </c>
      <c r="G3142" s="65">
        <f>SUMIF(Inventario!$M$5:$M$505,"#"&amp;$A3141,Inventario!G$5:G$505)</f>
        <v/>
      </c>
      <c r="H3142" s="65">
        <f>SUMIF(Inventario!$M$5:$M$505,"#"&amp;$A3141,Inventario!H$5:H$505)</f>
        <v/>
      </c>
      <c r="I3142" s="65">
        <f>SUMIF(Inventario!$M$5:$M$505,"#"&amp;$A3141,Inventario!I$5:I$505)</f>
        <v/>
      </c>
      <c r="J3142" s="65">
        <f>SUMIF(Inventario!$M$5:$M$505,"#"&amp;$A3141,Inventario!J$5:J$505)</f>
        <v/>
      </c>
      <c r="K3142" s="65">
        <f>SUMIF(Inventario!$M$5:$M$505,"#"&amp;$A3141,Inventario!K$5:K$505)</f>
        <v/>
      </c>
      <c r="L3142" s="65">
        <f>SUMIF(Inventario!$M$5:$M$505,"#"&amp;$A3141,Inventario!L$5:L$505)</f>
        <v/>
      </c>
      <c r="M3142" s="66" t="n"/>
    </row>
    <row r="3143">
      <c r="C3143" s="63" t="inlineStr">
        <is>
          <t>Stock proyectado disponible</t>
        </is>
      </c>
      <c r="D3143" s="67">
        <f>SUMIF(Inventario!$M$5:$M$505,"#"&amp;$A3141,Inventario!$C$5:$C$505)</f>
        <v/>
      </c>
      <c r="E3143" s="68">
        <f>D3143+E3142+E3145-E3141</f>
        <v/>
      </c>
      <c r="F3143" s="68">
        <f>E3143+F3142+F3145-F3141</f>
        <v/>
      </c>
      <c r="G3143" s="68">
        <f>F3143+G3142+G3145-G3141</f>
        <v/>
      </c>
      <c r="H3143" s="68">
        <f>G3143+H3142+H3145-H3141</f>
        <v/>
      </c>
      <c r="I3143" s="68">
        <f>H3143+I3142+I3145-I3141</f>
        <v/>
      </c>
      <c r="J3143" s="68">
        <f>I3143+J3142+J3145-J3141</f>
        <v/>
      </c>
      <c r="K3143" s="68">
        <f>J3143+K3142+K3145-K3141</f>
        <v/>
      </c>
      <c r="L3143" s="68">
        <f>K3143+L3142+L3145-L3141</f>
        <v/>
      </c>
      <c r="M3143" s="66" t="n"/>
    </row>
    <row r="3144">
      <c r="C3144" s="63" t="inlineStr">
        <is>
          <t>Necesidad neta</t>
        </is>
      </c>
      <c r="D3144" s="64" t="n"/>
      <c r="E3144" s="69">
        <f>MAX(0,ROUND(E3141+Materiales!$H$452-D3143-E3142,4))</f>
        <v/>
      </c>
      <c r="F3144" s="69">
        <f>MAX(0,ROUND(F3141+Materiales!$H$452-E3143-F3142,4))</f>
        <v/>
      </c>
      <c r="G3144" s="69">
        <f>MAX(0,ROUND(G3141+Materiales!$H$452-F3143-G3142,4))</f>
        <v/>
      </c>
      <c r="H3144" s="69">
        <f>MAX(0,ROUND(H3141+Materiales!$H$452-G3143-H3142,4))</f>
        <v/>
      </c>
      <c r="I3144" s="69">
        <f>MAX(0,ROUND(I3141+Materiales!$H$452-H3143-I3142,4))</f>
        <v/>
      </c>
      <c r="J3144" s="69">
        <f>MAX(0,ROUND(J3141+Materiales!$H$452-I3143-J3142,4))</f>
        <v/>
      </c>
      <c r="K3144" s="69">
        <f>MAX(0,ROUND(K3141+Materiales!$H$452-J3143-K3142,4))</f>
        <v/>
      </c>
      <c r="L3144" s="69">
        <f>MAX(0,ROUND(L3141+Materiales!$H$452-K3143-L3142,4))</f>
        <v/>
      </c>
      <c r="M3144" s="66" t="n"/>
    </row>
    <row r="3145">
      <c r="C3145" s="63" t="inlineStr">
        <is>
          <t>Recepcion de orden planificada</t>
        </is>
      </c>
      <c r="D3145" s="64" t="n"/>
      <c r="E3145" s="65">
        <f>IF(E3144&lt;=0,0,IF(Materiales!$G$452&lt;=0,E3144,ROUNDUP(E3144/Materiales!$G$452,0)*Materiales!$G$452))</f>
        <v/>
      </c>
      <c r="F3145" s="65">
        <f>IF(F3144&lt;=0,0,IF(Materiales!$G$452&lt;=0,F3144,ROUNDUP(F3144/Materiales!$G$452,0)*Materiales!$G$452))</f>
        <v/>
      </c>
      <c r="G3145" s="65">
        <f>IF(G3144&lt;=0,0,IF(Materiales!$G$452&lt;=0,G3144,ROUNDUP(G3144/Materiales!$G$452,0)*Materiales!$G$452))</f>
        <v/>
      </c>
      <c r="H3145" s="65">
        <f>IF(H3144&lt;=0,0,IF(Materiales!$G$452&lt;=0,H3144,ROUNDUP(H3144/Materiales!$G$452,0)*Materiales!$G$452))</f>
        <v/>
      </c>
      <c r="I3145" s="65">
        <f>IF(I3144&lt;=0,0,IF(Materiales!$G$452&lt;=0,I3144,ROUNDUP(I3144/Materiales!$G$452,0)*Materiales!$G$452))</f>
        <v/>
      </c>
      <c r="J3145" s="65">
        <f>IF(J3144&lt;=0,0,IF(Materiales!$G$452&lt;=0,J3144,ROUNDUP(J3144/Materiales!$G$452,0)*Materiales!$G$452))</f>
        <v/>
      </c>
      <c r="K3145" s="65">
        <f>IF(K3144&lt;=0,0,IF(Materiales!$G$452&lt;=0,K3144,ROUNDUP(K3144/Materiales!$G$452,0)*Materiales!$G$452))</f>
        <v/>
      </c>
      <c r="L3145" s="65">
        <f>IF(L3144&lt;=0,0,IF(Materiales!$G$452&lt;=0,L3144,ROUNDUP(L3144/Materiales!$G$452,0)*Materiales!$G$452))</f>
        <v/>
      </c>
      <c r="M3145" s="66" t="n"/>
    </row>
    <row r="3146">
      <c r="C3146" s="70" t="inlineStr">
        <is>
          <t>LANZAMIENTO DE ORDEN — pedir esta semana</t>
        </is>
      </c>
      <c r="D3146" s="64" t="n"/>
      <c r="E3146" s="71">
        <f>IF(1+Materiales!$F$452&gt;8,0,INDEX($E$3145:$L$3145,1,1+Materiales!$F$452))</f>
        <v/>
      </c>
      <c r="F3146" s="71">
        <f>IF(2+Materiales!$F$452&gt;8,0,INDEX($E$3145:$L$3145,1,2+Materiales!$F$452))</f>
        <v/>
      </c>
      <c r="G3146" s="71">
        <f>IF(3+Materiales!$F$452&gt;8,0,INDEX($E$3145:$L$3145,1,3+Materiales!$F$452))</f>
        <v/>
      </c>
      <c r="H3146" s="71">
        <f>IF(4+Materiales!$F$452&gt;8,0,INDEX($E$3145:$L$3145,1,4+Materiales!$F$452))</f>
        <v/>
      </c>
      <c r="I3146" s="71">
        <f>IF(5+Materiales!$F$452&gt;8,0,INDEX($E$3145:$L$3145,1,5+Materiales!$F$452))</f>
        <v/>
      </c>
      <c r="J3146" s="71">
        <f>IF(6+Materiales!$F$452&gt;8,0,INDEX($E$3145:$L$3145,1,6+Materiales!$F$452))</f>
        <v/>
      </c>
      <c r="K3146" s="71">
        <f>IF(7+Materiales!$F$452&gt;8,0,INDEX($E$3145:$L$3145,1,7+Materiales!$F$452))</f>
        <v/>
      </c>
      <c r="L3146" s="71">
        <f>IF(8+Materiales!$F$452&gt;8,0,INDEX($E$3145:$L$3145,1,8+Materiales!$F$452))</f>
        <v/>
      </c>
      <c r="M3146" s="72">
        <f>IF($A3141="","",IF(SUMPRODUCT((COLUMN($E$3145:$L$3145)-4&lt;=Materiales!$F$452)*$E$3145:$L$3145)&gt;0,"PEDIR YA (atrasado)","OK"))</f>
        <v/>
      </c>
    </row>
    <row r="3147" ht="6" customHeight="1"/>
    <row r="3148">
      <c r="A3148" s="62">
        <f>IF(Materiales!$A$453="","",Materiales!$A$453)</f>
        <v/>
      </c>
      <c r="B3148" s="62">
        <f>IF(Materiales!$B$453="","",Materiales!$B$453)</f>
        <v/>
      </c>
      <c r="C3148" s="63" t="inlineStr">
        <is>
          <t>Necesidad bruta</t>
        </is>
      </c>
      <c r="D3148" s="64" t="n"/>
      <c r="E3148" s="65">
        <f>ROUND(SUMIF(Consumo!$P$4:$P$189,"#"&amp;$A3148,Consumo!H$4:H$189),4)</f>
        <v/>
      </c>
      <c r="F3148" s="65">
        <f>ROUND(SUMIF(Consumo!$P$4:$P$189,"#"&amp;$A3148,Consumo!I$4:I$189),4)</f>
        <v/>
      </c>
      <c r="G3148" s="65">
        <f>ROUND(SUMIF(Consumo!$P$4:$P$189,"#"&amp;$A3148,Consumo!J$4:J$189),4)</f>
        <v/>
      </c>
      <c r="H3148" s="65">
        <f>ROUND(SUMIF(Consumo!$P$4:$P$189,"#"&amp;$A3148,Consumo!K$4:K$189),4)</f>
        <v/>
      </c>
      <c r="I3148" s="65">
        <f>ROUND(SUMIF(Consumo!$P$4:$P$189,"#"&amp;$A3148,Consumo!L$4:L$189),4)</f>
        <v/>
      </c>
      <c r="J3148" s="65">
        <f>ROUND(SUMIF(Consumo!$P$4:$P$189,"#"&amp;$A3148,Consumo!M$4:M$189),4)</f>
        <v/>
      </c>
      <c r="K3148" s="65">
        <f>ROUND(SUMIF(Consumo!$P$4:$P$189,"#"&amp;$A3148,Consumo!N$4:N$189),4)</f>
        <v/>
      </c>
      <c r="L3148" s="65">
        <f>ROUND(SUMIF(Consumo!$P$4:$P$189,"#"&amp;$A3148,Consumo!O$4:O$189),4)</f>
        <v/>
      </c>
      <c r="M3148" s="66" t="n"/>
    </row>
    <row r="3149">
      <c r="C3149" s="63" t="inlineStr">
        <is>
          <t>Recepciones programadas (ya pedido)</t>
        </is>
      </c>
      <c r="D3149" s="64" t="n"/>
      <c r="E3149" s="65">
        <f>SUMIF(Inventario!$M$5:$M$505,"#"&amp;$A3148,Inventario!E$5:E$505)</f>
        <v/>
      </c>
      <c r="F3149" s="65">
        <f>SUMIF(Inventario!$M$5:$M$505,"#"&amp;$A3148,Inventario!F$5:F$505)</f>
        <v/>
      </c>
      <c r="G3149" s="65">
        <f>SUMIF(Inventario!$M$5:$M$505,"#"&amp;$A3148,Inventario!G$5:G$505)</f>
        <v/>
      </c>
      <c r="H3149" s="65">
        <f>SUMIF(Inventario!$M$5:$M$505,"#"&amp;$A3148,Inventario!H$5:H$505)</f>
        <v/>
      </c>
      <c r="I3149" s="65">
        <f>SUMIF(Inventario!$M$5:$M$505,"#"&amp;$A3148,Inventario!I$5:I$505)</f>
        <v/>
      </c>
      <c r="J3149" s="65">
        <f>SUMIF(Inventario!$M$5:$M$505,"#"&amp;$A3148,Inventario!J$5:J$505)</f>
        <v/>
      </c>
      <c r="K3149" s="65">
        <f>SUMIF(Inventario!$M$5:$M$505,"#"&amp;$A3148,Inventario!K$5:K$505)</f>
        <v/>
      </c>
      <c r="L3149" s="65">
        <f>SUMIF(Inventario!$M$5:$M$505,"#"&amp;$A3148,Inventario!L$5:L$505)</f>
        <v/>
      </c>
      <c r="M3149" s="66" t="n"/>
    </row>
    <row r="3150">
      <c r="C3150" s="63" t="inlineStr">
        <is>
          <t>Stock proyectado disponible</t>
        </is>
      </c>
      <c r="D3150" s="67">
        <f>SUMIF(Inventario!$M$5:$M$505,"#"&amp;$A3148,Inventario!$C$5:$C$505)</f>
        <v/>
      </c>
      <c r="E3150" s="68">
        <f>D3150+E3149+E3152-E3148</f>
        <v/>
      </c>
      <c r="F3150" s="68">
        <f>E3150+F3149+F3152-F3148</f>
        <v/>
      </c>
      <c r="G3150" s="68">
        <f>F3150+G3149+G3152-G3148</f>
        <v/>
      </c>
      <c r="H3150" s="68">
        <f>G3150+H3149+H3152-H3148</f>
        <v/>
      </c>
      <c r="I3150" s="68">
        <f>H3150+I3149+I3152-I3148</f>
        <v/>
      </c>
      <c r="J3150" s="68">
        <f>I3150+J3149+J3152-J3148</f>
        <v/>
      </c>
      <c r="K3150" s="68">
        <f>J3150+K3149+K3152-K3148</f>
        <v/>
      </c>
      <c r="L3150" s="68">
        <f>K3150+L3149+L3152-L3148</f>
        <v/>
      </c>
      <c r="M3150" s="66" t="n"/>
    </row>
    <row r="3151">
      <c r="C3151" s="63" t="inlineStr">
        <is>
          <t>Necesidad neta</t>
        </is>
      </c>
      <c r="D3151" s="64" t="n"/>
      <c r="E3151" s="69">
        <f>MAX(0,ROUND(E3148+Materiales!$H$453-D3150-E3149,4))</f>
        <v/>
      </c>
      <c r="F3151" s="69">
        <f>MAX(0,ROUND(F3148+Materiales!$H$453-E3150-F3149,4))</f>
        <v/>
      </c>
      <c r="G3151" s="69">
        <f>MAX(0,ROUND(G3148+Materiales!$H$453-F3150-G3149,4))</f>
        <v/>
      </c>
      <c r="H3151" s="69">
        <f>MAX(0,ROUND(H3148+Materiales!$H$453-G3150-H3149,4))</f>
        <v/>
      </c>
      <c r="I3151" s="69">
        <f>MAX(0,ROUND(I3148+Materiales!$H$453-H3150-I3149,4))</f>
        <v/>
      </c>
      <c r="J3151" s="69">
        <f>MAX(0,ROUND(J3148+Materiales!$H$453-I3150-J3149,4))</f>
        <v/>
      </c>
      <c r="K3151" s="69">
        <f>MAX(0,ROUND(K3148+Materiales!$H$453-J3150-K3149,4))</f>
        <v/>
      </c>
      <c r="L3151" s="69">
        <f>MAX(0,ROUND(L3148+Materiales!$H$453-K3150-L3149,4))</f>
        <v/>
      </c>
      <c r="M3151" s="66" t="n"/>
    </row>
    <row r="3152">
      <c r="C3152" s="63" t="inlineStr">
        <is>
          <t>Recepcion de orden planificada</t>
        </is>
      </c>
      <c r="D3152" s="64" t="n"/>
      <c r="E3152" s="65">
        <f>IF(E3151&lt;=0,0,IF(Materiales!$G$453&lt;=0,E3151,ROUNDUP(E3151/Materiales!$G$453,0)*Materiales!$G$453))</f>
        <v/>
      </c>
      <c r="F3152" s="65">
        <f>IF(F3151&lt;=0,0,IF(Materiales!$G$453&lt;=0,F3151,ROUNDUP(F3151/Materiales!$G$453,0)*Materiales!$G$453))</f>
        <v/>
      </c>
      <c r="G3152" s="65">
        <f>IF(G3151&lt;=0,0,IF(Materiales!$G$453&lt;=0,G3151,ROUNDUP(G3151/Materiales!$G$453,0)*Materiales!$G$453))</f>
        <v/>
      </c>
      <c r="H3152" s="65">
        <f>IF(H3151&lt;=0,0,IF(Materiales!$G$453&lt;=0,H3151,ROUNDUP(H3151/Materiales!$G$453,0)*Materiales!$G$453))</f>
        <v/>
      </c>
      <c r="I3152" s="65">
        <f>IF(I3151&lt;=0,0,IF(Materiales!$G$453&lt;=0,I3151,ROUNDUP(I3151/Materiales!$G$453,0)*Materiales!$G$453))</f>
        <v/>
      </c>
      <c r="J3152" s="65">
        <f>IF(J3151&lt;=0,0,IF(Materiales!$G$453&lt;=0,J3151,ROUNDUP(J3151/Materiales!$G$453,0)*Materiales!$G$453))</f>
        <v/>
      </c>
      <c r="K3152" s="65">
        <f>IF(K3151&lt;=0,0,IF(Materiales!$G$453&lt;=0,K3151,ROUNDUP(K3151/Materiales!$G$453,0)*Materiales!$G$453))</f>
        <v/>
      </c>
      <c r="L3152" s="65">
        <f>IF(L3151&lt;=0,0,IF(Materiales!$G$453&lt;=0,L3151,ROUNDUP(L3151/Materiales!$G$453,0)*Materiales!$G$453))</f>
        <v/>
      </c>
      <c r="M3152" s="66" t="n"/>
    </row>
    <row r="3153">
      <c r="C3153" s="70" t="inlineStr">
        <is>
          <t>LANZAMIENTO DE ORDEN — pedir esta semana</t>
        </is>
      </c>
      <c r="D3153" s="64" t="n"/>
      <c r="E3153" s="71">
        <f>IF(1+Materiales!$F$453&gt;8,0,INDEX($E$3152:$L$3152,1,1+Materiales!$F$453))</f>
        <v/>
      </c>
      <c r="F3153" s="71">
        <f>IF(2+Materiales!$F$453&gt;8,0,INDEX($E$3152:$L$3152,1,2+Materiales!$F$453))</f>
        <v/>
      </c>
      <c r="G3153" s="71">
        <f>IF(3+Materiales!$F$453&gt;8,0,INDEX($E$3152:$L$3152,1,3+Materiales!$F$453))</f>
        <v/>
      </c>
      <c r="H3153" s="71">
        <f>IF(4+Materiales!$F$453&gt;8,0,INDEX($E$3152:$L$3152,1,4+Materiales!$F$453))</f>
        <v/>
      </c>
      <c r="I3153" s="71">
        <f>IF(5+Materiales!$F$453&gt;8,0,INDEX($E$3152:$L$3152,1,5+Materiales!$F$453))</f>
        <v/>
      </c>
      <c r="J3153" s="71">
        <f>IF(6+Materiales!$F$453&gt;8,0,INDEX($E$3152:$L$3152,1,6+Materiales!$F$453))</f>
        <v/>
      </c>
      <c r="K3153" s="71">
        <f>IF(7+Materiales!$F$453&gt;8,0,INDEX($E$3152:$L$3152,1,7+Materiales!$F$453))</f>
        <v/>
      </c>
      <c r="L3153" s="71">
        <f>IF(8+Materiales!$F$453&gt;8,0,INDEX($E$3152:$L$3152,1,8+Materiales!$F$453))</f>
        <v/>
      </c>
      <c r="M3153" s="72">
        <f>IF($A3148="","",IF(SUMPRODUCT((COLUMN($E$3152:$L$3152)-4&lt;=Materiales!$F$453)*$E$3152:$L$3152)&gt;0,"PEDIR YA (atrasado)","OK"))</f>
        <v/>
      </c>
    </row>
    <row r="3154" ht="6" customHeight="1"/>
    <row r="3155">
      <c r="A3155" s="62">
        <f>IF(Materiales!$A$454="","",Materiales!$A$454)</f>
        <v/>
      </c>
      <c r="B3155" s="62">
        <f>IF(Materiales!$B$454="","",Materiales!$B$454)</f>
        <v/>
      </c>
      <c r="C3155" s="63" t="inlineStr">
        <is>
          <t>Necesidad bruta</t>
        </is>
      </c>
      <c r="D3155" s="64" t="n"/>
      <c r="E3155" s="65">
        <f>ROUND(SUMIF(Consumo!$P$4:$P$189,"#"&amp;$A3155,Consumo!H$4:H$189),4)</f>
        <v/>
      </c>
      <c r="F3155" s="65">
        <f>ROUND(SUMIF(Consumo!$P$4:$P$189,"#"&amp;$A3155,Consumo!I$4:I$189),4)</f>
        <v/>
      </c>
      <c r="G3155" s="65">
        <f>ROUND(SUMIF(Consumo!$P$4:$P$189,"#"&amp;$A3155,Consumo!J$4:J$189),4)</f>
        <v/>
      </c>
      <c r="H3155" s="65">
        <f>ROUND(SUMIF(Consumo!$P$4:$P$189,"#"&amp;$A3155,Consumo!K$4:K$189),4)</f>
        <v/>
      </c>
      <c r="I3155" s="65">
        <f>ROUND(SUMIF(Consumo!$P$4:$P$189,"#"&amp;$A3155,Consumo!L$4:L$189),4)</f>
        <v/>
      </c>
      <c r="J3155" s="65">
        <f>ROUND(SUMIF(Consumo!$P$4:$P$189,"#"&amp;$A3155,Consumo!M$4:M$189),4)</f>
        <v/>
      </c>
      <c r="K3155" s="65">
        <f>ROUND(SUMIF(Consumo!$P$4:$P$189,"#"&amp;$A3155,Consumo!N$4:N$189),4)</f>
        <v/>
      </c>
      <c r="L3155" s="65">
        <f>ROUND(SUMIF(Consumo!$P$4:$P$189,"#"&amp;$A3155,Consumo!O$4:O$189),4)</f>
        <v/>
      </c>
      <c r="M3155" s="66" t="n"/>
    </row>
    <row r="3156">
      <c r="C3156" s="63" t="inlineStr">
        <is>
          <t>Recepciones programadas (ya pedido)</t>
        </is>
      </c>
      <c r="D3156" s="64" t="n"/>
      <c r="E3156" s="65">
        <f>SUMIF(Inventario!$M$5:$M$505,"#"&amp;$A3155,Inventario!E$5:E$505)</f>
        <v/>
      </c>
      <c r="F3156" s="65">
        <f>SUMIF(Inventario!$M$5:$M$505,"#"&amp;$A3155,Inventario!F$5:F$505)</f>
        <v/>
      </c>
      <c r="G3156" s="65">
        <f>SUMIF(Inventario!$M$5:$M$505,"#"&amp;$A3155,Inventario!G$5:G$505)</f>
        <v/>
      </c>
      <c r="H3156" s="65">
        <f>SUMIF(Inventario!$M$5:$M$505,"#"&amp;$A3155,Inventario!H$5:H$505)</f>
        <v/>
      </c>
      <c r="I3156" s="65">
        <f>SUMIF(Inventario!$M$5:$M$505,"#"&amp;$A3155,Inventario!I$5:I$505)</f>
        <v/>
      </c>
      <c r="J3156" s="65">
        <f>SUMIF(Inventario!$M$5:$M$505,"#"&amp;$A3155,Inventario!J$5:J$505)</f>
        <v/>
      </c>
      <c r="K3156" s="65">
        <f>SUMIF(Inventario!$M$5:$M$505,"#"&amp;$A3155,Inventario!K$5:K$505)</f>
        <v/>
      </c>
      <c r="L3156" s="65">
        <f>SUMIF(Inventario!$M$5:$M$505,"#"&amp;$A3155,Inventario!L$5:L$505)</f>
        <v/>
      </c>
      <c r="M3156" s="66" t="n"/>
    </row>
    <row r="3157">
      <c r="C3157" s="63" t="inlineStr">
        <is>
          <t>Stock proyectado disponible</t>
        </is>
      </c>
      <c r="D3157" s="67">
        <f>SUMIF(Inventario!$M$5:$M$505,"#"&amp;$A3155,Inventario!$C$5:$C$505)</f>
        <v/>
      </c>
      <c r="E3157" s="68">
        <f>D3157+E3156+E3159-E3155</f>
        <v/>
      </c>
      <c r="F3157" s="68">
        <f>E3157+F3156+F3159-F3155</f>
        <v/>
      </c>
      <c r="G3157" s="68">
        <f>F3157+G3156+G3159-G3155</f>
        <v/>
      </c>
      <c r="H3157" s="68">
        <f>G3157+H3156+H3159-H3155</f>
        <v/>
      </c>
      <c r="I3157" s="68">
        <f>H3157+I3156+I3159-I3155</f>
        <v/>
      </c>
      <c r="J3157" s="68">
        <f>I3157+J3156+J3159-J3155</f>
        <v/>
      </c>
      <c r="K3157" s="68">
        <f>J3157+K3156+K3159-K3155</f>
        <v/>
      </c>
      <c r="L3157" s="68">
        <f>K3157+L3156+L3159-L3155</f>
        <v/>
      </c>
      <c r="M3157" s="66" t="n"/>
    </row>
    <row r="3158">
      <c r="C3158" s="63" t="inlineStr">
        <is>
          <t>Necesidad neta</t>
        </is>
      </c>
      <c r="D3158" s="64" t="n"/>
      <c r="E3158" s="69">
        <f>MAX(0,ROUND(E3155+Materiales!$H$454-D3157-E3156,4))</f>
        <v/>
      </c>
      <c r="F3158" s="69">
        <f>MAX(0,ROUND(F3155+Materiales!$H$454-E3157-F3156,4))</f>
        <v/>
      </c>
      <c r="G3158" s="69">
        <f>MAX(0,ROUND(G3155+Materiales!$H$454-F3157-G3156,4))</f>
        <v/>
      </c>
      <c r="H3158" s="69">
        <f>MAX(0,ROUND(H3155+Materiales!$H$454-G3157-H3156,4))</f>
        <v/>
      </c>
      <c r="I3158" s="69">
        <f>MAX(0,ROUND(I3155+Materiales!$H$454-H3157-I3156,4))</f>
        <v/>
      </c>
      <c r="J3158" s="69">
        <f>MAX(0,ROUND(J3155+Materiales!$H$454-I3157-J3156,4))</f>
        <v/>
      </c>
      <c r="K3158" s="69">
        <f>MAX(0,ROUND(K3155+Materiales!$H$454-J3157-K3156,4))</f>
        <v/>
      </c>
      <c r="L3158" s="69">
        <f>MAX(0,ROUND(L3155+Materiales!$H$454-K3157-L3156,4))</f>
        <v/>
      </c>
      <c r="M3158" s="66" t="n"/>
    </row>
    <row r="3159">
      <c r="C3159" s="63" t="inlineStr">
        <is>
          <t>Recepcion de orden planificada</t>
        </is>
      </c>
      <c r="D3159" s="64" t="n"/>
      <c r="E3159" s="65">
        <f>IF(E3158&lt;=0,0,IF(Materiales!$G$454&lt;=0,E3158,ROUNDUP(E3158/Materiales!$G$454,0)*Materiales!$G$454))</f>
        <v/>
      </c>
      <c r="F3159" s="65">
        <f>IF(F3158&lt;=0,0,IF(Materiales!$G$454&lt;=0,F3158,ROUNDUP(F3158/Materiales!$G$454,0)*Materiales!$G$454))</f>
        <v/>
      </c>
      <c r="G3159" s="65">
        <f>IF(G3158&lt;=0,0,IF(Materiales!$G$454&lt;=0,G3158,ROUNDUP(G3158/Materiales!$G$454,0)*Materiales!$G$454))</f>
        <v/>
      </c>
      <c r="H3159" s="65">
        <f>IF(H3158&lt;=0,0,IF(Materiales!$G$454&lt;=0,H3158,ROUNDUP(H3158/Materiales!$G$454,0)*Materiales!$G$454))</f>
        <v/>
      </c>
      <c r="I3159" s="65">
        <f>IF(I3158&lt;=0,0,IF(Materiales!$G$454&lt;=0,I3158,ROUNDUP(I3158/Materiales!$G$454,0)*Materiales!$G$454))</f>
        <v/>
      </c>
      <c r="J3159" s="65">
        <f>IF(J3158&lt;=0,0,IF(Materiales!$G$454&lt;=0,J3158,ROUNDUP(J3158/Materiales!$G$454,0)*Materiales!$G$454))</f>
        <v/>
      </c>
      <c r="K3159" s="65">
        <f>IF(K3158&lt;=0,0,IF(Materiales!$G$454&lt;=0,K3158,ROUNDUP(K3158/Materiales!$G$454,0)*Materiales!$G$454))</f>
        <v/>
      </c>
      <c r="L3159" s="65">
        <f>IF(L3158&lt;=0,0,IF(Materiales!$G$454&lt;=0,L3158,ROUNDUP(L3158/Materiales!$G$454,0)*Materiales!$G$454))</f>
        <v/>
      </c>
      <c r="M3159" s="66" t="n"/>
    </row>
    <row r="3160">
      <c r="C3160" s="70" t="inlineStr">
        <is>
          <t>LANZAMIENTO DE ORDEN — pedir esta semana</t>
        </is>
      </c>
      <c r="D3160" s="64" t="n"/>
      <c r="E3160" s="71">
        <f>IF(1+Materiales!$F$454&gt;8,0,INDEX($E$3159:$L$3159,1,1+Materiales!$F$454))</f>
        <v/>
      </c>
      <c r="F3160" s="71">
        <f>IF(2+Materiales!$F$454&gt;8,0,INDEX($E$3159:$L$3159,1,2+Materiales!$F$454))</f>
        <v/>
      </c>
      <c r="G3160" s="71">
        <f>IF(3+Materiales!$F$454&gt;8,0,INDEX($E$3159:$L$3159,1,3+Materiales!$F$454))</f>
        <v/>
      </c>
      <c r="H3160" s="71">
        <f>IF(4+Materiales!$F$454&gt;8,0,INDEX($E$3159:$L$3159,1,4+Materiales!$F$454))</f>
        <v/>
      </c>
      <c r="I3160" s="71">
        <f>IF(5+Materiales!$F$454&gt;8,0,INDEX($E$3159:$L$3159,1,5+Materiales!$F$454))</f>
        <v/>
      </c>
      <c r="J3160" s="71">
        <f>IF(6+Materiales!$F$454&gt;8,0,INDEX($E$3159:$L$3159,1,6+Materiales!$F$454))</f>
        <v/>
      </c>
      <c r="K3160" s="71">
        <f>IF(7+Materiales!$F$454&gt;8,0,INDEX($E$3159:$L$3159,1,7+Materiales!$F$454))</f>
        <v/>
      </c>
      <c r="L3160" s="71">
        <f>IF(8+Materiales!$F$454&gt;8,0,INDEX($E$3159:$L$3159,1,8+Materiales!$F$454))</f>
        <v/>
      </c>
      <c r="M3160" s="72">
        <f>IF($A3155="","",IF(SUMPRODUCT((COLUMN($E$3159:$L$3159)-4&lt;=Materiales!$F$454)*$E$3159:$L$3159)&gt;0,"PEDIR YA (atrasado)","OK"))</f>
        <v/>
      </c>
    </row>
    <row r="3161" ht="6" customHeight="1"/>
    <row r="3162">
      <c r="A3162" s="62">
        <f>IF(Materiales!$A$455="","",Materiales!$A$455)</f>
        <v/>
      </c>
      <c r="B3162" s="62">
        <f>IF(Materiales!$B$455="","",Materiales!$B$455)</f>
        <v/>
      </c>
      <c r="C3162" s="63" t="inlineStr">
        <is>
          <t>Necesidad bruta</t>
        </is>
      </c>
      <c r="D3162" s="64" t="n"/>
      <c r="E3162" s="65">
        <f>ROUND(SUMIF(Consumo!$P$4:$P$189,"#"&amp;$A3162,Consumo!H$4:H$189),4)</f>
        <v/>
      </c>
      <c r="F3162" s="65">
        <f>ROUND(SUMIF(Consumo!$P$4:$P$189,"#"&amp;$A3162,Consumo!I$4:I$189),4)</f>
        <v/>
      </c>
      <c r="G3162" s="65">
        <f>ROUND(SUMIF(Consumo!$P$4:$P$189,"#"&amp;$A3162,Consumo!J$4:J$189),4)</f>
        <v/>
      </c>
      <c r="H3162" s="65">
        <f>ROUND(SUMIF(Consumo!$P$4:$P$189,"#"&amp;$A3162,Consumo!K$4:K$189),4)</f>
        <v/>
      </c>
      <c r="I3162" s="65">
        <f>ROUND(SUMIF(Consumo!$P$4:$P$189,"#"&amp;$A3162,Consumo!L$4:L$189),4)</f>
        <v/>
      </c>
      <c r="J3162" s="65">
        <f>ROUND(SUMIF(Consumo!$P$4:$P$189,"#"&amp;$A3162,Consumo!M$4:M$189),4)</f>
        <v/>
      </c>
      <c r="K3162" s="65">
        <f>ROUND(SUMIF(Consumo!$P$4:$P$189,"#"&amp;$A3162,Consumo!N$4:N$189),4)</f>
        <v/>
      </c>
      <c r="L3162" s="65">
        <f>ROUND(SUMIF(Consumo!$P$4:$P$189,"#"&amp;$A3162,Consumo!O$4:O$189),4)</f>
        <v/>
      </c>
      <c r="M3162" s="66" t="n"/>
    </row>
    <row r="3163">
      <c r="C3163" s="63" t="inlineStr">
        <is>
          <t>Recepciones programadas (ya pedido)</t>
        </is>
      </c>
      <c r="D3163" s="64" t="n"/>
      <c r="E3163" s="65">
        <f>SUMIF(Inventario!$M$5:$M$505,"#"&amp;$A3162,Inventario!E$5:E$505)</f>
        <v/>
      </c>
      <c r="F3163" s="65">
        <f>SUMIF(Inventario!$M$5:$M$505,"#"&amp;$A3162,Inventario!F$5:F$505)</f>
        <v/>
      </c>
      <c r="G3163" s="65">
        <f>SUMIF(Inventario!$M$5:$M$505,"#"&amp;$A3162,Inventario!G$5:G$505)</f>
        <v/>
      </c>
      <c r="H3163" s="65">
        <f>SUMIF(Inventario!$M$5:$M$505,"#"&amp;$A3162,Inventario!H$5:H$505)</f>
        <v/>
      </c>
      <c r="I3163" s="65">
        <f>SUMIF(Inventario!$M$5:$M$505,"#"&amp;$A3162,Inventario!I$5:I$505)</f>
        <v/>
      </c>
      <c r="J3163" s="65">
        <f>SUMIF(Inventario!$M$5:$M$505,"#"&amp;$A3162,Inventario!J$5:J$505)</f>
        <v/>
      </c>
      <c r="K3163" s="65">
        <f>SUMIF(Inventario!$M$5:$M$505,"#"&amp;$A3162,Inventario!K$5:K$505)</f>
        <v/>
      </c>
      <c r="L3163" s="65">
        <f>SUMIF(Inventario!$M$5:$M$505,"#"&amp;$A3162,Inventario!L$5:L$505)</f>
        <v/>
      </c>
      <c r="M3163" s="66" t="n"/>
    </row>
    <row r="3164">
      <c r="C3164" s="63" t="inlineStr">
        <is>
          <t>Stock proyectado disponible</t>
        </is>
      </c>
      <c r="D3164" s="67">
        <f>SUMIF(Inventario!$M$5:$M$505,"#"&amp;$A3162,Inventario!$C$5:$C$505)</f>
        <v/>
      </c>
      <c r="E3164" s="68">
        <f>D3164+E3163+E3166-E3162</f>
        <v/>
      </c>
      <c r="F3164" s="68">
        <f>E3164+F3163+F3166-F3162</f>
        <v/>
      </c>
      <c r="G3164" s="68">
        <f>F3164+G3163+G3166-G3162</f>
        <v/>
      </c>
      <c r="H3164" s="68">
        <f>G3164+H3163+H3166-H3162</f>
        <v/>
      </c>
      <c r="I3164" s="68">
        <f>H3164+I3163+I3166-I3162</f>
        <v/>
      </c>
      <c r="J3164" s="68">
        <f>I3164+J3163+J3166-J3162</f>
        <v/>
      </c>
      <c r="K3164" s="68">
        <f>J3164+K3163+K3166-K3162</f>
        <v/>
      </c>
      <c r="L3164" s="68">
        <f>K3164+L3163+L3166-L3162</f>
        <v/>
      </c>
      <c r="M3164" s="66" t="n"/>
    </row>
    <row r="3165">
      <c r="C3165" s="63" t="inlineStr">
        <is>
          <t>Necesidad neta</t>
        </is>
      </c>
      <c r="D3165" s="64" t="n"/>
      <c r="E3165" s="69">
        <f>MAX(0,ROUND(E3162+Materiales!$H$455-D3164-E3163,4))</f>
        <v/>
      </c>
      <c r="F3165" s="69">
        <f>MAX(0,ROUND(F3162+Materiales!$H$455-E3164-F3163,4))</f>
        <v/>
      </c>
      <c r="G3165" s="69">
        <f>MAX(0,ROUND(G3162+Materiales!$H$455-F3164-G3163,4))</f>
        <v/>
      </c>
      <c r="H3165" s="69">
        <f>MAX(0,ROUND(H3162+Materiales!$H$455-G3164-H3163,4))</f>
        <v/>
      </c>
      <c r="I3165" s="69">
        <f>MAX(0,ROUND(I3162+Materiales!$H$455-H3164-I3163,4))</f>
        <v/>
      </c>
      <c r="J3165" s="69">
        <f>MAX(0,ROUND(J3162+Materiales!$H$455-I3164-J3163,4))</f>
        <v/>
      </c>
      <c r="K3165" s="69">
        <f>MAX(0,ROUND(K3162+Materiales!$H$455-J3164-K3163,4))</f>
        <v/>
      </c>
      <c r="L3165" s="69">
        <f>MAX(0,ROUND(L3162+Materiales!$H$455-K3164-L3163,4))</f>
        <v/>
      </c>
      <c r="M3165" s="66" t="n"/>
    </row>
    <row r="3166">
      <c r="C3166" s="63" t="inlineStr">
        <is>
          <t>Recepcion de orden planificada</t>
        </is>
      </c>
      <c r="D3166" s="64" t="n"/>
      <c r="E3166" s="65">
        <f>IF(E3165&lt;=0,0,IF(Materiales!$G$455&lt;=0,E3165,ROUNDUP(E3165/Materiales!$G$455,0)*Materiales!$G$455))</f>
        <v/>
      </c>
      <c r="F3166" s="65">
        <f>IF(F3165&lt;=0,0,IF(Materiales!$G$455&lt;=0,F3165,ROUNDUP(F3165/Materiales!$G$455,0)*Materiales!$G$455))</f>
        <v/>
      </c>
      <c r="G3166" s="65">
        <f>IF(G3165&lt;=0,0,IF(Materiales!$G$455&lt;=0,G3165,ROUNDUP(G3165/Materiales!$G$455,0)*Materiales!$G$455))</f>
        <v/>
      </c>
      <c r="H3166" s="65">
        <f>IF(H3165&lt;=0,0,IF(Materiales!$G$455&lt;=0,H3165,ROUNDUP(H3165/Materiales!$G$455,0)*Materiales!$G$455))</f>
        <v/>
      </c>
      <c r="I3166" s="65">
        <f>IF(I3165&lt;=0,0,IF(Materiales!$G$455&lt;=0,I3165,ROUNDUP(I3165/Materiales!$G$455,0)*Materiales!$G$455))</f>
        <v/>
      </c>
      <c r="J3166" s="65">
        <f>IF(J3165&lt;=0,0,IF(Materiales!$G$455&lt;=0,J3165,ROUNDUP(J3165/Materiales!$G$455,0)*Materiales!$G$455))</f>
        <v/>
      </c>
      <c r="K3166" s="65">
        <f>IF(K3165&lt;=0,0,IF(Materiales!$G$455&lt;=0,K3165,ROUNDUP(K3165/Materiales!$G$455,0)*Materiales!$G$455))</f>
        <v/>
      </c>
      <c r="L3166" s="65">
        <f>IF(L3165&lt;=0,0,IF(Materiales!$G$455&lt;=0,L3165,ROUNDUP(L3165/Materiales!$G$455,0)*Materiales!$G$455))</f>
        <v/>
      </c>
      <c r="M3166" s="66" t="n"/>
    </row>
    <row r="3167">
      <c r="C3167" s="70" t="inlineStr">
        <is>
          <t>LANZAMIENTO DE ORDEN — pedir esta semana</t>
        </is>
      </c>
      <c r="D3167" s="64" t="n"/>
      <c r="E3167" s="71">
        <f>IF(1+Materiales!$F$455&gt;8,0,INDEX($E$3166:$L$3166,1,1+Materiales!$F$455))</f>
        <v/>
      </c>
      <c r="F3167" s="71">
        <f>IF(2+Materiales!$F$455&gt;8,0,INDEX($E$3166:$L$3166,1,2+Materiales!$F$455))</f>
        <v/>
      </c>
      <c r="G3167" s="71">
        <f>IF(3+Materiales!$F$455&gt;8,0,INDEX($E$3166:$L$3166,1,3+Materiales!$F$455))</f>
        <v/>
      </c>
      <c r="H3167" s="71">
        <f>IF(4+Materiales!$F$455&gt;8,0,INDEX($E$3166:$L$3166,1,4+Materiales!$F$455))</f>
        <v/>
      </c>
      <c r="I3167" s="71">
        <f>IF(5+Materiales!$F$455&gt;8,0,INDEX($E$3166:$L$3166,1,5+Materiales!$F$455))</f>
        <v/>
      </c>
      <c r="J3167" s="71">
        <f>IF(6+Materiales!$F$455&gt;8,0,INDEX($E$3166:$L$3166,1,6+Materiales!$F$455))</f>
        <v/>
      </c>
      <c r="K3167" s="71">
        <f>IF(7+Materiales!$F$455&gt;8,0,INDEX($E$3166:$L$3166,1,7+Materiales!$F$455))</f>
        <v/>
      </c>
      <c r="L3167" s="71">
        <f>IF(8+Materiales!$F$455&gt;8,0,INDEX($E$3166:$L$3166,1,8+Materiales!$F$455))</f>
        <v/>
      </c>
      <c r="M3167" s="72">
        <f>IF($A3162="","",IF(SUMPRODUCT((COLUMN($E$3166:$L$3166)-4&lt;=Materiales!$F$455)*$E$3166:$L$3166)&gt;0,"PEDIR YA (atrasado)","OK"))</f>
        <v/>
      </c>
    </row>
    <row r="3168" ht="6" customHeight="1"/>
    <row r="3169">
      <c r="A3169" s="62">
        <f>IF(Materiales!$A$456="","",Materiales!$A$456)</f>
        <v/>
      </c>
      <c r="B3169" s="62">
        <f>IF(Materiales!$B$456="","",Materiales!$B$456)</f>
        <v/>
      </c>
      <c r="C3169" s="63" t="inlineStr">
        <is>
          <t>Necesidad bruta</t>
        </is>
      </c>
      <c r="D3169" s="64" t="n"/>
      <c r="E3169" s="65">
        <f>ROUND(SUMIF(Consumo!$P$4:$P$189,"#"&amp;$A3169,Consumo!H$4:H$189),4)</f>
        <v/>
      </c>
      <c r="F3169" s="65">
        <f>ROUND(SUMIF(Consumo!$P$4:$P$189,"#"&amp;$A3169,Consumo!I$4:I$189),4)</f>
        <v/>
      </c>
      <c r="G3169" s="65">
        <f>ROUND(SUMIF(Consumo!$P$4:$P$189,"#"&amp;$A3169,Consumo!J$4:J$189),4)</f>
        <v/>
      </c>
      <c r="H3169" s="65">
        <f>ROUND(SUMIF(Consumo!$P$4:$P$189,"#"&amp;$A3169,Consumo!K$4:K$189),4)</f>
        <v/>
      </c>
      <c r="I3169" s="65">
        <f>ROUND(SUMIF(Consumo!$P$4:$P$189,"#"&amp;$A3169,Consumo!L$4:L$189),4)</f>
        <v/>
      </c>
      <c r="J3169" s="65">
        <f>ROUND(SUMIF(Consumo!$P$4:$P$189,"#"&amp;$A3169,Consumo!M$4:M$189),4)</f>
        <v/>
      </c>
      <c r="K3169" s="65">
        <f>ROUND(SUMIF(Consumo!$P$4:$P$189,"#"&amp;$A3169,Consumo!N$4:N$189),4)</f>
        <v/>
      </c>
      <c r="L3169" s="65">
        <f>ROUND(SUMIF(Consumo!$P$4:$P$189,"#"&amp;$A3169,Consumo!O$4:O$189),4)</f>
        <v/>
      </c>
      <c r="M3169" s="66" t="n"/>
    </row>
    <row r="3170">
      <c r="C3170" s="63" t="inlineStr">
        <is>
          <t>Recepciones programadas (ya pedido)</t>
        </is>
      </c>
      <c r="D3170" s="64" t="n"/>
      <c r="E3170" s="65">
        <f>SUMIF(Inventario!$M$5:$M$505,"#"&amp;$A3169,Inventario!E$5:E$505)</f>
        <v/>
      </c>
      <c r="F3170" s="65">
        <f>SUMIF(Inventario!$M$5:$M$505,"#"&amp;$A3169,Inventario!F$5:F$505)</f>
        <v/>
      </c>
      <c r="G3170" s="65">
        <f>SUMIF(Inventario!$M$5:$M$505,"#"&amp;$A3169,Inventario!G$5:G$505)</f>
        <v/>
      </c>
      <c r="H3170" s="65">
        <f>SUMIF(Inventario!$M$5:$M$505,"#"&amp;$A3169,Inventario!H$5:H$505)</f>
        <v/>
      </c>
      <c r="I3170" s="65">
        <f>SUMIF(Inventario!$M$5:$M$505,"#"&amp;$A3169,Inventario!I$5:I$505)</f>
        <v/>
      </c>
      <c r="J3170" s="65">
        <f>SUMIF(Inventario!$M$5:$M$505,"#"&amp;$A3169,Inventario!J$5:J$505)</f>
        <v/>
      </c>
      <c r="K3170" s="65">
        <f>SUMIF(Inventario!$M$5:$M$505,"#"&amp;$A3169,Inventario!K$5:K$505)</f>
        <v/>
      </c>
      <c r="L3170" s="65">
        <f>SUMIF(Inventario!$M$5:$M$505,"#"&amp;$A3169,Inventario!L$5:L$505)</f>
        <v/>
      </c>
      <c r="M3170" s="66" t="n"/>
    </row>
    <row r="3171">
      <c r="C3171" s="63" t="inlineStr">
        <is>
          <t>Stock proyectado disponible</t>
        </is>
      </c>
      <c r="D3171" s="67">
        <f>SUMIF(Inventario!$M$5:$M$505,"#"&amp;$A3169,Inventario!$C$5:$C$505)</f>
        <v/>
      </c>
      <c r="E3171" s="68">
        <f>D3171+E3170+E3173-E3169</f>
        <v/>
      </c>
      <c r="F3171" s="68">
        <f>E3171+F3170+F3173-F3169</f>
        <v/>
      </c>
      <c r="G3171" s="68">
        <f>F3171+G3170+G3173-G3169</f>
        <v/>
      </c>
      <c r="H3171" s="68">
        <f>G3171+H3170+H3173-H3169</f>
        <v/>
      </c>
      <c r="I3171" s="68">
        <f>H3171+I3170+I3173-I3169</f>
        <v/>
      </c>
      <c r="J3171" s="68">
        <f>I3171+J3170+J3173-J3169</f>
        <v/>
      </c>
      <c r="K3171" s="68">
        <f>J3171+K3170+K3173-K3169</f>
        <v/>
      </c>
      <c r="L3171" s="68">
        <f>K3171+L3170+L3173-L3169</f>
        <v/>
      </c>
      <c r="M3171" s="66" t="n"/>
    </row>
    <row r="3172">
      <c r="C3172" s="63" t="inlineStr">
        <is>
          <t>Necesidad neta</t>
        </is>
      </c>
      <c r="D3172" s="64" t="n"/>
      <c r="E3172" s="69">
        <f>MAX(0,ROUND(E3169+Materiales!$H$456-D3171-E3170,4))</f>
        <v/>
      </c>
      <c r="F3172" s="69">
        <f>MAX(0,ROUND(F3169+Materiales!$H$456-E3171-F3170,4))</f>
        <v/>
      </c>
      <c r="G3172" s="69">
        <f>MAX(0,ROUND(G3169+Materiales!$H$456-F3171-G3170,4))</f>
        <v/>
      </c>
      <c r="H3172" s="69">
        <f>MAX(0,ROUND(H3169+Materiales!$H$456-G3171-H3170,4))</f>
        <v/>
      </c>
      <c r="I3172" s="69">
        <f>MAX(0,ROUND(I3169+Materiales!$H$456-H3171-I3170,4))</f>
        <v/>
      </c>
      <c r="J3172" s="69">
        <f>MAX(0,ROUND(J3169+Materiales!$H$456-I3171-J3170,4))</f>
        <v/>
      </c>
      <c r="K3172" s="69">
        <f>MAX(0,ROUND(K3169+Materiales!$H$456-J3171-K3170,4))</f>
        <v/>
      </c>
      <c r="L3172" s="69">
        <f>MAX(0,ROUND(L3169+Materiales!$H$456-K3171-L3170,4))</f>
        <v/>
      </c>
      <c r="M3172" s="66" t="n"/>
    </row>
    <row r="3173">
      <c r="C3173" s="63" t="inlineStr">
        <is>
          <t>Recepcion de orden planificada</t>
        </is>
      </c>
      <c r="D3173" s="64" t="n"/>
      <c r="E3173" s="65">
        <f>IF(E3172&lt;=0,0,IF(Materiales!$G$456&lt;=0,E3172,ROUNDUP(E3172/Materiales!$G$456,0)*Materiales!$G$456))</f>
        <v/>
      </c>
      <c r="F3173" s="65">
        <f>IF(F3172&lt;=0,0,IF(Materiales!$G$456&lt;=0,F3172,ROUNDUP(F3172/Materiales!$G$456,0)*Materiales!$G$456))</f>
        <v/>
      </c>
      <c r="G3173" s="65">
        <f>IF(G3172&lt;=0,0,IF(Materiales!$G$456&lt;=0,G3172,ROUNDUP(G3172/Materiales!$G$456,0)*Materiales!$G$456))</f>
        <v/>
      </c>
      <c r="H3173" s="65">
        <f>IF(H3172&lt;=0,0,IF(Materiales!$G$456&lt;=0,H3172,ROUNDUP(H3172/Materiales!$G$456,0)*Materiales!$G$456))</f>
        <v/>
      </c>
      <c r="I3173" s="65">
        <f>IF(I3172&lt;=0,0,IF(Materiales!$G$456&lt;=0,I3172,ROUNDUP(I3172/Materiales!$G$456,0)*Materiales!$G$456))</f>
        <v/>
      </c>
      <c r="J3173" s="65">
        <f>IF(J3172&lt;=0,0,IF(Materiales!$G$456&lt;=0,J3172,ROUNDUP(J3172/Materiales!$G$456,0)*Materiales!$G$456))</f>
        <v/>
      </c>
      <c r="K3173" s="65">
        <f>IF(K3172&lt;=0,0,IF(Materiales!$G$456&lt;=0,K3172,ROUNDUP(K3172/Materiales!$G$456,0)*Materiales!$G$456))</f>
        <v/>
      </c>
      <c r="L3173" s="65">
        <f>IF(L3172&lt;=0,0,IF(Materiales!$G$456&lt;=0,L3172,ROUNDUP(L3172/Materiales!$G$456,0)*Materiales!$G$456))</f>
        <v/>
      </c>
      <c r="M3173" s="66" t="n"/>
    </row>
    <row r="3174">
      <c r="C3174" s="70" t="inlineStr">
        <is>
          <t>LANZAMIENTO DE ORDEN — pedir esta semana</t>
        </is>
      </c>
      <c r="D3174" s="64" t="n"/>
      <c r="E3174" s="71">
        <f>IF(1+Materiales!$F$456&gt;8,0,INDEX($E$3173:$L$3173,1,1+Materiales!$F$456))</f>
        <v/>
      </c>
      <c r="F3174" s="71">
        <f>IF(2+Materiales!$F$456&gt;8,0,INDEX($E$3173:$L$3173,1,2+Materiales!$F$456))</f>
        <v/>
      </c>
      <c r="G3174" s="71">
        <f>IF(3+Materiales!$F$456&gt;8,0,INDEX($E$3173:$L$3173,1,3+Materiales!$F$456))</f>
        <v/>
      </c>
      <c r="H3174" s="71">
        <f>IF(4+Materiales!$F$456&gt;8,0,INDEX($E$3173:$L$3173,1,4+Materiales!$F$456))</f>
        <v/>
      </c>
      <c r="I3174" s="71">
        <f>IF(5+Materiales!$F$456&gt;8,0,INDEX($E$3173:$L$3173,1,5+Materiales!$F$456))</f>
        <v/>
      </c>
      <c r="J3174" s="71">
        <f>IF(6+Materiales!$F$456&gt;8,0,INDEX($E$3173:$L$3173,1,6+Materiales!$F$456))</f>
        <v/>
      </c>
      <c r="K3174" s="71">
        <f>IF(7+Materiales!$F$456&gt;8,0,INDEX($E$3173:$L$3173,1,7+Materiales!$F$456))</f>
        <v/>
      </c>
      <c r="L3174" s="71">
        <f>IF(8+Materiales!$F$456&gt;8,0,INDEX($E$3173:$L$3173,1,8+Materiales!$F$456))</f>
        <v/>
      </c>
      <c r="M3174" s="72">
        <f>IF($A3169="","",IF(SUMPRODUCT((COLUMN($E$3173:$L$3173)-4&lt;=Materiales!$F$456)*$E$3173:$L$3173)&gt;0,"PEDIR YA (atrasado)","OK"))</f>
        <v/>
      </c>
    </row>
    <row r="3175" ht="6" customHeight="1"/>
    <row r="3176">
      <c r="A3176" s="62">
        <f>IF(Materiales!$A$457="","",Materiales!$A$457)</f>
        <v/>
      </c>
      <c r="B3176" s="62">
        <f>IF(Materiales!$B$457="","",Materiales!$B$457)</f>
        <v/>
      </c>
      <c r="C3176" s="63" t="inlineStr">
        <is>
          <t>Necesidad bruta</t>
        </is>
      </c>
      <c r="D3176" s="64" t="n"/>
      <c r="E3176" s="65">
        <f>ROUND(SUMIF(Consumo!$P$4:$P$189,"#"&amp;$A3176,Consumo!H$4:H$189),4)</f>
        <v/>
      </c>
      <c r="F3176" s="65">
        <f>ROUND(SUMIF(Consumo!$P$4:$P$189,"#"&amp;$A3176,Consumo!I$4:I$189),4)</f>
        <v/>
      </c>
      <c r="G3176" s="65">
        <f>ROUND(SUMIF(Consumo!$P$4:$P$189,"#"&amp;$A3176,Consumo!J$4:J$189),4)</f>
        <v/>
      </c>
      <c r="H3176" s="65">
        <f>ROUND(SUMIF(Consumo!$P$4:$P$189,"#"&amp;$A3176,Consumo!K$4:K$189),4)</f>
        <v/>
      </c>
      <c r="I3176" s="65">
        <f>ROUND(SUMIF(Consumo!$P$4:$P$189,"#"&amp;$A3176,Consumo!L$4:L$189),4)</f>
        <v/>
      </c>
      <c r="J3176" s="65">
        <f>ROUND(SUMIF(Consumo!$P$4:$P$189,"#"&amp;$A3176,Consumo!M$4:M$189),4)</f>
        <v/>
      </c>
      <c r="K3176" s="65">
        <f>ROUND(SUMIF(Consumo!$P$4:$P$189,"#"&amp;$A3176,Consumo!N$4:N$189),4)</f>
        <v/>
      </c>
      <c r="L3176" s="65">
        <f>ROUND(SUMIF(Consumo!$P$4:$P$189,"#"&amp;$A3176,Consumo!O$4:O$189),4)</f>
        <v/>
      </c>
      <c r="M3176" s="66" t="n"/>
    </row>
    <row r="3177">
      <c r="C3177" s="63" t="inlineStr">
        <is>
          <t>Recepciones programadas (ya pedido)</t>
        </is>
      </c>
      <c r="D3177" s="64" t="n"/>
      <c r="E3177" s="65">
        <f>SUMIF(Inventario!$M$5:$M$505,"#"&amp;$A3176,Inventario!E$5:E$505)</f>
        <v/>
      </c>
      <c r="F3177" s="65">
        <f>SUMIF(Inventario!$M$5:$M$505,"#"&amp;$A3176,Inventario!F$5:F$505)</f>
        <v/>
      </c>
      <c r="G3177" s="65">
        <f>SUMIF(Inventario!$M$5:$M$505,"#"&amp;$A3176,Inventario!G$5:G$505)</f>
        <v/>
      </c>
      <c r="H3177" s="65">
        <f>SUMIF(Inventario!$M$5:$M$505,"#"&amp;$A3176,Inventario!H$5:H$505)</f>
        <v/>
      </c>
      <c r="I3177" s="65">
        <f>SUMIF(Inventario!$M$5:$M$505,"#"&amp;$A3176,Inventario!I$5:I$505)</f>
        <v/>
      </c>
      <c r="J3177" s="65">
        <f>SUMIF(Inventario!$M$5:$M$505,"#"&amp;$A3176,Inventario!J$5:J$505)</f>
        <v/>
      </c>
      <c r="K3177" s="65">
        <f>SUMIF(Inventario!$M$5:$M$505,"#"&amp;$A3176,Inventario!K$5:K$505)</f>
        <v/>
      </c>
      <c r="L3177" s="65">
        <f>SUMIF(Inventario!$M$5:$M$505,"#"&amp;$A3176,Inventario!L$5:L$505)</f>
        <v/>
      </c>
      <c r="M3177" s="66" t="n"/>
    </row>
    <row r="3178">
      <c r="C3178" s="63" t="inlineStr">
        <is>
          <t>Stock proyectado disponible</t>
        </is>
      </c>
      <c r="D3178" s="67">
        <f>SUMIF(Inventario!$M$5:$M$505,"#"&amp;$A3176,Inventario!$C$5:$C$505)</f>
        <v/>
      </c>
      <c r="E3178" s="68">
        <f>D3178+E3177+E3180-E3176</f>
        <v/>
      </c>
      <c r="F3178" s="68">
        <f>E3178+F3177+F3180-F3176</f>
        <v/>
      </c>
      <c r="G3178" s="68">
        <f>F3178+G3177+G3180-G3176</f>
        <v/>
      </c>
      <c r="H3178" s="68">
        <f>G3178+H3177+H3180-H3176</f>
        <v/>
      </c>
      <c r="I3178" s="68">
        <f>H3178+I3177+I3180-I3176</f>
        <v/>
      </c>
      <c r="J3178" s="68">
        <f>I3178+J3177+J3180-J3176</f>
        <v/>
      </c>
      <c r="K3178" s="68">
        <f>J3178+K3177+K3180-K3176</f>
        <v/>
      </c>
      <c r="L3178" s="68">
        <f>K3178+L3177+L3180-L3176</f>
        <v/>
      </c>
      <c r="M3178" s="66" t="n"/>
    </row>
    <row r="3179">
      <c r="C3179" s="63" t="inlineStr">
        <is>
          <t>Necesidad neta</t>
        </is>
      </c>
      <c r="D3179" s="64" t="n"/>
      <c r="E3179" s="69">
        <f>MAX(0,ROUND(E3176+Materiales!$H$457-D3178-E3177,4))</f>
        <v/>
      </c>
      <c r="F3179" s="69">
        <f>MAX(0,ROUND(F3176+Materiales!$H$457-E3178-F3177,4))</f>
        <v/>
      </c>
      <c r="G3179" s="69">
        <f>MAX(0,ROUND(G3176+Materiales!$H$457-F3178-G3177,4))</f>
        <v/>
      </c>
      <c r="H3179" s="69">
        <f>MAX(0,ROUND(H3176+Materiales!$H$457-G3178-H3177,4))</f>
        <v/>
      </c>
      <c r="I3179" s="69">
        <f>MAX(0,ROUND(I3176+Materiales!$H$457-H3178-I3177,4))</f>
        <v/>
      </c>
      <c r="J3179" s="69">
        <f>MAX(0,ROUND(J3176+Materiales!$H$457-I3178-J3177,4))</f>
        <v/>
      </c>
      <c r="K3179" s="69">
        <f>MAX(0,ROUND(K3176+Materiales!$H$457-J3178-K3177,4))</f>
        <v/>
      </c>
      <c r="L3179" s="69">
        <f>MAX(0,ROUND(L3176+Materiales!$H$457-K3178-L3177,4))</f>
        <v/>
      </c>
      <c r="M3179" s="66" t="n"/>
    </row>
    <row r="3180">
      <c r="C3180" s="63" t="inlineStr">
        <is>
          <t>Recepcion de orden planificada</t>
        </is>
      </c>
      <c r="D3180" s="64" t="n"/>
      <c r="E3180" s="65">
        <f>IF(E3179&lt;=0,0,IF(Materiales!$G$457&lt;=0,E3179,ROUNDUP(E3179/Materiales!$G$457,0)*Materiales!$G$457))</f>
        <v/>
      </c>
      <c r="F3180" s="65">
        <f>IF(F3179&lt;=0,0,IF(Materiales!$G$457&lt;=0,F3179,ROUNDUP(F3179/Materiales!$G$457,0)*Materiales!$G$457))</f>
        <v/>
      </c>
      <c r="G3180" s="65">
        <f>IF(G3179&lt;=0,0,IF(Materiales!$G$457&lt;=0,G3179,ROUNDUP(G3179/Materiales!$G$457,0)*Materiales!$G$457))</f>
        <v/>
      </c>
      <c r="H3180" s="65">
        <f>IF(H3179&lt;=0,0,IF(Materiales!$G$457&lt;=0,H3179,ROUNDUP(H3179/Materiales!$G$457,0)*Materiales!$G$457))</f>
        <v/>
      </c>
      <c r="I3180" s="65">
        <f>IF(I3179&lt;=0,0,IF(Materiales!$G$457&lt;=0,I3179,ROUNDUP(I3179/Materiales!$G$457,0)*Materiales!$G$457))</f>
        <v/>
      </c>
      <c r="J3180" s="65">
        <f>IF(J3179&lt;=0,0,IF(Materiales!$G$457&lt;=0,J3179,ROUNDUP(J3179/Materiales!$G$457,0)*Materiales!$G$457))</f>
        <v/>
      </c>
      <c r="K3180" s="65">
        <f>IF(K3179&lt;=0,0,IF(Materiales!$G$457&lt;=0,K3179,ROUNDUP(K3179/Materiales!$G$457,0)*Materiales!$G$457))</f>
        <v/>
      </c>
      <c r="L3180" s="65">
        <f>IF(L3179&lt;=0,0,IF(Materiales!$G$457&lt;=0,L3179,ROUNDUP(L3179/Materiales!$G$457,0)*Materiales!$G$457))</f>
        <v/>
      </c>
      <c r="M3180" s="66" t="n"/>
    </row>
    <row r="3181">
      <c r="C3181" s="70" t="inlineStr">
        <is>
          <t>LANZAMIENTO DE ORDEN — pedir esta semana</t>
        </is>
      </c>
      <c r="D3181" s="64" t="n"/>
      <c r="E3181" s="71">
        <f>IF(1+Materiales!$F$457&gt;8,0,INDEX($E$3180:$L$3180,1,1+Materiales!$F$457))</f>
        <v/>
      </c>
      <c r="F3181" s="71">
        <f>IF(2+Materiales!$F$457&gt;8,0,INDEX($E$3180:$L$3180,1,2+Materiales!$F$457))</f>
        <v/>
      </c>
      <c r="G3181" s="71">
        <f>IF(3+Materiales!$F$457&gt;8,0,INDEX($E$3180:$L$3180,1,3+Materiales!$F$457))</f>
        <v/>
      </c>
      <c r="H3181" s="71">
        <f>IF(4+Materiales!$F$457&gt;8,0,INDEX($E$3180:$L$3180,1,4+Materiales!$F$457))</f>
        <v/>
      </c>
      <c r="I3181" s="71">
        <f>IF(5+Materiales!$F$457&gt;8,0,INDEX($E$3180:$L$3180,1,5+Materiales!$F$457))</f>
        <v/>
      </c>
      <c r="J3181" s="71">
        <f>IF(6+Materiales!$F$457&gt;8,0,INDEX($E$3180:$L$3180,1,6+Materiales!$F$457))</f>
        <v/>
      </c>
      <c r="K3181" s="71">
        <f>IF(7+Materiales!$F$457&gt;8,0,INDEX($E$3180:$L$3180,1,7+Materiales!$F$457))</f>
        <v/>
      </c>
      <c r="L3181" s="71">
        <f>IF(8+Materiales!$F$457&gt;8,0,INDEX($E$3180:$L$3180,1,8+Materiales!$F$457))</f>
        <v/>
      </c>
      <c r="M3181" s="72">
        <f>IF($A3176="","",IF(SUMPRODUCT((COLUMN($E$3180:$L$3180)-4&lt;=Materiales!$F$457)*$E$3180:$L$3180)&gt;0,"PEDIR YA (atrasado)","OK"))</f>
        <v/>
      </c>
    </row>
    <row r="3182" ht="6" customHeight="1"/>
    <row r="3183">
      <c r="A3183" s="62">
        <f>IF(Materiales!$A$458="","",Materiales!$A$458)</f>
        <v/>
      </c>
      <c r="B3183" s="62">
        <f>IF(Materiales!$B$458="","",Materiales!$B$458)</f>
        <v/>
      </c>
      <c r="C3183" s="63" t="inlineStr">
        <is>
          <t>Necesidad bruta</t>
        </is>
      </c>
      <c r="D3183" s="64" t="n"/>
      <c r="E3183" s="65">
        <f>ROUND(SUMIF(Consumo!$P$4:$P$189,"#"&amp;$A3183,Consumo!H$4:H$189),4)</f>
        <v/>
      </c>
      <c r="F3183" s="65">
        <f>ROUND(SUMIF(Consumo!$P$4:$P$189,"#"&amp;$A3183,Consumo!I$4:I$189),4)</f>
        <v/>
      </c>
      <c r="G3183" s="65">
        <f>ROUND(SUMIF(Consumo!$P$4:$P$189,"#"&amp;$A3183,Consumo!J$4:J$189),4)</f>
        <v/>
      </c>
      <c r="H3183" s="65">
        <f>ROUND(SUMIF(Consumo!$P$4:$P$189,"#"&amp;$A3183,Consumo!K$4:K$189),4)</f>
        <v/>
      </c>
      <c r="I3183" s="65">
        <f>ROUND(SUMIF(Consumo!$P$4:$P$189,"#"&amp;$A3183,Consumo!L$4:L$189),4)</f>
        <v/>
      </c>
      <c r="J3183" s="65">
        <f>ROUND(SUMIF(Consumo!$P$4:$P$189,"#"&amp;$A3183,Consumo!M$4:M$189),4)</f>
        <v/>
      </c>
      <c r="K3183" s="65">
        <f>ROUND(SUMIF(Consumo!$P$4:$P$189,"#"&amp;$A3183,Consumo!N$4:N$189),4)</f>
        <v/>
      </c>
      <c r="L3183" s="65">
        <f>ROUND(SUMIF(Consumo!$P$4:$P$189,"#"&amp;$A3183,Consumo!O$4:O$189),4)</f>
        <v/>
      </c>
      <c r="M3183" s="66" t="n"/>
    </row>
    <row r="3184">
      <c r="C3184" s="63" t="inlineStr">
        <is>
          <t>Recepciones programadas (ya pedido)</t>
        </is>
      </c>
      <c r="D3184" s="64" t="n"/>
      <c r="E3184" s="65">
        <f>SUMIF(Inventario!$M$5:$M$505,"#"&amp;$A3183,Inventario!E$5:E$505)</f>
        <v/>
      </c>
      <c r="F3184" s="65">
        <f>SUMIF(Inventario!$M$5:$M$505,"#"&amp;$A3183,Inventario!F$5:F$505)</f>
        <v/>
      </c>
      <c r="G3184" s="65">
        <f>SUMIF(Inventario!$M$5:$M$505,"#"&amp;$A3183,Inventario!G$5:G$505)</f>
        <v/>
      </c>
      <c r="H3184" s="65">
        <f>SUMIF(Inventario!$M$5:$M$505,"#"&amp;$A3183,Inventario!H$5:H$505)</f>
        <v/>
      </c>
      <c r="I3184" s="65">
        <f>SUMIF(Inventario!$M$5:$M$505,"#"&amp;$A3183,Inventario!I$5:I$505)</f>
        <v/>
      </c>
      <c r="J3184" s="65">
        <f>SUMIF(Inventario!$M$5:$M$505,"#"&amp;$A3183,Inventario!J$5:J$505)</f>
        <v/>
      </c>
      <c r="K3184" s="65">
        <f>SUMIF(Inventario!$M$5:$M$505,"#"&amp;$A3183,Inventario!K$5:K$505)</f>
        <v/>
      </c>
      <c r="L3184" s="65">
        <f>SUMIF(Inventario!$M$5:$M$505,"#"&amp;$A3183,Inventario!L$5:L$505)</f>
        <v/>
      </c>
      <c r="M3184" s="66" t="n"/>
    </row>
    <row r="3185">
      <c r="C3185" s="63" t="inlineStr">
        <is>
          <t>Stock proyectado disponible</t>
        </is>
      </c>
      <c r="D3185" s="67">
        <f>SUMIF(Inventario!$M$5:$M$505,"#"&amp;$A3183,Inventario!$C$5:$C$505)</f>
        <v/>
      </c>
      <c r="E3185" s="68">
        <f>D3185+E3184+E3187-E3183</f>
        <v/>
      </c>
      <c r="F3185" s="68">
        <f>E3185+F3184+F3187-F3183</f>
        <v/>
      </c>
      <c r="G3185" s="68">
        <f>F3185+G3184+G3187-G3183</f>
        <v/>
      </c>
      <c r="H3185" s="68">
        <f>G3185+H3184+H3187-H3183</f>
        <v/>
      </c>
      <c r="I3185" s="68">
        <f>H3185+I3184+I3187-I3183</f>
        <v/>
      </c>
      <c r="J3185" s="68">
        <f>I3185+J3184+J3187-J3183</f>
        <v/>
      </c>
      <c r="K3185" s="68">
        <f>J3185+K3184+K3187-K3183</f>
        <v/>
      </c>
      <c r="L3185" s="68">
        <f>K3185+L3184+L3187-L3183</f>
        <v/>
      </c>
      <c r="M3185" s="66" t="n"/>
    </row>
    <row r="3186">
      <c r="C3186" s="63" t="inlineStr">
        <is>
          <t>Necesidad neta</t>
        </is>
      </c>
      <c r="D3186" s="64" t="n"/>
      <c r="E3186" s="69">
        <f>MAX(0,ROUND(E3183+Materiales!$H$458-D3185-E3184,4))</f>
        <v/>
      </c>
      <c r="F3186" s="69">
        <f>MAX(0,ROUND(F3183+Materiales!$H$458-E3185-F3184,4))</f>
        <v/>
      </c>
      <c r="G3186" s="69">
        <f>MAX(0,ROUND(G3183+Materiales!$H$458-F3185-G3184,4))</f>
        <v/>
      </c>
      <c r="H3186" s="69">
        <f>MAX(0,ROUND(H3183+Materiales!$H$458-G3185-H3184,4))</f>
        <v/>
      </c>
      <c r="I3186" s="69">
        <f>MAX(0,ROUND(I3183+Materiales!$H$458-H3185-I3184,4))</f>
        <v/>
      </c>
      <c r="J3186" s="69">
        <f>MAX(0,ROUND(J3183+Materiales!$H$458-I3185-J3184,4))</f>
        <v/>
      </c>
      <c r="K3186" s="69">
        <f>MAX(0,ROUND(K3183+Materiales!$H$458-J3185-K3184,4))</f>
        <v/>
      </c>
      <c r="L3186" s="69">
        <f>MAX(0,ROUND(L3183+Materiales!$H$458-K3185-L3184,4))</f>
        <v/>
      </c>
      <c r="M3186" s="66" t="n"/>
    </row>
    <row r="3187">
      <c r="C3187" s="63" t="inlineStr">
        <is>
          <t>Recepcion de orden planificada</t>
        </is>
      </c>
      <c r="D3187" s="64" t="n"/>
      <c r="E3187" s="65">
        <f>IF(E3186&lt;=0,0,IF(Materiales!$G$458&lt;=0,E3186,ROUNDUP(E3186/Materiales!$G$458,0)*Materiales!$G$458))</f>
        <v/>
      </c>
      <c r="F3187" s="65">
        <f>IF(F3186&lt;=0,0,IF(Materiales!$G$458&lt;=0,F3186,ROUNDUP(F3186/Materiales!$G$458,0)*Materiales!$G$458))</f>
        <v/>
      </c>
      <c r="G3187" s="65">
        <f>IF(G3186&lt;=0,0,IF(Materiales!$G$458&lt;=0,G3186,ROUNDUP(G3186/Materiales!$G$458,0)*Materiales!$G$458))</f>
        <v/>
      </c>
      <c r="H3187" s="65">
        <f>IF(H3186&lt;=0,0,IF(Materiales!$G$458&lt;=0,H3186,ROUNDUP(H3186/Materiales!$G$458,0)*Materiales!$G$458))</f>
        <v/>
      </c>
      <c r="I3187" s="65">
        <f>IF(I3186&lt;=0,0,IF(Materiales!$G$458&lt;=0,I3186,ROUNDUP(I3186/Materiales!$G$458,0)*Materiales!$G$458))</f>
        <v/>
      </c>
      <c r="J3187" s="65">
        <f>IF(J3186&lt;=0,0,IF(Materiales!$G$458&lt;=0,J3186,ROUNDUP(J3186/Materiales!$G$458,0)*Materiales!$G$458))</f>
        <v/>
      </c>
      <c r="K3187" s="65">
        <f>IF(K3186&lt;=0,0,IF(Materiales!$G$458&lt;=0,K3186,ROUNDUP(K3186/Materiales!$G$458,0)*Materiales!$G$458))</f>
        <v/>
      </c>
      <c r="L3187" s="65">
        <f>IF(L3186&lt;=0,0,IF(Materiales!$G$458&lt;=0,L3186,ROUNDUP(L3186/Materiales!$G$458,0)*Materiales!$G$458))</f>
        <v/>
      </c>
      <c r="M3187" s="66" t="n"/>
    </row>
    <row r="3188">
      <c r="C3188" s="70" t="inlineStr">
        <is>
          <t>LANZAMIENTO DE ORDEN — pedir esta semana</t>
        </is>
      </c>
      <c r="D3188" s="64" t="n"/>
      <c r="E3188" s="71">
        <f>IF(1+Materiales!$F$458&gt;8,0,INDEX($E$3187:$L$3187,1,1+Materiales!$F$458))</f>
        <v/>
      </c>
      <c r="F3188" s="71">
        <f>IF(2+Materiales!$F$458&gt;8,0,INDEX($E$3187:$L$3187,1,2+Materiales!$F$458))</f>
        <v/>
      </c>
      <c r="G3188" s="71">
        <f>IF(3+Materiales!$F$458&gt;8,0,INDEX($E$3187:$L$3187,1,3+Materiales!$F$458))</f>
        <v/>
      </c>
      <c r="H3188" s="71">
        <f>IF(4+Materiales!$F$458&gt;8,0,INDEX($E$3187:$L$3187,1,4+Materiales!$F$458))</f>
        <v/>
      </c>
      <c r="I3188" s="71">
        <f>IF(5+Materiales!$F$458&gt;8,0,INDEX($E$3187:$L$3187,1,5+Materiales!$F$458))</f>
        <v/>
      </c>
      <c r="J3188" s="71">
        <f>IF(6+Materiales!$F$458&gt;8,0,INDEX($E$3187:$L$3187,1,6+Materiales!$F$458))</f>
        <v/>
      </c>
      <c r="K3188" s="71">
        <f>IF(7+Materiales!$F$458&gt;8,0,INDEX($E$3187:$L$3187,1,7+Materiales!$F$458))</f>
        <v/>
      </c>
      <c r="L3188" s="71">
        <f>IF(8+Materiales!$F$458&gt;8,0,INDEX($E$3187:$L$3187,1,8+Materiales!$F$458))</f>
        <v/>
      </c>
      <c r="M3188" s="72">
        <f>IF($A3183="","",IF(SUMPRODUCT((COLUMN($E$3187:$L$3187)-4&lt;=Materiales!$F$458)*$E$3187:$L$3187)&gt;0,"PEDIR YA (atrasado)","OK"))</f>
        <v/>
      </c>
    </row>
    <row r="3189" ht="6" customHeight="1"/>
    <row r="3190">
      <c r="A3190" s="62">
        <f>IF(Materiales!$A$459="","",Materiales!$A$459)</f>
        <v/>
      </c>
      <c r="B3190" s="62">
        <f>IF(Materiales!$B$459="","",Materiales!$B$459)</f>
        <v/>
      </c>
      <c r="C3190" s="63" t="inlineStr">
        <is>
          <t>Necesidad bruta</t>
        </is>
      </c>
      <c r="D3190" s="64" t="n"/>
      <c r="E3190" s="65">
        <f>ROUND(SUMIF(Consumo!$P$4:$P$189,"#"&amp;$A3190,Consumo!H$4:H$189),4)</f>
        <v/>
      </c>
      <c r="F3190" s="65">
        <f>ROUND(SUMIF(Consumo!$P$4:$P$189,"#"&amp;$A3190,Consumo!I$4:I$189),4)</f>
        <v/>
      </c>
      <c r="G3190" s="65">
        <f>ROUND(SUMIF(Consumo!$P$4:$P$189,"#"&amp;$A3190,Consumo!J$4:J$189),4)</f>
        <v/>
      </c>
      <c r="H3190" s="65">
        <f>ROUND(SUMIF(Consumo!$P$4:$P$189,"#"&amp;$A3190,Consumo!K$4:K$189),4)</f>
        <v/>
      </c>
      <c r="I3190" s="65">
        <f>ROUND(SUMIF(Consumo!$P$4:$P$189,"#"&amp;$A3190,Consumo!L$4:L$189),4)</f>
        <v/>
      </c>
      <c r="J3190" s="65">
        <f>ROUND(SUMIF(Consumo!$P$4:$P$189,"#"&amp;$A3190,Consumo!M$4:M$189),4)</f>
        <v/>
      </c>
      <c r="K3190" s="65">
        <f>ROUND(SUMIF(Consumo!$P$4:$P$189,"#"&amp;$A3190,Consumo!N$4:N$189),4)</f>
        <v/>
      </c>
      <c r="L3190" s="65">
        <f>ROUND(SUMIF(Consumo!$P$4:$P$189,"#"&amp;$A3190,Consumo!O$4:O$189),4)</f>
        <v/>
      </c>
      <c r="M3190" s="66" t="n"/>
    </row>
    <row r="3191">
      <c r="C3191" s="63" t="inlineStr">
        <is>
          <t>Recepciones programadas (ya pedido)</t>
        </is>
      </c>
      <c r="D3191" s="64" t="n"/>
      <c r="E3191" s="65">
        <f>SUMIF(Inventario!$M$5:$M$505,"#"&amp;$A3190,Inventario!E$5:E$505)</f>
        <v/>
      </c>
      <c r="F3191" s="65">
        <f>SUMIF(Inventario!$M$5:$M$505,"#"&amp;$A3190,Inventario!F$5:F$505)</f>
        <v/>
      </c>
      <c r="G3191" s="65">
        <f>SUMIF(Inventario!$M$5:$M$505,"#"&amp;$A3190,Inventario!G$5:G$505)</f>
        <v/>
      </c>
      <c r="H3191" s="65">
        <f>SUMIF(Inventario!$M$5:$M$505,"#"&amp;$A3190,Inventario!H$5:H$505)</f>
        <v/>
      </c>
      <c r="I3191" s="65">
        <f>SUMIF(Inventario!$M$5:$M$505,"#"&amp;$A3190,Inventario!I$5:I$505)</f>
        <v/>
      </c>
      <c r="J3191" s="65">
        <f>SUMIF(Inventario!$M$5:$M$505,"#"&amp;$A3190,Inventario!J$5:J$505)</f>
        <v/>
      </c>
      <c r="K3191" s="65">
        <f>SUMIF(Inventario!$M$5:$M$505,"#"&amp;$A3190,Inventario!K$5:K$505)</f>
        <v/>
      </c>
      <c r="L3191" s="65">
        <f>SUMIF(Inventario!$M$5:$M$505,"#"&amp;$A3190,Inventario!L$5:L$505)</f>
        <v/>
      </c>
      <c r="M3191" s="66" t="n"/>
    </row>
    <row r="3192">
      <c r="C3192" s="63" t="inlineStr">
        <is>
          <t>Stock proyectado disponible</t>
        </is>
      </c>
      <c r="D3192" s="67">
        <f>SUMIF(Inventario!$M$5:$M$505,"#"&amp;$A3190,Inventario!$C$5:$C$505)</f>
        <v/>
      </c>
      <c r="E3192" s="68">
        <f>D3192+E3191+E3194-E3190</f>
        <v/>
      </c>
      <c r="F3192" s="68">
        <f>E3192+F3191+F3194-F3190</f>
        <v/>
      </c>
      <c r="G3192" s="68">
        <f>F3192+G3191+G3194-G3190</f>
        <v/>
      </c>
      <c r="H3192" s="68">
        <f>G3192+H3191+H3194-H3190</f>
        <v/>
      </c>
      <c r="I3192" s="68">
        <f>H3192+I3191+I3194-I3190</f>
        <v/>
      </c>
      <c r="J3192" s="68">
        <f>I3192+J3191+J3194-J3190</f>
        <v/>
      </c>
      <c r="K3192" s="68">
        <f>J3192+K3191+K3194-K3190</f>
        <v/>
      </c>
      <c r="L3192" s="68">
        <f>K3192+L3191+L3194-L3190</f>
        <v/>
      </c>
      <c r="M3192" s="66" t="n"/>
    </row>
    <row r="3193">
      <c r="C3193" s="63" t="inlineStr">
        <is>
          <t>Necesidad neta</t>
        </is>
      </c>
      <c r="D3193" s="64" t="n"/>
      <c r="E3193" s="69">
        <f>MAX(0,ROUND(E3190+Materiales!$H$459-D3192-E3191,4))</f>
        <v/>
      </c>
      <c r="F3193" s="69">
        <f>MAX(0,ROUND(F3190+Materiales!$H$459-E3192-F3191,4))</f>
        <v/>
      </c>
      <c r="G3193" s="69">
        <f>MAX(0,ROUND(G3190+Materiales!$H$459-F3192-G3191,4))</f>
        <v/>
      </c>
      <c r="H3193" s="69">
        <f>MAX(0,ROUND(H3190+Materiales!$H$459-G3192-H3191,4))</f>
        <v/>
      </c>
      <c r="I3193" s="69">
        <f>MAX(0,ROUND(I3190+Materiales!$H$459-H3192-I3191,4))</f>
        <v/>
      </c>
      <c r="J3193" s="69">
        <f>MAX(0,ROUND(J3190+Materiales!$H$459-I3192-J3191,4))</f>
        <v/>
      </c>
      <c r="K3193" s="69">
        <f>MAX(0,ROUND(K3190+Materiales!$H$459-J3192-K3191,4))</f>
        <v/>
      </c>
      <c r="L3193" s="69">
        <f>MAX(0,ROUND(L3190+Materiales!$H$459-K3192-L3191,4))</f>
        <v/>
      </c>
      <c r="M3193" s="66" t="n"/>
    </row>
    <row r="3194">
      <c r="C3194" s="63" t="inlineStr">
        <is>
          <t>Recepcion de orden planificada</t>
        </is>
      </c>
      <c r="D3194" s="64" t="n"/>
      <c r="E3194" s="65">
        <f>IF(E3193&lt;=0,0,IF(Materiales!$G$459&lt;=0,E3193,ROUNDUP(E3193/Materiales!$G$459,0)*Materiales!$G$459))</f>
        <v/>
      </c>
      <c r="F3194" s="65">
        <f>IF(F3193&lt;=0,0,IF(Materiales!$G$459&lt;=0,F3193,ROUNDUP(F3193/Materiales!$G$459,0)*Materiales!$G$459))</f>
        <v/>
      </c>
      <c r="G3194" s="65">
        <f>IF(G3193&lt;=0,0,IF(Materiales!$G$459&lt;=0,G3193,ROUNDUP(G3193/Materiales!$G$459,0)*Materiales!$G$459))</f>
        <v/>
      </c>
      <c r="H3194" s="65">
        <f>IF(H3193&lt;=0,0,IF(Materiales!$G$459&lt;=0,H3193,ROUNDUP(H3193/Materiales!$G$459,0)*Materiales!$G$459))</f>
        <v/>
      </c>
      <c r="I3194" s="65">
        <f>IF(I3193&lt;=0,0,IF(Materiales!$G$459&lt;=0,I3193,ROUNDUP(I3193/Materiales!$G$459,0)*Materiales!$G$459))</f>
        <v/>
      </c>
      <c r="J3194" s="65">
        <f>IF(J3193&lt;=0,0,IF(Materiales!$G$459&lt;=0,J3193,ROUNDUP(J3193/Materiales!$G$459,0)*Materiales!$G$459))</f>
        <v/>
      </c>
      <c r="K3194" s="65">
        <f>IF(K3193&lt;=0,0,IF(Materiales!$G$459&lt;=0,K3193,ROUNDUP(K3193/Materiales!$G$459,0)*Materiales!$G$459))</f>
        <v/>
      </c>
      <c r="L3194" s="65">
        <f>IF(L3193&lt;=0,0,IF(Materiales!$G$459&lt;=0,L3193,ROUNDUP(L3193/Materiales!$G$459,0)*Materiales!$G$459))</f>
        <v/>
      </c>
      <c r="M3194" s="66" t="n"/>
    </row>
    <row r="3195">
      <c r="C3195" s="70" t="inlineStr">
        <is>
          <t>LANZAMIENTO DE ORDEN — pedir esta semana</t>
        </is>
      </c>
      <c r="D3195" s="64" t="n"/>
      <c r="E3195" s="71">
        <f>IF(1+Materiales!$F$459&gt;8,0,INDEX($E$3194:$L$3194,1,1+Materiales!$F$459))</f>
        <v/>
      </c>
      <c r="F3195" s="71">
        <f>IF(2+Materiales!$F$459&gt;8,0,INDEX($E$3194:$L$3194,1,2+Materiales!$F$459))</f>
        <v/>
      </c>
      <c r="G3195" s="71">
        <f>IF(3+Materiales!$F$459&gt;8,0,INDEX($E$3194:$L$3194,1,3+Materiales!$F$459))</f>
        <v/>
      </c>
      <c r="H3195" s="71">
        <f>IF(4+Materiales!$F$459&gt;8,0,INDEX($E$3194:$L$3194,1,4+Materiales!$F$459))</f>
        <v/>
      </c>
      <c r="I3195" s="71">
        <f>IF(5+Materiales!$F$459&gt;8,0,INDEX($E$3194:$L$3194,1,5+Materiales!$F$459))</f>
        <v/>
      </c>
      <c r="J3195" s="71">
        <f>IF(6+Materiales!$F$459&gt;8,0,INDEX($E$3194:$L$3194,1,6+Materiales!$F$459))</f>
        <v/>
      </c>
      <c r="K3195" s="71">
        <f>IF(7+Materiales!$F$459&gt;8,0,INDEX($E$3194:$L$3194,1,7+Materiales!$F$459))</f>
        <v/>
      </c>
      <c r="L3195" s="71">
        <f>IF(8+Materiales!$F$459&gt;8,0,INDEX($E$3194:$L$3194,1,8+Materiales!$F$459))</f>
        <v/>
      </c>
      <c r="M3195" s="72">
        <f>IF($A3190="","",IF(SUMPRODUCT((COLUMN($E$3194:$L$3194)-4&lt;=Materiales!$F$459)*$E$3194:$L$3194)&gt;0,"PEDIR YA (atrasado)","OK"))</f>
        <v/>
      </c>
    </row>
    <row r="3196" ht="6" customHeight="1"/>
    <row r="3197">
      <c r="A3197" s="62">
        <f>IF(Materiales!$A$460="","",Materiales!$A$460)</f>
        <v/>
      </c>
      <c r="B3197" s="62">
        <f>IF(Materiales!$B$460="","",Materiales!$B$460)</f>
        <v/>
      </c>
      <c r="C3197" s="63" t="inlineStr">
        <is>
          <t>Necesidad bruta</t>
        </is>
      </c>
      <c r="D3197" s="64" t="n"/>
      <c r="E3197" s="65">
        <f>ROUND(SUMIF(Consumo!$P$4:$P$189,"#"&amp;$A3197,Consumo!H$4:H$189),4)</f>
        <v/>
      </c>
      <c r="F3197" s="65">
        <f>ROUND(SUMIF(Consumo!$P$4:$P$189,"#"&amp;$A3197,Consumo!I$4:I$189),4)</f>
        <v/>
      </c>
      <c r="G3197" s="65">
        <f>ROUND(SUMIF(Consumo!$P$4:$P$189,"#"&amp;$A3197,Consumo!J$4:J$189),4)</f>
        <v/>
      </c>
      <c r="H3197" s="65">
        <f>ROUND(SUMIF(Consumo!$P$4:$P$189,"#"&amp;$A3197,Consumo!K$4:K$189),4)</f>
        <v/>
      </c>
      <c r="I3197" s="65">
        <f>ROUND(SUMIF(Consumo!$P$4:$P$189,"#"&amp;$A3197,Consumo!L$4:L$189),4)</f>
        <v/>
      </c>
      <c r="J3197" s="65">
        <f>ROUND(SUMIF(Consumo!$P$4:$P$189,"#"&amp;$A3197,Consumo!M$4:M$189),4)</f>
        <v/>
      </c>
      <c r="K3197" s="65">
        <f>ROUND(SUMIF(Consumo!$P$4:$P$189,"#"&amp;$A3197,Consumo!N$4:N$189),4)</f>
        <v/>
      </c>
      <c r="L3197" s="65">
        <f>ROUND(SUMIF(Consumo!$P$4:$P$189,"#"&amp;$A3197,Consumo!O$4:O$189),4)</f>
        <v/>
      </c>
      <c r="M3197" s="66" t="n"/>
    </row>
    <row r="3198">
      <c r="C3198" s="63" t="inlineStr">
        <is>
          <t>Recepciones programadas (ya pedido)</t>
        </is>
      </c>
      <c r="D3198" s="64" t="n"/>
      <c r="E3198" s="65">
        <f>SUMIF(Inventario!$M$5:$M$505,"#"&amp;$A3197,Inventario!E$5:E$505)</f>
        <v/>
      </c>
      <c r="F3198" s="65">
        <f>SUMIF(Inventario!$M$5:$M$505,"#"&amp;$A3197,Inventario!F$5:F$505)</f>
        <v/>
      </c>
      <c r="G3198" s="65">
        <f>SUMIF(Inventario!$M$5:$M$505,"#"&amp;$A3197,Inventario!G$5:G$505)</f>
        <v/>
      </c>
      <c r="H3198" s="65">
        <f>SUMIF(Inventario!$M$5:$M$505,"#"&amp;$A3197,Inventario!H$5:H$505)</f>
        <v/>
      </c>
      <c r="I3198" s="65">
        <f>SUMIF(Inventario!$M$5:$M$505,"#"&amp;$A3197,Inventario!I$5:I$505)</f>
        <v/>
      </c>
      <c r="J3198" s="65">
        <f>SUMIF(Inventario!$M$5:$M$505,"#"&amp;$A3197,Inventario!J$5:J$505)</f>
        <v/>
      </c>
      <c r="K3198" s="65">
        <f>SUMIF(Inventario!$M$5:$M$505,"#"&amp;$A3197,Inventario!K$5:K$505)</f>
        <v/>
      </c>
      <c r="L3198" s="65">
        <f>SUMIF(Inventario!$M$5:$M$505,"#"&amp;$A3197,Inventario!L$5:L$505)</f>
        <v/>
      </c>
      <c r="M3198" s="66" t="n"/>
    </row>
    <row r="3199">
      <c r="C3199" s="63" t="inlineStr">
        <is>
          <t>Stock proyectado disponible</t>
        </is>
      </c>
      <c r="D3199" s="67">
        <f>SUMIF(Inventario!$M$5:$M$505,"#"&amp;$A3197,Inventario!$C$5:$C$505)</f>
        <v/>
      </c>
      <c r="E3199" s="68">
        <f>D3199+E3198+E3201-E3197</f>
        <v/>
      </c>
      <c r="F3199" s="68">
        <f>E3199+F3198+F3201-F3197</f>
        <v/>
      </c>
      <c r="G3199" s="68">
        <f>F3199+G3198+G3201-G3197</f>
        <v/>
      </c>
      <c r="H3199" s="68">
        <f>G3199+H3198+H3201-H3197</f>
        <v/>
      </c>
      <c r="I3199" s="68">
        <f>H3199+I3198+I3201-I3197</f>
        <v/>
      </c>
      <c r="J3199" s="68">
        <f>I3199+J3198+J3201-J3197</f>
        <v/>
      </c>
      <c r="K3199" s="68">
        <f>J3199+K3198+K3201-K3197</f>
        <v/>
      </c>
      <c r="L3199" s="68">
        <f>K3199+L3198+L3201-L3197</f>
        <v/>
      </c>
      <c r="M3199" s="66" t="n"/>
    </row>
    <row r="3200">
      <c r="C3200" s="63" t="inlineStr">
        <is>
          <t>Necesidad neta</t>
        </is>
      </c>
      <c r="D3200" s="64" t="n"/>
      <c r="E3200" s="69">
        <f>MAX(0,ROUND(E3197+Materiales!$H$460-D3199-E3198,4))</f>
        <v/>
      </c>
      <c r="F3200" s="69">
        <f>MAX(0,ROUND(F3197+Materiales!$H$460-E3199-F3198,4))</f>
        <v/>
      </c>
      <c r="G3200" s="69">
        <f>MAX(0,ROUND(G3197+Materiales!$H$460-F3199-G3198,4))</f>
        <v/>
      </c>
      <c r="H3200" s="69">
        <f>MAX(0,ROUND(H3197+Materiales!$H$460-G3199-H3198,4))</f>
        <v/>
      </c>
      <c r="I3200" s="69">
        <f>MAX(0,ROUND(I3197+Materiales!$H$460-H3199-I3198,4))</f>
        <v/>
      </c>
      <c r="J3200" s="69">
        <f>MAX(0,ROUND(J3197+Materiales!$H$460-I3199-J3198,4))</f>
        <v/>
      </c>
      <c r="K3200" s="69">
        <f>MAX(0,ROUND(K3197+Materiales!$H$460-J3199-K3198,4))</f>
        <v/>
      </c>
      <c r="L3200" s="69">
        <f>MAX(0,ROUND(L3197+Materiales!$H$460-K3199-L3198,4))</f>
        <v/>
      </c>
      <c r="M3200" s="66" t="n"/>
    </row>
    <row r="3201">
      <c r="C3201" s="63" t="inlineStr">
        <is>
          <t>Recepcion de orden planificada</t>
        </is>
      </c>
      <c r="D3201" s="64" t="n"/>
      <c r="E3201" s="65">
        <f>IF(E3200&lt;=0,0,IF(Materiales!$G$460&lt;=0,E3200,ROUNDUP(E3200/Materiales!$G$460,0)*Materiales!$G$460))</f>
        <v/>
      </c>
      <c r="F3201" s="65">
        <f>IF(F3200&lt;=0,0,IF(Materiales!$G$460&lt;=0,F3200,ROUNDUP(F3200/Materiales!$G$460,0)*Materiales!$G$460))</f>
        <v/>
      </c>
      <c r="G3201" s="65">
        <f>IF(G3200&lt;=0,0,IF(Materiales!$G$460&lt;=0,G3200,ROUNDUP(G3200/Materiales!$G$460,0)*Materiales!$G$460))</f>
        <v/>
      </c>
      <c r="H3201" s="65">
        <f>IF(H3200&lt;=0,0,IF(Materiales!$G$460&lt;=0,H3200,ROUNDUP(H3200/Materiales!$G$460,0)*Materiales!$G$460))</f>
        <v/>
      </c>
      <c r="I3201" s="65">
        <f>IF(I3200&lt;=0,0,IF(Materiales!$G$460&lt;=0,I3200,ROUNDUP(I3200/Materiales!$G$460,0)*Materiales!$G$460))</f>
        <v/>
      </c>
      <c r="J3201" s="65">
        <f>IF(J3200&lt;=0,0,IF(Materiales!$G$460&lt;=0,J3200,ROUNDUP(J3200/Materiales!$G$460,0)*Materiales!$G$460))</f>
        <v/>
      </c>
      <c r="K3201" s="65">
        <f>IF(K3200&lt;=0,0,IF(Materiales!$G$460&lt;=0,K3200,ROUNDUP(K3200/Materiales!$G$460,0)*Materiales!$G$460))</f>
        <v/>
      </c>
      <c r="L3201" s="65">
        <f>IF(L3200&lt;=0,0,IF(Materiales!$G$460&lt;=0,L3200,ROUNDUP(L3200/Materiales!$G$460,0)*Materiales!$G$460))</f>
        <v/>
      </c>
      <c r="M3201" s="66" t="n"/>
    </row>
    <row r="3202">
      <c r="C3202" s="70" t="inlineStr">
        <is>
          <t>LANZAMIENTO DE ORDEN — pedir esta semana</t>
        </is>
      </c>
      <c r="D3202" s="64" t="n"/>
      <c r="E3202" s="71">
        <f>IF(1+Materiales!$F$460&gt;8,0,INDEX($E$3201:$L$3201,1,1+Materiales!$F$460))</f>
        <v/>
      </c>
      <c r="F3202" s="71">
        <f>IF(2+Materiales!$F$460&gt;8,0,INDEX($E$3201:$L$3201,1,2+Materiales!$F$460))</f>
        <v/>
      </c>
      <c r="G3202" s="71">
        <f>IF(3+Materiales!$F$460&gt;8,0,INDEX($E$3201:$L$3201,1,3+Materiales!$F$460))</f>
        <v/>
      </c>
      <c r="H3202" s="71">
        <f>IF(4+Materiales!$F$460&gt;8,0,INDEX($E$3201:$L$3201,1,4+Materiales!$F$460))</f>
        <v/>
      </c>
      <c r="I3202" s="71">
        <f>IF(5+Materiales!$F$460&gt;8,0,INDEX($E$3201:$L$3201,1,5+Materiales!$F$460))</f>
        <v/>
      </c>
      <c r="J3202" s="71">
        <f>IF(6+Materiales!$F$460&gt;8,0,INDEX($E$3201:$L$3201,1,6+Materiales!$F$460))</f>
        <v/>
      </c>
      <c r="K3202" s="71">
        <f>IF(7+Materiales!$F$460&gt;8,0,INDEX($E$3201:$L$3201,1,7+Materiales!$F$460))</f>
        <v/>
      </c>
      <c r="L3202" s="71">
        <f>IF(8+Materiales!$F$460&gt;8,0,INDEX($E$3201:$L$3201,1,8+Materiales!$F$460))</f>
        <v/>
      </c>
      <c r="M3202" s="72">
        <f>IF($A3197="","",IF(SUMPRODUCT((COLUMN($E$3201:$L$3201)-4&lt;=Materiales!$F$460)*$E$3201:$L$3201)&gt;0,"PEDIR YA (atrasado)","OK"))</f>
        <v/>
      </c>
    </row>
    <row r="3203" ht="6" customHeight="1"/>
    <row r="3204">
      <c r="A3204" s="62">
        <f>IF(Materiales!$A$461="","",Materiales!$A$461)</f>
        <v/>
      </c>
      <c r="B3204" s="62">
        <f>IF(Materiales!$B$461="","",Materiales!$B$461)</f>
        <v/>
      </c>
      <c r="C3204" s="63" t="inlineStr">
        <is>
          <t>Necesidad bruta</t>
        </is>
      </c>
      <c r="D3204" s="64" t="n"/>
      <c r="E3204" s="65">
        <f>ROUND(SUMIF(Consumo!$P$4:$P$189,"#"&amp;$A3204,Consumo!H$4:H$189),4)</f>
        <v/>
      </c>
      <c r="F3204" s="65">
        <f>ROUND(SUMIF(Consumo!$P$4:$P$189,"#"&amp;$A3204,Consumo!I$4:I$189),4)</f>
        <v/>
      </c>
      <c r="G3204" s="65">
        <f>ROUND(SUMIF(Consumo!$P$4:$P$189,"#"&amp;$A3204,Consumo!J$4:J$189),4)</f>
        <v/>
      </c>
      <c r="H3204" s="65">
        <f>ROUND(SUMIF(Consumo!$P$4:$P$189,"#"&amp;$A3204,Consumo!K$4:K$189),4)</f>
        <v/>
      </c>
      <c r="I3204" s="65">
        <f>ROUND(SUMIF(Consumo!$P$4:$P$189,"#"&amp;$A3204,Consumo!L$4:L$189),4)</f>
        <v/>
      </c>
      <c r="J3204" s="65">
        <f>ROUND(SUMIF(Consumo!$P$4:$P$189,"#"&amp;$A3204,Consumo!M$4:M$189),4)</f>
        <v/>
      </c>
      <c r="K3204" s="65">
        <f>ROUND(SUMIF(Consumo!$P$4:$P$189,"#"&amp;$A3204,Consumo!N$4:N$189),4)</f>
        <v/>
      </c>
      <c r="L3204" s="65">
        <f>ROUND(SUMIF(Consumo!$P$4:$P$189,"#"&amp;$A3204,Consumo!O$4:O$189),4)</f>
        <v/>
      </c>
      <c r="M3204" s="66" t="n"/>
    </row>
    <row r="3205">
      <c r="C3205" s="63" t="inlineStr">
        <is>
          <t>Recepciones programadas (ya pedido)</t>
        </is>
      </c>
      <c r="D3205" s="64" t="n"/>
      <c r="E3205" s="65">
        <f>SUMIF(Inventario!$M$5:$M$505,"#"&amp;$A3204,Inventario!E$5:E$505)</f>
        <v/>
      </c>
      <c r="F3205" s="65">
        <f>SUMIF(Inventario!$M$5:$M$505,"#"&amp;$A3204,Inventario!F$5:F$505)</f>
        <v/>
      </c>
      <c r="G3205" s="65">
        <f>SUMIF(Inventario!$M$5:$M$505,"#"&amp;$A3204,Inventario!G$5:G$505)</f>
        <v/>
      </c>
      <c r="H3205" s="65">
        <f>SUMIF(Inventario!$M$5:$M$505,"#"&amp;$A3204,Inventario!H$5:H$505)</f>
        <v/>
      </c>
      <c r="I3205" s="65">
        <f>SUMIF(Inventario!$M$5:$M$505,"#"&amp;$A3204,Inventario!I$5:I$505)</f>
        <v/>
      </c>
      <c r="J3205" s="65">
        <f>SUMIF(Inventario!$M$5:$M$505,"#"&amp;$A3204,Inventario!J$5:J$505)</f>
        <v/>
      </c>
      <c r="K3205" s="65">
        <f>SUMIF(Inventario!$M$5:$M$505,"#"&amp;$A3204,Inventario!K$5:K$505)</f>
        <v/>
      </c>
      <c r="L3205" s="65">
        <f>SUMIF(Inventario!$M$5:$M$505,"#"&amp;$A3204,Inventario!L$5:L$505)</f>
        <v/>
      </c>
      <c r="M3205" s="66" t="n"/>
    </row>
    <row r="3206">
      <c r="C3206" s="63" t="inlineStr">
        <is>
          <t>Stock proyectado disponible</t>
        </is>
      </c>
      <c r="D3206" s="67">
        <f>SUMIF(Inventario!$M$5:$M$505,"#"&amp;$A3204,Inventario!$C$5:$C$505)</f>
        <v/>
      </c>
      <c r="E3206" s="68">
        <f>D3206+E3205+E3208-E3204</f>
        <v/>
      </c>
      <c r="F3206" s="68">
        <f>E3206+F3205+F3208-F3204</f>
        <v/>
      </c>
      <c r="G3206" s="68">
        <f>F3206+G3205+G3208-G3204</f>
        <v/>
      </c>
      <c r="H3206" s="68">
        <f>G3206+H3205+H3208-H3204</f>
        <v/>
      </c>
      <c r="I3206" s="68">
        <f>H3206+I3205+I3208-I3204</f>
        <v/>
      </c>
      <c r="J3206" s="68">
        <f>I3206+J3205+J3208-J3204</f>
        <v/>
      </c>
      <c r="K3206" s="68">
        <f>J3206+K3205+K3208-K3204</f>
        <v/>
      </c>
      <c r="L3206" s="68">
        <f>K3206+L3205+L3208-L3204</f>
        <v/>
      </c>
      <c r="M3206" s="66" t="n"/>
    </row>
    <row r="3207">
      <c r="C3207" s="63" t="inlineStr">
        <is>
          <t>Necesidad neta</t>
        </is>
      </c>
      <c r="D3207" s="64" t="n"/>
      <c r="E3207" s="69">
        <f>MAX(0,ROUND(E3204+Materiales!$H$461-D3206-E3205,4))</f>
        <v/>
      </c>
      <c r="F3207" s="69">
        <f>MAX(0,ROUND(F3204+Materiales!$H$461-E3206-F3205,4))</f>
        <v/>
      </c>
      <c r="G3207" s="69">
        <f>MAX(0,ROUND(G3204+Materiales!$H$461-F3206-G3205,4))</f>
        <v/>
      </c>
      <c r="H3207" s="69">
        <f>MAX(0,ROUND(H3204+Materiales!$H$461-G3206-H3205,4))</f>
        <v/>
      </c>
      <c r="I3207" s="69">
        <f>MAX(0,ROUND(I3204+Materiales!$H$461-H3206-I3205,4))</f>
        <v/>
      </c>
      <c r="J3207" s="69">
        <f>MAX(0,ROUND(J3204+Materiales!$H$461-I3206-J3205,4))</f>
        <v/>
      </c>
      <c r="K3207" s="69">
        <f>MAX(0,ROUND(K3204+Materiales!$H$461-J3206-K3205,4))</f>
        <v/>
      </c>
      <c r="L3207" s="69">
        <f>MAX(0,ROUND(L3204+Materiales!$H$461-K3206-L3205,4))</f>
        <v/>
      </c>
      <c r="M3207" s="66" t="n"/>
    </row>
    <row r="3208">
      <c r="C3208" s="63" t="inlineStr">
        <is>
          <t>Recepcion de orden planificada</t>
        </is>
      </c>
      <c r="D3208" s="64" t="n"/>
      <c r="E3208" s="65">
        <f>IF(E3207&lt;=0,0,IF(Materiales!$G$461&lt;=0,E3207,ROUNDUP(E3207/Materiales!$G$461,0)*Materiales!$G$461))</f>
        <v/>
      </c>
      <c r="F3208" s="65">
        <f>IF(F3207&lt;=0,0,IF(Materiales!$G$461&lt;=0,F3207,ROUNDUP(F3207/Materiales!$G$461,0)*Materiales!$G$461))</f>
        <v/>
      </c>
      <c r="G3208" s="65">
        <f>IF(G3207&lt;=0,0,IF(Materiales!$G$461&lt;=0,G3207,ROUNDUP(G3207/Materiales!$G$461,0)*Materiales!$G$461))</f>
        <v/>
      </c>
      <c r="H3208" s="65">
        <f>IF(H3207&lt;=0,0,IF(Materiales!$G$461&lt;=0,H3207,ROUNDUP(H3207/Materiales!$G$461,0)*Materiales!$G$461))</f>
        <v/>
      </c>
      <c r="I3208" s="65">
        <f>IF(I3207&lt;=0,0,IF(Materiales!$G$461&lt;=0,I3207,ROUNDUP(I3207/Materiales!$G$461,0)*Materiales!$G$461))</f>
        <v/>
      </c>
      <c r="J3208" s="65">
        <f>IF(J3207&lt;=0,0,IF(Materiales!$G$461&lt;=0,J3207,ROUNDUP(J3207/Materiales!$G$461,0)*Materiales!$G$461))</f>
        <v/>
      </c>
      <c r="K3208" s="65">
        <f>IF(K3207&lt;=0,0,IF(Materiales!$G$461&lt;=0,K3207,ROUNDUP(K3207/Materiales!$G$461,0)*Materiales!$G$461))</f>
        <v/>
      </c>
      <c r="L3208" s="65">
        <f>IF(L3207&lt;=0,0,IF(Materiales!$G$461&lt;=0,L3207,ROUNDUP(L3207/Materiales!$G$461,0)*Materiales!$G$461))</f>
        <v/>
      </c>
      <c r="M3208" s="66" t="n"/>
    </row>
    <row r="3209">
      <c r="C3209" s="70" t="inlineStr">
        <is>
          <t>LANZAMIENTO DE ORDEN — pedir esta semana</t>
        </is>
      </c>
      <c r="D3209" s="64" t="n"/>
      <c r="E3209" s="71">
        <f>IF(1+Materiales!$F$461&gt;8,0,INDEX($E$3208:$L$3208,1,1+Materiales!$F$461))</f>
        <v/>
      </c>
      <c r="F3209" s="71">
        <f>IF(2+Materiales!$F$461&gt;8,0,INDEX($E$3208:$L$3208,1,2+Materiales!$F$461))</f>
        <v/>
      </c>
      <c r="G3209" s="71">
        <f>IF(3+Materiales!$F$461&gt;8,0,INDEX($E$3208:$L$3208,1,3+Materiales!$F$461))</f>
        <v/>
      </c>
      <c r="H3209" s="71">
        <f>IF(4+Materiales!$F$461&gt;8,0,INDEX($E$3208:$L$3208,1,4+Materiales!$F$461))</f>
        <v/>
      </c>
      <c r="I3209" s="71">
        <f>IF(5+Materiales!$F$461&gt;8,0,INDEX($E$3208:$L$3208,1,5+Materiales!$F$461))</f>
        <v/>
      </c>
      <c r="J3209" s="71">
        <f>IF(6+Materiales!$F$461&gt;8,0,INDEX($E$3208:$L$3208,1,6+Materiales!$F$461))</f>
        <v/>
      </c>
      <c r="K3209" s="71">
        <f>IF(7+Materiales!$F$461&gt;8,0,INDEX($E$3208:$L$3208,1,7+Materiales!$F$461))</f>
        <v/>
      </c>
      <c r="L3209" s="71">
        <f>IF(8+Materiales!$F$461&gt;8,0,INDEX($E$3208:$L$3208,1,8+Materiales!$F$461))</f>
        <v/>
      </c>
      <c r="M3209" s="72">
        <f>IF($A3204="","",IF(SUMPRODUCT((COLUMN($E$3208:$L$3208)-4&lt;=Materiales!$F$461)*$E$3208:$L$3208)&gt;0,"PEDIR YA (atrasado)","OK"))</f>
        <v/>
      </c>
    </row>
    <row r="3210" ht="6" customHeight="1"/>
    <row r="3211">
      <c r="A3211" s="62">
        <f>IF(Materiales!$A$462="","",Materiales!$A$462)</f>
        <v/>
      </c>
      <c r="B3211" s="62">
        <f>IF(Materiales!$B$462="","",Materiales!$B$462)</f>
        <v/>
      </c>
      <c r="C3211" s="63" t="inlineStr">
        <is>
          <t>Necesidad bruta</t>
        </is>
      </c>
      <c r="D3211" s="64" t="n"/>
      <c r="E3211" s="65">
        <f>ROUND(SUMIF(Consumo!$P$4:$P$189,"#"&amp;$A3211,Consumo!H$4:H$189),4)</f>
        <v/>
      </c>
      <c r="F3211" s="65">
        <f>ROUND(SUMIF(Consumo!$P$4:$P$189,"#"&amp;$A3211,Consumo!I$4:I$189),4)</f>
        <v/>
      </c>
      <c r="G3211" s="65">
        <f>ROUND(SUMIF(Consumo!$P$4:$P$189,"#"&amp;$A3211,Consumo!J$4:J$189),4)</f>
        <v/>
      </c>
      <c r="H3211" s="65">
        <f>ROUND(SUMIF(Consumo!$P$4:$P$189,"#"&amp;$A3211,Consumo!K$4:K$189),4)</f>
        <v/>
      </c>
      <c r="I3211" s="65">
        <f>ROUND(SUMIF(Consumo!$P$4:$P$189,"#"&amp;$A3211,Consumo!L$4:L$189),4)</f>
        <v/>
      </c>
      <c r="J3211" s="65">
        <f>ROUND(SUMIF(Consumo!$P$4:$P$189,"#"&amp;$A3211,Consumo!M$4:M$189),4)</f>
        <v/>
      </c>
      <c r="K3211" s="65">
        <f>ROUND(SUMIF(Consumo!$P$4:$P$189,"#"&amp;$A3211,Consumo!N$4:N$189),4)</f>
        <v/>
      </c>
      <c r="L3211" s="65">
        <f>ROUND(SUMIF(Consumo!$P$4:$P$189,"#"&amp;$A3211,Consumo!O$4:O$189),4)</f>
        <v/>
      </c>
      <c r="M3211" s="66" t="n"/>
    </row>
    <row r="3212">
      <c r="C3212" s="63" t="inlineStr">
        <is>
          <t>Recepciones programadas (ya pedido)</t>
        </is>
      </c>
      <c r="D3212" s="64" t="n"/>
      <c r="E3212" s="65">
        <f>SUMIF(Inventario!$M$5:$M$505,"#"&amp;$A3211,Inventario!E$5:E$505)</f>
        <v/>
      </c>
      <c r="F3212" s="65">
        <f>SUMIF(Inventario!$M$5:$M$505,"#"&amp;$A3211,Inventario!F$5:F$505)</f>
        <v/>
      </c>
      <c r="G3212" s="65">
        <f>SUMIF(Inventario!$M$5:$M$505,"#"&amp;$A3211,Inventario!G$5:G$505)</f>
        <v/>
      </c>
      <c r="H3212" s="65">
        <f>SUMIF(Inventario!$M$5:$M$505,"#"&amp;$A3211,Inventario!H$5:H$505)</f>
        <v/>
      </c>
      <c r="I3212" s="65">
        <f>SUMIF(Inventario!$M$5:$M$505,"#"&amp;$A3211,Inventario!I$5:I$505)</f>
        <v/>
      </c>
      <c r="J3212" s="65">
        <f>SUMIF(Inventario!$M$5:$M$505,"#"&amp;$A3211,Inventario!J$5:J$505)</f>
        <v/>
      </c>
      <c r="K3212" s="65">
        <f>SUMIF(Inventario!$M$5:$M$505,"#"&amp;$A3211,Inventario!K$5:K$505)</f>
        <v/>
      </c>
      <c r="L3212" s="65">
        <f>SUMIF(Inventario!$M$5:$M$505,"#"&amp;$A3211,Inventario!L$5:L$505)</f>
        <v/>
      </c>
      <c r="M3212" s="66" t="n"/>
    </row>
    <row r="3213">
      <c r="C3213" s="63" t="inlineStr">
        <is>
          <t>Stock proyectado disponible</t>
        </is>
      </c>
      <c r="D3213" s="67">
        <f>SUMIF(Inventario!$M$5:$M$505,"#"&amp;$A3211,Inventario!$C$5:$C$505)</f>
        <v/>
      </c>
      <c r="E3213" s="68">
        <f>D3213+E3212+E3215-E3211</f>
        <v/>
      </c>
      <c r="F3213" s="68">
        <f>E3213+F3212+F3215-F3211</f>
        <v/>
      </c>
      <c r="G3213" s="68">
        <f>F3213+G3212+G3215-G3211</f>
        <v/>
      </c>
      <c r="H3213" s="68">
        <f>G3213+H3212+H3215-H3211</f>
        <v/>
      </c>
      <c r="I3213" s="68">
        <f>H3213+I3212+I3215-I3211</f>
        <v/>
      </c>
      <c r="J3213" s="68">
        <f>I3213+J3212+J3215-J3211</f>
        <v/>
      </c>
      <c r="K3213" s="68">
        <f>J3213+K3212+K3215-K3211</f>
        <v/>
      </c>
      <c r="L3213" s="68">
        <f>K3213+L3212+L3215-L3211</f>
        <v/>
      </c>
      <c r="M3213" s="66" t="n"/>
    </row>
    <row r="3214">
      <c r="C3214" s="63" t="inlineStr">
        <is>
          <t>Necesidad neta</t>
        </is>
      </c>
      <c r="D3214" s="64" t="n"/>
      <c r="E3214" s="69">
        <f>MAX(0,ROUND(E3211+Materiales!$H$462-D3213-E3212,4))</f>
        <v/>
      </c>
      <c r="F3214" s="69">
        <f>MAX(0,ROUND(F3211+Materiales!$H$462-E3213-F3212,4))</f>
        <v/>
      </c>
      <c r="G3214" s="69">
        <f>MAX(0,ROUND(G3211+Materiales!$H$462-F3213-G3212,4))</f>
        <v/>
      </c>
      <c r="H3214" s="69">
        <f>MAX(0,ROUND(H3211+Materiales!$H$462-G3213-H3212,4))</f>
        <v/>
      </c>
      <c r="I3214" s="69">
        <f>MAX(0,ROUND(I3211+Materiales!$H$462-H3213-I3212,4))</f>
        <v/>
      </c>
      <c r="J3214" s="69">
        <f>MAX(0,ROUND(J3211+Materiales!$H$462-I3213-J3212,4))</f>
        <v/>
      </c>
      <c r="K3214" s="69">
        <f>MAX(0,ROUND(K3211+Materiales!$H$462-J3213-K3212,4))</f>
        <v/>
      </c>
      <c r="L3214" s="69">
        <f>MAX(0,ROUND(L3211+Materiales!$H$462-K3213-L3212,4))</f>
        <v/>
      </c>
      <c r="M3214" s="66" t="n"/>
    </row>
    <row r="3215">
      <c r="C3215" s="63" t="inlineStr">
        <is>
          <t>Recepcion de orden planificada</t>
        </is>
      </c>
      <c r="D3215" s="64" t="n"/>
      <c r="E3215" s="65">
        <f>IF(E3214&lt;=0,0,IF(Materiales!$G$462&lt;=0,E3214,ROUNDUP(E3214/Materiales!$G$462,0)*Materiales!$G$462))</f>
        <v/>
      </c>
      <c r="F3215" s="65">
        <f>IF(F3214&lt;=0,0,IF(Materiales!$G$462&lt;=0,F3214,ROUNDUP(F3214/Materiales!$G$462,0)*Materiales!$G$462))</f>
        <v/>
      </c>
      <c r="G3215" s="65">
        <f>IF(G3214&lt;=0,0,IF(Materiales!$G$462&lt;=0,G3214,ROUNDUP(G3214/Materiales!$G$462,0)*Materiales!$G$462))</f>
        <v/>
      </c>
      <c r="H3215" s="65">
        <f>IF(H3214&lt;=0,0,IF(Materiales!$G$462&lt;=0,H3214,ROUNDUP(H3214/Materiales!$G$462,0)*Materiales!$G$462))</f>
        <v/>
      </c>
      <c r="I3215" s="65">
        <f>IF(I3214&lt;=0,0,IF(Materiales!$G$462&lt;=0,I3214,ROUNDUP(I3214/Materiales!$G$462,0)*Materiales!$G$462))</f>
        <v/>
      </c>
      <c r="J3215" s="65">
        <f>IF(J3214&lt;=0,0,IF(Materiales!$G$462&lt;=0,J3214,ROUNDUP(J3214/Materiales!$G$462,0)*Materiales!$G$462))</f>
        <v/>
      </c>
      <c r="K3215" s="65">
        <f>IF(K3214&lt;=0,0,IF(Materiales!$G$462&lt;=0,K3214,ROUNDUP(K3214/Materiales!$G$462,0)*Materiales!$G$462))</f>
        <v/>
      </c>
      <c r="L3215" s="65">
        <f>IF(L3214&lt;=0,0,IF(Materiales!$G$462&lt;=0,L3214,ROUNDUP(L3214/Materiales!$G$462,0)*Materiales!$G$462))</f>
        <v/>
      </c>
      <c r="M3215" s="66" t="n"/>
    </row>
    <row r="3216">
      <c r="C3216" s="70" t="inlineStr">
        <is>
          <t>LANZAMIENTO DE ORDEN — pedir esta semana</t>
        </is>
      </c>
      <c r="D3216" s="64" t="n"/>
      <c r="E3216" s="71">
        <f>IF(1+Materiales!$F$462&gt;8,0,INDEX($E$3215:$L$3215,1,1+Materiales!$F$462))</f>
        <v/>
      </c>
      <c r="F3216" s="71">
        <f>IF(2+Materiales!$F$462&gt;8,0,INDEX($E$3215:$L$3215,1,2+Materiales!$F$462))</f>
        <v/>
      </c>
      <c r="G3216" s="71">
        <f>IF(3+Materiales!$F$462&gt;8,0,INDEX($E$3215:$L$3215,1,3+Materiales!$F$462))</f>
        <v/>
      </c>
      <c r="H3216" s="71">
        <f>IF(4+Materiales!$F$462&gt;8,0,INDEX($E$3215:$L$3215,1,4+Materiales!$F$462))</f>
        <v/>
      </c>
      <c r="I3216" s="71">
        <f>IF(5+Materiales!$F$462&gt;8,0,INDEX($E$3215:$L$3215,1,5+Materiales!$F$462))</f>
        <v/>
      </c>
      <c r="J3216" s="71">
        <f>IF(6+Materiales!$F$462&gt;8,0,INDEX($E$3215:$L$3215,1,6+Materiales!$F$462))</f>
        <v/>
      </c>
      <c r="K3216" s="71">
        <f>IF(7+Materiales!$F$462&gt;8,0,INDEX($E$3215:$L$3215,1,7+Materiales!$F$462))</f>
        <v/>
      </c>
      <c r="L3216" s="71">
        <f>IF(8+Materiales!$F$462&gt;8,0,INDEX($E$3215:$L$3215,1,8+Materiales!$F$462))</f>
        <v/>
      </c>
      <c r="M3216" s="72">
        <f>IF($A3211="","",IF(SUMPRODUCT((COLUMN($E$3215:$L$3215)-4&lt;=Materiales!$F$462)*$E$3215:$L$3215)&gt;0,"PEDIR YA (atrasado)","OK"))</f>
        <v/>
      </c>
    </row>
    <row r="3217" ht="6" customHeight="1"/>
    <row r="3218">
      <c r="A3218" s="62">
        <f>IF(Materiales!$A$463="","",Materiales!$A$463)</f>
        <v/>
      </c>
      <c r="B3218" s="62">
        <f>IF(Materiales!$B$463="","",Materiales!$B$463)</f>
        <v/>
      </c>
      <c r="C3218" s="63" t="inlineStr">
        <is>
          <t>Necesidad bruta</t>
        </is>
      </c>
      <c r="D3218" s="64" t="n"/>
      <c r="E3218" s="65">
        <f>ROUND(SUMIF(Consumo!$P$4:$P$189,"#"&amp;$A3218,Consumo!H$4:H$189),4)</f>
        <v/>
      </c>
      <c r="F3218" s="65">
        <f>ROUND(SUMIF(Consumo!$P$4:$P$189,"#"&amp;$A3218,Consumo!I$4:I$189),4)</f>
        <v/>
      </c>
      <c r="G3218" s="65">
        <f>ROUND(SUMIF(Consumo!$P$4:$P$189,"#"&amp;$A3218,Consumo!J$4:J$189),4)</f>
        <v/>
      </c>
      <c r="H3218" s="65">
        <f>ROUND(SUMIF(Consumo!$P$4:$P$189,"#"&amp;$A3218,Consumo!K$4:K$189),4)</f>
        <v/>
      </c>
      <c r="I3218" s="65">
        <f>ROUND(SUMIF(Consumo!$P$4:$P$189,"#"&amp;$A3218,Consumo!L$4:L$189),4)</f>
        <v/>
      </c>
      <c r="J3218" s="65">
        <f>ROUND(SUMIF(Consumo!$P$4:$P$189,"#"&amp;$A3218,Consumo!M$4:M$189),4)</f>
        <v/>
      </c>
      <c r="K3218" s="65">
        <f>ROUND(SUMIF(Consumo!$P$4:$P$189,"#"&amp;$A3218,Consumo!N$4:N$189),4)</f>
        <v/>
      </c>
      <c r="L3218" s="65">
        <f>ROUND(SUMIF(Consumo!$P$4:$P$189,"#"&amp;$A3218,Consumo!O$4:O$189),4)</f>
        <v/>
      </c>
      <c r="M3218" s="66" t="n"/>
    </row>
    <row r="3219">
      <c r="C3219" s="63" t="inlineStr">
        <is>
          <t>Recepciones programadas (ya pedido)</t>
        </is>
      </c>
      <c r="D3219" s="64" t="n"/>
      <c r="E3219" s="65">
        <f>SUMIF(Inventario!$M$5:$M$505,"#"&amp;$A3218,Inventario!E$5:E$505)</f>
        <v/>
      </c>
      <c r="F3219" s="65">
        <f>SUMIF(Inventario!$M$5:$M$505,"#"&amp;$A3218,Inventario!F$5:F$505)</f>
        <v/>
      </c>
      <c r="G3219" s="65">
        <f>SUMIF(Inventario!$M$5:$M$505,"#"&amp;$A3218,Inventario!G$5:G$505)</f>
        <v/>
      </c>
      <c r="H3219" s="65">
        <f>SUMIF(Inventario!$M$5:$M$505,"#"&amp;$A3218,Inventario!H$5:H$505)</f>
        <v/>
      </c>
      <c r="I3219" s="65">
        <f>SUMIF(Inventario!$M$5:$M$505,"#"&amp;$A3218,Inventario!I$5:I$505)</f>
        <v/>
      </c>
      <c r="J3219" s="65">
        <f>SUMIF(Inventario!$M$5:$M$505,"#"&amp;$A3218,Inventario!J$5:J$505)</f>
        <v/>
      </c>
      <c r="K3219" s="65">
        <f>SUMIF(Inventario!$M$5:$M$505,"#"&amp;$A3218,Inventario!K$5:K$505)</f>
        <v/>
      </c>
      <c r="L3219" s="65">
        <f>SUMIF(Inventario!$M$5:$M$505,"#"&amp;$A3218,Inventario!L$5:L$505)</f>
        <v/>
      </c>
      <c r="M3219" s="66" t="n"/>
    </row>
    <row r="3220">
      <c r="C3220" s="63" t="inlineStr">
        <is>
          <t>Stock proyectado disponible</t>
        </is>
      </c>
      <c r="D3220" s="67">
        <f>SUMIF(Inventario!$M$5:$M$505,"#"&amp;$A3218,Inventario!$C$5:$C$505)</f>
        <v/>
      </c>
      <c r="E3220" s="68">
        <f>D3220+E3219+E3222-E3218</f>
        <v/>
      </c>
      <c r="F3220" s="68">
        <f>E3220+F3219+F3222-F3218</f>
        <v/>
      </c>
      <c r="G3220" s="68">
        <f>F3220+G3219+G3222-G3218</f>
        <v/>
      </c>
      <c r="H3220" s="68">
        <f>G3220+H3219+H3222-H3218</f>
        <v/>
      </c>
      <c r="I3220" s="68">
        <f>H3220+I3219+I3222-I3218</f>
        <v/>
      </c>
      <c r="J3220" s="68">
        <f>I3220+J3219+J3222-J3218</f>
        <v/>
      </c>
      <c r="K3220" s="68">
        <f>J3220+K3219+K3222-K3218</f>
        <v/>
      </c>
      <c r="L3220" s="68">
        <f>K3220+L3219+L3222-L3218</f>
        <v/>
      </c>
      <c r="M3220" s="66" t="n"/>
    </row>
    <row r="3221">
      <c r="C3221" s="63" t="inlineStr">
        <is>
          <t>Necesidad neta</t>
        </is>
      </c>
      <c r="D3221" s="64" t="n"/>
      <c r="E3221" s="69">
        <f>MAX(0,ROUND(E3218+Materiales!$H$463-D3220-E3219,4))</f>
        <v/>
      </c>
      <c r="F3221" s="69">
        <f>MAX(0,ROUND(F3218+Materiales!$H$463-E3220-F3219,4))</f>
        <v/>
      </c>
      <c r="G3221" s="69">
        <f>MAX(0,ROUND(G3218+Materiales!$H$463-F3220-G3219,4))</f>
        <v/>
      </c>
      <c r="H3221" s="69">
        <f>MAX(0,ROUND(H3218+Materiales!$H$463-G3220-H3219,4))</f>
        <v/>
      </c>
      <c r="I3221" s="69">
        <f>MAX(0,ROUND(I3218+Materiales!$H$463-H3220-I3219,4))</f>
        <v/>
      </c>
      <c r="J3221" s="69">
        <f>MAX(0,ROUND(J3218+Materiales!$H$463-I3220-J3219,4))</f>
        <v/>
      </c>
      <c r="K3221" s="69">
        <f>MAX(0,ROUND(K3218+Materiales!$H$463-J3220-K3219,4))</f>
        <v/>
      </c>
      <c r="L3221" s="69">
        <f>MAX(0,ROUND(L3218+Materiales!$H$463-K3220-L3219,4))</f>
        <v/>
      </c>
      <c r="M3221" s="66" t="n"/>
    </row>
    <row r="3222">
      <c r="C3222" s="63" t="inlineStr">
        <is>
          <t>Recepcion de orden planificada</t>
        </is>
      </c>
      <c r="D3222" s="64" t="n"/>
      <c r="E3222" s="65">
        <f>IF(E3221&lt;=0,0,IF(Materiales!$G$463&lt;=0,E3221,ROUNDUP(E3221/Materiales!$G$463,0)*Materiales!$G$463))</f>
        <v/>
      </c>
      <c r="F3222" s="65">
        <f>IF(F3221&lt;=0,0,IF(Materiales!$G$463&lt;=0,F3221,ROUNDUP(F3221/Materiales!$G$463,0)*Materiales!$G$463))</f>
        <v/>
      </c>
      <c r="G3222" s="65">
        <f>IF(G3221&lt;=0,0,IF(Materiales!$G$463&lt;=0,G3221,ROUNDUP(G3221/Materiales!$G$463,0)*Materiales!$G$463))</f>
        <v/>
      </c>
      <c r="H3222" s="65">
        <f>IF(H3221&lt;=0,0,IF(Materiales!$G$463&lt;=0,H3221,ROUNDUP(H3221/Materiales!$G$463,0)*Materiales!$G$463))</f>
        <v/>
      </c>
      <c r="I3222" s="65">
        <f>IF(I3221&lt;=0,0,IF(Materiales!$G$463&lt;=0,I3221,ROUNDUP(I3221/Materiales!$G$463,0)*Materiales!$G$463))</f>
        <v/>
      </c>
      <c r="J3222" s="65">
        <f>IF(J3221&lt;=0,0,IF(Materiales!$G$463&lt;=0,J3221,ROUNDUP(J3221/Materiales!$G$463,0)*Materiales!$G$463))</f>
        <v/>
      </c>
      <c r="K3222" s="65">
        <f>IF(K3221&lt;=0,0,IF(Materiales!$G$463&lt;=0,K3221,ROUNDUP(K3221/Materiales!$G$463,0)*Materiales!$G$463))</f>
        <v/>
      </c>
      <c r="L3222" s="65">
        <f>IF(L3221&lt;=0,0,IF(Materiales!$G$463&lt;=0,L3221,ROUNDUP(L3221/Materiales!$G$463,0)*Materiales!$G$463))</f>
        <v/>
      </c>
      <c r="M3222" s="66" t="n"/>
    </row>
    <row r="3223">
      <c r="C3223" s="70" t="inlineStr">
        <is>
          <t>LANZAMIENTO DE ORDEN — pedir esta semana</t>
        </is>
      </c>
      <c r="D3223" s="64" t="n"/>
      <c r="E3223" s="71">
        <f>IF(1+Materiales!$F$463&gt;8,0,INDEX($E$3222:$L$3222,1,1+Materiales!$F$463))</f>
        <v/>
      </c>
      <c r="F3223" s="71">
        <f>IF(2+Materiales!$F$463&gt;8,0,INDEX($E$3222:$L$3222,1,2+Materiales!$F$463))</f>
        <v/>
      </c>
      <c r="G3223" s="71">
        <f>IF(3+Materiales!$F$463&gt;8,0,INDEX($E$3222:$L$3222,1,3+Materiales!$F$463))</f>
        <v/>
      </c>
      <c r="H3223" s="71">
        <f>IF(4+Materiales!$F$463&gt;8,0,INDEX($E$3222:$L$3222,1,4+Materiales!$F$463))</f>
        <v/>
      </c>
      <c r="I3223" s="71">
        <f>IF(5+Materiales!$F$463&gt;8,0,INDEX($E$3222:$L$3222,1,5+Materiales!$F$463))</f>
        <v/>
      </c>
      <c r="J3223" s="71">
        <f>IF(6+Materiales!$F$463&gt;8,0,INDEX($E$3222:$L$3222,1,6+Materiales!$F$463))</f>
        <v/>
      </c>
      <c r="K3223" s="71">
        <f>IF(7+Materiales!$F$463&gt;8,0,INDEX($E$3222:$L$3222,1,7+Materiales!$F$463))</f>
        <v/>
      </c>
      <c r="L3223" s="71">
        <f>IF(8+Materiales!$F$463&gt;8,0,INDEX($E$3222:$L$3222,1,8+Materiales!$F$463))</f>
        <v/>
      </c>
      <c r="M3223" s="72">
        <f>IF($A3218="","",IF(SUMPRODUCT((COLUMN($E$3222:$L$3222)-4&lt;=Materiales!$F$463)*$E$3222:$L$3222)&gt;0,"PEDIR YA (atrasado)","OK"))</f>
        <v/>
      </c>
    </row>
    <row r="3224" ht="6" customHeight="1"/>
    <row r="3225">
      <c r="A3225" s="62">
        <f>IF(Materiales!$A$464="","",Materiales!$A$464)</f>
        <v/>
      </c>
      <c r="B3225" s="62">
        <f>IF(Materiales!$B$464="","",Materiales!$B$464)</f>
        <v/>
      </c>
      <c r="C3225" s="63" t="inlineStr">
        <is>
          <t>Necesidad bruta</t>
        </is>
      </c>
      <c r="D3225" s="64" t="n"/>
      <c r="E3225" s="65">
        <f>ROUND(SUMIF(Consumo!$P$4:$P$189,"#"&amp;$A3225,Consumo!H$4:H$189),4)</f>
        <v/>
      </c>
      <c r="F3225" s="65">
        <f>ROUND(SUMIF(Consumo!$P$4:$P$189,"#"&amp;$A3225,Consumo!I$4:I$189),4)</f>
        <v/>
      </c>
      <c r="G3225" s="65">
        <f>ROUND(SUMIF(Consumo!$P$4:$P$189,"#"&amp;$A3225,Consumo!J$4:J$189),4)</f>
        <v/>
      </c>
      <c r="H3225" s="65">
        <f>ROUND(SUMIF(Consumo!$P$4:$P$189,"#"&amp;$A3225,Consumo!K$4:K$189),4)</f>
        <v/>
      </c>
      <c r="I3225" s="65">
        <f>ROUND(SUMIF(Consumo!$P$4:$P$189,"#"&amp;$A3225,Consumo!L$4:L$189),4)</f>
        <v/>
      </c>
      <c r="J3225" s="65">
        <f>ROUND(SUMIF(Consumo!$P$4:$P$189,"#"&amp;$A3225,Consumo!M$4:M$189),4)</f>
        <v/>
      </c>
      <c r="K3225" s="65">
        <f>ROUND(SUMIF(Consumo!$P$4:$P$189,"#"&amp;$A3225,Consumo!N$4:N$189),4)</f>
        <v/>
      </c>
      <c r="L3225" s="65">
        <f>ROUND(SUMIF(Consumo!$P$4:$P$189,"#"&amp;$A3225,Consumo!O$4:O$189),4)</f>
        <v/>
      </c>
      <c r="M3225" s="66" t="n"/>
    </row>
    <row r="3226">
      <c r="C3226" s="63" t="inlineStr">
        <is>
          <t>Recepciones programadas (ya pedido)</t>
        </is>
      </c>
      <c r="D3226" s="64" t="n"/>
      <c r="E3226" s="65">
        <f>SUMIF(Inventario!$M$5:$M$505,"#"&amp;$A3225,Inventario!E$5:E$505)</f>
        <v/>
      </c>
      <c r="F3226" s="65">
        <f>SUMIF(Inventario!$M$5:$M$505,"#"&amp;$A3225,Inventario!F$5:F$505)</f>
        <v/>
      </c>
      <c r="G3226" s="65">
        <f>SUMIF(Inventario!$M$5:$M$505,"#"&amp;$A3225,Inventario!G$5:G$505)</f>
        <v/>
      </c>
      <c r="H3226" s="65">
        <f>SUMIF(Inventario!$M$5:$M$505,"#"&amp;$A3225,Inventario!H$5:H$505)</f>
        <v/>
      </c>
      <c r="I3226" s="65">
        <f>SUMIF(Inventario!$M$5:$M$505,"#"&amp;$A3225,Inventario!I$5:I$505)</f>
        <v/>
      </c>
      <c r="J3226" s="65">
        <f>SUMIF(Inventario!$M$5:$M$505,"#"&amp;$A3225,Inventario!J$5:J$505)</f>
        <v/>
      </c>
      <c r="K3226" s="65">
        <f>SUMIF(Inventario!$M$5:$M$505,"#"&amp;$A3225,Inventario!K$5:K$505)</f>
        <v/>
      </c>
      <c r="L3226" s="65">
        <f>SUMIF(Inventario!$M$5:$M$505,"#"&amp;$A3225,Inventario!L$5:L$505)</f>
        <v/>
      </c>
      <c r="M3226" s="66" t="n"/>
    </row>
    <row r="3227">
      <c r="C3227" s="63" t="inlineStr">
        <is>
          <t>Stock proyectado disponible</t>
        </is>
      </c>
      <c r="D3227" s="67">
        <f>SUMIF(Inventario!$M$5:$M$505,"#"&amp;$A3225,Inventario!$C$5:$C$505)</f>
        <v/>
      </c>
      <c r="E3227" s="68">
        <f>D3227+E3226+E3229-E3225</f>
        <v/>
      </c>
      <c r="F3227" s="68">
        <f>E3227+F3226+F3229-F3225</f>
        <v/>
      </c>
      <c r="G3227" s="68">
        <f>F3227+G3226+G3229-G3225</f>
        <v/>
      </c>
      <c r="H3227" s="68">
        <f>G3227+H3226+H3229-H3225</f>
        <v/>
      </c>
      <c r="I3227" s="68">
        <f>H3227+I3226+I3229-I3225</f>
        <v/>
      </c>
      <c r="J3227" s="68">
        <f>I3227+J3226+J3229-J3225</f>
        <v/>
      </c>
      <c r="K3227" s="68">
        <f>J3227+K3226+K3229-K3225</f>
        <v/>
      </c>
      <c r="L3227" s="68">
        <f>K3227+L3226+L3229-L3225</f>
        <v/>
      </c>
      <c r="M3227" s="66" t="n"/>
    </row>
    <row r="3228">
      <c r="C3228" s="63" t="inlineStr">
        <is>
          <t>Necesidad neta</t>
        </is>
      </c>
      <c r="D3228" s="64" t="n"/>
      <c r="E3228" s="69">
        <f>MAX(0,ROUND(E3225+Materiales!$H$464-D3227-E3226,4))</f>
        <v/>
      </c>
      <c r="F3228" s="69">
        <f>MAX(0,ROUND(F3225+Materiales!$H$464-E3227-F3226,4))</f>
        <v/>
      </c>
      <c r="G3228" s="69">
        <f>MAX(0,ROUND(G3225+Materiales!$H$464-F3227-G3226,4))</f>
        <v/>
      </c>
      <c r="H3228" s="69">
        <f>MAX(0,ROUND(H3225+Materiales!$H$464-G3227-H3226,4))</f>
        <v/>
      </c>
      <c r="I3228" s="69">
        <f>MAX(0,ROUND(I3225+Materiales!$H$464-H3227-I3226,4))</f>
        <v/>
      </c>
      <c r="J3228" s="69">
        <f>MAX(0,ROUND(J3225+Materiales!$H$464-I3227-J3226,4))</f>
        <v/>
      </c>
      <c r="K3228" s="69">
        <f>MAX(0,ROUND(K3225+Materiales!$H$464-J3227-K3226,4))</f>
        <v/>
      </c>
      <c r="L3228" s="69">
        <f>MAX(0,ROUND(L3225+Materiales!$H$464-K3227-L3226,4))</f>
        <v/>
      </c>
      <c r="M3228" s="66" t="n"/>
    </row>
    <row r="3229">
      <c r="C3229" s="63" t="inlineStr">
        <is>
          <t>Recepcion de orden planificada</t>
        </is>
      </c>
      <c r="D3229" s="64" t="n"/>
      <c r="E3229" s="65">
        <f>IF(E3228&lt;=0,0,IF(Materiales!$G$464&lt;=0,E3228,ROUNDUP(E3228/Materiales!$G$464,0)*Materiales!$G$464))</f>
        <v/>
      </c>
      <c r="F3229" s="65">
        <f>IF(F3228&lt;=0,0,IF(Materiales!$G$464&lt;=0,F3228,ROUNDUP(F3228/Materiales!$G$464,0)*Materiales!$G$464))</f>
        <v/>
      </c>
      <c r="G3229" s="65">
        <f>IF(G3228&lt;=0,0,IF(Materiales!$G$464&lt;=0,G3228,ROUNDUP(G3228/Materiales!$G$464,0)*Materiales!$G$464))</f>
        <v/>
      </c>
      <c r="H3229" s="65">
        <f>IF(H3228&lt;=0,0,IF(Materiales!$G$464&lt;=0,H3228,ROUNDUP(H3228/Materiales!$G$464,0)*Materiales!$G$464))</f>
        <v/>
      </c>
      <c r="I3229" s="65">
        <f>IF(I3228&lt;=0,0,IF(Materiales!$G$464&lt;=0,I3228,ROUNDUP(I3228/Materiales!$G$464,0)*Materiales!$G$464))</f>
        <v/>
      </c>
      <c r="J3229" s="65">
        <f>IF(J3228&lt;=0,0,IF(Materiales!$G$464&lt;=0,J3228,ROUNDUP(J3228/Materiales!$G$464,0)*Materiales!$G$464))</f>
        <v/>
      </c>
      <c r="K3229" s="65">
        <f>IF(K3228&lt;=0,0,IF(Materiales!$G$464&lt;=0,K3228,ROUNDUP(K3228/Materiales!$G$464,0)*Materiales!$G$464))</f>
        <v/>
      </c>
      <c r="L3229" s="65">
        <f>IF(L3228&lt;=0,0,IF(Materiales!$G$464&lt;=0,L3228,ROUNDUP(L3228/Materiales!$G$464,0)*Materiales!$G$464))</f>
        <v/>
      </c>
      <c r="M3229" s="66" t="n"/>
    </row>
    <row r="3230">
      <c r="C3230" s="70" t="inlineStr">
        <is>
          <t>LANZAMIENTO DE ORDEN — pedir esta semana</t>
        </is>
      </c>
      <c r="D3230" s="64" t="n"/>
      <c r="E3230" s="71">
        <f>IF(1+Materiales!$F$464&gt;8,0,INDEX($E$3229:$L$3229,1,1+Materiales!$F$464))</f>
        <v/>
      </c>
      <c r="F3230" s="71">
        <f>IF(2+Materiales!$F$464&gt;8,0,INDEX($E$3229:$L$3229,1,2+Materiales!$F$464))</f>
        <v/>
      </c>
      <c r="G3230" s="71">
        <f>IF(3+Materiales!$F$464&gt;8,0,INDEX($E$3229:$L$3229,1,3+Materiales!$F$464))</f>
        <v/>
      </c>
      <c r="H3230" s="71">
        <f>IF(4+Materiales!$F$464&gt;8,0,INDEX($E$3229:$L$3229,1,4+Materiales!$F$464))</f>
        <v/>
      </c>
      <c r="I3230" s="71">
        <f>IF(5+Materiales!$F$464&gt;8,0,INDEX($E$3229:$L$3229,1,5+Materiales!$F$464))</f>
        <v/>
      </c>
      <c r="J3230" s="71">
        <f>IF(6+Materiales!$F$464&gt;8,0,INDEX($E$3229:$L$3229,1,6+Materiales!$F$464))</f>
        <v/>
      </c>
      <c r="K3230" s="71">
        <f>IF(7+Materiales!$F$464&gt;8,0,INDEX($E$3229:$L$3229,1,7+Materiales!$F$464))</f>
        <v/>
      </c>
      <c r="L3230" s="71">
        <f>IF(8+Materiales!$F$464&gt;8,0,INDEX($E$3229:$L$3229,1,8+Materiales!$F$464))</f>
        <v/>
      </c>
      <c r="M3230" s="72">
        <f>IF($A3225="","",IF(SUMPRODUCT((COLUMN($E$3229:$L$3229)-4&lt;=Materiales!$F$464)*$E$3229:$L$3229)&gt;0,"PEDIR YA (atrasado)","OK"))</f>
        <v/>
      </c>
    </row>
    <row r="3231" ht="6" customHeight="1"/>
    <row r="3232">
      <c r="A3232" s="62">
        <f>IF(Materiales!$A$465="","",Materiales!$A$465)</f>
        <v/>
      </c>
      <c r="B3232" s="62">
        <f>IF(Materiales!$B$465="","",Materiales!$B$465)</f>
        <v/>
      </c>
      <c r="C3232" s="63" t="inlineStr">
        <is>
          <t>Necesidad bruta</t>
        </is>
      </c>
      <c r="D3232" s="64" t="n"/>
      <c r="E3232" s="65">
        <f>ROUND(SUMIF(Consumo!$P$4:$P$189,"#"&amp;$A3232,Consumo!H$4:H$189),4)</f>
        <v/>
      </c>
      <c r="F3232" s="65">
        <f>ROUND(SUMIF(Consumo!$P$4:$P$189,"#"&amp;$A3232,Consumo!I$4:I$189),4)</f>
        <v/>
      </c>
      <c r="G3232" s="65">
        <f>ROUND(SUMIF(Consumo!$P$4:$P$189,"#"&amp;$A3232,Consumo!J$4:J$189),4)</f>
        <v/>
      </c>
      <c r="H3232" s="65">
        <f>ROUND(SUMIF(Consumo!$P$4:$P$189,"#"&amp;$A3232,Consumo!K$4:K$189),4)</f>
        <v/>
      </c>
      <c r="I3232" s="65">
        <f>ROUND(SUMIF(Consumo!$P$4:$P$189,"#"&amp;$A3232,Consumo!L$4:L$189),4)</f>
        <v/>
      </c>
      <c r="J3232" s="65">
        <f>ROUND(SUMIF(Consumo!$P$4:$P$189,"#"&amp;$A3232,Consumo!M$4:M$189),4)</f>
        <v/>
      </c>
      <c r="K3232" s="65">
        <f>ROUND(SUMIF(Consumo!$P$4:$P$189,"#"&amp;$A3232,Consumo!N$4:N$189),4)</f>
        <v/>
      </c>
      <c r="L3232" s="65">
        <f>ROUND(SUMIF(Consumo!$P$4:$P$189,"#"&amp;$A3232,Consumo!O$4:O$189),4)</f>
        <v/>
      </c>
      <c r="M3232" s="66" t="n"/>
    </row>
    <row r="3233">
      <c r="C3233" s="63" t="inlineStr">
        <is>
          <t>Recepciones programadas (ya pedido)</t>
        </is>
      </c>
      <c r="D3233" s="64" t="n"/>
      <c r="E3233" s="65">
        <f>SUMIF(Inventario!$M$5:$M$505,"#"&amp;$A3232,Inventario!E$5:E$505)</f>
        <v/>
      </c>
      <c r="F3233" s="65">
        <f>SUMIF(Inventario!$M$5:$M$505,"#"&amp;$A3232,Inventario!F$5:F$505)</f>
        <v/>
      </c>
      <c r="G3233" s="65">
        <f>SUMIF(Inventario!$M$5:$M$505,"#"&amp;$A3232,Inventario!G$5:G$505)</f>
        <v/>
      </c>
      <c r="H3233" s="65">
        <f>SUMIF(Inventario!$M$5:$M$505,"#"&amp;$A3232,Inventario!H$5:H$505)</f>
        <v/>
      </c>
      <c r="I3233" s="65">
        <f>SUMIF(Inventario!$M$5:$M$505,"#"&amp;$A3232,Inventario!I$5:I$505)</f>
        <v/>
      </c>
      <c r="J3233" s="65">
        <f>SUMIF(Inventario!$M$5:$M$505,"#"&amp;$A3232,Inventario!J$5:J$505)</f>
        <v/>
      </c>
      <c r="K3233" s="65">
        <f>SUMIF(Inventario!$M$5:$M$505,"#"&amp;$A3232,Inventario!K$5:K$505)</f>
        <v/>
      </c>
      <c r="L3233" s="65">
        <f>SUMIF(Inventario!$M$5:$M$505,"#"&amp;$A3232,Inventario!L$5:L$505)</f>
        <v/>
      </c>
      <c r="M3233" s="66" t="n"/>
    </row>
    <row r="3234">
      <c r="C3234" s="63" t="inlineStr">
        <is>
          <t>Stock proyectado disponible</t>
        </is>
      </c>
      <c r="D3234" s="67">
        <f>SUMIF(Inventario!$M$5:$M$505,"#"&amp;$A3232,Inventario!$C$5:$C$505)</f>
        <v/>
      </c>
      <c r="E3234" s="68">
        <f>D3234+E3233+E3236-E3232</f>
        <v/>
      </c>
      <c r="F3234" s="68">
        <f>E3234+F3233+F3236-F3232</f>
        <v/>
      </c>
      <c r="G3234" s="68">
        <f>F3234+G3233+G3236-G3232</f>
        <v/>
      </c>
      <c r="H3234" s="68">
        <f>G3234+H3233+H3236-H3232</f>
        <v/>
      </c>
      <c r="I3234" s="68">
        <f>H3234+I3233+I3236-I3232</f>
        <v/>
      </c>
      <c r="J3234" s="68">
        <f>I3234+J3233+J3236-J3232</f>
        <v/>
      </c>
      <c r="K3234" s="68">
        <f>J3234+K3233+K3236-K3232</f>
        <v/>
      </c>
      <c r="L3234" s="68">
        <f>K3234+L3233+L3236-L3232</f>
        <v/>
      </c>
      <c r="M3234" s="66" t="n"/>
    </row>
    <row r="3235">
      <c r="C3235" s="63" t="inlineStr">
        <is>
          <t>Necesidad neta</t>
        </is>
      </c>
      <c r="D3235" s="64" t="n"/>
      <c r="E3235" s="69">
        <f>MAX(0,ROUND(E3232+Materiales!$H$465-D3234-E3233,4))</f>
        <v/>
      </c>
      <c r="F3235" s="69">
        <f>MAX(0,ROUND(F3232+Materiales!$H$465-E3234-F3233,4))</f>
        <v/>
      </c>
      <c r="G3235" s="69">
        <f>MAX(0,ROUND(G3232+Materiales!$H$465-F3234-G3233,4))</f>
        <v/>
      </c>
      <c r="H3235" s="69">
        <f>MAX(0,ROUND(H3232+Materiales!$H$465-G3234-H3233,4))</f>
        <v/>
      </c>
      <c r="I3235" s="69">
        <f>MAX(0,ROUND(I3232+Materiales!$H$465-H3234-I3233,4))</f>
        <v/>
      </c>
      <c r="J3235" s="69">
        <f>MAX(0,ROUND(J3232+Materiales!$H$465-I3234-J3233,4))</f>
        <v/>
      </c>
      <c r="K3235" s="69">
        <f>MAX(0,ROUND(K3232+Materiales!$H$465-J3234-K3233,4))</f>
        <v/>
      </c>
      <c r="L3235" s="69">
        <f>MAX(0,ROUND(L3232+Materiales!$H$465-K3234-L3233,4))</f>
        <v/>
      </c>
      <c r="M3235" s="66" t="n"/>
    </row>
    <row r="3236">
      <c r="C3236" s="63" t="inlineStr">
        <is>
          <t>Recepcion de orden planificada</t>
        </is>
      </c>
      <c r="D3236" s="64" t="n"/>
      <c r="E3236" s="65">
        <f>IF(E3235&lt;=0,0,IF(Materiales!$G$465&lt;=0,E3235,ROUNDUP(E3235/Materiales!$G$465,0)*Materiales!$G$465))</f>
        <v/>
      </c>
      <c r="F3236" s="65">
        <f>IF(F3235&lt;=0,0,IF(Materiales!$G$465&lt;=0,F3235,ROUNDUP(F3235/Materiales!$G$465,0)*Materiales!$G$465))</f>
        <v/>
      </c>
      <c r="G3236" s="65">
        <f>IF(G3235&lt;=0,0,IF(Materiales!$G$465&lt;=0,G3235,ROUNDUP(G3235/Materiales!$G$465,0)*Materiales!$G$465))</f>
        <v/>
      </c>
      <c r="H3236" s="65">
        <f>IF(H3235&lt;=0,0,IF(Materiales!$G$465&lt;=0,H3235,ROUNDUP(H3235/Materiales!$G$465,0)*Materiales!$G$465))</f>
        <v/>
      </c>
      <c r="I3236" s="65">
        <f>IF(I3235&lt;=0,0,IF(Materiales!$G$465&lt;=0,I3235,ROUNDUP(I3235/Materiales!$G$465,0)*Materiales!$G$465))</f>
        <v/>
      </c>
      <c r="J3236" s="65">
        <f>IF(J3235&lt;=0,0,IF(Materiales!$G$465&lt;=0,J3235,ROUNDUP(J3235/Materiales!$G$465,0)*Materiales!$G$465))</f>
        <v/>
      </c>
      <c r="K3236" s="65">
        <f>IF(K3235&lt;=0,0,IF(Materiales!$G$465&lt;=0,K3235,ROUNDUP(K3235/Materiales!$G$465,0)*Materiales!$G$465))</f>
        <v/>
      </c>
      <c r="L3236" s="65">
        <f>IF(L3235&lt;=0,0,IF(Materiales!$G$465&lt;=0,L3235,ROUNDUP(L3235/Materiales!$G$465,0)*Materiales!$G$465))</f>
        <v/>
      </c>
      <c r="M3236" s="66" t="n"/>
    </row>
    <row r="3237">
      <c r="C3237" s="70" t="inlineStr">
        <is>
          <t>LANZAMIENTO DE ORDEN — pedir esta semana</t>
        </is>
      </c>
      <c r="D3237" s="64" t="n"/>
      <c r="E3237" s="71">
        <f>IF(1+Materiales!$F$465&gt;8,0,INDEX($E$3236:$L$3236,1,1+Materiales!$F$465))</f>
        <v/>
      </c>
      <c r="F3237" s="71">
        <f>IF(2+Materiales!$F$465&gt;8,0,INDEX($E$3236:$L$3236,1,2+Materiales!$F$465))</f>
        <v/>
      </c>
      <c r="G3237" s="71">
        <f>IF(3+Materiales!$F$465&gt;8,0,INDEX($E$3236:$L$3236,1,3+Materiales!$F$465))</f>
        <v/>
      </c>
      <c r="H3237" s="71">
        <f>IF(4+Materiales!$F$465&gt;8,0,INDEX($E$3236:$L$3236,1,4+Materiales!$F$465))</f>
        <v/>
      </c>
      <c r="I3237" s="71">
        <f>IF(5+Materiales!$F$465&gt;8,0,INDEX($E$3236:$L$3236,1,5+Materiales!$F$465))</f>
        <v/>
      </c>
      <c r="J3237" s="71">
        <f>IF(6+Materiales!$F$465&gt;8,0,INDEX($E$3236:$L$3236,1,6+Materiales!$F$465))</f>
        <v/>
      </c>
      <c r="K3237" s="71">
        <f>IF(7+Materiales!$F$465&gt;8,0,INDEX($E$3236:$L$3236,1,7+Materiales!$F$465))</f>
        <v/>
      </c>
      <c r="L3237" s="71">
        <f>IF(8+Materiales!$F$465&gt;8,0,INDEX($E$3236:$L$3236,1,8+Materiales!$F$465))</f>
        <v/>
      </c>
      <c r="M3237" s="72">
        <f>IF($A3232="","",IF(SUMPRODUCT((COLUMN($E$3236:$L$3236)-4&lt;=Materiales!$F$465)*$E$3236:$L$3236)&gt;0,"PEDIR YA (atrasado)","OK"))</f>
        <v/>
      </c>
    </row>
    <row r="3238" ht="6" customHeight="1"/>
    <row r="3239">
      <c r="A3239" s="62">
        <f>IF(Materiales!$A$466="","",Materiales!$A$466)</f>
        <v/>
      </c>
      <c r="B3239" s="62">
        <f>IF(Materiales!$B$466="","",Materiales!$B$466)</f>
        <v/>
      </c>
      <c r="C3239" s="63" t="inlineStr">
        <is>
          <t>Necesidad bruta</t>
        </is>
      </c>
      <c r="D3239" s="64" t="n"/>
      <c r="E3239" s="65">
        <f>ROUND(SUMIF(Consumo!$P$4:$P$189,"#"&amp;$A3239,Consumo!H$4:H$189),4)</f>
        <v/>
      </c>
      <c r="F3239" s="65">
        <f>ROUND(SUMIF(Consumo!$P$4:$P$189,"#"&amp;$A3239,Consumo!I$4:I$189),4)</f>
        <v/>
      </c>
      <c r="G3239" s="65">
        <f>ROUND(SUMIF(Consumo!$P$4:$P$189,"#"&amp;$A3239,Consumo!J$4:J$189),4)</f>
        <v/>
      </c>
      <c r="H3239" s="65">
        <f>ROUND(SUMIF(Consumo!$P$4:$P$189,"#"&amp;$A3239,Consumo!K$4:K$189),4)</f>
        <v/>
      </c>
      <c r="I3239" s="65">
        <f>ROUND(SUMIF(Consumo!$P$4:$P$189,"#"&amp;$A3239,Consumo!L$4:L$189),4)</f>
        <v/>
      </c>
      <c r="J3239" s="65">
        <f>ROUND(SUMIF(Consumo!$P$4:$P$189,"#"&amp;$A3239,Consumo!M$4:M$189),4)</f>
        <v/>
      </c>
      <c r="K3239" s="65">
        <f>ROUND(SUMIF(Consumo!$P$4:$P$189,"#"&amp;$A3239,Consumo!N$4:N$189),4)</f>
        <v/>
      </c>
      <c r="L3239" s="65">
        <f>ROUND(SUMIF(Consumo!$P$4:$P$189,"#"&amp;$A3239,Consumo!O$4:O$189),4)</f>
        <v/>
      </c>
      <c r="M3239" s="66" t="n"/>
    </row>
    <row r="3240">
      <c r="C3240" s="63" t="inlineStr">
        <is>
          <t>Recepciones programadas (ya pedido)</t>
        </is>
      </c>
      <c r="D3240" s="64" t="n"/>
      <c r="E3240" s="65">
        <f>SUMIF(Inventario!$M$5:$M$505,"#"&amp;$A3239,Inventario!E$5:E$505)</f>
        <v/>
      </c>
      <c r="F3240" s="65">
        <f>SUMIF(Inventario!$M$5:$M$505,"#"&amp;$A3239,Inventario!F$5:F$505)</f>
        <v/>
      </c>
      <c r="G3240" s="65">
        <f>SUMIF(Inventario!$M$5:$M$505,"#"&amp;$A3239,Inventario!G$5:G$505)</f>
        <v/>
      </c>
      <c r="H3240" s="65">
        <f>SUMIF(Inventario!$M$5:$M$505,"#"&amp;$A3239,Inventario!H$5:H$505)</f>
        <v/>
      </c>
      <c r="I3240" s="65">
        <f>SUMIF(Inventario!$M$5:$M$505,"#"&amp;$A3239,Inventario!I$5:I$505)</f>
        <v/>
      </c>
      <c r="J3240" s="65">
        <f>SUMIF(Inventario!$M$5:$M$505,"#"&amp;$A3239,Inventario!J$5:J$505)</f>
        <v/>
      </c>
      <c r="K3240" s="65">
        <f>SUMIF(Inventario!$M$5:$M$505,"#"&amp;$A3239,Inventario!K$5:K$505)</f>
        <v/>
      </c>
      <c r="L3240" s="65">
        <f>SUMIF(Inventario!$M$5:$M$505,"#"&amp;$A3239,Inventario!L$5:L$505)</f>
        <v/>
      </c>
      <c r="M3240" s="66" t="n"/>
    </row>
    <row r="3241">
      <c r="C3241" s="63" t="inlineStr">
        <is>
          <t>Stock proyectado disponible</t>
        </is>
      </c>
      <c r="D3241" s="67">
        <f>SUMIF(Inventario!$M$5:$M$505,"#"&amp;$A3239,Inventario!$C$5:$C$505)</f>
        <v/>
      </c>
      <c r="E3241" s="68">
        <f>D3241+E3240+E3243-E3239</f>
        <v/>
      </c>
      <c r="F3241" s="68">
        <f>E3241+F3240+F3243-F3239</f>
        <v/>
      </c>
      <c r="G3241" s="68">
        <f>F3241+G3240+G3243-G3239</f>
        <v/>
      </c>
      <c r="H3241" s="68">
        <f>G3241+H3240+H3243-H3239</f>
        <v/>
      </c>
      <c r="I3241" s="68">
        <f>H3241+I3240+I3243-I3239</f>
        <v/>
      </c>
      <c r="J3241" s="68">
        <f>I3241+J3240+J3243-J3239</f>
        <v/>
      </c>
      <c r="K3241" s="68">
        <f>J3241+K3240+K3243-K3239</f>
        <v/>
      </c>
      <c r="L3241" s="68">
        <f>K3241+L3240+L3243-L3239</f>
        <v/>
      </c>
      <c r="M3241" s="66" t="n"/>
    </row>
    <row r="3242">
      <c r="C3242" s="63" t="inlineStr">
        <is>
          <t>Necesidad neta</t>
        </is>
      </c>
      <c r="D3242" s="64" t="n"/>
      <c r="E3242" s="69">
        <f>MAX(0,ROUND(E3239+Materiales!$H$466-D3241-E3240,4))</f>
        <v/>
      </c>
      <c r="F3242" s="69">
        <f>MAX(0,ROUND(F3239+Materiales!$H$466-E3241-F3240,4))</f>
        <v/>
      </c>
      <c r="G3242" s="69">
        <f>MAX(0,ROUND(G3239+Materiales!$H$466-F3241-G3240,4))</f>
        <v/>
      </c>
      <c r="H3242" s="69">
        <f>MAX(0,ROUND(H3239+Materiales!$H$466-G3241-H3240,4))</f>
        <v/>
      </c>
      <c r="I3242" s="69">
        <f>MAX(0,ROUND(I3239+Materiales!$H$466-H3241-I3240,4))</f>
        <v/>
      </c>
      <c r="J3242" s="69">
        <f>MAX(0,ROUND(J3239+Materiales!$H$466-I3241-J3240,4))</f>
        <v/>
      </c>
      <c r="K3242" s="69">
        <f>MAX(0,ROUND(K3239+Materiales!$H$466-J3241-K3240,4))</f>
        <v/>
      </c>
      <c r="L3242" s="69">
        <f>MAX(0,ROUND(L3239+Materiales!$H$466-K3241-L3240,4))</f>
        <v/>
      </c>
      <c r="M3242" s="66" t="n"/>
    </row>
    <row r="3243">
      <c r="C3243" s="63" t="inlineStr">
        <is>
          <t>Recepcion de orden planificada</t>
        </is>
      </c>
      <c r="D3243" s="64" t="n"/>
      <c r="E3243" s="65">
        <f>IF(E3242&lt;=0,0,IF(Materiales!$G$466&lt;=0,E3242,ROUNDUP(E3242/Materiales!$G$466,0)*Materiales!$G$466))</f>
        <v/>
      </c>
      <c r="F3243" s="65">
        <f>IF(F3242&lt;=0,0,IF(Materiales!$G$466&lt;=0,F3242,ROUNDUP(F3242/Materiales!$G$466,0)*Materiales!$G$466))</f>
        <v/>
      </c>
      <c r="G3243" s="65">
        <f>IF(G3242&lt;=0,0,IF(Materiales!$G$466&lt;=0,G3242,ROUNDUP(G3242/Materiales!$G$466,0)*Materiales!$G$466))</f>
        <v/>
      </c>
      <c r="H3243" s="65">
        <f>IF(H3242&lt;=0,0,IF(Materiales!$G$466&lt;=0,H3242,ROUNDUP(H3242/Materiales!$G$466,0)*Materiales!$G$466))</f>
        <v/>
      </c>
      <c r="I3243" s="65">
        <f>IF(I3242&lt;=0,0,IF(Materiales!$G$466&lt;=0,I3242,ROUNDUP(I3242/Materiales!$G$466,0)*Materiales!$G$466))</f>
        <v/>
      </c>
      <c r="J3243" s="65">
        <f>IF(J3242&lt;=0,0,IF(Materiales!$G$466&lt;=0,J3242,ROUNDUP(J3242/Materiales!$G$466,0)*Materiales!$G$466))</f>
        <v/>
      </c>
      <c r="K3243" s="65">
        <f>IF(K3242&lt;=0,0,IF(Materiales!$G$466&lt;=0,K3242,ROUNDUP(K3242/Materiales!$G$466,0)*Materiales!$G$466))</f>
        <v/>
      </c>
      <c r="L3243" s="65">
        <f>IF(L3242&lt;=0,0,IF(Materiales!$G$466&lt;=0,L3242,ROUNDUP(L3242/Materiales!$G$466,0)*Materiales!$G$466))</f>
        <v/>
      </c>
      <c r="M3243" s="66" t="n"/>
    </row>
    <row r="3244">
      <c r="C3244" s="70" t="inlineStr">
        <is>
          <t>LANZAMIENTO DE ORDEN — pedir esta semana</t>
        </is>
      </c>
      <c r="D3244" s="64" t="n"/>
      <c r="E3244" s="71">
        <f>IF(1+Materiales!$F$466&gt;8,0,INDEX($E$3243:$L$3243,1,1+Materiales!$F$466))</f>
        <v/>
      </c>
      <c r="F3244" s="71">
        <f>IF(2+Materiales!$F$466&gt;8,0,INDEX($E$3243:$L$3243,1,2+Materiales!$F$466))</f>
        <v/>
      </c>
      <c r="G3244" s="71">
        <f>IF(3+Materiales!$F$466&gt;8,0,INDEX($E$3243:$L$3243,1,3+Materiales!$F$466))</f>
        <v/>
      </c>
      <c r="H3244" s="71">
        <f>IF(4+Materiales!$F$466&gt;8,0,INDEX($E$3243:$L$3243,1,4+Materiales!$F$466))</f>
        <v/>
      </c>
      <c r="I3244" s="71">
        <f>IF(5+Materiales!$F$466&gt;8,0,INDEX($E$3243:$L$3243,1,5+Materiales!$F$466))</f>
        <v/>
      </c>
      <c r="J3244" s="71">
        <f>IF(6+Materiales!$F$466&gt;8,0,INDEX($E$3243:$L$3243,1,6+Materiales!$F$466))</f>
        <v/>
      </c>
      <c r="K3244" s="71">
        <f>IF(7+Materiales!$F$466&gt;8,0,INDEX($E$3243:$L$3243,1,7+Materiales!$F$466))</f>
        <v/>
      </c>
      <c r="L3244" s="71">
        <f>IF(8+Materiales!$F$466&gt;8,0,INDEX($E$3243:$L$3243,1,8+Materiales!$F$466))</f>
        <v/>
      </c>
      <c r="M3244" s="72">
        <f>IF($A3239="","",IF(SUMPRODUCT((COLUMN($E$3243:$L$3243)-4&lt;=Materiales!$F$466)*$E$3243:$L$3243)&gt;0,"PEDIR YA (atrasado)","OK"))</f>
        <v/>
      </c>
    </row>
    <row r="3245" ht="6" customHeight="1"/>
    <row r="3246">
      <c r="A3246" s="62">
        <f>IF(Materiales!$A$467="","",Materiales!$A$467)</f>
        <v/>
      </c>
      <c r="B3246" s="62">
        <f>IF(Materiales!$B$467="","",Materiales!$B$467)</f>
        <v/>
      </c>
      <c r="C3246" s="63" t="inlineStr">
        <is>
          <t>Necesidad bruta</t>
        </is>
      </c>
      <c r="D3246" s="64" t="n"/>
      <c r="E3246" s="65">
        <f>ROUND(SUMIF(Consumo!$P$4:$P$189,"#"&amp;$A3246,Consumo!H$4:H$189),4)</f>
        <v/>
      </c>
      <c r="F3246" s="65">
        <f>ROUND(SUMIF(Consumo!$P$4:$P$189,"#"&amp;$A3246,Consumo!I$4:I$189),4)</f>
        <v/>
      </c>
      <c r="G3246" s="65">
        <f>ROUND(SUMIF(Consumo!$P$4:$P$189,"#"&amp;$A3246,Consumo!J$4:J$189),4)</f>
        <v/>
      </c>
      <c r="H3246" s="65">
        <f>ROUND(SUMIF(Consumo!$P$4:$P$189,"#"&amp;$A3246,Consumo!K$4:K$189),4)</f>
        <v/>
      </c>
      <c r="I3246" s="65">
        <f>ROUND(SUMIF(Consumo!$P$4:$P$189,"#"&amp;$A3246,Consumo!L$4:L$189),4)</f>
        <v/>
      </c>
      <c r="J3246" s="65">
        <f>ROUND(SUMIF(Consumo!$P$4:$P$189,"#"&amp;$A3246,Consumo!M$4:M$189),4)</f>
        <v/>
      </c>
      <c r="K3246" s="65">
        <f>ROUND(SUMIF(Consumo!$P$4:$P$189,"#"&amp;$A3246,Consumo!N$4:N$189),4)</f>
        <v/>
      </c>
      <c r="L3246" s="65">
        <f>ROUND(SUMIF(Consumo!$P$4:$P$189,"#"&amp;$A3246,Consumo!O$4:O$189),4)</f>
        <v/>
      </c>
      <c r="M3246" s="66" t="n"/>
    </row>
    <row r="3247">
      <c r="C3247" s="63" t="inlineStr">
        <is>
          <t>Recepciones programadas (ya pedido)</t>
        </is>
      </c>
      <c r="D3247" s="64" t="n"/>
      <c r="E3247" s="65">
        <f>SUMIF(Inventario!$M$5:$M$505,"#"&amp;$A3246,Inventario!E$5:E$505)</f>
        <v/>
      </c>
      <c r="F3247" s="65">
        <f>SUMIF(Inventario!$M$5:$M$505,"#"&amp;$A3246,Inventario!F$5:F$505)</f>
        <v/>
      </c>
      <c r="G3247" s="65">
        <f>SUMIF(Inventario!$M$5:$M$505,"#"&amp;$A3246,Inventario!G$5:G$505)</f>
        <v/>
      </c>
      <c r="H3247" s="65">
        <f>SUMIF(Inventario!$M$5:$M$505,"#"&amp;$A3246,Inventario!H$5:H$505)</f>
        <v/>
      </c>
      <c r="I3247" s="65">
        <f>SUMIF(Inventario!$M$5:$M$505,"#"&amp;$A3246,Inventario!I$5:I$505)</f>
        <v/>
      </c>
      <c r="J3247" s="65">
        <f>SUMIF(Inventario!$M$5:$M$505,"#"&amp;$A3246,Inventario!J$5:J$505)</f>
        <v/>
      </c>
      <c r="K3247" s="65">
        <f>SUMIF(Inventario!$M$5:$M$505,"#"&amp;$A3246,Inventario!K$5:K$505)</f>
        <v/>
      </c>
      <c r="L3247" s="65">
        <f>SUMIF(Inventario!$M$5:$M$505,"#"&amp;$A3246,Inventario!L$5:L$505)</f>
        <v/>
      </c>
      <c r="M3247" s="66" t="n"/>
    </row>
    <row r="3248">
      <c r="C3248" s="63" t="inlineStr">
        <is>
          <t>Stock proyectado disponible</t>
        </is>
      </c>
      <c r="D3248" s="67">
        <f>SUMIF(Inventario!$M$5:$M$505,"#"&amp;$A3246,Inventario!$C$5:$C$505)</f>
        <v/>
      </c>
      <c r="E3248" s="68">
        <f>D3248+E3247+E3250-E3246</f>
        <v/>
      </c>
      <c r="F3248" s="68">
        <f>E3248+F3247+F3250-F3246</f>
        <v/>
      </c>
      <c r="G3248" s="68">
        <f>F3248+G3247+G3250-G3246</f>
        <v/>
      </c>
      <c r="H3248" s="68">
        <f>G3248+H3247+H3250-H3246</f>
        <v/>
      </c>
      <c r="I3248" s="68">
        <f>H3248+I3247+I3250-I3246</f>
        <v/>
      </c>
      <c r="J3248" s="68">
        <f>I3248+J3247+J3250-J3246</f>
        <v/>
      </c>
      <c r="K3248" s="68">
        <f>J3248+K3247+K3250-K3246</f>
        <v/>
      </c>
      <c r="L3248" s="68">
        <f>K3248+L3247+L3250-L3246</f>
        <v/>
      </c>
      <c r="M3248" s="66" t="n"/>
    </row>
    <row r="3249">
      <c r="C3249" s="63" t="inlineStr">
        <is>
          <t>Necesidad neta</t>
        </is>
      </c>
      <c r="D3249" s="64" t="n"/>
      <c r="E3249" s="69">
        <f>MAX(0,ROUND(E3246+Materiales!$H$467-D3248-E3247,4))</f>
        <v/>
      </c>
      <c r="F3249" s="69">
        <f>MAX(0,ROUND(F3246+Materiales!$H$467-E3248-F3247,4))</f>
        <v/>
      </c>
      <c r="G3249" s="69">
        <f>MAX(0,ROUND(G3246+Materiales!$H$467-F3248-G3247,4))</f>
        <v/>
      </c>
      <c r="H3249" s="69">
        <f>MAX(0,ROUND(H3246+Materiales!$H$467-G3248-H3247,4))</f>
        <v/>
      </c>
      <c r="I3249" s="69">
        <f>MAX(0,ROUND(I3246+Materiales!$H$467-H3248-I3247,4))</f>
        <v/>
      </c>
      <c r="J3249" s="69">
        <f>MAX(0,ROUND(J3246+Materiales!$H$467-I3248-J3247,4))</f>
        <v/>
      </c>
      <c r="K3249" s="69">
        <f>MAX(0,ROUND(K3246+Materiales!$H$467-J3248-K3247,4))</f>
        <v/>
      </c>
      <c r="L3249" s="69">
        <f>MAX(0,ROUND(L3246+Materiales!$H$467-K3248-L3247,4))</f>
        <v/>
      </c>
      <c r="M3249" s="66" t="n"/>
    </row>
    <row r="3250">
      <c r="C3250" s="63" t="inlineStr">
        <is>
          <t>Recepcion de orden planificada</t>
        </is>
      </c>
      <c r="D3250" s="64" t="n"/>
      <c r="E3250" s="65">
        <f>IF(E3249&lt;=0,0,IF(Materiales!$G$467&lt;=0,E3249,ROUNDUP(E3249/Materiales!$G$467,0)*Materiales!$G$467))</f>
        <v/>
      </c>
      <c r="F3250" s="65">
        <f>IF(F3249&lt;=0,0,IF(Materiales!$G$467&lt;=0,F3249,ROUNDUP(F3249/Materiales!$G$467,0)*Materiales!$G$467))</f>
        <v/>
      </c>
      <c r="G3250" s="65">
        <f>IF(G3249&lt;=0,0,IF(Materiales!$G$467&lt;=0,G3249,ROUNDUP(G3249/Materiales!$G$467,0)*Materiales!$G$467))</f>
        <v/>
      </c>
      <c r="H3250" s="65">
        <f>IF(H3249&lt;=0,0,IF(Materiales!$G$467&lt;=0,H3249,ROUNDUP(H3249/Materiales!$G$467,0)*Materiales!$G$467))</f>
        <v/>
      </c>
      <c r="I3250" s="65">
        <f>IF(I3249&lt;=0,0,IF(Materiales!$G$467&lt;=0,I3249,ROUNDUP(I3249/Materiales!$G$467,0)*Materiales!$G$467))</f>
        <v/>
      </c>
      <c r="J3250" s="65">
        <f>IF(J3249&lt;=0,0,IF(Materiales!$G$467&lt;=0,J3249,ROUNDUP(J3249/Materiales!$G$467,0)*Materiales!$G$467))</f>
        <v/>
      </c>
      <c r="K3250" s="65">
        <f>IF(K3249&lt;=0,0,IF(Materiales!$G$467&lt;=0,K3249,ROUNDUP(K3249/Materiales!$G$467,0)*Materiales!$G$467))</f>
        <v/>
      </c>
      <c r="L3250" s="65">
        <f>IF(L3249&lt;=0,0,IF(Materiales!$G$467&lt;=0,L3249,ROUNDUP(L3249/Materiales!$G$467,0)*Materiales!$G$467))</f>
        <v/>
      </c>
      <c r="M3250" s="66" t="n"/>
    </row>
    <row r="3251">
      <c r="C3251" s="70" t="inlineStr">
        <is>
          <t>LANZAMIENTO DE ORDEN — pedir esta semana</t>
        </is>
      </c>
      <c r="D3251" s="64" t="n"/>
      <c r="E3251" s="71">
        <f>IF(1+Materiales!$F$467&gt;8,0,INDEX($E$3250:$L$3250,1,1+Materiales!$F$467))</f>
        <v/>
      </c>
      <c r="F3251" s="71">
        <f>IF(2+Materiales!$F$467&gt;8,0,INDEX($E$3250:$L$3250,1,2+Materiales!$F$467))</f>
        <v/>
      </c>
      <c r="G3251" s="71">
        <f>IF(3+Materiales!$F$467&gt;8,0,INDEX($E$3250:$L$3250,1,3+Materiales!$F$467))</f>
        <v/>
      </c>
      <c r="H3251" s="71">
        <f>IF(4+Materiales!$F$467&gt;8,0,INDEX($E$3250:$L$3250,1,4+Materiales!$F$467))</f>
        <v/>
      </c>
      <c r="I3251" s="71">
        <f>IF(5+Materiales!$F$467&gt;8,0,INDEX($E$3250:$L$3250,1,5+Materiales!$F$467))</f>
        <v/>
      </c>
      <c r="J3251" s="71">
        <f>IF(6+Materiales!$F$467&gt;8,0,INDEX($E$3250:$L$3250,1,6+Materiales!$F$467))</f>
        <v/>
      </c>
      <c r="K3251" s="71">
        <f>IF(7+Materiales!$F$467&gt;8,0,INDEX($E$3250:$L$3250,1,7+Materiales!$F$467))</f>
        <v/>
      </c>
      <c r="L3251" s="71">
        <f>IF(8+Materiales!$F$467&gt;8,0,INDEX($E$3250:$L$3250,1,8+Materiales!$F$467))</f>
        <v/>
      </c>
      <c r="M3251" s="72">
        <f>IF($A3246="","",IF(SUMPRODUCT((COLUMN($E$3250:$L$3250)-4&lt;=Materiales!$F$467)*$E$3250:$L$3250)&gt;0,"PEDIR YA (atrasado)","OK"))</f>
        <v/>
      </c>
    </row>
    <row r="3252" ht="6" customHeight="1"/>
    <row r="3253">
      <c r="A3253" s="62">
        <f>IF(Materiales!$A$468="","",Materiales!$A$468)</f>
        <v/>
      </c>
      <c r="B3253" s="62">
        <f>IF(Materiales!$B$468="","",Materiales!$B$468)</f>
        <v/>
      </c>
      <c r="C3253" s="63" t="inlineStr">
        <is>
          <t>Necesidad bruta</t>
        </is>
      </c>
      <c r="D3253" s="64" t="n"/>
      <c r="E3253" s="65">
        <f>ROUND(SUMIF(Consumo!$P$4:$P$189,"#"&amp;$A3253,Consumo!H$4:H$189),4)</f>
        <v/>
      </c>
      <c r="F3253" s="65">
        <f>ROUND(SUMIF(Consumo!$P$4:$P$189,"#"&amp;$A3253,Consumo!I$4:I$189),4)</f>
        <v/>
      </c>
      <c r="G3253" s="65">
        <f>ROUND(SUMIF(Consumo!$P$4:$P$189,"#"&amp;$A3253,Consumo!J$4:J$189),4)</f>
        <v/>
      </c>
      <c r="H3253" s="65">
        <f>ROUND(SUMIF(Consumo!$P$4:$P$189,"#"&amp;$A3253,Consumo!K$4:K$189),4)</f>
        <v/>
      </c>
      <c r="I3253" s="65">
        <f>ROUND(SUMIF(Consumo!$P$4:$P$189,"#"&amp;$A3253,Consumo!L$4:L$189),4)</f>
        <v/>
      </c>
      <c r="J3253" s="65">
        <f>ROUND(SUMIF(Consumo!$P$4:$P$189,"#"&amp;$A3253,Consumo!M$4:M$189),4)</f>
        <v/>
      </c>
      <c r="K3253" s="65">
        <f>ROUND(SUMIF(Consumo!$P$4:$P$189,"#"&amp;$A3253,Consumo!N$4:N$189),4)</f>
        <v/>
      </c>
      <c r="L3253" s="65">
        <f>ROUND(SUMIF(Consumo!$P$4:$P$189,"#"&amp;$A3253,Consumo!O$4:O$189),4)</f>
        <v/>
      </c>
      <c r="M3253" s="66" t="n"/>
    </row>
    <row r="3254">
      <c r="C3254" s="63" t="inlineStr">
        <is>
          <t>Recepciones programadas (ya pedido)</t>
        </is>
      </c>
      <c r="D3254" s="64" t="n"/>
      <c r="E3254" s="65">
        <f>SUMIF(Inventario!$M$5:$M$505,"#"&amp;$A3253,Inventario!E$5:E$505)</f>
        <v/>
      </c>
      <c r="F3254" s="65">
        <f>SUMIF(Inventario!$M$5:$M$505,"#"&amp;$A3253,Inventario!F$5:F$505)</f>
        <v/>
      </c>
      <c r="G3254" s="65">
        <f>SUMIF(Inventario!$M$5:$M$505,"#"&amp;$A3253,Inventario!G$5:G$505)</f>
        <v/>
      </c>
      <c r="H3254" s="65">
        <f>SUMIF(Inventario!$M$5:$M$505,"#"&amp;$A3253,Inventario!H$5:H$505)</f>
        <v/>
      </c>
      <c r="I3254" s="65">
        <f>SUMIF(Inventario!$M$5:$M$505,"#"&amp;$A3253,Inventario!I$5:I$505)</f>
        <v/>
      </c>
      <c r="J3254" s="65">
        <f>SUMIF(Inventario!$M$5:$M$505,"#"&amp;$A3253,Inventario!J$5:J$505)</f>
        <v/>
      </c>
      <c r="K3254" s="65">
        <f>SUMIF(Inventario!$M$5:$M$505,"#"&amp;$A3253,Inventario!K$5:K$505)</f>
        <v/>
      </c>
      <c r="L3254" s="65">
        <f>SUMIF(Inventario!$M$5:$M$505,"#"&amp;$A3253,Inventario!L$5:L$505)</f>
        <v/>
      </c>
      <c r="M3254" s="66" t="n"/>
    </row>
    <row r="3255">
      <c r="C3255" s="63" t="inlineStr">
        <is>
          <t>Stock proyectado disponible</t>
        </is>
      </c>
      <c r="D3255" s="67">
        <f>SUMIF(Inventario!$M$5:$M$505,"#"&amp;$A3253,Inventario!$C$5:$C$505)</f>
        <v/>
      </c>
      <c r="E3255" s="68">
        <f>D3255+E3254+E3257-E3253</f>
        <v/>
      </c>
      <c r="F3255" s="68">
        <f>E3255+F3254+F3257-F3253</f>
        <v/>
      </c>
      <c r="G3255" s="68">
        <f>F3255+G3254+G3257-G3253</f>
        <v/>
      </c>
      <c r="H3255" s="68">
        <f>G3255+H3254+H3257-H3253</f>
        <v/>
      </c>
      <c r="I3255" s="68">
        <f>H3255+I3254+I3257-I3253</f>
        <v/>
      </c>
      <c r="J3255" s="68">
        <f>I3255+J3254+J3257-J3253</f>
        <v/>
      </c>
      <c r="K3255" s="68">
        <f>J3255+K3254+K3257-K3253</f>
        <v/>
      </c>
      <c r="L3255" s="68">
        <f>K3255+L3254+L3257-L3253</f>
        <v/>
      </c>
      <c r="M3255" s="66" t="n"/>
    </row>
    <row r="3256">
      <c r="C3256" s="63" t="inlineStr">
        <is>
          <t>Necesidad neta</t>
        </is>
      </c>
      <c r="D3256" s="64" t="n"/>
      <c r="E3256" s="69">
        <f>MAX(0,ROUND(E3253+Materiales!$H$468-D3255-E3254,4))</f>
        <v/>
      </c>
      <c r="F3256" s="69">
        <f>MAX(0,ROUND(F3253+Materiales!$H$468-E3255-F3254,4))</f>
        <v/>
      </c>
      <c r="G3256" s="69">
        <f>MAX(0,ROUND(G3253+Materiales!$H$468-F3255-G3254,4))</f>
        <v/>
      </c>
      <c r="H3256" s="69">
        <f>MAX(0,ROUND(H3253+Materiales!$H$468-G3255-H3254,4))</f>
        <v/>
      </c>
      <c r="I3256" s="69">
        <f>MAX(0,ROUND(I3253+Materiales!$H$468-H3255-I3254,4))</f>
        <v/>
      </c>
      <c r="J3256" s="69">
        <f>MAX(0,ROUND(J3253+Materiales!$H$468-I3255-J3254,4))</f>
        <v/>
      </c>
      <c r="K3256" s="69">
        <f>MAX(0,ROUND(K3253+Materiales!$H$468-J3255-K3254,4))</f>
        <v/>
      </c>
      <c r="L3256" s="69">
        <f>MAX(0,ROUND(L3253+Materiales!$H$468-K3255-L3254,4))</f>
        <v/>
      </c>
      <c r="M3256" s="66" t="n"/>
    </row>
    <row r="3257">
      <c r="C3257" s="63" t="inlineStr">
        <is>
          <t>Recepcion de orden planificada</t>
        </is>
      </c>
      <c r="D3257" s="64" t="n"/>
      <c r="E3257" s="65">
        <f>IF(E3256&lt;=0,0,IF(Materiales!$G$468&lt;=0,E3256,ROUNDUP(E3256/Materiales!$G$468,0)*Materiales!$G$468))</f>
        <v/>
      </c>
      <c r="F3257" s="65">
        <f>IF(F3256&lt;=0,0,IF(Materiales!$G$468&lt;=0,F3256,ROUNDUP(F3256/Materiales!$G$468,0)*Materiales!$G$468))</f>
        <v/>
      </c>
      <c r="G3257" s="65">
        <f>IF(G3256&lt;=0,0,IF(Materiales!$G$468&lt;=0,G3256,ROUNDUP(G3256/Materiales!$G$468,0)*Materiales!$G$468))</f>
        <v/>
      </c>
      <c r="H3257" s="65">
        <f>IF(H3256&lt;=0,0,IF(Materiales!$G$468&lt;=0,H3256,ROUNDUP(H3256/Materiales!$G$468,0)*Materiales!$G$468))</f>
        <v/>
      </c>
      <c r="I3257" s="65">
        <f>IF(I3256&lt;=0,0,IF(Materiales!$G$468&lt;=0,I3256,ROUNDUP(I3256/Materiales!$G$468,0)*Materiales!$G$468))</f>
        <v/>
      </c>
      <c r="J3257" s="65">
        <f>IF(J3256&lt;=0,0,IF(Materiales!$G$468&lt;=0,J3256,ROUNDUP(J3256/Materiales!$G$468,0)*Materiales!$G$468))</f>
        <v/>
      </c>
      <c r="K3257" s="65">
        <f>IF(K3256&lt;=0,0,IF(Materiales!$G$468&lt;=0,K3256,ROUNDUP(K3256/Materiales!$G$468,0)*Materiales!$G$468))</f>
        <v/>
      </c>
      <c r="L3257" s="65">
        <f>IF(L3256&lt;=0,0,IF(Materiales!$G$468&lt;=0,L3256,ROUNDUP(L3256/Materiales!$G$468,0)*Materiales!$G$468))</f>
        <v/>
      </c>
      <c r="M3257" s="66" t="n"/>
    </row>
    <row r="3258">
      <c r="C3258" s="70" t="inlineStr">
        <is>
          <t>LANZAMIENTO DE ORDEN — pedir esta semana</t>
        </is>
      </c>
      <c r="D3258" s="64" t="n"/>
      <c r="E3258" s="71">
        <f>IF(1+Materiales!$F$468&gt;8,0,INDEX($E$3257:$L$3257,1,1+Materiales!$F$468))</f>
        <v/>
      </c>
      <c r="F3258" s="71">
        <f>IF(2+Materiales!$F$468&gt;8,0,INDEX($E$3257:$L$3257,1,2+Materiales!$F$468))</f>
        <v/>
      </c>
      <c r="G3258" s="71">
        <f>IF(3+Materiales!$F$468&gt;8,0,INDEX($E$3257:$L$3257,1,3+Materiales!$F$468))</f>
        <v/>
      </c>
      <c r="H3258" s="71">
        <f>IF(4+Materiales!$F$468&gt;8,0,INDEX($E$3257:$L$3257,1,4+Materiales!$F$468))</f>
        <v/>
      </c>
      <c r="I3258" s="71">
        <f>IF(5+Materiales!$F$468&gt;8,0,INDEX($E$3257:$L$3257,1,5+Materiales!$F$468))</f>
        <v/>
      </c>
      <c r="J3258" s="71">
        <f>IF(6+Materiales!$F$468&gt;8,0,INDEX($E$3257:$L$3257,1,6+Materiales!$F$468))</f>
        <v/>
      </c>
      <c r="K3258" s="71">
        <f>IF(7+Materiales!$F$468&gt;8,0,INDEX($E$3257:$L$3257,1,7+Materiales!$F$468))</f>
        <v/>
      </c>
      <c r="L3258" s="71">
        <f>IF(8+Materiales!$F$468&gt;8,0,INDEX($E$3257:$L$3257,1,8+Materiales!$F$468))</f>
        <v/>
      </c>
      <c r="M3258" s="72">
        <f>IF($A3253="","",IF(SUMPRODUCT((COLUMN($E$3257:$L$3257)-4&lt;=Materiales!$F$468)*$E$3257:$L$3257)&gt;0,"PEDIR YA (atrasado)","OK"))</f>
        <v/>
      </c>
    </row>
    <row r="3259" ht="6" customHeight="1"/>
    <row r="3260">
      <c r="A3260" s="62">
        <f>IF(Materiales!$A$469="","",Materiales!$A$469)</f>
        <v/>
      </c>
      <c r="B3260" s="62">
        <f>IF(Materiales!$B$469="","",Materiales!$B$469)</f>
        <v/>
      </c>
      <c r="C3260" s="63" t="inlineStr">
        <is>
          <t>Necesidad bruta</t>
        </is>
      </c>
      <c r="D3260" s="64" t="n"/>
      <c r="E3260" s="65">
        <f>ROUND(SUMIF(Consumo!$P$4:$P$189,"#"&amp;$A3260,Consumo!H$4:H$189),4)</f>
        <v/>
      </c>
      <c r="F3260" s="65">
        <f>ROUND(SUMIF(Consumo!$P$4:$P$189,"#"&amp;$A3260,Consumo!I$4:I$189),4)</f>
        <v/>
      </c>
      <c r="G3260" s="65">
        <f>ROUND(SUMIF(Consumo!$P$4:$P$189,"#"&amp;$A3260,Consumo!J$4:J$189),4)</f>
        <v/>
      </c>
      <c r="H3260" s="65">
        <f>ROUND(SUMIF(Consumo!$P$4:$P$189,"#"&amp;$A3260,Consumo!K$4:K$189),4)</f>
        <v/>
      </c>
      <c r="I3260" s="65">
        <f>ROUND(SUMIF(Consumo!$P$4:$P$189,"#"&amp;$A3260,Consumo!L$4:L$189),4)</f>
        <v/>
      </c>
      <c r="J3260" s="65">
        <f>ROUND(SUMIF(Consumo!$P$4:$P$189,"#"&amp;$A3260,Consumo!M$4:M$189),4)</f>
        <v/>
      </c>
      <c r="K3260" s="65">
        <f>ROUND(SUMIF(Consumo!$P$4:$P$189,"#"&amp;$A3260,Consumo!N$4:N$189),4)</f>
        <v/>
      </c>
      <c r="L3260" s="65">
        <f>ROUND(SUMIF(Consumo!$P$4:$P$189,"#"&amp;$A3260,Consumo!O$4:O$189),4)</f>
        <v/>
      </c>
      <c r="M3260" s="66" t="n"/>
    </row>
    <row r="3261">
      <c r="C3261" s="63" t="inlineStr">
        <is>
          <t>Recepciones programadas (ya pedido)</t>
        </is>
      </c>
      <c r="D3261" s="64" t="n"/>
      <c r="E3261" s="65">
        <f>SUMIF(Inventario!$M$5:$M$505,"#"&amp;$A3260,Inventario!E$5:E$505)</f>
        <v/>
      </c>
      <c r="F3261" s="65">
        <f>SUMIF(Inventario!$M$5:$M$505,"#"&amp;$A3260,Inventario!F$5:F$505)</f>
        <v/>
      </c>
      <c r="G3261" s="65">
        <f>SUMIF(Inventario!$M$5:$M$505,"#"&amp;$A3260,Inventario!G$5:G$505)</f>
        <v/>
      </c>
      <c r="H3261" s="65">
        <f>SUMIF(Inventario!$M$5:$M$505,"#"&amp;$A3260,Inventario!H$5:H$505)</f>
        <v/>
      </c>
      <c r="I3261" s="65">
        <f>SUMIF(Inventario!$M$5:$M$505,"#"&amp;$A3260,Inventario!I$5:I$505)</f>
        <v/>
      </c>
      <c r="J3261" s="65">
        <f>SUMIF(Inventario!$M$5:$M$505,"#"&amp;$A3260,Inventario!J$5:J$505)</f>
        <v/>
      </c>
      <c r="K3261" s="65">
        <f>SUMIF(Inventario!$M$5:$M$505,"#"&amp;$A3260,Inventario!K$5:K$505)</f>
        <v/>
      </c>
      <c r="L3261" s="65">
        <f>SUMIF(Inventario!$M$5:$M$505,"#"&amp;$A3260,Inventario!L$5:L$505)</f>
        <v/>
      </c>
      <c r="M3261" s="66" t="n"/>
    </row>
    <row r="3262">
      <c r="C3262" s="63" t="inlineStr">
        <is>
          <t>Stock proyectado disponible</t>
        </is>
      </c>
      <c r="D3262" s="67">
        <f>SUMIF(Inventario!$M$5:$M$505,"#"&amp;$A3260,Inventario!$C$5:$C$505)</f>
        <v/>
      </c>
      <c r="E3262" s="68">
        <f>D3262+E3261+E3264-E3260</f>
        <v/>
      </c>
      <c r="F3262" s="68">
        <f>E3262+F3261+F3264-F3260</f>
        <v/>
      </c>
      <c r="G3262" s="68">
        <f>F3262+G3261+G3264-G3260</f>
        <v/>
      </c>
      <c r="H3262" s="68">
        <f>G3262+H3261+H3264-H3260</f>
        <v/>
      </c>
      <c r="I3262" s="68">
        <f>H3262+I3261+I3264-I3260</f>
        <v/>
      </c>
      <c r="J3262" s="68">
        <f>I3262+J3261+J3264-J3260</f>
        <v/>
      </c>
      <c r="K3262" s="68">
        <f>J3262+K3261+K3264-K3260</f>
        <v/>
      </c>
      <c r="L3262" s="68">
        <f>K3262+L3261+L3264-L3260</f>
        <v/>
      </c>
      <c r="M3262" s="66" t="n"/>
    </row>
    <row r="3263">
      <c r="C3263" s="63" t="inlineStr">
        <is>
          <t>Necesidad neta</t>
        </is>
      </c>
      <c r="D3263" s="64" t="n"/>
      <c r="E3263" s="69">
        <f>MAX(0,ROUND(E3260+Materiales!$H$469-D3262-E3261,4))</f>
        <v/>
      </c>
      <c r="F3263" s="69">
        <f>MAX(0,ROUND(F3260+Materiales!$H$469-E3262-F3261,4))</f>
        <v/>
      </c>
      <c r="G3263" s="69">
        <f>MAX(0,ROUND(G3260+Materiales!$H$469-F3262-G3261,4))</f>
        <v/>
      </c>
      <c r="H3263" s="69">
        <f>MAX(0,ROUND(H3260+Materiales!$H$469-G3262-H3261,4))</f>
        <v/>
      </c>
      <c r="I3263" s="69">
        <f>MAX(0,ROUND(I3260+Materiales!$H$469-H3262-I3261,4))</f>
        <v/>
      </c>
      <c r="J3263" s="69">
        <f>MAX(0,ROUND(J3260+Materiales!$H$469-I3262-J3261,4))</f>
        <v/>
      </c>
      <c r="K3263" s="69">
        <f>MAX(0,ROUND(K3260+Materiales!$H$469-J3262-K3261,4))</f>
        <v/>
      </c>
      <c r="L3263" s="69">
        <f>MAX(0,ROUND(L3260+Materiales!$H$469-K3262-L3261,4))</f>
        <v/>
      </c>
      <c r="M3263" s="66" t="n"/>
    </row>
    <row r="3264">
      <c r="C3264" s="63" t="inlineStr">
        <is>
          <t>Recepcion de orden planificada</t>
        </is>
      </c>
      <c r="D3264" s="64" t="n"/>
      <c r="E3264" s="65">
        <f>IF(E3263&lt;=0,0,IF(Materiales!$G$469&lt;=0,E3263,ROUNDUP(E3263/Materiales!$G$469,0)*Materiales!$G$469))</f>
        <v/>
      </c>
      <c r="F3264" s="65">
        <f>IF(F3263&lt;=0,0,IF(Materiales!$G$469&lt;=0,F3263,ROUNDUP(F3263/Materiales!$G$469,0)*Materiales!$G$469))</f>
        <v/>
      </c>
      <c r="G3264" s="65">
        <f>IF(G3263&lt;=0,0,IF(Materiales!$G$469&lt;=0,G3263,ROUNDUP(G3263/Materiales!$G$469,0)*Materiales!$G$469))</f>
        <v/>
      </c>
      <c r="H3264" s="65">
        <f>IF(H3263&lt;=0,0,IF(Materiales!$G$469&lt;=0,H3263,ROUNDUP(H3263/Materiales!$G$469,0)*Materiales!$G$469))</f>
        <v/>
      </c>
      <c r="I3264" s="65">
        <f>IF(I3263&lt;=0,0,IF(Materiales!$G$469&lt;=0,I3263,ROUNDUP(I3263/Materiales!$G$469,0)*Materiales!$G$469))</f>
        <v/>
      </c>
      <c r="J3264" s="65">
        <f>IF(J3263&lt;=0,0,IF(Materiales!$G$469&lt;=0,J3263,ROUNDUP(J3263/Materiales!$G$469,0)*Materiales!$G$469))</f>
        <v/>
      </c>
      <c r="K3264" s="65">
        <f>IF(K3263&lt;=0,0,IF(Materiales!$G$469&lt;=0,K3263,ROUNDUP(K3263/Materiales!$G$469,0)*Materiales!$G$469))</f>
        <v/>
      </c>
      <c r="L3264" s="65">
        <f>IF(L3263&lt;=0,0,IF(Materiales!$G$469&lt;=0,L3263,ROUNDUP(L3263/Materiales!$G$469,0)*Materiales!$G$469))</f>
        <v/>
      </c>
      <c r="M3264" s="66" t="n"/>
    </row>
    <row r="3265">
      <c r="C3265" s="70" t="inlineStr">
        <is>
          <t>LANZAMIENTO DE ORDEN — pedir esta semana</t>
        </is>
      </c>
      <c r="D3265" s="64" t="n"/>
      <c r="E3265" s="71">
        <f>IF(1+Materiales!$F$469&gt;8,0,INDEX($E$3264:$L$3264,1,1+Materiales!$F$469))</f>
        <v/>
      </c>
      <c r="F3265" s="71">
        <f>IF(2+Materiales!$F$469&gt;8,0,INDEX($E$3264:$L$3264,1,2+Materiales!$F$469))</f>
        <v/>
      </c>
      <c r="G3265" s="71">
        <f>IF(3+Materiales!$F$469&gt;8,0,INDEX($E$3264:$L$3264,1,3+Materiales!$F$469))</f>
        <v/>
      </c>
      <c r="H3265" s="71">
        <f>IF(4+Materiales!$F$469&gt;8,0,INDEX($E$3264:$L$3264,1,4+Materiales!$F$469))</f>
        <v/>
      </c>
      <c r="I3265" s="71">
        <f>IF(5+Materiales!$F$469&gt;8,0,INDEX($E$3264:$L$3264,1,5+Materiales!$F$469))</f>
        <v/>
      </c>
      <c r="J3265" s="71">
        <f>IF(6+Materiales!$F$469&gt;8,0,INDEX($E$3264:$L$3264,1,6+Materiales!$F$469))</f>
        <v/>
      </c>
      <c r="K3265" s="71">
        <f>IF(7+Materiales!$F$469&gt;8,0,INDEX($E$3264:$L$3264,1,7+Materiales!$F$469))</f>
        <v/>
      </c>
      <c r="L3265" s="71">
        <f>IF(8+Materiales!$F$469&gt;8,0,INDEX($E$3264:$L$3264,1,8+Materiales!$F$469))</f>
        <v/>
      </c>
      <c r="M3265" s="72">
        <f>IF($A3260="","",IF(SUMPRODUCT((COLUMN($E$3264:$L$3264)-4&lt;=Materiales!$F$469)*$E$3264:$L$3264)&gt;0,"PEDIR YA (atrasado)","OK"))</f>
        <v/>
      </c>
    </row>
    <row r="3266" ht="6" customHeight="1"/>
    <row r="3267">
      <c r="A3267" s="62">
        <f>IF(Materiales!$A$470="","",Materiales!$A$470)</f>
        <v/>
      </c>
      <c r="B3267" s="62">
        <f>IF(Materiales!$B$470="","",Materiales!$B$470)</f>
        <v/>
      </c>
      <c r="C3267" s="63" t="inlineStr">
        <is>
          <t>Necesidad bruta</t>
        </is>
      </c>
      <c r="D3267" s="64" t="n"/>
      <c r="E3267" s="65">
        <f>ROUND(SUMIF(Consumo!$P$4:$P$189,"#"&amp;$A3267,Consumo!H$4:H$189),4)</f>
        <v/>
      </c>
      <c r="F3267" s="65">
        <f>ROUND(SUMIF(Consumo!$P$4:$P$189,"#"&amp;$A3267,Consumo!I$4:I$189),4)</f>
        <v/>
      </c>
      <c r="G3267" s="65">
        <f>ROUND(SUMIF(Consumo!$P$4:$P$189,"#"&amp;$A3267,Consumo!J$4:J$189),4)</f>
        <v/>
      </c>
      <c r="H3267" s="65">
        <f>ROUND(SUMIF(Consumo!$P$4:$P$189,"#"&amp;$A3267,Consumo!K$4:K$189),4)</f>
        <v/>
      </c>
      <c r="I3267" s="65">
        <f>ROUND(SUMIF(Consumo!$P$4:$P$189,"#"&amp;$A3267,Consumo!L$4:L$189),4)</f>
        <v/>
      </c>
      <c r="J3267" s="65">
        <f>ROUND(SUMIF(Consumo!$P$4:$P$189,"#"&amp;$A3267,Consumo!M$4:M$189),4)</f>
        <v/>
      </c>
      <c r="K3267" s="65">
        <f>ROUND(SUMIF(Consumo!$P$4:$P$189,"#"&amp;$A3267,Consumo!N$4:N$189),4)</f>
        <v/>
      </c>
      <c r="L3267" s="65">
        <f>ROUND(SUMIF(Consumo!$P$4:$P$189,"#"&amp;$A3267,Consumo!O$4:O$189),4)</f>
        <v/>
      </c>
      <c r="M3267" s="66" t="n"/>
    </row>
    <row r="3268">
      <c r="C3268" s="63" t="inlineStr">
        <is>
          <t>Recepciones programadas (ya pedido)</t>
        </is>
      </c>
      <c r="D3268" s="64" t="n"/>
      <c r="E3268" s="65">
        <f>SUMIF(Inventario!$M$5:$M$505,"#"&amp;$A3267,Inventario!E$5:E$505)</f>
        <v/>
      </c>
      <c r="F3268" s="65">
        <f>SUMIF(Inventario!$M$5:$M$505,"#"&amp;$A3267,Inventario!F$5:F$505)</f>
        <v/>
      </c>
      <c r="G3268" s="65">
        <f>SUMIF(Inventario!$M$5:$M$505,"#"&amp;$A3267,Inventario!G$5:G$505)</f>
        <v/>
      </c>
      <c r="H3268" s="65">
        <f>SUMIF(Inventario!$M$5:$M$505,"#"&amp;$A3267,Inventario!H$5:H$505)</f>
        <v/>
      </c>
      <c r="I3268" s="65">
        <f>SUMIF(Inventario!$M$5:$M$505,"#"&amp;$A3267,Inventario!I$5:I$505)</f>
        <v/>
      </c>
      <c r="J3268" s="65">
        <f>SUMIF(Inventario!$M$5:$M$505,"#"&amp;$A3267,Inventario!J$5:J$505)</f>
        <v/>
      </c>
      <c r="K3268" s="65">
        <f>SUMIF(Inventario!$M$5:$M$505,"#"&amp;$A3267,Inventario!K$5:K$505)</f>
        <v/>
      </c>
      <c r="L3268" s="65">
        <f>SUMIF(Inventario!$M$5:$M$505,"#"&amp;$A3267,Inventario!L$5:L$505)</f>
        <v/>
      </c>
      <c r="M3268" s="66" t="n"/>
    </row>
    <row r="3269">
      <c r="C3269" s="63" t="inlineStr">
        <is>
          <t>Stock proyectado disponible</t>
        </is>
      </c>
      <c r="D3269" s="67">
        <f>SUMIF(Inventario!$M$5:$M$505,"#"&amp;$A3267,Inventario!$C$5:$C$505)</f>
        <v/>
      </c>
      <c r="E3269" s="68">
        <f>D3269+E3268+E3271-E3267</f>
        <v/>
      </c>
      <c r="F3269" s="68">
        <f>E3269+F3268+F3271-F3267</f>
        <v/>
      </c>
      <c r="G3269" s="68">
        <f>F3269+G3268+G3271-G3267</f>
        <v/>
      </c>
      <c r="H3269" s="68">
        <f>G3269+H3268+H3271-H3267</f>
        <v/>
      </c>
      <c r="I3269" s="68">
        <f>H3269+I3268+I3271-I3267</f>
        <v/>
      </c>
      <c r="J3269" s="68">
        <f>I3269+J3268+J3271-J3267</f>
        <v/>
      </c>
      <c r="K3269" s="68">
        <f>J3269+K3268+K3271-K3267</f>
        <v/>
      </c>
      <c r="L3269" s="68">
        <f>K3269+L3268+L3271-L3267</f>
        <v/>
      </c>
      <c r="M3269" s="66" t="n"/>
    </row>
    <row r="3270">
      <c r="C3270" s="63" t="inlineStr">
        <is>
          <t>Necesidad neta</t>
        </is>
      </c>
      <c r="D3270" s="64" t="n"/>
      <c r="E3270" s="69">
        <f>MAX(0,ROUND(E3267+Materiales!$H$470-D3269-E3268,4))</f>
        <v/>
      </c>
      <c r="F3270" s="69">
        <f>MAX(0,ROUND(F3267+Materiales!$H$470-E3269-F3268,4))</f>
        <v/>
      </c>
      <c r="G3270" s="69">
        <f>MAX(0,ROUND(G3267+Materiales!$H$470-F3269-G3268,4))</f>
        <v/>
      </c>
      <c r="H3270" s="69">
        <f>MAX(0,ROUND(H3267+Materiales!$H$470-G3269-H3268,4))</f>
        <v/>
      </c>
      <c r="I3270" s="69">
        <f>MAX(0,ROUND(I3267+Materiales!$H$470-H3269-I3268,4))</f>
        <v/>
      </c>
      <c r="J3270" s="69">
        <f>MAX(0,ROUND(J3267+Materiales!$H$470-I3269-J3268,4))</f>
        <v/>
      </c>
      <c r="K3270" s="69">
        <f>MAX(0,ROUND(K3267+Materiales!$H$470-J3269-K3268,4))</f>
        <v/>
      </c>
      <c r="L3270" s="69">
        <f>MAX(0,ROUND(L3267+Materiales!$H$470-K3269-L3268,4))</f>
        <v/>
      </c>
      <c r="M3270" s="66" t="n"/>
    </row>
    <row r="3271">
      <c r="C3271" s="63" t="inlineStr">
        <is>
          <t>Recepcion de orden planificada</t>
        </is>
      </c>
      <c r="D3271" s="64" t="n"/>
      <c r="E3271" s="65">
        <f>IF(E3270&lt;=0,0,IF(Materiales!$G$470&lt;=0,E3270,ROUNDUP(E3270/Materiales!$G$470,0)*Materiales!$G$470))</f>
        <v/>
      </c>
      <c r="F3271" s="65">
        <f>IF(F3270&lt;=0,0,IF(Materiales!$G$470&lt;=0,F3270,ROUNDUP(F3270/Materiales!$G$470,0)*Materiales!$G$470))</f>
        <v/>
      </c>
      <c r="G3271" s="65">
        <f>IF(G3270&lt;=0,0,IF(Materiales!$G$470&lt;=0,G3270,ROUNDUP(G3270/Materiales!$G$470,0)*Materiales!$G$470))</f>
        <v/>
      </c>
      <c r="H3271" s="65">
        <f>IF(H3270&lt;=0,0,IF(Materiales!$G$470&lt;=0,H3270,ROUNDUP(H3270/Materiales!$G$470,0)*Materiales!$G$470))</f>
        <v/>
      </c>
      <c r="I3271" s="65">
        <f>IF(I3270&lt;=0,0,IF(Materiales!$G$470&lt;=0,I3270,ROUNDUP(I3270/Materiales!$G$470,0)*Materiales!$G$470))</f>
        <v/>
      </c>
      <c r="J3271" s="65">
        <f>IF(J3270&lt;=0,0,IF(Materiales!$G$470&lt;=0,J3270,ROUNDUP(J3270/Materiales!$G$470,0)*Materiales!$G$470))</f>
        <v/>
      </c>
      <c r="K3271" s="65">
        <f>IF(K3270&lt;=0,0,IF(Materiales!$G$470&lt;=0,K3270,ROUNDUP(K3270/Materiales!$G$470,0)*Materiales!$G$470))</f>
        <v/>
      </c>
      <c r="L3271" s="65">
        <f>IF(L3270&lt;=0,0,IF(Materiales!$G$470&lt;=0,L3270,ROUNDUP(L3270/Materiales!$G$470,0)*Materiales!$G$470))</f>
        <v/>
      </c>
      <c r="M3271" s="66" t="n"/>
    </row>
    <row r="3272">
      <c r="C3272" s="70" t="inlineStr">
        <is>
          <t>LANZAMIENTO DE ORDEN — pedir esta semana</t>
        </is>
      </c>
      <c r="D3272" s="64" t="n"/>
      <c r="E3272" s="71">
        <f>IF(1+Materiales!$F$470&gt;8,0,INDEX($E$3271:$L$3271,1,1+Materiales!$F$470))</f>
        <v/>
      </c>
      <c r="F3272" s="71">
        <f>IF(2+Materiales!$F$470&gt;8,0,INDEX($E$3271:$L$3271,1,2+Materiales!$F$470))</f>
        <v/>
      </c>
      <c r="G3272" s="71">
        <f>IF(3+Materiales!$F$470&gt;8,0,INDEX($E$3271:$L$3271,1,3+Materiales!$F$470))</f>
        <v/>
      </c>
      <c r="H3272" s="71">
        <f>IF(4+Materiales!$F$470&gt;8,0,INDEX($E$3271:$L$3271,1,4+Materiales!$F$470))</f>
        <v/>
      </c>
      <c r="I3272" s="71">
        <f>IF(5+Materiales!$F$470&gt;8,0,INDEX($E$3271:$L$3271,1,5+Materiales!$F$470))</f>
        <v/>
      </c>
      <c r="J3272" s="71">
        <f>IF(6+Materiales!$F$470&gt;8,0,INDEX($E$3271:$L$3271,1,6+Materiales!$F$470))</f>
        <v/>
      </c>
      <c r="K3272" s="71">
        <f>IF(7+Materiales!$F$470&gt;8,0,INDEX($E$3271:$L$3271,1,7+Materiales!$F$470))</f>
        <v/>
      </c>
      <c r="L3272" s="71">
        <f>IF(8+Materiales!$F$470&gt;8,0,INDEX($E$3271:$L$3271,1,8+Materiales!$F$470))</f>
        <v/>
      </c>
      <c r="M3272" s="72">
        <f>IF($A3267="","",IF(SUMPRODUCT((COLUMN($E$3271:$L$3271)-4&lt;=Materiales!$F$470)*$E$3271:$L$3271)&gt;0,"PEDIR YA (atrasado)","OK"))</f>
        <v/>
      </c>
    </row>
    <row r="3273" ht="6" customHeight="1"/>
    <row r="3274">
      <c r="A3274" s="62">
        <f>IF(Materiales!$A$471="","",Materiales!$A$471)</f>
        <v/>
      </c>
      <c r="B3274" s="62">
        <f>IF(Materiales!$B$471="","",Materiales!$B$471)</f>
        <v/>
      </c>
      <c r="C3274" s="63" t="inlineStr">
        <is>
          <t>Necesidad bruta</t>
        </is>
      </c>
      <c r="D3274" s="64" t="n"/>
      <c r="E3274" s="65">
        <f>ROUND(SUMIF(Consumo!$P$4:$P$189,"#"&amp;$A3274,Consumo!H$4:H$189),4)</f>
        <v/>
      </c>
      <c r="F3274" s="65">
        <f>ROUND(SUMIF(Consumo!$P$4:$P$189,"#"&amp;$A3274,Consumo!I$4:I$189),4)</f>
        <v/>
      </c>
      <c r="G3274" s="65">
        <f>ROUND(SUMIF(Consumo!$P$4:$P$189,"#"&amp;$A3274,Consumo!J$4:J$189),4)</f>
        <v/>
      </c>
      <c r="H3274" s="65">
        <f>ROUND(SUMIF(Consumo!$P$4:$P$189,"#"&amp;$A3274,Consumo!K$4:K$189),4)</f>
        <v/>
      </c>
      <c r="I3274" s="65">
        <f>ROUND(SUMIF(Consumo!$P$4:$P$189,"#"&amp;$A3274,Consumo!L$4:L$189),4)</f>
        <v/>
      </c>
      <c r="J3274" s="65">
        <f>ROUND(SUMIF(Consumo!$P$4:$P$189,"#"&amp;$A3274,Consumo!M$4:M$189),4)</f>
        <v/>
      </c>
      <c r="K3274" s="65">
        <f>ROUND(SUMIF(Consumo!$P$4:$P$189,"#"&amp;$A3274,Consumo!N$4:N$189),4)</f>
        <v/>
      </c>
      <c r="L3274" s="65">
        <f>ROUND(SUMIF(Consumo!$P$4:$P$189,"#"&amp;$A3274,Consumo!O$4:O$189),4)</f>
        <v/>
      </c>
      <c r="M3274" s="66" t="n"/>
    </row>
    <row r="3275">
      <c r="C3275" s="63" t="inlineStr">
        <is>
          <t>Recepciones programadas (ya pedido)</t>
        </is>
      </c>
      <c r="D3275" s="64" t="n"/>
      <c r="E3275" s="65">
        <f>SUMIF(Inventario!$M$5:$M$505,"#"&amp;$A3274,Inventario!E$5:E$505)</f>
        <v/>
      </c>
      <c r="F3275" s="65">
        <f>SUMIF(Inventario!$M$5:$M$505,"#"&amp;$A3274,Inventario!F$5:F$505)</f>
        <v/>
      </c>
      <c r="G3275" s="65">
        <f>SUMIF(Inventario!$M$5:$M$505,"#"&amp;$A3274,Inventario!G$5:G$505)</f>
        <v/>
      </c>
      <c r="H3275" s="65">
        <f>SUMIF(Inventario!$M$5:$M$505,"#"&amp;$A3274,Inventario!H$5:H$505)</f>
        <v/>
      </c>
      <c r="I3275" s="65">
        <f>SUMIF(Inventario!$M$5:$M$505,"#"&amp;$A3274,Inventario!I$5:I$505)</f>
        <v/>
      </c>
      <c r="J3275" s="65">
        <f>SUMIF(Inventario!$M$5:$M$505,"#"&amp;$A3274,Inventario!J$5:J$505)</f>
        <v/>
      </c>
      <c r="K3275" s="65">
        <f>SUMIF(Inventario!$M$5:$M$505,"#"&amp;$A3274,Inventario!K$5:K$505)</f>
        <v/>
      </c>
      <c r="L3275" s="65">
        <f>SUMIF(Inventario!$M$5:$M$505,"#"&amp;$A3274,Inventario!L$5:L$505)</f>
        <v/>
      </c>
      <c r="M3275" s="66" t="n"/>
    </row>
    <row r="3276">
      <c r="C3276" s="63" t="inlineStr">
        <is>
          <t>Stock proyectado disponible</t>
        </is>
      </c>
      <c r="D3276" s="67">
        <f>SUMIF(Inventario!$M$5:$M$505,"#"&amp;$A3274,Inventario!$C$5:$C$505)</f>
        <v/>
      </c>
      <c r="E3276" s="68">
        <f>D3276+E3275+E3278-E3274</f>
        <v/>
      </c>
      <c r="F3276" s="68">
        <f>E3276+F3275+F3278-F3274</f>
        <v/>
      </c>
      <c r="G3276" s="68">
        <f>F3276+G3275+G3278-G3274</f>
        <v/>
      </c>
      <c r="H3276" s="68">
        <f>G3276+H3275+H3278-H3274</f>
        <v/>
      </c>
      <c r="I3276" s="68">
        <f>H3276+I3275+I3278-I3274</f>
        <v/>
      </c>
      <c r="J3276" s="68">
        <f>I3276+J3275+J3278-J3274</f>
        <v/>
      </c>
      <c r="K3276" s="68">
        <f>J3276+K3275+K3278-K3274</f>
        <v/>
      </c>
      <c r="L3276" s="68">
        <f>K3276+L3275+L3278-L3274</f>
        <v/>
      </c>
      <c r="M3276" s="66" t="n"/>
    </row>
    <row r="3277">
      <c r="C3277" s="63" t="inlineStr">
        <is>
          <t>Necesidad neta</t>
        </is>
      </c>
      <c r="D3277" s="64" t="n"/>
      <c r="E3277" s="69">
        <f>MAX(0,ROUND(E3274+Materiales!$H$471-D3276-E3275,4))</f>
        <v/>
      </c>
      <c r="F3277" s="69">
        <f>MAX(0,ROUND(F3274+Materiales!$H$471-E3276-F3275,4))</f>
        <v/>
      </c>
      <c r="G3277" s="69">
        <f>MAX(0,ROUND(G3274+Materiales!$H$471-F3276-G3275,4))</f>
        <v/>
      </c>
      <c r="H3277" s="69">
        <f>MAX(0,ROUND(H3274+Materiales!$H$471-G3276-H3275,4))</f>
        <v/>
      </c>
      <c r="I3277" s="69">
        <f>MAX(0,ROUND(I3274+Materiales!$H$471-H3276-I3275,4))</f>
        <v/>
      </c>
      <c r="J3277" s="69">
        <f>MAX(0,ROUND(J3274+Materiales!$H$471-I3276-J3275,4))</f>
        <v/>
      </c>
      <c r="K3277" s="69">
        <f>MAX(0,ROUND(K3274+Materiales!$H$471-J3276-K3275,4))</f>
        <v/>
      </c>
      <c r="L3277" s="69">
        <f>MAX(0,ROUND(L3274+Materiales!$H$471-K3276-L3275,4))</f>
        <v/>
      </c>
      <c r="M3277" s="66" t="n"/>
    </row>
    <row r="3278">
      <c r="C3278" s="63" t="inlineStr">
        <is>
          <t>Recepcion de orden planificada</t>
        </is>
      </c>
      <c r="D3278" s="64" t="n"/>
      <c r="E3278" s="65">
        <f>IF(E3277&lt;=0,0,IF(Materiales!$G$471&lt;=0,E3277,ROUNDUP(E3277/Materiales!$G$471,0)*Materiales!$G$471))</f>
        <v/>
      </c>
      <c r="F3278" s="65">
        <f>IF(F3277&lt;=0,0,IF(Materiales!$G$471&lt;=0,F3277,ROUNDUP(F3277/Materiales!$G$471,0)*Materiales!$G$471))</f>
        <v/>
      </c>
      <c r="G3278" s="65">
        <f>IF(G3277&lt;=0,0,IF(Materiales!$G$471&lt;=0,G3277,ROUNDUP(G3277/Materiales!$G$471,0)*Materiales!$G$471))</f>
        <v/>
      </c>
      <c r="H3278" s="65">
        <f>IF(H3277&lt;=0,0,IF(Materiales!$G$471&lt;=0,H3277,ROUNDUP(H3277/Materiales!$G$471,0)*Materiales!$G$471))</f>
        <v/>
      </c>
      <c r="I3278" s="65">
        <f>IF(I3277&lt;=0,0,IF(Materiales!$G$471&lt;=0,I3277,ROUNDUP(I3277/Materiales!$G$471,0)*Materiales!$G$471))</f>
        <v/>
      </c>
      <c r="J3278" s="65">
        <f>IF(J3277&lt;=0,0,IF(Materiales!$G$471&lt;=0,J3277,ROUNDUP(J3277/Materiales!$G$471,0)*Materiales!$G$471))</f>
        <v/>
      </c>
      <c r="K3278" s="65">
        <f>IF(K3277&lt;=0,0,IF(Materiales!$G$471&lt;=0,K3277,ROUNDUP(K3277/Materiales!$G$471,0)*Materiales!$G$471))</f>
        <v/>
      </c>
      <c r="L3278" s="65">
        <f>IF(L3277&lt;=0,0,IF(Materiales!$G$471&lt;=0,L3277,ROUNDUP(L3277/Materiales!$G$471,0)*Materiales!$G$471))</f>
        <v/>
      </c>
      <c r="M3278" s="66" t="n"/>
    </row>
    <row r="3279">
      <c r="C3279" s="70" t="inlineStr">
        <is>
          <t>LANZAMIENTO DE ORDEN — pedir esta semana</t>
        </is>
      </c>
      <c r="D3279" s="64" t="n"/>
      <c r="E3279" s="71">
        <f>IF(1+Materiales!$F$471&gt;8,0,INDEX($E$3278:$L$3278,1,1+Materiales!$F$471))</f>
        <v/>
      </c>
      <c r="F3279" s="71">
        <f>IF(2+Materiales!$F$471&gt;8,0,INDEX($E$3278:$L$3278,1,2+Materiales!$F$471))</f>
        <v/>
      </c>
      <c r="G3279" s="71">
        <f>IF(3+Materiales!$F$471&gt;8,0,INDEX($E$3278:$L$3278,1,3+Materiales!$F$471))</f>
        <v/>
      </c>
      <c r="H3279" s="71">
        <f>IF(4+Materiales!$F$471&gt;8,0,INDEX($E$3278:$L$3278,1,4+Materiales!$F$471))</f>
        <v/>
      </c>
      <c r="I3279" s="71">
        <f>IF(5+Materiales!$F$471&gt;8,0,INDEX($E$3278:$L$3278,1,5+Materiales!$F$471))</f>
        <v/>
      </c>
      <c r="J3279" s="71">
        <f>IF(6+Materiales!$F$471&gt;8,0,INDEX($E$3278:$L$3278,1,6+Materiales!$F$471))</f>
        <v/>
      </c>
      <c r="K3279" s="71">
        <f>IF(7+Materiales!$F$471&gt;8,0,INDEX($E$3278:$L$3278,1,7+Materiales!$F$471))</f>
        <v/>
      </c>
      <c r="L3279" s="71">
        <f>IF(8+Materiales!$F$471&gt;8,0,INDEX($E$3278:$L$3278,1,8+Materiales!$F$471))</f>
        <v/>
      </c>
      <c r="M3279" s="72">
        <f>IF($A3274="","",IF(SUMPRODUCT((COLUMN($E$3278:$L$3278)-4&lt;=Materiales!$F$471)*$E$3278:$L$3278)&gt;0,"PEDIR YA (atrasado)","OK"))</f>
        <v/>
      </c>
    </row>
    <row r="3280" ht="6" customHeight="1"/>
    <row r="3281">
      <c r="A3281" s="62">
        <f>IF(Materiales!$A$472="","",Materiales!$A$472)</f>
        <v/>
      </c>
      <c r="B3281" s="62">
        <f>IF(Materiales!$B$472="","",Materiales!$B$472)</f>
        <v/>
      </c>
      <c r="C3281" s="63" t="inlineStr">
        <is>
          <t>Necesidad bruta</t>
        </is>
      </c>
      <c r="D3281" s="64" t="n"/>
      <c r="E3281" s="65">
        <f>ROUND(SUMIF(Consumo!$P$4:$P$189,"#"&amp;$A3281,Consumo!H$4:H$189),4)</f>
        <v/>
      </c>
      <c r="F3281" s="65">
        <f>ROUND(SUMIF(Consumo!$P$4:$P$189,"#"&amp;$A3281,Consumo!I$4:I$189),4)</f>
        <v/>
      </c>
      <c r="G3281" s="65">
        <f>ROUND(SUMIF(Consumo!$P$4:$P$189,"#"&amp;$A3281,Consumo!J$4:J$189),4)</f>
        <v/>
      </c>
      <c r="H3281" s="65">
        <f>ROUND(SUMIF(Consumo!$P$4:$P$189,"#"&amp;$A3281,Consumo!K$4:K$189),4)</f>
        <v/>
      </c>
      <c r="I3281" s="65">
        <f>ROUND(SUMIF(Consumo!$P$4:$P$189,"#"&amp;$A3281,Consumo!L$4:L$189),4)</f>
        <v/>
      </c>
      <c r="J3281" s="65">
        <f>ROUND(SUMIF(Consumo!$P$4:$P$189,"#"&amp;$A3281,Consumo!M$4:M$189),4)</f>
        <v/>
      </c>
      <c r="K3281" s="65">
        <f>ROUND(SUMIF(Consumo!$P$4:$P$189,"#"&amp;$A3281,Consumo!N$4:N$189),4)</f>
        <v/>
      </c>
      <c r="L3281" s="65">
        <f>ROUND(SUMIF(Consumo!$P$4:$P$189,"#"&amp;$A3281,Consumo!O$4:O$189),4)</f>
        <v/>
      </c>
      <c r="M3281" s="66" t="n"/>
    </row>
    <row r="3282">
      <c r="C3282" s="63" t="inlineStr">
        <is>
          <t>Recepciones programadas (ya pedido)</t>
        </is>
      </c>
      <c r="D3282" s="64" t="n"/>
      <c r="E3282" s="65">
        <f>SUMIF(Inventario!$M$5:$M$505,"#"&amp;$A3281,Inventario!E$5:E$505)</f>
        <v/>
      </c>
      <c r="F3282" s="65">
        <f>SUMIF(Inventario!$M$5:$M$505,"#"&amp;$A3281,Inventario!F$5:F$505)</f>
        <v/>
      </c>
      <c r="G3282" s="65">
        <f>SUMIF(Inventario!$M$5:$M$505,"#"&amp;$A3281,Inventario!G$5:G$505)</f>
        <v/>
      </c>
      <c r="H3282" s="65">
        <f>SUMIF(Inventario!$M$5:$M$505,"#"&amp;$A3281,Inventario!H$5:H$505)</f>
        <v/>
      </c>
      <c r="I3282" s="65">
        <f>SUMIF(Inventario!$M$5:$M$505,"#"&amp;$A3281,Inventario!I$5:I$505)</f>
        <v/>
      </c>
      <c r="J3282" s="65">
        <f>SUMIF(Inventario!$M$5:$M$505,"#"&amp;$A3281,Inventario!J$5:J$505)</f>
        <v/>
      </c>
      <c r="K3282" s="65">
        <f>SUMIF(Inventario!$M$5:$M$505,"#"&amp;$A3281,Inventario!K$5:K$505)</f>
        <v/>
      </c>
      <c r="L3282" s="65">
        <f>SUMIF(Inventario!$M$5:$M$505,"#"&amp;$A3281,Inventario!L$5:L$505)</f>
        <v/>
      </c>
      <c r="M3282" s="66" t="n"/>
    </row>
    <row r="3283">
      <c r="C3283" s="63" t="inlineStr">
        <is>
          <t>Stock proyectado disponible</t>
        </is>
      </c>
      <c r="D3283" s="67">
        <f>SUMIF(Inventario!$M$5:$M$505,"#"&amp;$A3281,Inventario!$C$5:$C$505)</f>
        <v/>
      </c>
      <c r="E3283" s="68">
        <f>D3283+E3282+E3285-E3281</f>
        <v/>
      </c>
      <c r="F3283" s="68">
        <f>E3283+F3282+F3285-F3281</f>
        <v/>
      </c>
      <c r="G3283" s="68">
        <f>F3283+G3282+G3285-G3281</f>
        <v/>
      </c>
      <c r="H3283" s="68">
        <f>G3283+H3282+H3285-H3281</f>
        <v/>
      </c>
      <c r="I3283" s="68">
        <f>H3283+I3282+I3285-I3281</f>
        <v/>
      </c>
      <c r="J3283" s="68">
        <f>I3283+J3282+J3285-J3281</f>
        <v/>
      </c>
      <c r="K3283" s="68">
        <f>J3283+K3282+K3285-K3281</f>
        <v/>
      </c>
      <c r="L3283" s="68">
        <f>K3283+L3282+L3285-L3281</f>
        <v/>
      </c>
      <c r="M3283" s="66" t="n"/>
    </row>
    <row r="3284">
      <c r="C3284" s="63" t="inlineStr">
        <is>
          <t>Necesidad neta</t>
        </is>
      </c>
      <c r="D3284" s="64" t="n"/>
      <c r="E3284" s="69">
        <f>MAX(0,ROUND(E3281+Materiales!$H$472-D3283-E3282,4))</f>
        <v/>
      </c>
      <c r="F3284" s="69">
        <f>MAX(0,ROUND(F3281+Materiales!$H$472-E3283-F3282,4))</f>
        <v/>
      </c>
      <c r="G3284" s="69">
        <f>MAX(0,ROUND(G3281+Materiales!$H$472-F3283-G3282,4))</f>
        <v/>
      </c>
      <c r="H3284" s="69">
        <f>MAX(0,ROUND(H3281+Materiales!$H$472-G3283-H3282,4))</f>
        <v/>
      </c>
      <c r="I3284" s="69">
        <f>MAX(0,ROUND(I3281+Materiales!$H$472-H3283-I3282,4))</f>
        <v/>
      </c>
      <c r="J3284" s="69">
        <f>MAX(0,ROUND(J3281+Materiales!$H$472-I3283-J3282,4))</f>
        <v/>
      </c>
      <c r="K3284" s="69">
        <f>MAX(0,ROUND(K3281+Materiales!$H$472-J3283-K3282,4))</f>
        <v/>
      </c>
      <c r="L3284" s="69">
        <f>MAX(0,ROUND(L3281+Materiales!$H$472-K3283-L3282,4))</f>
        <v/>
      </c>
      <c r="M3284" s="66" t="n"/>
    </row>
    <row r="3285">
      <c r="C3285" s="63" t="inlineStr">
        <is>
          <t>Recepcion de orden planificada</t>
        </is>
      </c>
      <c r="D3285" s="64" t="n"/>
      <c r="E3285" s="65">
        <f>IF(E3284&lt;=0,0,IF(Materiales!$G$472&lt;=0,E3284,ROUNDUP(E3284/Materiales!$G$472,0)*Materiales!$G$472))</f>
        <v/>
      </c>
      <c r="F3285" s="65">
        <f>IF(F3284&lt;=0,0,IF(Materiales!$G$472&lt;=0,F3284,ROUNDUP(F3284/Materiales!$G$472,0)*Materiales!$G$472))</f>
        <v/>
      </c>
      <c r="G3285" s="65">
        <f>IF(G3284&lt;=0,0,IF(Materiales!$G$472&lt;=0,G3284,ROUNDUP(G3284/Materiales!$G$472,0)*Materiales!$G$472))</f>
        <v/>
      </c>
      <c r="H3285" s="65">
        <f>IF(H3284&lt;=0,0,IF(Materiales!$G$472&lt;=0,H3284,ROUNDUP(H3284/Materiales!$G$472,0)*Materiales!$G$472))</f>
        <v/>
      </c>
      <c r="I3285" s="65">
        <f>IF(I3284&lt;=0,0,IF(Materiales!$G$472&lt;=0,I3284,ROUNDUP(I3284/Materiales!$G$472,0)*Materiales!$G$472))</f>
        <v/>
      </c>
      <c r="J3285" s="65">
        <f>IF(J3284&lt;=0,0,IF(Materiales!$G$472&lt;=0,J3284,ROUNDUP(J3284/Materiales!$G$472,0)*Materiales!$G$472))</f>
        <v/>
      </c>
      <c r="K3285" s="65">
        <f>IF(K3284&lt;=0,0,IF(Materiales!$G$472&lt;=0,K3284,ROUNDUP(K3284/Materiales!$G$472,0)*Materiales!$G$472))</f>
        <v/>
      </c>
      <c r="L3285" s="65">
        <f>IF(L3284&lt;=0,0,IF(Materiales!$G$472&lt;=0,L3284,ROUNDUP(L3284/Materiales!$G$472,0)*Materiales!$G$472))</f>
        <v/>
      </c>
      <c r="M3285" s="66" t="n"/>
    </row>
    <row r="3286">
      <c r="C3286" s="70" t="inlineStr">
        <is>
          <t>LANZAMIENTO DE ORDEN — pedir esta semana</t>
        </is>
      </c>
      <c r="D3286" s="64" t="n"/>
      <c r="E3286" s="71">
        <f>IF(1+Materiales!$F$472&gt;8,0,INDEX($E$3285:$L$3285,1,1+Materiales!$F$472))</f>
        <v/>
      </c>
      <c r="F3286" s="71">
        <f>IF(2+Materiales!$F$472&gt;8,0,INDEX($E$3285:$L$3285,1,2+Materiales!$F$472))</f>
        <v/>
      </c>
      <c r="G3286" s="71">
        <f>IF(3+Materiales!$F$472&gt;8,0,INDEX($E$3285:$L$3285,1,3+Materiales!$F$472))</f>
        <v/>
      </c>
      <c r="H3286" s="71">
        <f>IF(4+Materiales!$F$472&gt;8,0,INDEX($E$3285:$L$3285,1,4+Materiales!$F$472))</f>
        <v/>
      </c>
      <c r="I3286" s="71">
        <f>IF(5+Materiales!$F$472&gt;8,0,INDEX($E$3285:$L$3285,1,5+Materiales!$F$472))</f>
        <v/>
      </c>
      <c r="J3286" s="71">
        <f>IF(6+Materiales!$F$472&gt;8,0,INDEX($E$3285:$L$3285,1,6+Materiales!$F$472))</f>
        <v/>
      </c>
      <c r="K3286" s="71">
        <f>IF(7+Materiales!$F$472&gt;8,0,INDEX($E$3285:$L$3285,1,7+Materiales!$F$472))</f>
        <v/>
      </c>
      <c r="L3286" s="71">
        <f>IF(8+Materiales!$F$472&gt;8,0,INDEX($E$3285:$L$3285,1,8+Materiales!$F$472))</f>
        <v/>
      </c>
      <c r="M3286" s="72">
        <f>IF($A3281="","",IF(SUMPRODUCT((COLUMN($E$3285:$L$3285)-4&lt;=Materiales!$F$472)*$E$3285:$L$3285)&gt;0,"PEDIR YA (atrasado)","OK"))</f>
        <v/>
      </c>
    </row>
    <row r="3287" ht="6" customHeight="1"/>
    <row r="3288">
      <c r="A3288" s="62">
        <f>IF(Materiales!$A$473="","",Materiales!$A$473)</f>
        <v/>
      </c>
      <c r="B3288" s="62">
        <f>IF(Materiales!$B$473="","",Materiales!$B$473)</f>
        <v/>
      </c>
      <c r="C3288" s="63" t="inlineStr">
        <is>
          <t>Necesidad bruta</t>
        </is>
      </c>
      <c r="D3288" s="64" t="n"/>
      <c r="E3288" s="65">
        <f>ROUND(SUMIF(Consumo!$P$4:$P$189,"#"&amp;$A3288,Consumo!H$4:H$189),4)</f>
        <v/>
      </c>
      <c r="F3288" s="65">
        <f>ROUND(SUMIF(Consumo!$P$4:$P$189,"#"&amp;$A3288,Consumo!I$4:I$189),4)</f>
        <v/>
      </c>
      <c r="G3288" s="65">
        <f>ROUND(SUMIF(Consumo!$P$4:$P$189,"#"&amp;$A3288,Consumo!J$4:J$189),4)</f>
        <v/>
      </c>
      <c r="H3288" s="65">
        <f>ROUND(SUMIF(Consumo!$P$4:$P$189,"#"&amp;$A3288,Consumo!K$4:K$189),4)</f>
        <v/>
      </c>
      <c r="I3288" s="65">
        <f>ROUND(SUMIF(Consumo!$P$4:$P$189,"#"&amp;$A3288,Consumo!L$4:L$189),4)</f>
        <v/>
      </c>
      <c r="J3288" s="65">
        <f>ROUND(SUMIF(Consumo!$P$4:$P$189,"#"&amp;$A3288,Consumo!M$4:M$189),4)</f>
        <v/>
      </c>
      <c r="K3288" s="65">
        <f>ROUND(SUMIF(Consumo!$P$4:$P$189,"#"&amp;$A3288,Consumo!N$4:N$189),4)</f>
        <v/>
      </c>
      <c r="L3288" s="65">
        <f>ROUND(SUMIF(Consumo!$P$4:$P$189,"#"&amp;$A3288,Consumo!O$4:O$189),4)</f>
        <v/>
      </c>
      <c r="M3288" s="66" t="n"/>
    </row>
    <row r="3289">
      <c r="C3289" s="63" t="inlineStr">
        <is>
          <t>Recepciones programadas (ya pedido)</t>
        </is>
      </c>
      <c r="D3289" s="64" t="n"/>
      <c r="E3289" s="65">
        <f>SUMIF(Inventario!$M$5:$M$505,"#"&amp;$A3288,Inventario!E$5:E$505)</f>
        <v/>
      </c>
      <c r="F3289" s="65">
        <f>SUMIF(Inventario!$M$5:$M$505,"#"&amp;$A3288,Inventario!F$5:F$505)</f>
        <v/>
      </c>
      <c r="G3289" s="65">
        <f>SUMIF(Inventario!$M$5:$M$505,"#"&amp;$A3288,Inventario!G$5:G$505)</f>
        <v/>
      </c>
      <c r="H3289" s="65">
        <f>SUMIF(Inventario!$M$5:$M$505,"#"&amp;$A3288,Inventario!H$5:H$505)</f>
        <v/>
      </c>
      <c r="I3289" s="65">
        <f>SUMIF(Inventario!$M$5:$M$505,"#"&amp;$A3288,Inventario!I$5:I$505)</f>
        <v/>
      </c>
      <c r="J3289" s="65">
        <f>SUMIF(Inventario!$M$5:$M$505,"#"&amp;$A3288,Inventario!J$5:J$505)</f>
        <v/>
      </c>
      <c r="K3289" s="65">
        <f>SUMIF(Inventario!$M$5:$M$505,"#"&amp;$A3288,Inventario!K$5:K$505)</f>
        <v/>
      </c>
      <c r="L3289" s="65">
        <f>SUMIF(Inventario!$M$5:$M$505,"#"&amp;$A3288,Inventario!L$5:L$505)</f>
        <v/>
      </c>
      <c r="M3289" s="66" t="n"/>
    </row>
    <row r="3290">
      <c r="C3290" s="63" t="inlineStr">
        <is>
          <t>Stock proyectado disponible</t>
        </is>
      </c>
      <c r="D3290" s="67">
        <f>SUMIF(Inventario!$M$5:$M$505,"#"&amp;$A3288,Inventario!$C$5:$C$505)</f>
        <v/>
      </c>
      <c r="E3290" s="68">
        <f>D3290+E3289+E3292-E3288</f>
        <v/>
      </c>
      <c r="F3290" s="68">
        <f>E3290+F3289+F3292-F3288</f>
        <v/>
      </c>
      <c r="G3290" s="68">
        <f>F3290+G3289+G3292-G3288</f>
        <v/>
      </c>
      <c r="H3290" s="68">
        <f>G3290+H3289+H3292-H3288</f>
        <v/>
      </c>
      <c r="I3290" s="68">
        <f>H3290+I3289+I3292-I3288</f>
        <v/>
      </c>
      <c r="J3290" s="68">
        <f>I3290+J3289+J3292-J3288</f>
        <v/>
      </c>
      <c r="K3290" s="68">
        <f>J3290+K3289+K3292-K3288</f>
        <v/>
      </c>
      <c r="L3290" s="68">
        <f>K3290+L3289+L3292-L3288</f>
        <v/>
      </c>
      <c r="M3290" s="66" t="n"/>
    </row>
    <row r="3291">
      <c r="C3291" s="63" t="inlineStr">
        <is>
          <t>Necesidad neta</t>
        </is>
      </c>
      <c r="D3291" s="64" t="n"/>
      <c r="E3291" s="69">
        <f>MAX(0,ROUND(E3288+Materiales!$H$473-D3290-E3289,4))</f>
        <v/>
      </c>
      <c r="F3291" s="69">
        <f>MAX(0,ROUND(F3288+Materiales!$H$473-E3290-F3289,4))</f>
        <v/>
      </c>
      <c r="G3291" s="69">
        <f>MAX(0,ROUND(G3288+Materiales!$H$473-F3290-G3289,4))</f>
        <v/>
      </c>
      <c r="H3291" s="69">
        <f>MAX(0,ROUND(H3288+Materiales!$H$473-G3290-H3289,4))</f>
        <v/>
      </c>
      <c r="I3291" s="69">
        <f>MAX(0,ROUND(I3288+Materiales!$H$473-H3290-I3289,4))</f>
        <v/>
      </c>
      <c r="J3291" s="69">
        <f>MAX(0,ROUND(J3288+Materiales!$H$473-I3290-J3289,4))</f>
        <v/>
      </c>
      <c r="K3291" s="69">
        <f>MAX(0,ROUND(K3288+Materiales!$H$473-J3290-K3289,4))</f>
        <v/>
      </c>
      <c r="L3291" s="69">
        <f>MAX(0,ROUND(L3288+Materiales!$H$473-K3290-L3289,4))</f>
        <v/>
      </c>
      <c r="M3291" s="66" t="n"/>
    </row>
    <row r="3292">
      <c r="C3292" s="63" t="inlineStr">
        <is>
          <t>Recepcion de orden planificada</t>
        </is>
      </c>
      <c r="D3292" s="64" t="n"/>
      <c r="E3292" s="65">
        <f>IF(E3291&lt;=0,0,IF(Materiales!$G$473&lt;=0,E3291,ROUNDUP(E3291/Materiales!$G$473,0)*Materiales!$G$473))</f>
        <v/>
      </c>
      <c r="F3292" s="65">
        <f>IF(F3291&lt;=0,0,IF(Materiales!$G$473&lt;=0,F3291,ROUNDUP(F3291/Materiales!$G$473,0)*Materiales!$G$473))</f>
        <v/>
      </c>
      <c r="G3292" s="65">
        <f>IF(G3291&lt;=0,0,IF(Materiales!$G$473&lt;=0,G3291,ROUNDUP(G3291/Materiales!$G$473,0)*Materiales!$G$473))</f>
        <v/>
      </c>
      <c r="H3292" s="65">
        <f>IF(H3291&lt;=0,0,IF(Materiales!$G$473&lt;=0,H3291,ROUNDUP(H3291/Materiales!$G$473,0)*Materiales!$G$473))</f>
        <v/>
      </c>
      <c r="I3292" s="65">
        <f>IF(I3291&lt;=0,0,IF(Materiales!$G$473&lt;=0,I3291,ROUNDUP(I3291/Materiales!$G$473,0)*Materiales!$G$473))</f>
        <v/>
      </c>
      <c r="J3292" s="65">
        <f>IF(J3291&lt;=0,0,IF(Materiales!$G$473&lt;=0,J3291,ROUNDUP(J3291/Materiales!$G$473,0)*Materiales!$G$473))</f>
        <v/>
      </c>
      <c r="K3292" s="65">
        <f>IF(K3291&lt;=0,0,IF(Materiales!$G$473&lt;=0,K3291,ROUNDUP(K3291/Materiales!$G$473,0)*Materiales!$G$473))</f>
        <v/>
      </c>
      <c r="L3292" s="65">
        <f>IF(L3291&lt;=0,0,IF(Materiales!$G$473&lt;=0,L3291,ROUNDUP(L3291/Materiales!$G$473,0)*Materiales!$G$473))</f>
        <v/>
      </c>
      <c r="M3292" s="66" t="n"/>
    </row>
    <row r="3293">
      <c r="C3293" s="70" t="inlineStr">
        <is>
          <t>LANZAMIENTO DE ORDEN — pedir esta semana</t>
        </is>
      </c>
      <c r="D3293" s="64" t="n"/>
      <c r="E3293" s="71">
        <f>IF(1+Materiales!$F$473&gt;8,0,INDEX($E$3292:$L$3292,1,1+Materiales!$F$473))</f>
        <v/>
      </c>
      <c r="F3293" s="71">
        <f>IF(2+Materiales!$F$473&gt;8,0,INDEX($E$3292:$L$3292,1,2+Materiales!$F$473))</f>
        <v/>
      </c>
      <c r="G3293" s="71">
        <f>IF(3+Materiales!$F$473&gt;8,0,INDEX($E$3292:$L$3292,1,3+Materiales!$F$473))</f>
        <v/>
      </c>
      <c r="H3293" s="71">
        <f>IF(4+Materiales!$F$473&gt;8,0,INDEX($E$3292:$L$3292,1,4+Materiales!$F$473))</f>
        <v/>
      </c>
      <c r="I3293" s="71">
        <f>IF(5+Materiales!$F$473&gt;8,0,INDEX($E$3292:$L$3292,1,5+Materiales!$F$473))</f>
        <v/>
      </c>
      <c r="J3293" s="71">
        <f>IF(6+Materiales!$F$473&gt;8,0,INDEX($E$3292:$L$3292,1,6+Materiales!$F$473))</f>
        <v/>
      </c>
      <c r="K3293" s="71">
        <f>IF(7+Materiales!$F$473&gt;8,0,INDEX($E$3292:$L$3292,1,7+Materiales!$F$473))</f>
        <v/>
      </c>
      <c r="L3293" s="71">
        <f>IF(8+Materiales!$F$473&gt;8,0,INDEX($E$3292:$L$3292,1,8+Materiales!$F$473))</f>
        <v/>
      </c>
      <c r="M3293" s="72">
        <f>IF($A3288="","",IF(SUMPRODUCT((COLUMN($E$3292:$L$3292)-4&lt;=Materiales!$F$473)*$E$3292:$L$3292)&gt;0,"PEDIR YA (atrasado)","OK"))</f>
        <v/>
      </c>
    </row>
    <row r="3294" ht="6" customHeight="1"/>
    <row r="3295">
      <c r="A3295" s="62">
        <f>IF(Materiales!$A$474="","",Materiales!$A$474)</f>
        <v/>
      </c>
      <c r="B3295" s="62">
        <f>IF(Materiales!$B$474="","",Materiales!$B$474)</f>
        <v/>
      </c>
      <c r="C3295" s="63" t="inlineStr">
        <is>
          <t>Necesidad bruta</t>
        </is>
      </c>
      <c r="D3295" s="64" t="n"/>
      <c r="E3295" s="65">
        <f>ROUND(SUMIF(Consumo!$P$4:$P$189,"#"&amp;$A3295,Consumo!H$4:H$189),4)</f>
        <v/>
      </c>
      <c r="F3295" s="65">
        <f>ROUND(SUMIF(Consumo!$P$4:$P$189,"#"&amp;$A3295,Consumo!I$4:I$189),4)</f>
        <v/>
      </c>
      <c r="G3295" s="65">
        <f>ROUND(SUMIF(Consumo!$P$4:$P$189,"#"&amp;$A3295,Consumo!J$4:J$189),4)</f>
        <v/>
      </c>
      <c r="H3295" s="65">
        <f>ROUND(SUMIF(Consumo!$P$4:$P$189,"#"&amp;$A3295,Consumo!K$4:K$189),4)</f>
        <v/>
      </c>
      <c r="I3295" s="65">
        <f>ROUND(SUMIF(Consumo!$P$4:$P$189,"#"&amp;$A3295,Consumo!L$4:L$189),4)</f>
        <v/>
      </c>
      <c r="J3295" s="65">
        <f>ROUND(SUMIF(Consumo!$P$4:$P$189,"#"&amp;$A3295,Consumo!M$4:M$189),4)</f>
        <v/>
      </c>
      <c r="K3295" s="65">
        <f>ROUND(SUMIF(Consumo!$P$4:$P$189,"#"&amp;$A3295,Consumo!N$4:N$189),4)</f>
        <v/>
      </c>
      <c r="L3295" s="65">
        <f>ROUND(SUMIF(Consumo!$P$4:$P$189,"#"&amp;$A3295,Consumo!O$4:O$189),4)</f>
        <v/>
      </c>
      <c r="M3295" s="66" t="n"/>
    </row>
    <row r="3296">
      <c r="C3296" s="63" t="inlineStr">
        <is>
          <t>Recepciones programadas (ya pedido)</t>
        </is>
      </c>
      <c r="D3296" s="64" t="n"/>
      <c r="E3296" s="65">
        <f>SUMIF(Inventario!$M$5:$M$505,"#"&amp;$A3295,Inventario!E$5:E$505)</f>
        <v/>
      </c>
      <c r="F3296" s="65">
        <f>SUMIF(Inventario!$M$5:$M$505,"#"&amp;$A3295,Inventario!F$5:F$505)</f>
        <v/>
      </c>
      <c r="G3296" s="65">
        <f>SUMIF(Inventario!$M$5:$M$505,"#"&amp;$A3295,Inventario!G$5:G$505)</f>
        <v/>
      </c>
      <c r="H3296" s="65">
        <f>SUMIF(Inventario!$M$5:$M$505,"#"&amp;$A3295,Inventario!H$5:H$505)</f>
        <v/>
      </c>
      <c r="I3296" s="65">
        <f>SUMIF(Inventario!$M$5:$M$505,"#"&amp;$A3295,Inventario!I$5:I$505)</f>
        <v/>
      </c>
      <c r="J3296" s="65">
        <f>SUMIF(Inventario!$M$5:$M$505,"#"&amp;$A3295,Inventario!J$5:J$505)</f>
        <v/>
      </c>
      <c r="K3296" s="65">
        <f>SUMIF(Inventario!$M$5:$M$505,"#"&amp;$A3295,Inventario!K$5:K$505)</f>
        <v/>
      </c>
      <c r="L3296" s="65">
        <f>SUMIF(Inventario!$M$5:$M$505,"#"&amp;$A3295,Inventario!L$5:L$505)</f>
        <v/>
      </c>
      <c r="M3296" s="66" t="n"/>
    </row>
    <row r="3297">
      <c r="C3297" s="63" t="inlineStr">
        <is>
          <t>Stock proyectado disponible</t>
        </is>
      </c>
      <c r="D3297" s="67">
        <f>SUMIF(Inventario!$M$5:$M$505,"#"&amp;$A3295,Inventario!$C$5:$C$505)</f>
        <v/>
      </c>
      <c r="E3297" s="68">
        <f>D3297+E3296+E3299-E3295</f>
        <v/>
      </c>
      <c r="F3297" s="68">
        <f>E3297+F3296+F3299-F3295</f>
        <v/>
      </c>
      <c r="G3297" s="68">
        <f>F3297+G3296+G3299-G3295</f>
        <v/>
      </c>
      <c r="H3297" s="68">
        <f>G3297+H3296+H3299-H3295</f>
        <v/>
      </c>
      <c r="I3297" s="68">
        <f>H3297+I3296+I3299-I3295</f>
        <v/>
      </c>
      <c r="J3297" s="68">
        <f>I3297+J3296+J3299-J3295</f>
        <v/>
      </c>
      <c r="K3297" s="68">
        <f>J3297+K3296+K3299-K3295</f>
        <v/>
      </c>
      <c r="L3297" s="68">
        <f>K3297+L3296+L3299-L3295</f>
        <v/>
      </c>
      <c r="M3297" s="66" t="n"/>
    </row>
    <row r="3298">
      <c r="C3298" s="63" t="inlineStr">
        <is>
          <t>Necesidad neta</t>
        </is>
      </c>
      <c r="D3298" s="64" t="n"/>
      <c r="E3298" s="69">
        <f>MAX(0,ROUND(E3295+Materiales!$H$474-D3297-E3296,4))</f>
        <v/>
      </c>
      <c r="F3298" s="69">
        <f>MAX(0,ROUND(F3295+Materiales!$H$474-E3297-F3296,4))</f>
        <v/>
      </c>
      <c r="G3298" s="69">
        <f>MAX(0,ROUND(G3295+Materiales!$H$474-F3297-G3296,4))</f>
        <v/>
      </c>
      <c r="H3298" s="69">
        <f>MAX(0,ROUND(H3295+Materiales!$H$474-G3297-H3296,4))</f>
        <v/>
      </c>
      <c r="I3298" s="69">
        <f>MAX(0,ROUND(I3295+Materiales!$H$474-H3297-I3296,4))</f>
        <v/>
      </c>
      <c r="J3298" s="69">
        <f>MAX(0,ROUND(J3295+Materiales!$H$474-I3297-J3296,4))</f>
        <v/>
      </c>
      <c r="K3298" s="69">
        <f>MAX(0,ROUND(K3295+Materiales!$H$474-J3297-K3296,4))</f>
        <v/>
      </c>
      <c r="L3298" s="69">
        <f>MAX(0,ROUND(L3295+Materiales!$H$474-K3297-L3296,4))</f>
        <v/>
      </c>
      <c r="M3298" s="66" t="n"/>
    </row>
    <row r="3299">
      <c r="C3299" s="63" t="inlineStr">
        <is>
          <t>Recepcion de orden planificada</t>
        </is>
      </c>
      <c r="D3299" s="64" t="n"/>
      <c r="E3299" s="65">
        <f>IF(E3298&lt;=0,0,IF(Materiales!$G$474&lt;=0,E3298,ROUNDUP(E3298/Materiales!$G$474,0)*Materiales!$G$474))</f>
        <v/>
      </c>
      <c r="F3299" s="65">
        <f>IF(F3298&lt;=0,0,IF(Materiales!$G$474&lt;=0,F3298,ROUNDUP(F3298/Materiales!$G$474,0)*Materiales!$G$474))</f>
        <v/>
      </c>
      <c r="G3299" s="65">
        <f>IF(G3298&lt;=0,0,IF(Materiales!$G$474&lt;=0,G3298,ROUNDUP(G3298/Materiales!$G$474,0)*Materiales!$G$474))</f>
        <v/>
      </c>
      <c r="H3299" s="65">
        <f>IF(H3298&lt;=0,0,IF(Materiales!$G$474&lt;=0,H3298,ROUNDUP(H3298/Materiales!$G$474,0)*Materiales!$G$474))</f>
        <v/>
      </c>
      <c r="I3299" s="65">
        <f>IF(I3298&lt;=0,0,IF(Materiales!$G$474&lt;=0,I3298,ROUNDUP(I3298/Materiales!$G$474,0)*Materiales!$G$474))</f>
        <v/>
      </c>
      <c r="J3299" s="65">
        <f>IF(J3298&lt;=0,0,IF(Materiales!$G$474&lt;=0,J3298,ROUNDUP(J3298/Materiales!$G$474,0)*Materiales!$G$474))</f>
        <v/>
      </c>
      <c r="K3299" s="65">
        <f>IF(K3298&lt;=0,0,IF(Materiales!$G$474&lt;=0,K3298,ROUNDUP(K3298/Materiales!$G$474,0)*Materiales!$G$474))</f>
        <v/>
      </c>
      <c r="L3299" s="65">
        <f>IF(L3298&lt;=0,0,IF(Materiales!$G$474&lt;=0,L3298,ROUNDUP(L3298/Materiales!$G$474,0)*Materiales!$G$474))</f>
        <v/>
      </c>
      <c r="M3299" s="66" t="n"/>
    </row>
    <row r="3300">
      <c r="C3300" s="70" t="inlineStr">
        <is>
          <t>LANZAMIENTO DE ORDEN — pedir esta semana</t>
        </is>
      </c>
      <c r="D3300" s="64" t="n"/>
      <c r="E3300" s="71">
        <f>IF(1+Materiales!$F$474&gt;8,0,INDEX($E$3299:$L$3299,1,1+Materiales!$F$474))</f>
        <v/>
      </c>
      <c r="F3300" s="71">
        <f>IF(2+Materiales!$F$474&gt;8,0,INDEX($E$3299:$L$3299,1,2+Materiales!$F$474))</f>
        <v/>
      </c>
      <c r="G3300" s="71">
        <f>IF(3+Materiales!$F$474&gt;8,0,INDEX($E$3299:$L$3299,1,3+Materiales!$F$474))</f>
        <v/>
      </c>
      <c r="H3300" s="71">
        <f>IF(4+Materiales!$F$474&gt;8,0,INDEX($E$3299:$L$3299,1,4+Materiales!$F$474))</f>
        <v/>
      </c>
      <c r="I3300" s="71">
        <f>IF(5+Materiales!$F$474&gt;8,0,INDEX($E$3299:$L$3299,1,5+Materiales!$F$474))</f>
        <v/>
      </c>
      <c r="J3300" s="71">
        <f>IF(6+Materiales!$F$474&gt;8,0,INDEX($E$3299:$L$3299,1,6+Materiales!$F$474))</f>
        <v/>
      </c>
      <c r="K3300" s="71">
        <f>IF(7+Materiales!$F$474&gt;8,0,INDEX($E$3299:$L$3299,1,7+Materiales!$F$474))</f>
        <v/>
      </c>
      <c r="L3300" s="71">
        <f>IF(8+Materiales!$F$474&gt;8,0,INDEX($E$3299:$L$3299,1,8+Materiales!$F$474))</f>
        <v/>
      </c>
      <c r="M3300" s="72">
        <f>IF($A3295="","",IF(SUMPRODUCT((COLUMN($E$3299:$L$3299)-4&lt;=Materiales!$F$474)*$E$3299:$L$3299)&gt;0,"PEDIR YA (atrasado)","OK"))</f>
        <v/>
      </c>
    </row>
    <row r="3301" ht="6" customHeight="1"/>
    <row r="3302">
      <c r="A3302" s="62">
        <f>IF(Materiales!$A$475="","",Materiales!$A$475)</f>
        <v/>
      </c>
      <c r="B3302" s="62">
        <f>IF(Materiales!$B$475="","",Materiales!$B$475)</f>
        <v/>
      </c>
      <c r="C3302" s="63" t="inlineStr">
        <is>
          <t>Necesidad bruta</t>
        </is>
      </c>
      <c r="D3302" s="64" t="n"/>
      <c r="E3302" s="65">
        <f>ROUND(SUMIF(Consumo!$P$4:$P$189,"#"&amp;$A3302,Consumo!H$4:H$189),4)</f>
        <v/>
      </c>
      <c r="F3302" s="65">
        <f>ROUND(SUMIF(Consumo!$P$4:$P$189,"#"&amp;$A3302,Consumo!I$4:I$189),4)</f>
        <v/>
      </c>
      <c r="G3302" s="65">
        <f>ROUND(SUMIF(Consumo!$P$4:$P$189,"#"&amp;$A3302,Consumo!J$4:J$189),4)</f>
        <v/>
      </c>
      <c r="H3302" s="65">
        <f>ROUND(SUMIF(Consumo!$P$4:$P$189,"#"&amp;$A3302,Consumo!K$4:K$189),4)</f>
        <v/>
      </c>
      <c r="I3302" s="65">
        <f>ROUND(SUMIF(Consumo!$P$4:$P$189,"#"&amp;$A3302,Consumo!L$4:L$189),4)</f>
        <v/>
      </c>
      <c r="J3302" s="65">
        <f>ROUND(SUMIF(Consumo!$P$4:$P$189,"#"&amp;$A3302,Consumo!M$4:M$189),4)</f>
        <v/>
      </c>
      <c r="K3302" s="65">
        <f>ROUND(SUMIF(Consumo!$P$4:$P$189,"#"&amp;$A3302,Consumo!N$4:N$189),4)</f>
        <v/>
      </c>
      <c r="L3302" s="65">
        <f>ROUND(SUMIF(Consumo!$P$4:$P$189,"#"&amp;$A3302,Consumo!O$4:O$189),4)</f>
        <v/>
      </c>
      <c r="M3302" s="66" t="n"/>
    </row>
    <row r="3303">
      <c r="C3303" s="63" t="inlineStr">
        <is>
          <t>Recepciones programadas (ya pedido)</t>
        </is>
      </c>
      <c r="D3303" s="64" t="n"/>
      <c r="E3303" s="65">
        <f>SUMIF(Inventario!$M$5:$M$505,"#"&amp;$A3302,Inventario!E$5:E$505)</f>
        <v/>
      </c>
      <c r="F3303" s="65">
        <f>SUMIF(Inventario!$M$5:$M$505,"#"&amp;$A3302,Inventario!F$5:F$505)</f>
        <v/>
      </c>
      <c r="G3303" s="65">
        <f>SUMIF(Inventario!$M$5:$M$505,"#"&amp;$A3302,Inventario!G$5:G$505)</f>
        <v/>
      </c>
      <c r="H3303" s="65">
        <f>SUMIF(Inventario!$M$5:$M$505,"#"&amp;$A3302,Inventario!H$5:H$505)</f>
        <v/>
      </c>
      <c r="I3303" s="65">
        <f>SUMIF(Inventario!$M$5:$M$505,"#"&amp;$A3302,Inventario!I$5:I$505)</f>
        <v/>
      </c>
      <c r="J3303" s="65">
        <f>SUMIF(Inventario!$M$5:$M$505,"#"&amp;$A3302,Inventario!J$5:J$505)</f>
        <v/>
      </c>
      <c r="K3303" s="65">
        <f>SUMIF(Inventario!$M$5:$M$505,"#"&amp;$A3302,Inventario!K$5:K$505)</f>
        <v/>
      </c>
      <c r="L3303" s="65">
        <f>SUMIF(Inventario!$M$5:$M$505,"#"&amp;$A3302,Inventario!L$5:L$505)</f>
        <v/>
      </c>
      <c r="M3303" s="66" t="n"/>
    </row>
    <row r="3304">
      <c r="C3304" s="63" t="inlineStr">
        <is>
          <t>Stock proyectado disponible</t>
        </is>
      </c>
      <c r="D3304" s="67">
        <f>SUMIF(Inventario!$M$5:$M$505,"#"&amp;$A3302,Inventario!$C$5:$C$505)</f>
        <v/>
      </c>
      <c r="E3304" s="68">
        <f>D3304+E3303+E3306-E3302</f>
        <v/>
      </c>
      <c r="F3304" s="68">
        <f>E3304+F3303+F3306-F3302</f>
        <v/>
      </c>
      <c r="G3304" s="68">
        <f>F3304+G3303+G3306-G3302</f>
        <v/>
      </c>
      <c r="H3304" s="68">
        <f>G3304+H3303+H3306-H3302</f>
        <v/>
      </c>
      <c r="I3304" s="68">
        <f>H3304+I3303+I3306-I3302</f>
        <v/>
      </c>
      <c r="J3304" s="68">
        <f>I3304+J3303+J3306-J3302</f>
        <v/>
      </c>
      <c r="K3304" s="68">
        <f>J3304+K3303+K3306-K3302</f>
        <v/>
      </c>
      <c r="L3304" s="68">
        <f>K3304+L3303+L3306-L3302</f>
        <v/>
      </c>
      <c r="M3304" s="66" t="n"/>
    </row>
    <row r="3305">
      <c r="C3305" s="63" t="inlineStr">
        <is>
          <t>Necesidad neta</t>
        </is>
      </c>
      <c r="D3305" s="64" t="n"/>
      <c r="E3305" s="69">
        <f>MAX(0,ROUND(E3302+Materiales!$H$475-D3304-E3303,4))</f>
        <v/>
      </c>
      <c r="F3305" s="69">
        <f>MAX(0,ROUND(F3302+Materiales!$H$475-E3304-F3303,4))</f>
        <v/>
      </c>
      <c r="G3305" s="69">
        <f>MAX(0,ROUND(G3302+Materiales!$H$475-F3304-G3303,4))</f>
        <v/>
      </c>
      <c r="H3305" s="69">
        <f>MAX(0,ROUND(H3302+Materiales!$H$475-G3304-H3303,4))</f>
        <v/>
      </c>
      <c r="I3305" s="69">
        <f>MAX(0,ROUND(I3302+Materiales!$H$475-H3304-I3303,4))</f>
        <v/>
      </c>
      <c r="J3305" s="69">
        <f>MAX(0,ROUND(J3302+Materiales!$H$475-I3304-J3303,4))</f>
        <v/>
      </c>
      <c r="K3305" s="69">
        <f>MAX(0,ROUND(K3302+Materiales!$H$475-J3304-K3303,4))</f>
        <v/>
      </c>
      <c r="L3305" s="69">
        <f>MAX(0,ROUND(L3302+Materiales!$H$475-K3304-L3303,4))</f>
        <v/>
      </c>
      <c r="M3305" s="66" t="n"/>
    </row>
    <row r="3306">
      <c r="C3306" s="63" t="inlineStr">
        <is>
          <t>Recepcion de orden planificada</t>
        </is>
      </c>
      <c r="D3306" s="64" t="n"/>
      <c r="E3306" s="65">
        <f>IF(E3305&lt;=0,0,IF(Materiales!$G$475&lt;=0,E3305,ROUNDUP(E3305/Materiales!$G$475,0)*Materiales!$G$475))</f>
        <v/>
      </c>
      <c r="F3306" s="65">
        <f>IF(F3305&lt;=0,0,IF(Materiales!$G$475&lt;=0,F3305,ROUNDUP(F3305/Materiales!$G$475,0)*Materiales!$G$475))</f>
        <v/>
      </c>
      <c r="G3306" s="65">
        <f>IF(G3305&lt;=0,0,IF(Materiales!$G$475&lt;=0,G3305,ROUNDUP(G3305/Materiales!$G$475,0)*Materiales!$G$475))</f>
        <v/>
      </c>
      <c r="H3306" s="65">
        <f>IF(H3305&lt;=0,0,IF(Materiales!$G$475&lt;=0,H3305,ROUNDUP(H3305/Materiales!$G$475,0)*Materiales!$G$475))</f>
        <v/>
      </c>
      <c r="I3306" s="65">
        <f>IF(I3305&lt;=0,0,IF(Materiales!$G$475&lt;=0,I3305,ROUNDUP(I3305/Materiales!$G$475,0)*Materiales!$G$475))</f>
        <v/>
      </c>
      <c r="J3306" s="65">
        <f>IF(J3305&lt;=0,0,IF(Materiales!$G$475&lt;=0,J3305,ROUNDUP(J3305/Materiales!$G$475,0)*Materiales!$G$475))</f>
        <v/>
      </c>
      <c r="K3306" s="65">
        <f>IF(K3305&lt;=0,0,IF(Materiales!$G$475&lt;=0,K3305,ROUNDUP(K3305/Materiales!$G$475,0)*Materiales!$G$475))</f>
        <v/>
      </c>
      <c r="L3306" s="65">
        <f>IF(L3305&lt;=0,0,IF(Materiales!$G$475&lt;=0,L3305,ROUNDUP(L3305/Materiales!$G$475,0)*Materiales!$G$475))</f>
        <v/>
      </c>
      <c r="M3306" s="66" t="n"/>
    </row>
    <row r="3307">
      <c r="C3307" s="70" t="inlineStr">
        <is>
          <t>LANZAMIENTO DE ORDEN — pedir esta semana</t>
        </is>
      </c>
      <c r="D3307" s="64" t="n"/>
      <c r="E3307" s="71">
        <f>IF(1+Materiales!$F$475&gt;8,0,INDEX($E$3306:$L$3306,1,1+Materiales!$F$475))</f>
        <v/>
      </c>
      <c r="F3307" s="71">
        <f>IF(2+Materiales!$F$475&gt;8,0,INDEX($E$3306:$L$3306,1,2+Materiales!$F$475))</f>
        <v/>
      </c>
      <c r="G3307" s="71">
        <f>IF(3+Materiales!$F$475&gt;8,0,INDEX($E$3306:$L$3306,1,3+Materiales!$F$475))</f>
        <v/>
      </c>
      <c r="H3307" s="71">
        <f>IF(4+Materiales!$F$475&gt;8,0,INDEX($E$3306:$L$3306,1,4+Materiales!$F$475))</f>
        <v/>
      </c>
      <c r="I3307" s="71">
        <f>IF(5+Materiales!$F$475&gt;8,0,INDEX($E$3306:$L$3306,1,5+Materiales!$F$475))</f>
        <v/>
      </c>
      <c r="J3307" s="71">
        <f>IF(6+Materiales!$F$475&gt;8,0,INDEX($E$3306:$L$3306,1,6+Materiales!$F$475))</f>
        <v/>
      </c>
      <c r="K3307" s="71">
        <f>IF(7+Materiales!$F$475&gt;8,0,INDEX($E$3306:$L$3306,1,7+Materiales!$F$475))</f>
        <v/>
      </c>
      <c r="L3307" s="71">
        <f>IF(8+Materiales!$F$475&gt;8,0,INDEX($E$3306:$L$3306,1,8+Materiales!$F$475))</f>
        <v/>
      </c>
      <c r="M3307" s="72">
        <f>IF($A3302="","",IF(SUMPRODUCT((COLUMN($E$3306:$L$3306)-4&lt;=Materiales!$F$475)*$E$3306:$L$3306)&gt;0,"PEDIR YA (atrasado)","OK"))</f>
        <v/>
      </c>
    </row>
    <row r="3308" ht="6" customHeight="1"/>
    <row r="3309">
      <c r="A3309" s="62">
        <f>IF(Materiales!$A$476="","",Materiales!$A$476)</f>
        <v/>
      </c>
      <c r="B3309" s="62">
        <f>IF(Materiales!$B$476="","",Materiales!$B$476)</f>
        <v/>
      </c>
      <c r="C3309" s="63" t="inlineStr">
        <is>
          <t>Necesidad bruta</t>
        </is>
      </c>
      <c r="D3309" s="64" t="n"/>
      <c r="E3309" s="65">
        <f>ROUND(SUMIF(Consumo!$P$4:$P$189,"#"&amp;$A3309,Consumo!H$4:H$189),4)</f>
        <v/>
      </c>
      <c r="F3309" s="65">
        <f>ROUND(SUMIF(Consumo!$P$4:$P$189,"#"&amp;$A3309,Consumo!I$4:I$189),4)</f>
        <v/>
      </c>
      <c r="G3309" s="65">
        <f>ROUND(SUMIF(Consumo!$P$4:$P$189,"#"&amp;$A3309,Consumo!J$4:J$189),4)</f>
        <v/>
      </c>
      <c r="H3309" s="65">
        <f>ROUND(SUMIF(Consumo!$P$4:$P$189,"#"&amp;$A3309,Consumo!K$4:K$189),4)</f>
        <v/>
      </c>
      <c r="I3309" s="65">
        <f>ROUND(SUMIF(Consumo!$P$4:$P$189,"#"&amp;$A3309,Consumo!L$4:L$189),4)</f>
        <v/>
      </c>
      <c r="J3309" s="65">
        <f>ROUND(SUMIF(Consumo!$P$4:$P$189,"#"&amp;$A3309,Consumo!M$4:M$189),4)</f>
        <v/>
      </c>
      <c r="K3309" s="65">
        <f>ROUND(SUMIF(Consumo!$P$4:$P$189,"#"&amp;$A3309,Consumo!N$4:N$189),4)</f>
        <v/>
      </c>
      <c r="L3309" s="65">
        <f>ROUND(SUMIF(Consumo!$P$4:$P$189,"#"&amp;$A3309,Consumo!O$4:O$189),4)</f>
        <v/>
      </c>
      <c r="M3309" s="66" t="n"/>
    </row>
    <row r="3310">
      <c r="C3310" s="63" t="inlineStr">
        <is>
          <t>Recepciones programadas (ya pedido)</t>
        </is>
      </c>
      <c r="D3310" s="64" t="n"/>
      <c r="E3310" s="65">
        <f>SUMIF(Inventario!$M$5:$M$505,"#"&amp;$A3309,Inventario!E$5:E$505)</f>
        <v/>
      </c>
      <c r="F3310" s="65">
        <f>SUMIF(Inventario!$M$5:$M$505,"#"&amp;$A3309,Inventario!F$5:F$505)</f>
        <v/>
      </c>
      <c r="G3310" s="65">
        <f>SUMIF(Inventario!$M$5:$M$505,"#"&amp;$A3309,Inventario!G$5:G$505)</f>
        <v/>
      </c>
      <c r="H3310" s="65">
        <f>SUMIF(Inventario!$M$5:$M$505,"#"&amp;$A3309,Inventario!H$5:H$505)</f>
        <v/>
      </c>
      <c r="I3310" s="65">
        <f>SUMIF(Inventario!$M$5:$M$505,"#"&amp;$A3309,Inventario!I$5:I$505)</f>
        <v/>
      </c>
      <c r="J3310" s="65">
        <f>SUMIF(Inventario!$M$5:$M$505,"#"&amp;$A3309,Inventario!J$5:J$505)</f>
        <v/>
      </c>
      <c r="K3310" s="65">
        <f>SUMIF(Inventario!$M$5:$M$505,"#"&amp;$A3309,Inventario!K$5:K$505)</f>
        <v/>
      </c>
      <c r="L3310" s="65">
        <f>SUMIF(Inventario!$M$5:$M$505,"#"&amp;$A3309,Inventario!L$5:L$505)</f>
        <v/>
      </c>
      <c r="M3310" s="66" t="n"/>
    </row>
    <row r="3311">
      <c r="C3311" s="63" t="inlineStr">
        <is>
          <t>Stock proyectado disponible</t>
        </is>
      </c>
      <c r="D3311" s="67">
        <f>SUMIF(Inventario!$M$5:$M$505,"#"&amp;$A3309,Inventario!$C$5:$C$505)</f>
        <v/>
      </c>
      <c r="E3311" s="68">
        <f>D3311+E3310+E3313-E3309</f>
        <v/>
      </c>
      <c r="F3311" s="68">
        <f>E3311+F3310+F3313-F3309</f>
        <v/>
      </c>
      <c r="G3311" s="68">
        <f>F3311+G3310+G3313-G3309</f>
        <v/>
      </c>
      <c r="H3311" s="68">
        <f>G3311+H3310+H3313-H3309</f>
        <v/>
      </c>
      <c r="I3311" s="68">
        <f>H3311+I3310+I3313-I3309</f>
        <v/>
      </c>
      <c r="J3311" s="68">
        <f>I3311+J3310+J3313-J3309</f>
        <v/>
      </c>
      <c r="K3311" s="68">
        <f>J3311+K3310+K3313-K3309</f>
        <v/>
      </c>
      <c r="L3311" s="68">
        <f>K3311+L3310+L3313-L3309</f>
        <v/>
      </c>
      <c r="M3311" s="66" t="n"/>
    </row>
    <row r="3312">
      <c r="C3312" s="63" t="inlineStr">
        <is>
          <t>Necesidad neta</t>
        </is>
      </c>
      <c r="D3312" s="64" t="n"/>
      <c r="E3312" s="69">
        <f>MAX(0,ROUND(E3309+Materiales!$H$476-D3311-E3310,4))</f>
        <v/>
      </c>
      <c r="F3312" s="69">
        <f>MAX(0,ROUND(F3309+Materiales!$H$476-E3311-F3310,4))</f>
        <v/>
      </c>
      <c r="G3312" s="69">
        <f>MAX(0,ROUND(G3309+Materiales!$H$476-F3311-G3310,4))</f>
        <v/>
      </c>
      <c r="H3312" s="69">
        <f>MAX(0,ROUND(H3309+Materiales!$H$476-G3311-H3310,4))</f>
        <v/>
      </c>
      <c r="I3312" s="69">
        <f>MAX(0,ROUND(I3309+Materiales!$H$476-H3311-I3310,4))</f>
        <v/>
      </c>
      <c r="J3312" s="69">
        <f>MAX(0,ROUND(J3309+Materiales!$H$476-I3311-J3310,4))</f>
        <v/>
      </c>
      <c r="K3312" s="69">
        <f>MAX(0,ROUND(K3309+Materiales!$H$476-J3311-K3310,4))</f>
        <v/>
      </c>
      <c r="L3312" s="69">
        <f>MAX(0,ROUND(L3309+Materiales!$H$476-K3311-L3310,4))</f>
        <v/>
      </c>
      <c r="M3312" s="66" t="n"/>
    </row>
    <row r="3313">
      <c r="C3313" s="63" t="inlineStr">
        <is>
          <t>Recepcion de orden planificada</t>
        </is>
      </c>
      <c r="D3313" s="64" t="n"/>
      <c r="E3313" s="65">
        <f>IF(E3312&lt;=0,0,IF(Materiales!$G$476&lt;=0,E3312,ROUNDUP(E3312/Materiales!$G$476,0)*Materiales!$G$476))</f>
        <v/>
      </c>
      <c r="F3313" s="65">
        <f>IF(F3312&lt;=0,0,IF(Materiales!$G$476&lt;=0,F3312,ROUNDUP(F3312/Materiales!$G$476,0)*Materiales!$G$476))</f>
        <v/>
      </c>
      <c r="G3313" s="65">
        <f>IF(G3312&lt;=0,0,IF(Materiales!$G$476&lt;=0,G3312,ROUNDUP(G3312/Materiales!$G$476,0)*Materiales!$G$476))</f>
        <v/>
      </c>
      <c r="H3313" s="65">
        <f>IF(H3312&lt;=0,0,IF(Materiales!$G$476&lt;=0,H3312,ROUNDUP(H3312/Materiales!$G$476,0)*Materiales!$G$476))</f>
        <v/>
      </c>
      <c r="I3313" s="65">
        <f>IF(I3312&lt;=0,0,IF(Materiales!$G$476&lt;=0,I3312,ROUNDUP(I3312/Materiales!$G$476,0)*Materiales!$G$476))</f>
        <v/>
      </c>
      <c r="J3313" s="65">
        <f>IF(J3312&lt;=0,0,IF(Materiales!$G$476&lt;=0,J3312,ROUNDUP(J3312/Materiales!$G$476,0)*Materiales!$G$476))</f>
        <v/>
      </c>
      <c r="K3313" s="65">
        <f>IF(K3312&lt;=0,0,IF(Materiales!$G$476&lt;=0,K3312,ROUNDUP(K3312/Materiales!$G$476,0)*Materiales!$G$476))</f>
        <v/>
      </c>
      <c r="L3313" s="65">
        <f>IF(L3312&lt;=0,0,IF(Materiales!$G$476&lt;=0,L3312,ROUNDUP(L3312/Materiales!$G$476,0)*Materiales!$G$476))</f>
        <v/>
      </c>
      <c r="M3313" s="66" t="n"/>
    </row>
    <row r="3314">
      <c r="C3314" s="70" t="inlineStr">
        <is>
          <t>LANZAMIENTO DE ORDEN — pedir esta semana</t>
        </is>
      </c>
      <c r="D3314" s="64" t="n"/>
      <c r="E3314" s="71">
        <f>IF(1+Materiales!$F$476&gt;8,0,INDEX($E$3313:$L$3313,1,1+Materiales!$F$476))</f>
        <v/>
      </c>
      <c r="F3314" s="71">
        <f>IF(2+Materiales!$F$476&gt;8,0,INDEX($E$3313:$L$3313,1,2+Materiales!$F$476))</f>
        <v/>
      </c>
      <c r="G3314" s="71">
        <f>IF(3+Materiales!$F$476&gt;8,0,INDEX($E$3313:$L$3313,1,3+Materiales!$F$476))</f>
        <v/>
      </c>
      <c r="H3314" s="71">
        <f>IF(4+Materiales!$F$476&gt;8,0,INDEX($E$3313:$L$3313,1,4+Materiales!$F$476))</f>
        <v/>
      </c>
      <c r="I3314" s="71">
        <f>IF(5+Materiales!$F$476&gt;8,0,INDEX($E$3313:$L$3313,1,5+Materiales!$F$476))</f>
        <v/>
      </c>
      <c r="J3314" s="71">
        <f>IF(6+Materiales!$F$476&gt;8,0,INDEX($E$3313:$L$3313,1,6+Materiales!$F$476))</f>
        <v/>
      </c>
      <c r="K3314" s="71">
        <f>IF(7+Materiales!$F$476&gt;8,0,INDEX($E$3313:$L$3313,1,7+Materiales!$F$476))</f>
        <v/>
      </c>
      <c r="L3314" s="71">
        <f>IF(8+Materiales!$F$476&gt;8,0,INDEX($E$3313:$L$3313,1,8+Materiales!$F$476))</f>
        <v/>
      </c>
      <c r="M3314" s="72">
        <f>IF($A3309="","",IF(SUMPRODUCT((COLUMN($E$3313:$L$3313)-4&lt;=Materiales!$F$476)*$E$3313:$L$3313)&gt;0,"PEDIR YA (atrasado)","OK"))</f>
        <v/>
      </c>
    </row>
    <row r="3315" ht="6" customHeight="1"/>
    <row r="3316">
      <c r="A3316" s="62">
        <f>IF(Materiales!$A$477="","",Materiales!$A$477)</f>
        <v/>
      </c>
      <c r="B3316" s="62">
        <f>IF(Materiales!$B$477="","",Materiales!$B$477)</f>
        <v/>
      </c>
      <c r="C3316" s="63" t="inlineStr">
        <is>
          <t>Necesidad bruta</t>
        </is>
      </c>
      <c r="D3316" s="64" t="n"/>
      <c r="E3316" s="65">
        <f>ROUND(SUMIF(Consumo!$P$4:$P$189,"#"&amp;$A3316,Consumo!H$4:H$189),4)</f>
        <v/>
      </c>
      <c r="F3316" s="65">
        <f>ROUND(SUMIF(Consumo!$P$4:$P$189,"#"&amp;$A3316,Consumo!I$4:I$189),4)</f>
        <v/>
      </c>
      <c r="G3316" s="65">
        <f>ROUND(SUMIF(Consumo!$P$4:$P$189,"#"&amp;$A3316,Consumo!J$4:J$189),4)</f>
        <v/>
      </c>
      <c r="H3316" s="65">
        <f>ROUND(SUMIF(Consumo!$P$4:$P$189,"#"&amp;$A3316,Consumo!K$4:K$189),4)</f>
        <v/>
      </c>
      <c r="I3316" s="65">
        <f>ROUND(SUMIF(Consumo!$P$4:$P$189,"#"&amp;$A3316,Consumo!L$4:L$189),4)</f>
        <v/>
      </c>
      <c r="J3316" s="65">
        <f>ROUND(SUMIF(Consumo!$P$4:$P$189,"#"&amp;$A3316,Consumo!M$4:M$189),4)</f>
        <v/>
      </c>
      <c r="K3316" s="65">
        <f>ROUND(SUMIF(Consumo!$P$4:$P$189,"#"&amp;$A3316,Consumo!N$4:N$189),4)</f>
        <v/>
      </c>
      <c r="L3316" s="65">
        <f>ROUND(SUMIF(Consumo!$P$4:$P$189,"#"&amp;$A3316,Consumo!O$4:O$189),4)</f>
        <v/>
      </c>
      <c r="M3316" s="66" t="n"/>
    </row>
    <row r="3317">
      <c r="C3317" s="63" t="inlineStr">
        <is>
          <t>Recepciones programadas (ya pedido)</t>
        </is>
      </c>
      <c r="D3317" s="64" t="n"/>
      <c r="E3317" s="65">
        <f>SUMIF(Inventario!$M$5:$M$505,"#"&amp;$A3316,Inventario!E$5:E$505)</f>
        <v/>
      </c>
      <c r="F3317" s="65">
        <f>SUMIF(Inventario!$M$5:$M$505,"#"&amp;$A3316,Inventario!F$5:F$505)</f>
        <v/>
      </c>
      <c r="G3317" s="65">
        <f>SUMIF(Inventario!$M$5:$M$505,"#"&amp;$A3316,Inventario!G$5:G$505)</f>
        <v/>
      </c>
      <c r="H3317" s="65">
        <f>SUMIF(Inventario!$M$5:$M$505,"#"&amp;$A3316,Inventario!H$5:H$505)</f>
        <v/>
      </c>
      <c r="I3317" s="65">
        <f>SUMIF(Inventario!$M$5:$M$505,"#"&amp;$A3316,Inventario!I$5:I$505)</f>
        <v/>
      </c>
      <c r="J3317" s="65">
        <f>SUMIF(Inventario!$M$5:$M$505,"#"&amp;$A3316,Inventario!J$5:J$505)</f>
        <v/>
      </c>
      <c r="K3317" s="65">
        <f>SUMIF(Inventario!$M$5:$M$505,"#"&amp;$A3316,Inventario!K$5:K$505)</f>
        <v/>
      </c>
      <c r="L3317" s="65">
        <f>SUMIF(Inventario!$M$5:$M$505,"#"&amp;$A3316,Inventario!L$5:L$505)</f>
        <v/>
      </c>
      <c r="M3317" s="66" t="n"/>
    </row>
    <row r="3318">
      <c r="C3318" s="63" t="inlineStr">
        <is>
          <t>Stock proyectado disponible</t>
        </is>
      </c>
      <c r="D3318" s="67">
        <f>SUMIF(Inventario!$M$5:$M$505,"#"&amp;$A3316,Inventario!$C$5:$C$505)</f>
        <v/>
      </c>
      <c r="E3318" s="68">
        <f>D3318+E3317+E3320-E3316</f>
        <v/>
      </c>
      <c r="F3318" s="68">
        <f>E3318+F3317+F3320-F3316</f>
        <v/>
      </c>
      <c r="G3318" s="68">
        <f>F3318+G3317+G3320-G3316</f>
        <v/>
      </c>
      <c r="H3318" s="68">
        <f>G3318+H3317+H3320-H3316</f>
        <v/>
      </c>
      <c r="I3318" s="68">
        <f>H3318+I3317+I3320-I3316</f>
        <v/>
      </c>
      <c r="J3318" s="68">
        <f>I3318+J3317+J3320-J3316</f>
        <v/>
      </c>
      <c r="K3318" s="68">
        <f>J3318+K3317+K3320-K3316</f>
        <v/>
      </c>
      <c r="L3318" s="68">
        <f>K3318+L3317+L3320-L3316</f>
        <v/>
      </c>
      <c r="M3318" s="66" t="n"/>
    </row>
    <row r="3319">
      <c r="C3319" s="63" t="inlineStr">
        <is>
          <t>Necesidad neta</t>
        </is>
      </c>
      <c r="D3319" s="64" t="n"/>
      <c r="E3319" s="69">
        <f>MAX(0,ROUND(E3316+Materiales!$H$477-D3318-E3317,4))</f>
        <v/>
      </c>
      <c r="F3319" s="69">
        <f>MAX(0,ROUND(F3316+Materiales!$H$477-E3318-F3317,4))</f>
        <v/>
      </c>
      <c r="G3319" s="69">
        <f>MAX(0,ROUND(G3316+Materiales!$H$477-F3318-G3317,4))</f>
        <v/>
      </c>
      <c r="H3319" s="69">
        <f>MAX(0,ROUND(H3316+Materiales!$H$477-G3318-H3317,4))</f>
        <v/>
      </c>
      <c r="I3319" s="69">
        <f>MAX(0,ROUND(I3316+Materiales!$H$477-H3318-I3317,4))</f>
        <v/>
      </c>
      <c r="J3319" s="69">
        <f>MAX(0,ROUND(J3316+Materiales!$H$477-I3318-J3317,4))</f>
        <v/>
      </c>
      <c r="K3319" s="69">
        <f>MAX(0,ROUND(K3316+Materiales!$H$477-J3318-K3317,4))</f>
        <v/>
      </c>
      <c r="L3319" s="69">
        <f>MAX(0,ROUND(L3316+Materiales!$H$477-K3318-L3317,4))</f>
        <v/>
      </c>
      <c r="M3319" s="66" t="n"/>
    </row>
    <row r="3320">
      <c r="C3320" s="63" t="inlineStr">
        <is>
          <t>Recepcion de orden planificada</t>
        </is>
      </c>
      <c r="D3320" s="64" t="n"/>
      <c r="E3320" s="65">
        <f>IF(E3319&lt;=0,0,IF(Materiales!$G$477&lt;=0,E3319,ROUNDUP(E3319/Materiales!$G$477,0)*Materiales!$G$477))</f>
        <v/>
      </c>
      <c r="F3320" s="65">
        <f>IF(F3319&lt;=0,0,IF(Materiales!$G$477&lt;=0,F3319,ROUNDUP(F3319/Materiales!$G$477,0)*Materiales!$G$477))</f>
        <v/>
      </c>
      <c r="G3320" s="65">
        <f>IF(G3319&lt;=0,0,IF(Materiales!$G$477&lt;=0,G3319,ROUNDUP(G3319/Materiales!$G$477,0)*Materiales!$G$477))</f>
        <v/>
      </c>
      <c r="H3320" s="65">
        <f>IF(H3319&lt;=0,0,IF(Materiales!$G$477&lt;=0,H3319,ROUNDUP(H3319/Materiales!$G$477,0)*Materiales!$G$477))</f>
        <v/>
      </c>
      <c r="I3320" s="65">
        <f>IF(I3319&lt;=0,0,IF(Materiales!$G$477&lt;=0,I3319,ROUNDUP(I3319/Materiales!$G$477,0)*Materiales!$G$477))</f>
        <v/>
      </c>
      <c r="J3320" s="65">
        <f>IF(J3319&lt;=0,0,IF(Materiales!$G$477&lt;=0,J3319,ROUNDUP(J3319/Materiales!$G$477,0)*Materiales!$G$477))</f>
        <v/>
      </c>
      <c r="K3320" s="65">
        <f>IF(K3319&lt;=0,0,IF(Materiales!$G$477&lt;=0,K3319,ROUNDUP(K3319/Materiales!$G$477,0)*Materiales!$G$477))</f>
        <v/>
      </c>
      <c r="L3320" s="65">
        <f>IF(L3319&lt;=0,0,IF(Materiales!$G$477&lt;=0,L3319,ROUNDUP(L3319/Materiales!$G$477,0)*Materiales!$G$477))</f>
        <v/>
      </c>
      <c r="M3320" s="66" t="n"/>
    </row>
    <row r="3321">
      <c r="C3321" s="70" t="inlineStr">
        <is>
          <t>LANZAMIENTO DE ORDEN — pedir esta semana</t>
        </is>
      </c>
      <c r="D3321" s="64" t="n"/>
      <c r="E3321" s="71">
        <f>IF(1+Materiales!$F$477&gt;8,0,INDEX($E$3320:$L$3320,1,1+Materiales!$F$477))</f>
        <v/>
      </c>
      <c r="F3321" s="71">
        <f>IF(2+Materiales!$F$477&gt;8,0,INDEX($E$3320:$L$3320,1,2+Materiales!$F$477))</f>
        <v/>
      </c>
      <c r="G3321" s="71">
        <f>IF(3+Materiales!$F$477&gt;8,0,INDEX($E$3320:$L$3320,1,3+Materiales!$F$477))</f>
        <v/>
      </c>
      <c r="H3321" s="71">
        <f>IF(4+Materiales!$F$477&gt;8,0,INDEX($E$3320:$L$3320,1,4+Materiales!$F$477))</f>
        <v/>
      </c>
      <c r="I3321" s="71">
        <f>IF(5+Materiales!$F$477&gt;8,0,INDEX($E$3320:$L$3320,1,5+Materiales!$F$477))</f>
        <v/>
      </c>
      <c r="J3321" s="71">
        <f>IF(6+Materiales!$F$477&gt;8,0,INDEX($E$3320:$L$3320,1,6+Materiales!$F$477))</f>
        <v/>
      </c>
      <c r="K3321" s="71">
        <f>IF(7+Materiales!$F$477&gt;8,0,INDEX($E$3320:$L$3320,1,7+Materiales!$F$477))</f>
        <v/>
      </c>
      <c r="L3321" s="71">
        <f>IF(8+Materiales!$F$477&gt;8,0,INDEX($E$3320:$L$3320,1,8+Materiales!$F$477))</f>
        <v/>
      </c>
      <c r="M3321" s="72">
        <f>IF($A3316="","",IF(SUMPRODUCT((COLUMN($E$3320:$L$3320)-4&lt;=Materiales!$F$477)*$E$3320:$L$3320)&gt;0,"PEDIR YA (atrasado)","OK"))</f>
        <v/>
      </c>
    </row>
    <row r="3322" ht="6" customHeight="1"/>
    <row r="3323">
      <c r="A3323" s="62">
        <f>IF(Materiales!$A$478="","",Materiales!$A$478)</f>
        <v/>
      </c>
      <c r="B3323" s="62">
        <f>IF(Materiales!$B$478="","",Materiales!$B$478)</f>
        <v/>
      </c>
      <c r="C3323" s="63" t="inlineStr">
        <is>
          <t>Necesidad bruta</t>
        </is>
      </c>
      <c r="D3323" s="64" t="n"/>
      <c r="E3323" s="65">
        <f>ROUND(SUMIF(Consumo!$P$4:$P$189,"#"&amp;$A3323,Consumo!H$4:H$189),4)</f>
        <v/>
      </c>
      <c r="F3323" s="65">
        <f>ROUND(SUMIF(Consumo!$P$4:$P$189,"#"&amp;$A3323,Consumo!I$4:I$189),4)</f>
        <v/>
      </c>
      <c r="G3323" s="65">
        <f>ROUND(SUMIF(Consumo!$P$4:$P$189,"#"&amp;$A3323,Consumo!J$4:J$189),4)</f>
        <v/>
      </c>
      <c r="H3323" s="65">
        <f>ROUND(SUMIF(Consumo!$P$4:$P$189,"#"&amp;$A3323,Consumo!K$4:K$189),4)</f>
        <v/>
      </c>
      <c r="I3323" s="65">
        <f>ROUND(SUMIF(Consumo!$P$4:$P$189,"#"&amp;$A3323,Consumo!L$4:L$189),4)</f>
        <v/>
      </c>
      <c r="J3323" s="65">
        <f>ROUND(SUMIF(Consumo!$P$4:$P$189,"#"&amp;$A3323,Consumo!M$4:M$189),4)</f>
        <v/>
      </c>
      <c r="K3323" s="65">
        <f>ROUND(SUMIF(Consumo!$P$4:$P$189,"#"&amp;$A3323,Consumo!N$4:N$189),4)</f>
        <v/>
      </c>
      <c r="L3323" s="65">
        <f>ROUND(SUMIF(Consumo!$P$4:$P$189,"#"&amp;$A3323,Consumo!O$4:O$189),4)</f>
        <v/>
      </c>
      <c r="M3323" s="66" t="n"/>
    </row>
    <row r="3324">
      <c r="C3324" s="63" t="inlineStr">
        <is>
          <t>Recepciones programadas (ya pedido)</t>
        </is>
      </c>
      <c r="D3324" s="64" t="n"/>
      <c r="E3324" s="65">
        <f>SUMIF(Inventario!$M$5:$M$505,"#"&amp;$A3323,Inventario!E$5:E$505)</f>
        <v/>
      </c>
      <c r="F3324" s="65">
        <f>SUMIF(Inventario!$M$5:$M$505,"#"&amp;$A3323,Inventario!F$5:F$505)</f>
        <v/>
      </c>
      <c r="G3324" s="65">
        <f>SUMIF(Inventario!$M$5:$M$505,"#"&amp;$A3323,Inventario!G$5:G$505)</f>
        <v/>
      </c>
      <c r="H3324" s="65">
        <f>SUMIF(Inventario!$M$5:$M$505,"#"&amp;$A3323,Inventario!H$5:H$505)</f>
        <v/>
      </c>
      <c r="I3324" s="65">
        <f>SUMIF(Inventario!$M$5:$M$505,"#"&amp;$A3323,Inventario!I$5:I$505)</f>
        <v/>
      </c>
      <c r="J3324" s="65">
        <f>SUMIF(Inventario!$M$5:$M$505,"#"&amp;$A3323,Inventario!J$5:J$505)</f>
        <v/>
      </c>
      <c r="K3324" s="65">
        <f>SUMIF(Inventario!$M$5:$M$505,"#"&amp;$A3323,Inventario!K$5:K$505)</f>
        <v/>
      </c>
      <c r="L3324" s="65">
        <f>SUMIF(Inventario!$M$5:$M$505,"#"&amp;$A3323,Inventario!L$5:L$505)</f>
        <v/>
      </c>
      <c r="M3324" s="66" t="n"/>
    </row>
    <row r="3325">
      <c r="C3325" s="63" t="inlineStr">
        <is>
          <t>Stock proyectado disponible</t>
        </is>
      </c>
      <c r="D3325" s="67">
        <f>SUMIF(Inventario!$M$5:$M$505,"#"&amp;$A3323,Inventario!$C$5:$C$505)</f>
        <v/>
      </c>
      <c r="E3325" s="68">
        <f>D3325+E3324+E3327-E3323</f>
        <v/>
      </c>
      <c r="F3325" s="68">
        <f>E3325+F3324+F3327-F3323</f>
        <v/>
      </c>
      <c r="G3325" s="68">
        <f>F3325+G3324+G3327-G3323</f>
        <v/>
      </c>
      <c r="H3325" s="68">
        <f>G3325+H3324+H3327-H3323</f>
        <v/>
      </c>
      <c r="I3325" s="68">
        <f>H3325+I3324+I3327-I3323</f>
        <v/>
      </c>
      <c r="J3325" s="68">
        <f>I3325+J3324+J3327-J3323</f>
        <v/>
      </c>
      <c r="K3325" s="68">
        <f>J3325+K3324+K3327-K3323</f>
        <v/>
      </c>
      <c r="L3325" s="68">
        <f>K3325+L3324+L3327-L3323</f>
        <v/>
      </c>
      <c r="M3325" s="66" t="n"/>
    </row>
    <row r="3326">
      <c r="C3326" s="63" t="inlineStr">
        <is>
          <t>Necesidad neta</t>
        </is>
      </c>
      <c r="D3326" s="64" t="n"/>
      <c r="E3326" s="69">
        <f>MAX(0,ROUND(E3323+Materiales!$H$478-D3325-E3324,4))</f>
        <v/>
      </c>
      <c r="F3326" s="69">
        <f>MAX(0,ROUND(F3323+Materiales!$H$478-E3325-F3324,4))</f>
        <v/>
      </c>
      <c r="G3326" s="69">
        <f>MAX(0,ROUND(G3323+Materiales!$H$478-F3325-G3324,4))</f>
        <v/>
      </c>
      <c r="H3326" s="69">
        <f>MAX(0,ROUND(H3323+Materiales!$H$478-G3325-H3324,4))</f>
        <v/>
      </c>
      <c r="I3326" s="69">
        <f>MAX(0,ROUND(I3323+Materiales!$H$478-H3325-I3324,4))</f>
        <v/>
      </c>
      <c r="J3326" s="69">
        <f>MAX(0,ROUND(J3323+Materiales!$H$478-I3325-J3324,4))</f>
        <v/>
      </c>
      <c r="K3326" s="69">
        <f>MAX(0,ROUND(K3323+Materiales!$H$478-J3325-K3324,4))</f>
        <v/>
      </c>
      <c r="L3326" s="69">
        <f>MAX(0,ROUND(L3323+Materiales!$H$478-K3325-L3324,4))</f>
        <v/>
      </c>
      <c r="M3326" s="66" t="n"/>
    </row>
    <row r="3327">
      <c r="C3327" s="63" t="inlineStr">
        <is>
          <t>Recepcion de orden planificada</t>
        </is>
      </c>
      <c r="D3327" s="64" t="n"/>
      <c r="E3327" s="65">
        <f>IF(E3326&lt;=0,0,IF(Materiales!$G$478&lt;=0,E3326,ROUNDUP(E3326/Materiales!$G$478,0)*Materiales!$G$478))</f>
        <v/>
      </c>
      <c r="F3327" s="65">
        <f>IF(F3326&lt;=0,0,IF(Materiales!$G$478&lt;=0,F3326,ROUNDUP(F3326/Materiales!$G$478,0)*Materiales!$G$478))</f>
        <v/>
      </c>
      <c r="G3327" s="65">
        <f>IF(G3326&lt;=0,0,IF(Materiales!$G$478&lt;=0,G3326,ROUNDUP(G3326/Materiales!$G$478,0)*Materiales!$G$478))</f>
        <v/>
      </c>
      <c r="H3327" s="65">
        <f>IF(H3326&lt;=0,0,IF(Materiales!$G$478&lt;=0,H3326,ROUNDUP(H3326/Materiales!$G$478,0)*Materiales!$G$478))</f>
        <v/>
      </c>
      <c r="I3327" s="65">
        <f>IF(I3326&lt;=0,0,IF(Materiales!$G$478&lt;=0,I3326,ROUNDUP(I3326/Materiales!$G$478,0)*Materiales!$G$478))</f>
        <v/>
      </c>
      <c r="J3327" s="65">
        <f>IF(J3326&lt;=0,0,IF(Materiales!$G$478&lt;=0,J3326,ROUNDUP(J3326/Materiales!$G$478,0)*Materiales!$G$478))</f>
        <v/>
      </c>
      <c r="K3327" s="65">
        <f>IF(K3326&lt;=0,0,IF(Materiales!$G$478&lt;=0,K3326,ROUNDUP(K3326/Materiales!$G$478,0)*Materiales!$G$478))</f>
        <v/>
      </c>
      <c r="L3327" s="65">
        <f>IF(L3326&lt;=0,0,IF(Materiales!$G$478&lt;=0,L3326,ROUNDUP(L3326/Materiales!$G$478,0)*Materiales!$G$478))</f>
        <v/>
      </c>
      <c r="M3327" s="66" t="n"/>
    </row>
    <row r="3328">
      <c r="C3328" s="70" t="inlineStr">
        <is>
          <t>LANZAMIENTO DE ORDEN — pedir esta semana</t>
        </is>
      </c>
      <c r="D3328" s="64" t="n"/>
      <c r="E3328" s="71">
        <f>IF(1+Materiales!$F$478&gt;8,0,INDEX($E$3327:$L$3327,1,1+Materiales!$F$478))</f>
        <v/>
      </c>
      <c r="F3328" s="71">
        <f>IF(2+Materiales!$F$478&gt;8,0,INDEX($E$3327:$L$3327,1,2+Materiales!$F$478))</f>
        <v/>
      </c>
      <c r="G3328" s="71">
        <f>IF(3+Materiales!$F$478&gt;8,0,INDEX($E$3327:$L$3327,1,3+Materiales!$F$478))</f>
        <v/>
      </c>
      <c r="H3328" s="71">
        <f>IF(4+Materiales!$F$478&gt;8,0,INDEX($E$3327:$L$3327,1,4+Materiales!$F$478))</f>
        <v/>
      </c>
      <c r="I3328" s="71">
        <f>IF(5+Materiales!$F$478&gt;8,0,INDEX($E$3327:$L$3327,1,5+Materiales!$F$478))</f>
        <v/>
      </c>
      <c r="J3328" s="71">
        <f>IF(6+Materiales!$F$478&gt;8,0,INDEX($E$3327:$L$3327,1,6+Materiales!$F$478))</f>
        <v/>
      </c>
      <c r="K3328" s="71">
        <f>IF(7+Materiales!$F$478&gt;8,0,INDEX($E$3327:$L$3327,1,7+Materiales!$F$478))</f>
        <v/>
      </c>
      <c r="L3328" s="71">
        <f>IF(8+Materiales!$F$478&gt;8,0,INDEX($E$3327:$L$3327,1,8+Materiales!$F$478))</f>
        <v/>
      </c>
      <c r="M3328" s="72">
        <f>IF($A3323="","",IF(SUMPRODUCT((COLUMN($E$3327:$L$3327)-4&lt;=Materiales!$F$478)*$E$3327:$L$3327)&gt;0,"PEDIR YA (atrasado)","OK"))</f>
        <v/>
      </c>
    </row>
    <row r="3329" ht="6" customHeight="1"/>
    <row r="3330">
      <c r="A3330" s="62">
        <f>IF(Materiales!$A$479="","",Materiales!$A$479)</f>
        <v/>
      </c>
      <c r="B3330" s="62">
        <f>IF(Materiales!$B$479="","",Materiales!$B$479)</f>
        <v/>
      </c>
      <c r="C3330" s="63" t="inlineStr">
        <is>
          <t>Necesidad bruta</t>
        </is>
      </c>
      <c r="D3330" s="64" t="n"/>
      <c r="E3330" s="65">
        <f>ROUND(SUMIF(Consumo!$P$4:$P$189,"#"&amp;$A3330,Consumo!H$4:H$189),4)</f>
        <v/>
      </c>
      <c r="F3330" s="65">
        <f>ROUND(SUMIF(Consumo!$P$4:$P$189,"#"&amp;$A3330,Consumo!I$4:I$189),4)</f>
        <v/>
      </c>
      <c r="G3330" s="65">
        <f>ROUND(SUMIF(Consumo!$P$4:$P$189,"#"&amp;$A3330,Consumo!J$4:J$189),4)</f>
        <v/>
      </c>
      <c r="H3330" s="65">
        <f>ROUND(SUMIF(Consumo!$P$4:$P$189,"#"&amp;$A3330,Consumo!K$4:K$189),4)</f>
        <v/>
      </c>
      <c r="I3330" s="65">
        <f>ROUND(SUMIF(Consumo!$P$4:$P$189,"#"&amp;$A3330,Consumo!L$4:L$189),4)</f>
        <v/>
      </c>
      <c r="J3330" s="65">
        <f>ROUND(SUMIF(Consumo!$P$4:$P$189,"#"&amp;$A3330,Consumo!M$4:M$189),4)</f>
        <v/>
      </c>
      <c r="K3330" s="65">
        <f>ROUND(SUMIF(Consumo!$P$4:$P$189,"#"&amp;$A3330,Consumo!N$4:N$189),4)</f>
        <v/>
      </c>
      <c r="L3330" s="65">
        <f>ROUND(SUMIF(Consumo!$P$4:$P$189,"#"&amp;$A3330,Consumo!O$4:O$189),4)</f>
        <v/>
      </c>
      <c r="M3330" s="66" t="n"/>
    </row>
    <row r="3331">
      <c r="C3331" s="63" t="inlineStr">
        <is>
          <t>Recepciones programadas (ya pedido)</t>
        </is>
      </c>
      <c r="D3331" s="64" t="n"/>
      <c r="E3331" s="65">
        <f>SUMIF(Inventario!$M$5:$M$505,"#"&amp;$A3330,Inventario!E$5:E$505)</f>
        <v/>
      </c>
      <c r="F3331" s="65">
        <f>SUMIF(Inventario!$M$5:$M$505,"#"&amp;$A3330,Inventario!F$5:F$505)</f>
        <v/>
      </c>
      <c r="G3331" s="65">
        <f>SUMIF(Inventario!$M$5:$M$505,"#"&amp;$A3330,Inventario!G$5:G$505)</f>
        <v/>
      </c>
      <c r="H3331" s="65">
        <f>SUMIF(Inventario!$M$5:$M$505,"#"&amp;$A3330,Inventario!H$5:H$505)</f>
        <v/>
      </c>
      <c r="I3331" s="65">
        <f>SUMIF(Inventario!$M$5:$M$505,"#"&amp;$A3330,Inventario!I$5:I$505)</f>
        <v/>
      </c>
      <c r="J3331" s="65">
        <f>SUMIF(Inventario!$M$5:$M$505,"#"&amp;$A3330,Inventario!J$5:J$505)</f>
        <v/>
      </c>
      <c r="K3331" s="65">
        <f>SUMIF(Inventario!$M$5:$M$505,"#"&amp;$A3330,Inventario!K$5:K$505)</f>
        <v/>
      </c>
      <c r="L3331" s="65">
        <f>SUMIF(Inventario!$M$5:$M$505,"#"&amp;$A3330,Inventario!L$5:L$505)</f>
        <v/>
      </c>
      <c r="M3331" s="66" t="n"/>
    </row>
    <row r="3332">
      <c r="C3332" s="63" t="inlineStr">
        <is>
          <t>Stock proyectado disponible</t>
        </is>
      </c>
      <c r="D3332" s="67">
        <f>SUMIF(Inventario!$M$5:$M$505,"#"&amp;$A3330,Inventario!$C$5:$C$505)</f>
        <v/>
      </c>
      <c r="E3332" s="68">
        <f>D3332+E3331+E3334-E3330</f>
        <v/>
      </c>
      <c r="F3332" s="68">
        <f>E3332+F3331+F3334-F3330</f>
        <v/>
      </c>
      <c r="G3332" s="68">
        <f>F3332+G3331+G3334-G3330</f>
        <v/>
      </c>
      <c r="H3332" s="68">
        <f>G3332+H3331+H3334-H3330</f>
        <v/>
      </c>
      <c r="I3332" s="68">
        <f>H3332+I3331+I3334-I3330</f>
        <v/>
      </c>
      <c r="J3332" s="68">
        <f>I3332+J3331+J3334-J3330</f>
        <v/>
      </c>
      <c r="K3332" s="68">
        <f>J3332+K3331+K3334-K3330</f>
        <v/>
      </c>
      <c r="L3332" s="68">
        <f>K3332+L3331+L3334-L3330</f>
        <v/>
      </c>
      <c r="M3332" s="66" t="n"/>
    </row>
    <row r="3333">
      <c r="C3333" s="63" t="inlineStr">
        <is>
          <t>Necesidad neta</t>
        </is>
      </c>
      <c r="D3333" s="64" t="n"/>
      <c r="E3333" s="69">
        <f>MAX(0,ROUND(E3330+Materiales!$H$479-D3332-E3331,4))</f>
        <v/>
      </c>
      <c r="F3333" s="69">
        <f>MAX(0,ROUND(F3330+Materiales!$H$479-E3332-F3331,4))</f>
        <v/>
      </c>
      <c r="G3333" s="69">
        <f>MAX(0,ROUND(G3330+Materiales!$H$479-F3332-G3331,4))</f>
        <v/>
      </c>
      <c r="H3333" s="69">
        <f>MAX(0,ROUND(H3330+Materiales!$H$479-G3332-H3331,4))</f>
        <v/>
      </c>
      <c r="I3333" s="69">
        <f>MAX(0,ROUND(I3330+Materiales!$H$479-H3332-I3331,4))</f>
        <v/>
      </c>
      <c r="J3333" s="69">
        <f>MAX(0,ROUND(J3330+Materiales!$H$479-I3332-J3331,4))</f>
        <v/>
      </c>
      <c r="K3333" s="69">
        <f>MAX(0,ROUND(K3330+Materiales!$H$479-J3332-K3331,4))</f>
        <v/>
      </c>
      <c r="L3333" s="69">
        <f>MAX(0,ROUND(L3330+Materiales!$H$479-K3332-L3331,4))</f>
        <v/>
      </c>
      <c r="M3333" s="66" t="n"/>
    </row>
    <row r="3334">
      <c r="C3334" s="63" t="inlineStr">
        <is>
          <t>Recepcion de orden planificada</t>
        </is>
      </c>
      <c r="D3334" s="64" t="n"/>
      <c r="E3334" s="65">
        <f>IF(E3333&lt;=0,0,IF(Materiales!$G$479&lt;=0,E3333,ROUNDUP(E3333/Materiales!$G$479,0)*Materiales!$G$479))</f>
        <v/>
      </c>
      <c r="F3334" s="65">
        <f>IF(F3333&lt;=0,0,IF(Materiales!$G$479&lt;=0,F3333,ROUNDUP(F3333/Materiales!$G$479,0)*Materiales!$G$479))</f>
        <v/>
      </c>
      <c r="G3334" s="65">
        <f>IF(G3333&lt;=0,0,IF(Materiales!$G$479&lt;=0,G3333,ROUNDUP(G3333/Materiales!$G$479,0)*Materiales!$G$479))</f>
        <v/>
      </c>
      <c r="H3334" s="65">
        <f>IF(H3333&lt;=0,0,IF(Materiales!$G$479&lt;=0,H3333,ROUNDUP(H3333/Materiales!$G$479,0)*Materiales!$G$479))</f>
        <v/>
      </c>
      <c r="I3334" s="65">
        <f>IF(I3333&lt;=0,0,IF(Materiales!$G$479&lt;=0,I3333,ROUNDUP(I3333/Materiales!$G$479,0)*Materiales!$G$479))</f>
        <v/>
      </c>
      <c r="J3334" s="65">
        <f>IF(J3333&lt;=0,0,IF(Materiales!$G$479&lt;=0,J3333,ROUNDUP(J3333/Materiales!$G$479,0)*Materiales!$G$479))</f>
        <v/>
      </c>
      <c r="K3334" s="65">
        <f>IF(K3333&lt;=0,0,IF(Materiales!$G$479&lt;=0,K3333,ROUNDUP(K3333/Materiales!$G$479,0)*Materiales!$G$479))</f>
        <v/>
      </c>
      <c r="L3334" s="65">
        <f>IF(L3333&lt;=0,0,IF(Materiales!$G$479&lt;=0,L3333,ROUNDUP(L3333/Materiales!$G$479,0)*Materiales!$G$479))</f>
        <v/>
      </c>
      <c r="M3334" s="66" t="n"/>
    </row>
    <row r="3335">
      <c r="C3335" s="70" t="inlineStr">
        <is>
          <t>LANZAMIENTO DE ORDEN — pedir esta semana</t>
        </is>
      </c>
      <c r="D3335" s="64" t="n"/>
      <c r="E3335" s="71">
        <f>IF(1+Materiales!$F$479&gt;8,0,INDEX($E$3334:$L$3334,1,1+Materiales!$F$479))</f>
        <v/>
      </c>
      <c r="F3335" s="71">
        <f>IF(2+Materiales!$F$479&gt;8,0,INDEX($E$3334:$L$3334,1,2+Materiales!$F$479))</f>
        <v/>
      </c>
      <c r="G3335" s="71">
        <f>IF(3+Materiales!$F$479&gt;8,0,INDEX($E$3334:$L$3334,1,3+Materiales!$F$479))</f>
        <v/>
      </c>
      <c r="H3335" s="71">
        <f>IF(4+Materiales!$F$479&gt;8,0,INDEX($E$3334:$L$3334,1,4+Materiales!$F$479))</f>
        <v/>
      </c>
      <c r="I3335" s="71">
        <f>IF(5+Materiales!$F$479&gt;8,0,INDEX($E$3334:$L$3334,1,5+Materiales!$F$479))</f>
        <v/>
      </c>
      <c r="J3335" s="71">
        <f>IF(6+Materiales!$F$479&gt;8,0,INDEX($E$3334:$L$3334,1,6+Materiales!$F$479))</f>
        <v/>
      </c>
      <c r="K3335" s="71">
        <f>IF(7+Materiales!$F$479&gt;8,0,INDEX($E$3334:$L$3334,1,7+Materiales!$F$479))</f>
        <v/>
      </c>
      <c r="L3335" s="71">
        <f>IF(8+Materiales!$F$479&gt;8,0,INDEX($E$3334:$L$3334,1,8+Materiales!$F$479))</f>
        <v/>
      </c>
      <c r="M3335" s="72">
        <f>IF($A3330="","",IF(SUMPRODUCT((COLUMN($E$3334:$L$3334)-4&lt;=Materiales!$F$479)*$E$3334:$L$3334)&gt;0,"PEDIR YA (atrasado)","OK"))</f>
        <v/>
      </c>
    </row>
    <row r="3336" ht="6" customHeight="1"/>
    <row r="3337">
      <c r="A3337" s="62">
        <f>IF(Materiales!$A$480="","",Materiales!$A$480)</f>
        <v/>
      </c>
      <c r="B3337" s="62">
        <f>IF(Materiales!$B$480="","",Materiales!$B$480)</f>
        <v/>
      </c>
      <c r="C3337" s="63" t="inlineStr">
        <is>
          <t>Necesidad bruta</t>
        </is>
      </c>
      <c r="D3337" s="64" t="n"/>
      <c r="E3337" s="65">
        <f>ROUND(SUMIF(Consumo!$P$4:$P$189,"#"&amp;$A3337,Consumo!H$4:H$189),4)</f>
        <v/>
      </c>
      <c r="F3337" s="65">
        <f>ROUND(SUMIF(Consumo!$P$4:$P$189,"#"&amp;$A3337,Consumo!I$4:I$189),4)</f>
        <v/>
      </c>
      <c r="G3337" s="65">
        <f>ROUND(SUMIF(Consumo!$P$4:$P$189,"#"&amp;$A3337,Consumo!J$4:J$189),4)</f>
        <v/>
      </c>
      <c r="H3337" s="65">
        <f>ROUND(SUMIF(Consumo!$P$4:$P$189,"#"&amp;$A3337,Consumo!K$4:K$189),4)</f>
        <v/>
      </c>
      <c r="I3337" s="65">
        <f>ROUND(SUMIF(Consumo!$P$4:$P$189,"#"&amp;$A3337,Consumo!L$4:L$189),4)</f>
        <v/>
      </c>
      <c r="J3337" s="65">
        <f>ROUND(SUMIF(Consumo!$P$4:$P$189,"#"&amp;$A3337,Consumo!M$4:M$189),4)</f>
        <v/>
      </c>
      <c r="K3337" s="65">
        <f>ROUND(SUMIF(Consumo!$P$4:$P$189,"#"&amp;$A3337,Consumo!N$4:N$189),4)</f>
        <v/>
      </c>
      <c r="L3337" s="65">
        <f>ROUND(SUMIF(Consumo!$P$4:$P$189,"#"&amp;$A3337,Consumo!O$4:O$189),4)</f>
        <v/>
      </c>
      <c r="M3337" s="66" t="n"/>
    </row>
    <row r="3338">
      <c r="C3338" s="63" t="inlineStr">
        <is>
          <t>Recepciones programadas (ya pedido)</t>
        </is>
      </c>
      <c r="D3338" s="64" t="n"/>
      <c r="E3338" s="65">
        <f>SUMIF(Inventario!$M$5:$M$505,"#"&amp;$A3337,Inventario!E$5:E$505)</f>
        <v/>
      </c>
      <c r="F3338" s="65">
        <f>SUMIF(Inventario!$M$5:$M$505,"#"&amp;$A3337,Inventario!F$5:F$505)</f>
        <v/>
      </c>
      <c r="G3338" s="65">
        <f>SUMIF(Inventario!$M$5:$M$505,"#"&amp;$A3337,Inventario!G$5:G$505)</f>
        <v/>
      </c>
      <c r="H3338" s="65">
        <f>SUMIF(Inventario!$M$5:$M$505,"#"&amp;$A3337,Inventario!H$5:H$505)</f>
        <v/>
      </c>
      <c r="I3338" s="65">
        <f>SUMIF(Inventario!$M$5:$M$505,"#"&amp;$A3337,Inventario!I$5:I$505)</f>
        <v/>
      </c>
      <c r="J3338" s="65">
        <f>SUMIF(Inventario!$M$5:$M$505,"#"&amp;$A3337,Inventario!J$5:J$505)</f>
        <v/>
      </c>
      <c r="K3338" s="65">
        <f>SUMIF(Inventario!$M$5:$M$505,"#"&amp;$A3337,Inventario!K$5:K$505)</f>
        <v/>
      </c>
      <c r="L3338" s="65">
        <f>SUMIF(Inventario!$M$5:$M$505,"#"&amp;$A3337,Inventario!L$5:L$505)</f>
        <v/>
      </c>
      <c r="M3338" s="66" t="n"/>
    </row>
    <row r="3339">
      <c r="C3339" s="63" t="inlineStr">
        <is>
          <t>Stock proyectado disponible</t>
        </is>
      </c>
      <c r="D3339" s="67">
        <f>SUMIF(Inventario!$M$5:$M$505,"#"&amp;$A3337,Inventario!$C$5:$C$505)</f>
        <v/>
      </c>
      <c r="E3339" s="68">
        <f>D3339+E3338+E3341-E3337</f>
        <v/>
      </c>
      <c r="F3339" s="68">
        <f>E3339+F3338+F3341-F3337</f>
        <v/>
      </c>
      <c r="G3339" s="68">
        <f>F3339+G3338+G3341-G3337</f>
        <v/>
      </c>
      <c r="H3339" s="68">
        <f>G3339+H3338+H3341-H3337</f>
        <v/>
      </c>
      <c r="I3339" s="68">
        <f>H3339+I3338+I3341-I3337</f>
        <v/>
      </c>
      <c r="J3339" s="68">
        <f>I3339+J3338+J3341-J3337</f>
        <v/>
      </c>
      <c r="K3339" s="68">
        <f>J3339+K3338+K3341-K3337</f>
        <v/>
      </c>
      <c r="L3339" s="68">
        <f>K3339+L3338+L3341-L3337</f>
        <v/>
      </c>
      <c r="M3339" s="66" t="n"/>
    </row>
    <row r="3340">
      <c r="C3340" s="63" t="inlineStr">
        <is>
          <t>Necesidad neta</t>
        </is>
      </c>
      <c r="D3340" s="64" t="n"/>
      <c r="E3340" s="69">
        <f>MAX(0,ROUND(E3337+Materiales!$H$480-D3339-E3338,4))</f>
        <v/>
      </c>
      <c r="F3340" s="69">
        <f>MAX(0,ROUND(F3337+Materiales!$H$480-E3339-F3338,4))</f>
        <v/>
      </c>
      <c r="G3340" s="69">
        <f>MAX(0,ROUND(G3337+Materiales!$H$480-F3339-G3338,4))</f>
        <v/>
      </c>
      <c r="H3340" s="69">
        <f>MAX(0,ROUND(H3337+Materiales!$H$480-G3339-H3338,4))</f>
        <v/>
      </c>
      <c r="I3340" s="69">
        <f>MAX(0,ROUND(I3337+Materiales!$H$480-H3339-I3338,4))</f>
        <v/>
      </c>
      <c r="J3340" s="69">
        <f>MAX(0,ROUND(J3337+Materiales!$H$480-I3339-J3338,4))</f>
        <v/>
      </c>
      <c r="K3340" s="69">
        <f>MAX(0,ROUND(K3337+Materiales!$H$480-J3339-K3338,4))</f>
        <v/>
      </c>
      <c r="L3340" s="69">
        <f>MAX(0,ROUND(L3337+Materiales!$H$480-K3339-L3338,4))</f>
        <v/>
      </c>
      <c r="M3340" s="66" t="n"/>
    </row>
    <row r="3341">
      <c r="C3341" s="63" t="inlineStr">
        <is>
          <t>Recepcion de orden planificada</t>
        </is>
      </c>
      <c r="D3341" s="64" t="n"/>
      <c r="E3341" s="65">
        <f>IF(E3340&lt;=0,0,IF(Materiales!$G$480&lt;=0,E3340,ROUNDUP(E3340/Materiales!$G$480,0)*Materiales!$G$480))</f>
        <v/>
      </c>
      <c r="F3341" s="65">
        <f>IF(F3340&lt;=0,0,IF(Materiales!$G$480&lt;=0,F3340,ROUNDUP(F3340/Materiales!$G$480,0)*Materiales!$G$480))</f>
        <v/>
      </c>
      <c r="G3341" s="65">
        <f>IF(G3340&lt;=0,0,IF(Materiales!$G$480&lt;=0,G3340,ROUNDUP(G3340/Materiales!$G$480,0)*Materiales!$G$480))</f>
        <v/>
      </c>
      <c r="H3341" s="65">
        <f>IF(H3340&lt;=0,0,IF(Materiales!$G$480&lt;=0,H3340,ROUNDUP(H3340/Materiales!$G$480,0)*Materiales!$G$480))</f>
        <v/>
      </c>
      <c r="I3341" s="65">
        <f>IF(I3340&lt;=0,0,IF(Materiales!$G$480&lt;=0,I3340,ROUNDUP(I3340/Materiales!$G$480,0)*Materiales!$G$480))</f>
        <v/>
      </c>
      <c r="J3341" s="65">
        <f>IF(J3340&lt;=0,0,IF(Materiales!$G$480&lt;=0,J3340,ROUNDUP(J3340/Materiales!$G$480,0)*Materiales!$G$480))</f>
        <v/>
      </c>
      <c r="K3341" s="65">
        <f>IF(K3340&lt;=0,0,IF(Materiales!$G$480&lt;=0,K3340,ROUNDUP(K3340/Materiales!$G$480,0)*Materiales!$G$480))</f>
        <v/>
      </c>
      <c r="L3341" s="65">
        <f>IF(L3340&lt;=0,0,IF(Materiales!$G$480&lt;=0,L3340,ROUNDUP(L3340/Materiales!$G$480,0)*Materiales!$G$480))</f>
        <v/>
      </c>
      <c r="M3341" s="66" t="n"/>
    </row>
    <row r="3342">
      <c r="C3342" s="70" t="inlineStr">
        <is>
          <t>LANZAMIENTO DE ORDEN — pedir esta semana</t>
        </is>
      </c>
      <c r="D3342" s="64" t="n"/>
      <c r="E3342" s="71">
        <f>IF(1+Materiales!$F$480&gt;8,0,INDEX($E$3341:$L$3341,1,1+Materiales!$F$480))</f>
        <v/>
      </c>
      <c r="F3342" s="71">
        <f>IF(2+Materiales!$F$480&gt;8,0,INDEX($E$3341:$L$3341,1,2+Materiales!$F$480))</f>
        <v/>
      </c>
      <c r="G3342" s="71">
        <f>IF(3+Materiales!$F$480&gt;8,0,INDEX($E$3341:$L$3341,1,3+Materiales!$F$480))</f>
        <v/>
      </c>
      <c r="H3342" s="71">
        <f>IF(4+Materiales!$F$480&gt;8,0,INDEX($E$3341:$L$3341,1,4+Materiales!$F$480))</f>
        <v/>
      </c>
      <c r="I3342" s="71">
        <f>IF(5+Materiales!$F$480&gt;8,0,INDEX($E$3341:$L$3341,1,5+Materiales!$F$480))</f>
        <v/>
      </c>
      <c r="J3342" s="71">
        <f>IF(6+Materiales!$F$480&gt;8,0,INDEX($E$3341:$L$3341,1,6+Materiales!$F$480))</f>
        <v/>
      </c>
      <c r="K3342" s="71">
        <f>IF(7+Materiales!$F$480&gt;8,0,INDEX($E$3341:$L$3341,1,7+Materiales!$F$480))</f>
        <v/>
      </c>
      <c r="L3342" s="71">
        <f>IF(8+Materiales!$F$480&gt;8,0,INDEX($E$3341:$L$3341,1,8+Materiales!$F$480))</f>
        <v/>
      </c>
      <c r="M3342" s="72">
        <f>IF($A3337="","",IF(SUMPRODUCT((COLUMN($E$3341:$L$3341)-4&lt;=Materiales!$F$480)*$E$3341:$L$3341)&gt;0,"PEDIR YA (atrasado)","OK"))</f>
        <v/>
      </c>
    </row>
    <row r="3343" ht="6" customHeight="1"/>
    <row r="3344">
      <c r="A3344" s="62">
        <f>IF(Materiales!$A$481="","",Materiales!$A$481)</f>
        <v/>
      </c>
      <c r="B3344" s="62">
        <f>IF(Materiales!$B$481="","",Materiales!$B$481)</f>
        <v/>
      </c>
      <c r="C3344" s="63" t="inlineStr">
        <is>
          <t>Necesidad bruta</t>
        </is>
      </c>
      <c r="D3344" s="64" t="n"/>
      <c r="E3344" s="65">
        <f>ROUND(SUMIF(Consumo!$P$4:$P$189,"#"&amp;$A3344,Consumo!H$4:H$189),4)</f>
        <v/>
      </c>
      <c r="F3344" s="65">
        <f>ROUND(SUMIF(Consumo!$P$4:$P$189,"#"&amp;$A3344,Consumo!I$4:I$189),4)</f>
        <v/>
      </c>
      <c r="G3344" s="65">
        <f>ROUND(SUMIF(Consumo!$P$4:$P$189,"#"&amp;$A3344,Consumo!J$4:J$189),4)</f>
        <v/>
      </c>
      <c r="H3344" s="65">
        <f>ROUND(SUMIF(Consumo!$P$4:$P$189,"#"&amp;$A3344,Consumo!K$4:K$189),4)</f>
        <v/>
      </c>
      <c r="I3344" s="65">
        <f>ROUND(SUMIF(Consumo!$P$4:$P$189,"#"&amp;$A3344,Consumo!L$4:L$189),4)</f>
        <v/>
      </c>
      <c r="J3344" s="65">
        <f>ROUND(SUMIF(Consumo!$P$4:$P$189,"#"&amp;$A3344,Consumo!M$4:M$189),4)</f>
        <v/>
      </c>
      <c r="K3344" s="65">
        <f>ROUND(SUMIF(Consumo!$P$4:$P$189,"#"&amp;$A3344,Consumo!N$4:N$189),4)</f>
        <v/>
      </c>
      <c r="L3344" s="65">
        <f>ROUND(SUMIF(Consumo!$P$4:$P$189,"#"&amp;$A3344,Consumo!O$4:O$189),4)</f>
        <v/>
      </c>
      <c r="M3344" s="66" t="n"/>
    </row>
    <row r="3345">
      <c r="C3345" s="63" t="inlineStr">
        <is>
          <t>Recepciones programadas (ya pedido)</t>
        </is>
      </c>
      <c r="D3345" s="64" t="n"/>
      <c r="E3345" s="65">
        <f>SUMIF(Inventario!$M$5:$M$505,"#"&amp;$A3344,Inventario!E$5:E$505)</f>
        <v/>
      </c>
      <c r="F3345" s="65">
        <f>SUMIF(Inventario!$M$5:$M$505,"#"&amp;$A3344,Inventario!F$5:F$505)</f>
        <v/>
      </c>
      <c r="G3345" s="65">
        <f>SUMIF(Inventario!$M$5:$M$505,"#"&amp;$A3344,Inventario!G$5:G$505)</f>
        <v/>
      </c>
      <c r="H3345" s="65">
        <f>SUMIF(Inventario!$M$5:$M$505,"#"&amp;$A3344,Inventario!H$5:H$505)</f>
        <v/>
      </c>
      <c r="I3345" s="65">
        <f>SUMIF(Inventario!$M$5:$M$505,"#"&amp;$A3344,Inventario!I$5:I$505)</f>
        <v/>
      </c>
      <c r="J3345" s="65">
        <f>SUMIF(Inventario!$M$5:$M$505,"#"&amp;$A3344,Inventario!J$5:J$505)</f>
        <v/>
      </c>
      <c r="K3345" s="65">
        <f>SUMIF(Inventario!$M$5:$M$505,"#"&amp;$A3344,Inventario!K$5:K$505)</f>
        <v/>
      </c>
      <c r="L3345" s="65">
        <f>SUMIF(Inventario!$M$5:$M$505,"#"&amp;$A3344,Inventario!L$5:L$505)</f>
        <v/>
      </c>
      <c r="M3345" s="66" t="n"/>
    </row>
    <row r="3346">
      <c r="C3346" s="63" t="inlineStr">
        <is>
          <t>Stock proyectado disponible</t>
        </is>
      </c>
      <c r="D3346" s="67">
        <f>SUMIF(Inventario!$M$5:$M$505,"#"&amp;$A3344,Inventario!$C$5:$C$505)</f>
        <v/>
      </c>
      <c r="E3346" s="68">
        <f>D3346+E3345+E3348-E3344</f>
        <v/>
      </c>
      <c r="F3346" s="68">
        <f>E3346+F3345+F3348-F3344</f>
        <v/>
      </c>
      <c r="G3346" s="68">
        <f>F3346+G3345+G3348-G3344</f>
        <v/>
      </c>
      <c r="H3346" s="68">
        <f>G3346+H3345+H3348-H3344</f>
        <v/>
      </c>
      <c r="I3346" s="68">
        <f>H3346+I3345+I3348-I3344</f>
        <v/>
      </c>
      <c r="J3346" s="68">
        <f>I3346+J3345+J3348-J3344</f>
        <v/>
      </c>
      <c r="K3346" s="68">
        <f>J3346+K3345+K3348-K3344</f>
        <v/>
      </c>
      <c r="L3346" s="68">
        <f>K3346+L3345+L3348-L3344</f>
        <v/>
      </c>
      <c r="M3346" s="66" t="n"/>
    </row>
    <row r="3347">
      <c r="C3347" s="63" t="inlineStr">
        <is>
          <t>Necesidad neta</t>
        </is>
      </c>
      <c r="D3347" s="64" t="n"/>
      <c r="E3347" s="69">
        <f>MAX(0,ROUND(E3344+Materiales!$H$481-D3346-E3345,4))</f>
        <v/>
      </c>
      <c r="F3347" s="69">
        <f>MAX(0,ROUND(F3344+Materiales!$H$481-E3346-F3345,4))</f>
        <v/>
      </c>
      <c r="G3347" s="69">
        <f>MAX(0,ROUND(G3344+Materiales!$H$481-F3346-G3345,4))</f>
        <v/>
      </c>
      <c r="H3347" s="69">
        <f>MAX(0,ROUND(H3344+Materiales!$H$481-G3346-H3345,4))</f>
        <v/>
      </c>
      <c r="I3347" s="69">
        <f>MAX(0,ROUND(I3344+Materiales!$H$481-H3346-I3345,4))</f>
        <v/>
      </c>
      <c r="J3347" s="69">
        <f>MAX(0,ROUND(J3344+Materiales!$H$481-I3346-J3345,4))</f>
        <v/>
      </c>
      <c r="K3347" s="69">
        <f>MAX(0,ROUND(K3344+Materiales!$H$481-J3346-K3345,4))</f>
        <v/>
      </c>
      <c r="L3347" s="69">
        <f>MAX(0,ROUND(L3344+Materiales!$H$481-K3346-L3345,4))</f>
        <v/>
      </c>
      <c r="M3347" s="66" t="n"/>
    </row>
    <row r="3348">
      <c r="C3348" s="63" t="inlineStr">
        <is>
          <t>Recepcion de orden planificada</t>
        </is>
      </c>
      <c r="D3348" s="64" t="n"/>
      <c r="E3348" s="65">
        <f>IF(E3347&lt;=0,0,IF(Materiales!$G$481&lt;=0,E3347,ROUNDUP(E3347/Materiales!$G$481,0)*Materiales!$G$481))</f>
        <v/>
      </c>
      <c r="F3348" s="65">
        <f>IF(F3347&lt;=0,0,IF(Materiales!$G$481&lt;=0,F3347,ROUNDUP(F3347/Materiales!$G$481,0)*Materiales!$G$481))</f>
        <v/>
      </c>
      <c r="G3348" s="65">
        <f>IF(G3347&lt;=0,0,IF(Materiales!$G$481&lt;=0,G3347,ROUNDUP(G3347/Materiales!$G$481,0)*Materiales!$G$481))</f>
        <v/>
      </c>
      <c r="H3348" s="65">
        <f>IF(H3347&lt;=0,0,IF(Materiales!$G$481&lt;=0,H3347,ROUNDUP(H3347/Materiales!$G$481,0)*Materiales!$G$481))</f>
        <v/>
      </c>
      <c r="I3348" s="65">
        <f>IF(I3347&lt;=0,0,IF(Materiales!$G$481&lt;=0,I3347,ROUNDUP(I3347/Materiales!$G$481,0)*Materiales!$G$481))</f>
        <v/>
      </c>
      <c r="J3348" s="65">
        <f>IF(J3347&lt;=0,0,IF(Materiales!$G$481&lt;=0,J3347,ROUNDUP(J3347/Materiales!$G$481,0)*Materiales!$G$481))</f>
        <v/>
      </c>
      <c r="K3348" s="65">
        <f>IF(K3347&lt;=0,0,IF(Materiales!$G$481&lt;=0,K3347,ROUNDUP(K3347/Materiales!$G$481,0)*Materiales!$G$481))</f>
        <v/>
      </c>
      <c r="L3348" s="65">
        <f>IF(L3347&lt;=0,0,IF(Materiales!$G$481&lt;=0,L3347,ROUNDUP(L3347/Materiales!$G$481,0)*Materiales!$G$481))</f>
        <v/>
      </c>
      <c r="M3348" s="66" t="n"/>
    </row>
    <row r="3349">
      <c r="C3349" s="70" t="inlineStr">
        <is>
          <t>LANZAMIENTO DE ORDEN — pedir esta semana</t>
        </is>
      </c>
      <c r="D3349" s="64" t="n"/>
      <c r="E3349" s="71">
        <f>IF(1+Materiales!$F$481&gt;8,0,INDEX($E$3348:$L$3348,1,1+Materiales!$F$481))</f>
        <v/>
      </c>
      <c r="F3349" s="71">
        <f>IF(2+Materiales!$F$481&gt;8,0,INDEX($E$3348:$L$3348,1,2+Materiales!$F$481))</f>
        <v/>
      </c>
      <c r="G3349" s="71">
        <f>IF(3+Materiales!$F$481&gt;8,0,INDEX($E$3348:$L$3348,1,3+Materiales!$F$481))</f>
        <v/>
      </c>
      <c r="H3349" s="71">
        <f>IF(4+Materiales!$F$481&gt;8,0,INDEX($E$3348:$L$3348,1,4+Materiales!$F$481))</f>
        <v/>
      </c>
      <c r="I3349" s="71">
        <f>IF(5+Materiales!$F$481&gt;8,0,INDEX($E$3348:$L$3348,1,5+Materiales!$F$481))</f>
        <v/>
      </c>
      <c r="J3349" s="71">
        <f>IF(6+Materiales!$F$481&gt;8,0,INDEX($E$3348:$L$3348,1,6+Materiales!$F$481))</f>
        <v/>
      </c>
      <c r="K3349" s="71">
        <f>IF(7+Materiales!$F$481&gt;8,0,INDEX($E$3348:$L$3348,1,7+Materiales!$F$481))</f>
        <v/>
      </c>
      <c r="L3349" s="71">
        <f>IF(8+Materiales!$F$481&gt;8,0,INDEX($E$3348:$L$3348,1,8+Materiales!$F$481))</f>
        <v/>
      </c>
      <c r="M3349" s="72">
        <f>IF($A3344="","",IF(SUMPRODUCT((COLUMN($E$3348:$L$3348)-4&lt;=Materiales!$F$481)*$E$3348:$L$3348)&gt;0,"PEDIR YA (atrasado)","OK"))</f>
        <v/>
      </c>
    </row>
    <row r="3350" ht="6" customHeight="1"/>
    <row r="3351">
      <c r="A3351" s="62">
        <f>IF(Materiales!$A$482="","",Materiales!$A$482)</f>
        <v/>
      </c>
      <c r="B3351" s="62">
        <f>IF(Materiales!$B$482="","",Materiales!$B$482)</f>
        <v/>
      </c>
      <c r="C3351" s="63" t="inlineStr">
        <is>
          <t>Necesidad bruta</t>
        </is>
      </c>
      <c r="D3351" s="64" t="n"/>
      <c r="E3351" s="65">
        <f>ROUND(SUMIF(Consumo!$P$4:$P$189,"#"&amp;$A3351,Consumo!H$4:H$189),4)</f>
        <v/>
      </c>
      <c r="F3351" s="65">
        <f>ROUND(SUMIF(Consumo!$P$4:$P$189,"#"&amp;$A3351,Consumo!I$4:I$189),4)</f>
        <v/>
      </c>
      <c r="G3351" s="65">
        <f>ROUND(SUMIF(Consumo!$P$4:$P$189,"#"&amp;$A3351,Consumo!J$4:J$189),4)</f>
        <v/>
      </c>
      <c r="H3351" s="65">
        <f>ROUND(SUMIF(Consumo!$P$4:$P$189,"#"&amp;$A3351,Consumo!K$4:K$189),4)</f>
        <v/>
      </c>
      <c r="I3351" s="65">
        <f>ROUND(SUMIF(Consumo!$P$4:$P$189,"#"&amp;$A3351,Consumo!L$4:L$189),4)</f>
        <v/>
      </c>
      <c r="J3351" s="65">
        <f>ROUND(SUMIF(Consumo!$P$4:$P$189,"#"&amp;$A3351,Consumo!M$4:M$189),4)</f>
        <v/>
      </c>
      <c r="K3351" s="65">
        <f>ROUND(SUMIF(Consumo!$P$4:$P$189,"#"&amp;$A3351,Consumo!N$4:N$189),4)</f>
        <v/>
      </c>
      <c r="L3351" s="65">
        <f>ROUND(SUMIF(Consumo!$P$4:$P$189,"#"&amp;$A3351,Consumo!O$4:O$189),4)</f>
        <v/>
      </c>
      <c r="M3351" s="66" t="n"/>
    </row>
    <row r="3352">
      <c r="C3352" s="63" t="inlineStr">
        <is>
          <t>Recepciones programadas (ya pedido)</t>
        </is>
      </c>
      <c r="D3352" s="64" t="n"/>
      <c r="E3352" s="65">
        <f>SUMIF(Inventario!$M$5:$M$505,"#"&amp;$A3351,Inventario!E$5:E$505)</f>
        <v/>
      </c>
      <c r="F3352" s="65">
        <f>SUMIF(Inventario!$M$5:$M$505,"#"&amp;$A3351,Inventario!F$5:F$505)</f>
        <v/>
      </c>
      <c r="G3352" s="65">
        <f>SUMIF(Inventario!$M$5:$M$505,"#"&amp;$A3351,Inventario!G$5:G$505)</f>
        <v/>
      </c>
      <c r="H3352" s="65">
        <f>SUMIF(Inventario!$M$5:$M$505,"#"&amp;$A3351,Inventario!H$5:H$505)</f>
        <v/>
      </c>
      <c r="I3352" s="65">
        <f>SUMIF(Inventario!$M$5:$M$505,"#"&amp;$A3351,Inventario!I$5:I$505)</f>
        <v/>
      </c>
      <c r="J3352" s="65">
        <f>SUMIF(Inventario!$M$5:$M$505,"#"&amp;$A3351,Inventario!J$5:J$505)</f>
        <v/>
      </c>
      <c r="K3352" s="65">
        <f>SUMIF(Inventario!$M$5:$M$505,"#"&amp;$A3351,Inventario!K$5:K$505)</f>
        <v/>
      </c>
      <c r="L3352" s="65">
        <f>SUMIF(Inventario!$M$5:$M$505,"#"&amp;$A3351,Inventario!L$5:L$505)</f>
        <v/>
      </c>
      <c r="M3352" s="66" t="n"/>
    </row>
    <row r="3353">
      <c r="C3353" s="63" t="inlineStr">
        <is>
          <t>Stock proyectado disponible</t>
        </is>
      </c>
      <c r="D3353" s="67">
        <f>SUMIF(Inventario!$M$5:$M$505,"#"&amp;$A3351,Inventario!$C$5:$C$505)</f>
        <v/>
      </c>
      <c r="E3353" s="68">
        <f>D3353+E3352+E3355-E3351</f>
        <v/>
      </c>
      <c r="F3353" s="68">
        <f>E3353+F3352+F3355-F3351</f>
        <v/>
      </c>
      <c r="G3353" s="68">
        <f>F3353+G3352+G3355-G3351</f>
        <v/>
      </c>
      <c r="H3353" s="68">
        <f>G3353+H3352+H3355-H3351</f>
        <v/>
      </c>
      <c r="I3353" s="68">
        <f>H3353+I3352+I3355-I3351</f>
        <v/>
      </c>
      <c r="J3353" s="68">
        <f>I3353+J3352+J3355-J3351</f>
        <v/>
      </c>
      <c r="K3353" s="68">
        <f>J3353+K3352+K3355-K3351</f>
        <v/>
      </c>
      <c r="L3353" s="68">
        <f>K3353+L3352+L3355-L3351</f>
        <v/>
      </c>
      <c r="M3353" s="66" t="n"/>
    </row>
    <row r="3354">
      <c r="C3354" s="63" t="inlineStr">
        <is>
          <t>Necesidad neta</t>
        </is>
      </c>
      <c r="D3354" s="64" t="n"/>
      <c r="E3354" s="69">
        <f>MAX(0,ROUND(E3351+Materiales!$H$482-D3353-E3352,4))</f>
        <v/>
      </c>
      <c r="F3354" s="69">
        <f>MAX(0,ROUND(F3351+Materiales!$H$482-E3353-F3352,4))</f>
        <v/>
      </c>
      <c r="G3354" s="69">
        <f>MAX(0,ROUND(G3351+Materiales!$H$482-F3353-G3352,4))</f>
        <v/>
      </c>
      <c r="H3354" s="69">
        <f>MAX(0,ROUND(H3351+Materiales!$H$482-G3353-H3352,4))</f>
        <v/>
      </c>
      <c r="I3354" s="69">
        <f>MAX(0,ROUND(I3351+Materiales!$H$482-H3353-I3352,4))</f>
        <v/>
      </c>
      <c r="J3354" s="69">
        <f>MAX(0,ROUND(J3351+Materiales!$H$482-I3353-J3352,4))</f>
        <v/>
      </c>
      <c r="K3354" s="69">
        <f>MAX(0,ROUND(K3351+Materiales!$H$482-J3353-K3352,4))</f>
        <v/>
      </c>
      <c r="L3354" s="69">
        <f>MAX(0,ROUND(L3351+Materiales!$H$482-K3353-L3352,4))</f>
        <v/>
      </c>
      <c r="M3354" s="66" t="n"/>
    </row>
    <row r="3355">
      <c r="C3355" s="63" t="inlineStr">
        <is>
          <t>Recepcion de orden planificada</t>
        </is>
      </c>
      <c r="D3355" s="64" t="n"/>
      <c r="E3355" s="65">
        <f>IF(E3354&lt;=0,0,IF(Materiales!$G$482&lt;=0,E3354,ROUNDUP(E3354/Materiales!$G$482,0)*Materiales!$G$482))</f>
        <v/>
      </c>
      <c r="F3355" s="65">
        <f>IF(F3354&lt;=0,0,IF(Materiales!$G$482&lt;=0,F3354,ROUNDUP(F3354/Materiales!$G$482,0)*Materiales!$G$482))</f>
        <v/>
      </c>
      <c r="G3355" s="65">
        <f>IF(G3354&lt;=0,0,IF(Materiales!$G$482&lt;=0,G3354,ROUNDUP(G3354/Materiales!$G$482,0)*Materiales!$G$482))</f>
        <v/>
      </c>
      <c r="H3355" s="65">
        <f>IF(H3354&lt;=0,0,IF(Materiales!$G$482&lt;=0,H3354,ROUNDUP(H3354/Materiales!$G$482,0)*Materiales!$G$482))</f>
        <v/>
      </c>
      <c r="I3355" s="65">
        <f>IF(I3354&lt;=0,0,IF(Materiales!$G$482&lt;=0,I3354,ROUNDUP(I3354/Materiales!$G$482,0)*Materiales!$G$482))</f>
        <v/>
      </c>
      <c r="J3355" s="65">
        <f>IF(J3354&lt;=0,0,IF(Materiales!$G$482&lt;=0,J3354,ROUNDUP(J3354/Materiales!$G$482,0)*Materiales!$G$482))</f>
        <v/>
      </c>
      <c r="K3355" s="65">
        <f>IF(K3354&lt;=0,0,IF(Materiales!$G$482&lt;=0,K3354,ROUNDUP(K3354/Materiales!$G$482,0)*Materiales!$G$482))</f>
        <v/>
      </c>
      <c r="L3355" s="65">
        <f>IF(L3354&lt;=0,0,IF(Materiales!$G$482&lt;=0,L3354,ROUNDUP(L3354/Materiales!$G$482,0)*Materiales!$G$482))</f>
        <v/>
      </c>
      <c r="M3355" s="66" t="n"/>
    </row>
    <row r="3356">
      <c r="C3356" s="70" t="inlineStr">
        <is>
          <t>LANZAMIENTO DE ORDEN — pedir esta semana</t>
        </is>
      </c>
      <c r="D3356" s="64" t="n"/>
      <c r="E3356" s="71">
        <f>IF(1+Materiales!$F$482&gt;8,0,INDEX($E$3355:$L$3355,1,1+Materiales!$F$482))</f>
        <v/>
      </c>
      <c r="F3356" s="71">
        <f>IF(2+Materiales!$F$482&gt;8,0,INDEX($E$3355:$L$3355,1,2+Materiales!$F$482))</f>
        <v/>
      </c>
      <c r="G3356" s="71">
        <f>IF(3+Materiales!$F$482&gt;8,0,INDEX($E$3355:$L$3355,1,3+Materiales!$F$482))</f>
        <v/>
      </c>
      <c r="H3356" s="71">
        <f>IF(4+Materiales!$F$482&gt;8,0,INDEX($E$3355:$L$3355,1,4+Materiales!$F$482))</f>
        <v/>
      </c>
      <c r="I3356" s="71">
        <f>IF(5+Materiales!$F$482&gt;8,0,INDEX($E$3355:$L$3355,1,5+Materiales!$F$482))</f>
        <v/>
      </c>
      <c r="J3356" s="71">
        <f>IF(6+Materiales!$F$482&gt;8,0,INDEX($E$3355:$L$3355,1,6+Materiales!$F$482))</f>
        <v/>
      </c>
      <c r="K3356" s="71">
        <f>IF(7+Materiales!$F$482&gt;8,0,INDEX($E$3355:$L$3355,1,7+Materiales!$F$482))</f>
        <v/>
      </c>
      <c r="L3356" s="71">
        <f>IF(8+Materiales!$F$482&gt;8,0,INDEX($E$3355:$L$3355,1,8+Materiales!$F$482))</f>
        <v/>
      </c>
      <c r="M3356" s="72">
        <f>IF($A3351="","",IF(SUMPRODUCT((COLUMN($E$3355:$L$3355)-4&lt;=Materiales!$F$482)*$E$3355:$L$3355)&gt;0,"PEDIR YA (atrasado)","OK"))</f>
        <v/>
      </c>
    </row>
    <row r="3357" ht="6" customHeight="1"/>
    <row r="3358">
      <c r="A3358" s="62">
        <f>IF(Materiales!$A$483="","",Materiales!$A$483)</f>
        <v/>
      </c>
      <c r="B3358" s="62">
        <f>IF(Materiales!$B$483="","",Materiales!$B$483)</f>
        <v/>
      </c>
      <c r="C3358" s="63" t="inlineStr">
        <is>
          <t>Necesidad bruta</t>
        </is>
      </c>
      <c r="D3358" s="64" t="n"/>
      <c r="E3358" s="65">
        <f>ROUND(SUMIF(Consumo!$P$4:$P$189,"#"&amp;$A3358,Consumo!H$4:H$189),4)</f>
        <v/>
      </c>
      <c r="F3358" s="65">
        <f>ROUND(SUMIF(Consumo!$P$4:$P$189,"#"&amp;$A3358,Consumo!I$4:I$189),4)</f>
        <v/>
      </c>
      <c r="G3358" s="65">
        <f>ROUND(SUMIF(Consumo!$P$4:$P$189,"#"&amp;$A3358,Consumo!J$4:J$189),4)</f>
        <v/>
      </c>
      <c r="H3358" s="65">
        <f>ROUND(SUMIF(Consumo!$P$4:$P$189,"#"&amp;$A3358,Consumo!K$4:K$189),4)</f>
        <v/>
      </c>
      <c r="I3358" s="65">
        <f>ROUND(SUMIF(Consumo!$P$4:$P$189,"#"&amp;$A3358,Consumo!L$4:L$189),4)</f>
        <v/>
      </c>
      <c r="J3358" s="65">
        <f>ROUND(SUMIF(Consumo!$P$4:$P$189,"#"&amp;$A3358,Consumo!M$4:M$189),4)</f>
        <v/>
      </c>
      <c r="K3358" s="65">
        <f>ROUND(SUMIF(Consumo!$P$4:$P$189,"#"&amp;$A3358,Consumo!N$4:N$189),4)</f>
        <v/>
      </c>
      <c r="L3358" s="65">
        <f>ROUND(SUMIF(Consumo!$P$4:$P$189,"#"&amp;$A3358,Consumo!O$4:O$189),4)</f>
        <v/>
      </c>
      <c r="M3358" s="66" t="n"/>
    </row>
    <row r="3359">
      <c r="C3359" s="63" t="inlineStr">
        <is>
          <t>Recepciones programadas (ya pedido)</t>
        </is>
      </c>
      <c r="D3359" s="64" t="n"/>
      <c r="E3359" s="65">
        <f>SUMIF(Inventario!$M$5:$M$505,"#"&amp;$A3358,Inventario!E$5:E$505)</f>
        <v/>
      </c>
      <c r="F3359" s="65">
        <f>SUMIF(Inventario!$M$5:$M$505,"#"&amp;$A3358,Inventario!F$5:F$505)</f>
        <v/>
      </c>
      <c r="G3359" s="65">
        <f>SUMIF(Inventario!$M$5:$M$505,"#"&amp;$A3358,Inventario!G$5:G$505)</f>
        <v/>
      </c>
      <c r="H3359" s="65">
        <f>SUMIF(Inventario!$M$5:$M$505,"#"&amp;$A3358,Inventario!H$5:H$505)</f>
        <v/>
      </c>
      <c r="I3359" s="65">
        <f>SUMIF(Inventario!$M$5:$M$505,"#"&amp;$A3358,Inventario!I$5:I$505)</f>
        <v/>
      </c>
      <c r="J3359" s="65">
        <f>SUMIF(Inventario!$M$5:$M$505,"#"&amp;$A3358,Inventario!J$5:J$505)</f>
        <v/>
      </c>
      <c r="K3359" s="65">
        <f>SUMIF(Inventario!$M$5:$M$505,"#"&amp;$A3358,Inventario!K$5:K$505)</f>
        <v/>
      </c>
      <c r="L3359" s="65">
        <f>SUMIF(Inventario!$M$5:$M$505,"#"&amp;$A3358,Inventario!L$5:L$505)</f>
        <v/>
      </c>
      <c r="M3359" s="66" t="n"/>
    </row>
    <row r="3360">
      <c r="C3360" s="63" t="inlineStr">
        <is>
          <t>Stock proyectado disponible</t>
        </is>
      </c>
      <c r="D3360" s="67">
        <f>SUMIF(Inventario!$M$5:$M$505,"#"&amp;$A3358,Inventario!$C$5:$C$505)</f>
        <v/>
      </c>
      <c r="E3360" s="68">
        <f>D3360+E3359+E3362-E3358</f>
        <v/>
      </c>
      <c r="F3360" s="68">
        <f>E3360+F3359+F3362-F3358</f>
        <v/>
      </c>
      <c r="G3360" s="68">
        <f>F3360+G3359+G3362-G3358</f>
        <v/>
      </c>
      <c r="H3360" s="68">
        <f>G3360+H3359+H3362-H3358</f>
        <v/>
      </c>
      <c r="I3360" s="68">
        <f>H3360+I3359+I3362-I3358</f>
        <v/>
      </c>
      <c r="J3360" s="68">
        <f>I3360+J3359+J3362-J3358</f>
        <v/>
      </c>
      <c r="K3360" s="68">
        <f>J3360+K3359+K3362-K3358</f>
        <v/>
      </c>
      <c r="L3360" s="68">
        <f>K3360+L3359+L3362-L3358</f>
        <v/>
      </c>
      <c r="M3360" s="66" t="n"/>
    </row>
    <row r="3361">
      <c r="C3361" s="63" t="inlineStr">
        <is>
          <t>Necesidad neta</t>
        </is>
      </c>
      <c r="D3361" s="64" t="n"/>
      <c r="E3361" s="69">
        <f>MAX(0,ROUND(E3358+Materiales!$H$483-D3360-E3359,4))</f>
        <v/>
      </c>
      <c r="F3361" s="69">
        <f>MAX(0,ROUND(F3358+Materiales!$H$483-E3360-F3359,4))</f>
        <v/>
      </c>
      <c r="G3361" s="69">
        <f>MAX(0,ROUND(G3358+Materiales!$H$483-F3360-G3359,4))</f>
        <v/>
      </c>
      <c r="H3361" s="69">
        <f>MAX(0,ROUND(H3358+Materiales!$H$483-G3360-H3359,4))</f>
        <v/>
      </c>
      <c r="I3361" s="69">
        <f>MAX(0,ROUND(I3358+Materiales!$H$483-H3360-I3359,4))</f>
        <v/>
      </c>
      <c r="J3361" s="69">
        <f>MAX(0,ROUND(J3358+Materiales!$H$483-I3360-J3359,4))</f>
        <v/>
      </c>
      <c r="K3361" s="69">
        <f>MAX(0,ROUND(K3358+Materiales!$H$483-J3360-K3359,4))</f>
        <v/>
      </c>
      <c r="L3361" s="69">
        <f>MAX(0,ROUND(L3358+Materiales!$H$483-K3360-L3359,4))</f>
        <v/>
      </c>
      <c r="M3361" s="66" t="n"/>
    </row>
    <row r="3362">
      <c r="C3362" s="63" t="inlineStr">
        <is>
          <t>Recepcion de orden planificada</t>
        </is>
      </c>
      <c r="D3362" s="64" t="n"/>
      <c r="E3362" s="65">
        <f>IF(E3361&lt;=0,0,IF(Materiales!$G$483&lt;=0,E3361,ROUNDUP(E3361/Materiales!$G$483,0)*Materiales!$G$483))</f>
        <v/>
      </c>
      <c r="F3362" s="65">
        <f>IF(F3361&lt;=0,0,IF(Materiales!$G$483&lt;=0,F3361,ROUNDUP(F3361/Materiales!$G$483,0)*Materiales!$G$483))</f>
        <v/>
      </c>
      <c r="G3362" s="65">
        <f>IF(G3361&lt;=0,0,IF(Materiales!$G$483&lt;=0,G3361,ROUNDUP(G3361/Materiales!$G$483,0)*Materiales!$G$483))</f>
        <v/>
      </c>
      <c r="H3362" s="65">
        <f>IF(H3361&lt;=0,0,IF(Materiales!$G$483&lt;=0,H3361,ROUNDUP(H3361/Materiales!$G$483,0)*Materiales!$G$483))</f>
        <v/>
      </c>
      <c r="I3362" s="65">
        <f>IF(I3361&lt;=0,0,IF(Materiales!$G$483&lt;=0,I3361,ROUNDUP(I3361/Materiales!$G$483,0)*Materiales!$G$483))</f>
        <v/>
      </c>
      <c r="J3362" s="65">
        <f>IF(J3361&lt;=0,0,IF(Materiales!$G$483&lt;=0,J3361,ROUNDUP(J3361/Materiales!$G$483,0)*Materiales!$G$483))</f>
        <v/>
      </c>
      <c r="K3362" s="65">
        <f>IF(K3361&lt;=0,0,IF(Materiales!$G$483&lt;=0,K3361,ROUNDUP(K3361/Materiales!$G$483,0)*Materiales!$G$483))</f>
        <v/>
      </c>
      <c r="L3362" s="65">
        <f>IF(L3361&lt;=0,0,IF(Materiales!$G$483&lt;=0,L3361,ROUNDUP(L3361/Materiales!$G$483,0)*Materiales!$G$483))</f>
        <v/>
      </c>
      <c r="M3362" s="66" t="n"/>
    </row>
    <row r="3363">
      <c r="C3363" s="70" t="inlineStr">
        <is>
          <t>LANZAMIENTO DE ORDEN — pedir esta semana</t>
        </is>
      </c>
      <c r="D3363" s="64" t="n"/>
      <c r="E3363" s="71">
        <f>IF(1+Materiales!$F$483&gt;8,0,INDEX($E$3362:$L$3362,1,1+Materiales!$F$483))</f>
        <v/>
      </c>
      <c r="F3363" s="71">
        <f>IF(2+Materiales!$F$483&gt;8,0,INDEX($E$3362:$L$3362,1,2+Materiales!$F$483))</f>
        <v/>
      </c>
      <c r="G3363" s="71">
        <f>IF(3+Materiales!$F$483&gt;8,0,INDEX($E$3362:$L$3362,1,3+Materiales!$F$483))</f>
        <v/>
      </c>
      <c r="H3363" s="71">
        <f>IF(4+Materiales!$F$483&gt;8,0,INDEX($E$3362:$L$3362,1,4+Materiales!$F$483))</f>
        <v/>
      </c>
      <c r="I3363" s="71">
        <f>IF(5+Materiales!$F$483&gt;8,0,INDEX($E$3362:$L$3362,1,5+Materiales!$F$483))</f>
        <v/>
      </c>
      <c r="J3363" s="71">
        <f>IF(6+Materiales!$F$483&gt;8,0,INDEX($E$3362:$L$3362,1,6+Materiales!$F$483))</f>
        <v/>
      </c>
      <c r="K3363" s="71">
        <f>IF(7+Materiales!$F$483&gt;8,0,INDEX($E$3362:$L$3362,1,7+Materiales!$F$483))</f>
        <v/>
      </c>
      <c r="L3363" s="71">
        <f>IF(8+Materiales!$F$483&gt;8,0,INDEX($E$3362:$L$3362,1,8+Materiales!$F$483))</f>
        <v/>
      </c>
      <c r="M3363" s="72">
        <f>IF($A3358="","",IF(SUMPRODUCT((COLUMN($E$3362:$L$3362)-4&lt;=Materiales!$F$483)*$E$3362:$L$3362)&gt;0,"PEDIR YA (atrasado)","OK"))</f>
        <v/>
      </c>
    </row>
    <row r="3364" ht="6" customHeight="1"/>
    <row r="3365">
      <c r="A3365" s="62">
        <f>IF(Materiales!$A$484="","",Materiales!$A$484)</f>
        <v/>
      </c>
      <c r="B3365" s="62">
        <f>IF(Materiales!$B$484="","",Materiales!$B$484)</f>
        <v/>
      </c>
      <c r="C3365" s="63" t="inlineStr">
        <is>
          <t>Necesidad bruta</t>
        </is>
      </c>
      <c r="D3365" s="64" t="n"/>
      <c r="E3365" s="65">
        <f>ROUND(SUMIF(Consumo!$P$4:$P$189,"#"&amp;$A3365,Consumo!H$4:H$189),4)</f>
        <v/>
      </c>
      <c r="F3365" s="65">
        <f>ROUND(SUMIF(Consumo!$P$4:$P$189,"#"&amp;$A3365,Consumo!I$4:I$189),4)</f>
        <v/>
      </c>
      <c r="G3365" s="65">
        <f>ROUND(SUMIF(Consumo!$P$4:$P$189,"#"&amp;$A3365,Consumo!J$4:J$189),4)</f>
        <v/>
      </c>
      <c r="H3365" s="65">
        <f>ROUND(SUMIF(Consumo!$P$4:$P$189,"#"&amp;$A3365,Consumo!K$4:K$189),4)</f>
        <v/>
      </c>
      <c r="I3365" s="65">
        <f>ROUND(SUMIF(Consumo!$P$4:$P$189,"#"&amp;$A3365,Consumo!L$4:L$189),4)</f>
        <v/>
      </c>
      <c r="J3365" s="65">
        <f>ROUND(SUMIF(Consumo!$P$4:$P$189,"#"&amp;$A3365,Consumo!M$4:M$189),4)</f>
        <v/>
      </c>
      <c r="K3365" s="65">
        <f>ROUND(SUMIF(Consumo!$P$4:$P$189,"#"&amp;$A3365,Consumo!N$4:N$189),4)</f>
        <v/>
      </c>
      <c r="L3365" s="65">
        <f>ROUND(SUMIF(Consumo!$P$4:$P$189,"#"&amp;$A3365,Consumo!O$4:O$189),4)</f>
        <v/>
      </c>
      <c r="M3365" s="66" t="n"/>
    </row>
    <row r="3366">
      <c r="C3366" s="63" t="inlineStr">
        <is>
          <t>Recepciones programadas (ya pedido)</t>
        </is>
      </c>
      <c r="D3366" s="64" t="n"/>
      <c r="E3366" s="65">
        <f>SUMIF(Inventario!$M$5:$M$505,"#"&amp;$A3365,Inventario!E$5:E$505)</f>
        <v/>
      </c>
      <c r="F3366" s="65">
        <f>SUMIF(Inventario!$M$5:$M$505,"#"&amp;$A3365,Inventario!F$5:F$505)</f>
        <v/>
      </c>
      <c r="G3366" s="65">
        <f>SUMIF(Inventario!$M$5:$M$505,"#"&amp;$A3365,Inventario!G$5:G$505)</f>
        <v/>
      </c>
      <c r="H3366" s="65">
        <f>SUMIF(Inventario!$M$5:$M$505,"#"&amp;$A3365,Inventario!H$5:H$505)</f>
        <v/>
      </c>
      <c r="I3366" s="65">
        <f>SUMIF(Inventario!$M$5:$M$505,"#"&amp;$A3365,Inventario!I$5:I$505)</f>
        <v/>
      </c>
      <c r="J3366" s="65">
        <f>SUMIF(Inventario!$M$5:$M$505,"#"&amp;$A3365,Inventario!J$5:J$505)</f>
        <v/>
      </c>
      <c r="K3366" s="65">
        <f>SUMIF(Inventario!$M$5:$M$505,"#"&amp;$A3365,Inventario!K$5:K$505)</f>
        <v/>
      </c>
      <c r="L3366" s="65">
        <f>SUMIF(Inventario!$M$5:$M$505,"#"&amp;$A3365,Inventario!L$5:L$505)</f>
        <v/>
      </c>
      <c r="M3366" s="66" t="n"/>
    </row>
    <row r="3367">
      <c r="C3367" s="63" t="inlineStr">
        <is>
          <t>Stock proyectado disponible</t>
        </is>
      </c>
      <c r="D3367" s="67">
        <f>SUMIF(Inventario!$M$5:$M$505,"#"&amp;$A3365,Inventario!$C$5:$C$505)</f>
        <v/>
      </c>
      <c r="E3367" s="68">
        <f>D3367+E3366+E3369-E3365</f>
        <v/>
      </c>
      <c r="F3367" s="68">
        <f>E3367+F3366+F3369-F3365</f>
        <v/>
      </c>
      <c r="G3367" s="68">
        <f>F3367+G3366+G3369-G3365</f>
        <v/>
      </c>
      <c r="H3367" s="68">
        <f>G3367+H3366+H3369-H3365</f>
        <v/>
      </c>
      <c r="I3367" s="68">
        <f>H3367+I3366+I3369-I3365</f>
        <v/>
      </c>
      <c r="J3367" s="68">
        <f>I3367+J3366+J3369-J3365</f>
        <v/>
      </c>
      <c r="K3367" s="68">
        <f>J3367+K3366+K3369-K3365</f>
        <v/>
      </c>
      <c r="L3367" s="68">
        <f>K3367+L3366+L3369-L3365</f>
        <v/>
      </c>
      <c r="M3367" s="66" t="n"/>
    </row>
    <row r="3368">
      <c r="C3368" s="63" t="inlineStr">
        <is>
          <t>Necesidad neta</t>
        </is>
      </c>
      <c r="D3368" s="64" t="n"/>
      <c r="E3368" s="69">
        <f>MAX(0,ROUND(E3365+Materiales!$H$484-D3367-E3366,4))</f>
        <v/>
      </c>
      <c r="F3368" s="69">
        <f>MAX(0,ROUND(F3365+Materiales!$H$484-E3367-F3366,4))</f>
        <v/>
      </c>
      <c r="G3368" s="69">
        <f>MAX(0,ROUND(G3365+Materiales!$H$484-F3367-G3366,4))</f>
        <v/>
      </c>
      <c r="H3368" s="69">
        <f>MAX(0,ROUND(H3365+Materiales!$H$484-G3367-H3366,4))</f>
        <v/>
      </c>
      <c r="I3368" s="69">
        <f>MAX(0,ROUND(I3365+Materiales!$H$484-H3367-I3366,4))</f>
        <v/>
      </c>
      <c r="J3368" s="69">
        <f>MAX(0,ROUND(J3365+Materiales!$H$484-I3367-J3366,4))</f>
        <v/>
      </c>
      <c r="K3368" s="69">
        <f>MAX(0,ROUND(K3365+Materiales!$H$484-J3367-K3366,4))</f>
        <v/>
      </c>
      <c r="L3368" s="69">
        <f>MAX(0,ROUND(L3365+Materiales!$H$484-K3367-L3366,4))</f>
        <v/>
      </c>
      <c r="M3368" s="66" t="n"/>
    </row>
    <row r="3369">
      <c r="C3369" s="63" t="inlineStr">
        <is>
          <t>Recepcion de orden planificada</t>
        </is>
      </c>
      <c r="D3369" s="64" t="n"/>
      <c r="E3369" s="65">
        <f>IF(E3368&lt;=0,0,IF(Materiales!$G$484&lt;=0,E3368,ROUNDUP(E3368/Materiales!$G$484,0)*Materiales!$G$484))</f>
        <v/>
      </c>
      <c r="F3369" s="65">
        <f>IF(F3368&lt;=0,0,IF(Materiales!$G$484&lt;=0,F3368,ROUNDUP(F3368/Materiales!$G$484,0)*Materiales!$G$484))</f>
        <v/>
      </c>
      <c r="G3369" s="65">
        <f>IF(G3368&lt;=0,0,IF(Materiales!$G$484&lt;=0,G3368,ROUNDUP(G3368/Materiales!$G$484,0)*Materiales!$G$484))</f>
        <v/>
      </c>
      <c r="H3369" s="65">
        <f>IF(H3368&lt;=0,0,IF(Materiales!$G$484&lt;=0,H3368,ROUNDUP(H3368/Materiales!$G$484,0)*Materiales!$G$484))</f>
        <v/>
      </c>
      <c r="I3369" s="65">
        <f>IF(I3368&lt;=0,0,IF(Materiales!$G$484&lt;=0,I3368,ROUNDUP(I3368/Materiales!$G$484,0)*Materiales!$G$484))</f>
        <v/>
      </c>
      <c r="J3369" s="65">
        <f>IF(J3368&lt;=0,0,IF(Materiales!$G$484&lt;=0,J3368,ROUNDUP(J3368/Materiales!$G$484,0)*Materiales!$G$484))</f>
        <v/>
      </c>
      <c r="K3369" s="65">
        <f>IF(K3368&lt;=0,0,IF(Materiales!$G$484&lt;=0,K3368,ROUNDUP(K3368/Materiales!$G$484,0)*Materiales!$G$484))</f>
        <v/>
      </c>
      <c r="L3369" s="65">
        <f>IF(L3368&lt;=0,0,IF(Materiales!$G$484&lt;=0,L3368,ROUNDUP(L3368/Materiales!$G$484,0)*Materiales!$G$484))</f>
        <v/>
      </c>
      <c r="M3369" s="66" t="n"/>
    </row>
    <row r="3370">
      <c r="C3370" s="70" t="inlineStr">
        <is>
          <t>LANZAMIENTO DE ORDEN — pedir esta semana</t>
        </is>
      </c>
      <c r="D3370" s="64" t="n"/>
      <c r="E3370" s="71">
        <f>IF(1+Materiales!$F$484&gt;8,0,INDEX($E$3369:$L$3369,1,1+Materiales!$F$484))</f>
        <v/>
      </c>
      <c r="F3370" s="71">
        <f>IF(2+Materiales!$F$484&gt;8,0,INDEX($E$3369:$L$3369,1,2+Materiales!$F$484))</f>
        <v/>
      </c>
      <c r="G3370" s="71">
        <f>IF(3+Materiales!$F$484&gt;8,0,INDEX($E$3369:$L$3369,1,3+Materiales!$F$484))</f>
        <v/>
      </c>
      <c r="H3370" s="71">
        <f>IF(4+Materiales!$F$484&gt;8,0,INDEX($E$3369:$L$3369,1,4+Materiales!$F$484))</f>
        <v/>
      </c>
      <c r="I3370" s="71">
        <f>IF(5+Materiales!$F$484&gt;8,0,INDEX($E$3369:$L$3369,1,5+Materiales!$F$484))</f>
        <v/>
      </c>
      <c r="J3370" s="71">
        <f>IF(6+Materiales!$F$484&gt;8,0,INDEX($E$3369:$L$3369,1,6+Materiales!$F$484))</f>
        <v/>
      </c>
      <c r="K3370" s="71">
        <f>IF(7+Materiales!$F$484&gt;8,0,INDEX($E$3369:$L$3369,1,7+Materiales!$F$484))</f>
        <v/>
      </c>
      <c r="L3370" s="71">
        <f>IF(8+Materiales!$F$484&gt;8,0,INDEX($E$3369:$L$3369,1,8+Materiales!$F$484))</f>
        <v/>
      </c>
      <c r="M3370" s="72">
        <f>IF($A3365="","",IF(SUMPRODUCT((COLUMN($E$3369:$L$3369)-4&lt;=Materiales!$F$484)*$E$3369:$L$3369)&gt;0,"PEDIR YA (atrasado)","OK"))</f>
        <v/>
      </c>
    </row>
    <row r="3371" ht="6" customHeight="1"/>
  </sheetData>
  <mergeCells count="964">
    <mergeCell ref="A726:A731"/>
    <mergeCell ref="A2749:A2754"/>
    <mergeCell ref="A2945:A2950"/>
    <mergeCell ref="A3078:A3083"/>
    <mergeCell ref="A1825:A1830"/>
    <mergeCell ref="A1496:A1501"/>
    <mergeCell ref="A3022:A3027"/>
    <mergeCell ref="B1853:B1858"/>
    <mergeCell ref="B327:B332"/>
    <mergeCell ref="B460:B465"/>
    <mergeCell ref="B1657:B1662"/>
    <mergeCell ref="A2490:A2495"/>
    <mergeCell ref="B1426:B1431"/>
    <mergeCell ref="A61:A66"/>
    <mergeCell ref="B1146:B1151"/>
    <mergeCell ref="A2602:A2607"/>
    <mergeCell ref="B1363:B1368"/>
    <mergeCell ref="B2140:B2145"/>
    <mergeCell ref="B2245:B2250"/>
    <mergeCell ref="B852:B857"/>
    <mergeCell ref="A54:A59"/>
    <mergeCell ref="B2609:B2614"/>
    <mergeCell ref="A1349:A1354"/>
    <mergeCell ref="B887:B892"/>
    <mergeCell ref="B691:B696"/>
    <mergeCell ref="B1713:B1718"/>
    <mergeCell ref="B2217:B2222"/>
    <mergeCell ref="B3043:B3048"/>
    <mergeCell ref="A2343:A2348"/>
    <mergeCell ref="A817:A822"/>
    <mergeCell ref="A1839:A1844"/>
    <mergeCell ref="A3169:A3174"/>
    <mergeCell ref="A2308:A2313"/>
    <mergeCell ref="B1790:B1795"/>
    <mergeCell ref="B2154:B2159"/>
    <mergeCell ref="A586:A591"/>
    <mergeCell ref="A341:A346"/>
    <mergeCell ref="A390:A395"/>
    <mergeCell ref="A1916:A1921"/>
    <mergeCell ref="A2742:A2747"/>
    <mergeCell ref="B747:B752"/>
    <mergeCell ref="A3106:A3111"/>
    <mergeCell ref="A1384:A1389"/>
    <mergeCell ref="A1853:A1858"/>
    <mergeCell ref="A2679:A2684"/>
    <mergeCell ref="A2735:A2740"/>
    <mergeCell ref="B40:B45"/>
    <mergeCell ref="A131:A136"/>
    <mergeCell ref="A957:A962"/>
    <mergeCell ref="B2077:B2082"/>
    <mergeCell ref="B2861:B2866"/>
    <mergeCell ref="A2203:A2208"/>
    <mergeCell ref="B257:B262"/>
    <mergeCell ref="B1139:B1144"/>
    <mergeCell ref="B2798:B2803"/>
    <mergeCell ref="A1776:A1781"/>
    <mergeCell ref="A2140:A2145"/>
    <mergeCell ref="B607:B612"/>
    <mergeCell ref="B1937:B1942"/>
    <mergeCell ref="B1076:B1081"/>
    <mergeCell ref="B2273:B2278"/>
    <mergeCell ref="B2406:B2411"/>
    <mergeCell ref="B2322:B2327"/>
    <mergeCell ref="B3148:B3153"/>
    <mergeCell ref="A1202:A1207"/>
    <mergeCell ref="B684:B689"/>
    <mergeCell ref="B1048:B1053"/>
    <mergeCell ref="B3071:B3076"/>
    <mergeCell ref="B600:B605"/>
    <mergeCell ref="B404:B409"/>
    <mergeCell ref="A810:A815"/>
    <mergeCell ref="B2756:B2761"/>
    <mergeCell ref="B3267:B3272"/>
    <mergeCell ref="A2105:A2110"/>
    <mergeCell ref="A2882:A2887"/>
    <mergeCell ref="B208:B213"/>
    <mergeCell ref="B1503:B1508"/>
    <mergeCell ref="A334:A339"/>
    <mergeCell ref="B1867:B1872"/>
    <mergeCell ref="A747:A752"/>
    <mergeCell ref="B2693:B2698"/>
    <mergeCell ref="A1629:A1634"/>
    <mergeCell ref="A2966:A2971"/>
    <mergeCell ref="A2819:A2824"/>
    <mergeCell ref="B145:B150"/>
    <mergeCell ref="B971:B976"/>
    <mergeCell ref="B1440:B1445"/>
    <mergeCell ref="A271:A276"/>
    <mergeCell ref="A1097:A1102"/>
    <mergeCell ref="A1468:A1473"/>
    <mergeCell ref="A1566:A1571"/>
    <mergeCell ref="A2392:A2397"/>
    <mergeCell ref="A2763:A2768"/>
    <mergeCell ref="A670:A675"/>
    <mergeCell ref="A2231:A2236"/>
    <mergeCell ref="B1167:B1172"/>
    <mergeCell ref="B3204:B3209"/>
    <mergeCell ref="A978:A983"/>
    <mergeCell ref="A3330:A3335"/>
    <mergeCell ref="B2161:B2166"/>
    <mergeCell ref="B1650:B1655"/>
    <mergeCell ref="A3267:A3272"/>
    <mergeCell ref="A2952:A2957"/>
    <mergeCell ref="B397:B402"/>
    <mergeCell ref="B628:B633"/>
    <mergeCell ref="B1454:B1459"/>
    <mergeCell ref="B1587:B1592"/>
    <mergeCell ref="B1958:B1963"/>
    <mergeCell ref="B2980:B2985"/>
    <mergeCell ref="B3078:B3083"/>
    <mergeCell ref="B1727:B1732"/>
    <mergeCell ref="B334:B339"/>
    <mergeCell ref="B2553:B2558"/>
    <mergeCell ref="A1188:A1193"/>
    <mergeCell ref="A460:A465"/>
    <mergeCell ref="A1657:A1662"/>
    <mergeCell ref="B173:B178"/>
    <mergeCell ref="B999:B1004"/>
    <mergeCell ref="B1195:B1200"/>
    <mergeCell ref="B3351:B3356"/>
    <mergeCell ref="B2490:B2495"/>
    <mergeCell ref="B1153:B1158"/>
    <mergeCell ref="A1125:A1130"/>
    <mergeCell ref="A1181:A1186"/>
    <mergeCell ref="A2616:A2621"/>
    <mergeCell ref="B2014:B2019"/>
    <mergeCell ref="B1818:B1823"/>
    <mergeCell ref="B2147:B2152"/>
    <mergeCell ref="A2224:A2229"/>
    <mergeCell ref="B3344:B3349"/>
    <mergeCell ref="A1944:A1949"/>
    <mergeCell ref="B2917:B2922"/>
    <mergeCell ref="A1748:A1753"/>
    <mergeCell ref="A222:A227"/>
    <mergeCell ref="A2161:A2166"/>
    <mergeCell ref="B3281:B3286"/>
    <mergeCell ref="A691:A696"/>
    <mergeCell ref="A3043:A3048"/>
    <mergeCell ref="B1874:B1879"/>
    <mergeCell ref="A1685:A1690"/>
    <mergeCell ref="A2511:A2516"/>
    <mergeCell ref="A2980:A2985"/>
    <mergeCell ref="B621:B626"/>
    <mergeCell ref="A551:A556"/>
    <mergeCell ref="A1258:A1263"/>
    <mergeCell ref="B362:B367"/>
    <mergeCell ref="B1384:B1389"/>
    <mergeCell ref="B2266:B2271"/>
    <mergeCell ref="B2714:B2719"/>
    <mergeCell ref="A75:A80"/>
    <mergeCell ref="B2630:B2635"/>
    <mergeCell ref="B3099:B3104"/>
    <mergeCell ref="B908:B913"/>
    <mergeCell ref="B712:B717"/>
    <mergeCell ref="B2238:B2243"/>
    <mergeCell ref="B1377:B1382"/>
    <mergeCell ref="B2203:B2208"/>
    <mergeCell ref="B3064:B3069"/>
    <mergeCell ref="A838:A843"/>
    <mergeCell ref="A2329:A2334"/>
    <mergeCell ref="B481:B486"/>
    <mergeCell ref="B1811:B1816"/>
    <mergeCell ref="B2175:B2180"/>
    <mergeCell ref="B2280:B2285"/>
    <mergeCell ref="B3057:B3062"/>
    <mergeCell ref="A1111:A1116"/>
    <mergeCell ref="A607:A612"/>
    <mergeCell ref="A1937:A1942"/>
    <mergeCell ref="A2301:A2306"/>
    <mergeCell ref="A2406:A2411"/>
    <mergeCell ref="B453:B458"/>
    <mergeCell ref="A579:A584"/>
    <mergeCell ref="A684:A689"/>
    <mergeCell ref="B2994:B2999"/>
    <mergeCell ref="A1048:A1053"/>
    <mergeCell ref="A1874:A1879"/>
    <mergeCell ref="A3071:A3076"/>
    <mergeCell ref="A404:A409"/>
    <mergeCell ref="A2756:A2761"/>
    <mergeCell ref="A3120:A3125"/>
    <mergeCell ref="A152:A157"/>
    <mergeCell ref="A1713:A1718"/>
    <mergeCell ref="A621:A626"/>
    <mergeCell ref="A1398:A1403"/>
    <mergeCell ref="B2567:B2572"/>
    <mergeCell ref="A2595:A2600"/>
    <mergeCell ref="A2693:A2698"/>
    <mergeCell ref="B1524:B1529"/>
    <mergeCell ref="A971:A976"/>
    <mergeCell ref="A2630:A2635"/>
    <mergeCell ref="B271:B276"/>
    <mergeCell ref="B1097:B1102"/>
    <mergeCell ref="B2343:B2348"/>
    <mergeCell ref="A908:A913"/>
    <mergeCell ref="B110:B115"/>
    <mergeCell ref="B1069:B1074"/>
    <mergeCell ref="B1174:B1179"/>
    <mergeCell ref="B2462:B2467"/>
    <mergeCell ref="B3288:B3293"/>
    <mergeCell ref="B2231:B2236"/>
    <mergeCell ref="B1090:B1095"/>
    <mergeCell ref="B2035:B2040"/>
    <mergeCell ref="B698:B703"/>
    <mergeCell ref="B1755:B1760"/>
    <mergeCell ref="B1888:B1893"/>
    <mergeCell ref="A1965:A1970"/>
    <mergeCell ref="A1650:A1655"/>
    <mergeCell ref="A3211:A3216"/>
    <mergeCell ref="B166:B171"/>
    <mergeCell ref="A243:A248"/>
    <mergeCell ref="B2854:B2859"/>
    <mergeCell ref="B1461:B1466"/>
    <mergeCell ref="A292:A297"/>
    <mergeCell ref="A397:A402"/>
    <mergeCell ref="A1489:A1494"/>
    <mergeCell ref="A1958:A1963"/>
    <mergeCell ref="A1587:A1592"/>
    <mergeCell ref="B1300:B1305"/>
    <mergeCell ref="A236:A241"/>
    <mergeCell ref="B2595:B2600"/>
    <mergeCell ref="B2791:B2796"/>
    <mergeCell ref="A1426:A1431"/>
    <mergeCell ref="A2252:A2257"/>
    <mergeCell ref="A1524:A1529"/>
    <mergeCell ref="A1195:A1200"/>
    <mergeCell ref="A999:A1004"/>
    <mergeCell ref="A2525:A2530"/>
    <mergeCell ref="A3351:A3356"/>
    <mergeCell ref="A2875:A2880"/>
    <mergeCell ref="A2462:A2467"/>
    <mergeCell ref="A3288:A3293"/>
    <mergeCell ref="B929:B934"/>
    <mergeCell ref="A1818:A1823"/>
    <mergeCell ref="B649:B654"/>
    <mergeCell ref="A740:A745"/>
    <mergeCell ref="B3001:B3006"/>
    <mergeCell ref="A2035:A2040"/>
    <mergeCell ref="A2812:A2817"/>
    <mergeCell ref="B1748:B1753"/>
    <mergeCell ref="B222:B227"/>
    <mergeCell ref="B355:B360"/>
    <mergeCell ref="B2938:B2943"/>
    <mergeCell ref="A852:A857"/>
    <mergeCell ref="B194:B199"/>
    <mergeCell ref="B1216:B1221"/>
    <mergeCell ref="B1685:B1690"/>
    <mergeCell ref="B1489:B1494"/>
    <mergeCell ref="B2511:B2516"/>
    <mergeCell ref="A320:A325"/>
    <mergeCell ref="B2931:B2936"/>
    <mergeCell ref="B3015:B3020"/>
    <mergeCell ref="B1293:B1298"/>
    <mergeCell ref="B236:B241"/>
    <mergeCell ref="B1013:B1018"/>
    <mergeCell ref="A1419:A1424"/>
    <mergeCell ref="B2588:B2593"/>
    <mergeCell ref="B2504:B2509"/>
    <mergeCell ref="B3365:B3370"/>
    <mergeCell ref="A362:A367"/>
    <mergeCell ref="A2714:A2719"/>
    <mergeCell ref="B782:B787"/>
    <mergeCell ref="B3302:B3307"/>
    <mergeCell ref="A1356:A1361"/>
    <mergeCell ref="A2238:A2243"/>
    <mergeCell ref="A712:A717"/>
    <mergeCell ref="A3064:A3069"/>
    <mergeCell ref="B1580:B1585"/>
    <mergeCell ref="B2364:B2369"/>
    <mergeCell ref="A929:A934"/>
    <mergeCell ref="A1706:A1711"/>
    <mergeCell ref="A1811:A1816"/>
    <mergeCell ref="A2175:A2180"/>
    <mergeCell ref="A3001:A3006"/>
    <mergeCell ref="B642:B647"/>
    <mergeCell ref="B1111:B1116"/>
    <mergeCell ref="A453:A458"/>
    <mergeCell ref="A1279:A1284"/>
    <mergeCell ref="B2301:B2306"/>
    <mergeCell ref="B579:B584"/>
    <mergeCell ref="B1776:B1781"/>
    <mergeCell ref="B1909:B1914"/>
    <mergeCell ref="A26:A31"/>
    <mergeCell ref="B1825:B1830"/>
    <mergeCell ref="B2651:B2656"/>
    <mergeCell ref="B3120:B3125"/>
    <mergeCell ref="B103:B108"/>
    <mergeCell ref="B1482:B1487"/>
    <mergeCell ref="A313:A318"/>
    <mergeCell ref="B1398:B1403"/>
    <mergeCell ref="B2224:B2229"/>
    <mergeCell ref="A33:A38"/>
    <mergeCell ref="B1006:B1011"/>
    <mergeCell ref="B1237:B1242"/>
    <mergeCell ref="B2196:B2201"/>
    <mergeCell ref="A1132:A1137"/>
    <mergeCell ref="A2322:A2327"/>
    <mergeCell ref="B474:B479"/>
    <mergeCell ref="B943:B948"/>
    <mergeCell ref="B3162:B3167"/>
    <mergeCell ref="A600:A605"/>
    <mergeCell ref="A1069:A1074"/>
    <mergeCell ref="A2266:A2271"/>
    <mergeCell ref="A2364:A2369"/>
    <mergeCell ref="A3141:A3146"/>
    <mergeCell ref="A544:A549"/>
    <mergeCell ref="A173:A178"/>
    <mergeCell ref="A593:A598"/>
    <mergeCell ref="A642:A647"/>
    <mergeCell ref="A3029:A3034"/>
    <mergeCell ref="A1888:A1893"/>
    <mergeCell ref="B2427:B2432"/>
    <mergeCell ref="A481:A486"/>
    <mergeCell ref="A2833:A2838"/>
    <mergeCell ref="A166:A171"/>
    <mergeCell ref="A2553:A2558"/>
    <mergeCell ref="A2651:A2656"/>
    <mergeCell ref="B292:B297"/>
    <mergeCell ref="A103:A108"/>
    <mergeCell ref="A2455:A2460"/>
    <mergeCell ref="B131:B136"/>
    <mergeCell ref="B1230:B1235"/>
    <mergeCell ref="B1034:B1039"/>
    <mergeCell ref="A1160:A1165"/>
    <mergeCell ref="A3162:A3167"/>
    <mergeCell ref="A3232:A3237"/>
    <mergeCell ref="B1993:B1998"/>
    <mergeCell ref="B3323:B3328"/>
    <mergeCell ref="B523:B528"/>
    <mergeCell ref="B656:B661"/>
    <mergeCell ref="B2875:B2880"/>
    <mergeCell ref="B3239:B3244"/>
    <mergeCell ref="B740:B745"/>
    <mergeCell ref="B495:B500"/>
    <mergeCell ref="B1321:B1326"/>
    <mergeCell ref="B1517:B1522"/>
    <mergeCell ref="A1727:A1732"/>
    <mergeCell ref="B2812:B2817"/>
    <mergeCell ref="A1447:A1452"/>
    <mergeCell ref="A2938:A2943"/>
    <mergeCell ref="B68:B73"/>
    <mergeCell ref="B2420:B2425"/>
    <mergeCell ref="A1720:A1725"/>
    <mergeCell ref="A194:A199"/>
    <mergeCell ref="A1020:A1025"/>
    <mergeCell ref="A1216:A1221"/>
    <mergeCell ref="A2546:A2551"/>
    <mergeCell ref="A2644:A2649"/>
    <mergeCell ref="A3015:A3020"/>
    <mergeCell ref="A1293:A1298"/>
    <mergeCell ref="A2483:A2488"/>
    <mergeCell ref="A3309:A3314"/>
    <mergeCell ref="B124:B129"/>
    <mergeCell ref="A3365:A3370"/>
    <mergeCell ref="A761:A766"/>
    <mergeCell ref="A1230:A1235"/>
    <mergeCell ref="A2007:A2012"/>
    <mergeCell ref="A2056:A2061"/>
    <mergeCell ref="A3302:A3307"/>
    <mergeCell ref="B1769:B1774"/>
    <mergeCell ref="A873:A878"/>
    <mergeCell ref="A1580:A1585"/>
    <mergeCell ref="A2770:A2775"/>
    <mergeCell ref="B411:B416"/>
    <mergeCell ref="B215:B220"/>
    <mergeCell ref="A3239:A3244"/>
    <mergeCell ref="B880:B885"/>
    <mergeCell ref="B1706:B1711"/>
    <mergeCell ref="B3036:B3041"/>
    <mergeCell ref="B2952:B2957"/>
    <mergeCell ref="A1517:A1522"/>
    <mergeCell ref="A1832:A1837"/>
    <mergeCell ref="B488:B493"/>
    <mergeCell ref="B1783:B1788"/>
    <mergeCell ref="A614:A619"/>
    <mergeCell ref="A110:A115"/>
    <mergeCell ref="A1440:A1445"/>
    <mergeCell ref="B2525:B2530"/>
    <mergeCell ref="A1909:A1914"/>
    <mergeCell ref="A383:A388"/>
    <mergeCell ref="A3099:A3104"/>
    <mergeCell ref="B425:B430"/>
    <mergeCell ref="B2448:B2453"/>
    <mergeCell ref="B2133:B2138"/>
    <mergeCell ref="A187:A192"/>
    <mergeCell ref="B2497:B2502"/>
    <mergeCell ref="A1377:A1382"/>
    <mergeCell ref="A1433:A1438"/>
    <mergeCell ref="A2259:A2264"/>
    <mergeCell ref="A2623:A2628"/>
    <mergeCell ref="A2672:A2677"/>
    <mergeCell ref="B2070:B2075"/>
    <mergeCell ref="A124:A129"/>
    <mergeCell ref="A950:A955"/>
    <mergeCell ref="A1006:A1011"/>
    <mergeCell ref="A2196:A2201"/>
    <mergeCell ref="B348:B353"/>
    <mergeCell ref="B1132:B1137"/>
    <mergeCell ref="A474:A479"/>
    <mergeCell ref="A943:A948"/>
    <mergeCell ref="B1846:B1851"/>
    <mergeCell ref="A411:A416"/>
    <mergeCell ref="B3141:B3146"/>
    <mergeCell ref="A880:A885"/>
    <mergeCell ref="B544:B549"/>
    <mergeCell ref="B677:B682"/>
    <mergeCell ref="B1734:B1739"/>
    <mergeCell ref="B593:B598"/>
    <mergeCell ref="B1419:B1424"/>
    <mergeCell ref="A2707:A2712"/>
    <mergeCell ref="B1538:B1543"/>
    <mergeCell ref="B1342:B1347"/>
    <mergeCell ref="B201:B206"/>
    <mergeCell ref="B1027:B1032"/>
    <mergeCell ref="B1258:B1263"/>
    <mergeCell ref="A1153:A1158"/>
    <mergeCell ref="B1356:B1361"/>
    <mergeCell ref="B5:B10"/>
    <mergeCell ref="B138:B143"/>
    <mergeCell ref="B964:B969"/>
    <mergeCell ref="B1335:B1340"/>
    <mergeCell ref="B1433:B1438"/>
    <mergeCell ref="B2357:B2362"/>
    <mergeCell ref="A1461:A1466"/>
    <mergeCell ref="A1090:A1095"/>
    <mergeCell ref="A2287:A2292"/>
    <mergeCell ref="A2385:A2390"/>
    <mergeCell ref="B2294:B2299"/>
    <mergeCell ref="A565:A570"/>
    <mergeCell ref="B2098:B2103"/>
    <mergeCell ref="A1034:A1039"/>
    <mergeCell ref="A663:A668"/>
    <mergeCell ref="A3246:A3251"/>
    <mergeCell ref="B1902:B1907"/>
    <mergeCell ref="B845:B850"/>
    <mergeCell ref="B1622:B1627"/>
    <mergeCell ref="A2028:A2033"/>
    <mergeCell ref="A502:A507"/>
    <mergeCell ref="A2854:A2859"/>
    <mergeCell ref="B3197:B3202"/>
    <mergeCell ref="A1993:A1998"/>
    <mergeCell ref="A1797:A1802"/>
    <mergeCell ref="A2574:A2579"/>
    <mergeCell ref="A1846:A1851"/>
    <mergeCell ref="A2791:A2796"/>
    <mergeCell ref="A1321:A1326"/>
    <mergeCell ref="B152:B157"/>
    <mergeCell ref="B2973:B2978"/>
    <mergeCell ref="B1447:B1452"/>
    <mergeCell ref="A1538:A1543"/>
    <mergeCell ref="A2420:A2425"/>
    <mergeCell ref="B229:B234"/>
    <mergeCell ref="B1251:B1256"/>
    <mergeCell ref="B2546:B2551"/>
    <mergeCell ref="A355:A360"/>
    <mergeCell ref="A2357:A2362"/>
    <mergeCell ref="A3183:A3188"/>
    <mergeCell ref="B992:B997"/>
    <mergeCell ref="B2483:B2488"/>
    <mergeCell ref="B3260:B3265"/>
    <mergeCell ref="A1174:A1179"/>
    <mergeCell ref="A2609:A2614"/>
    <mergeCell ref="B761:B766"/>
    <mergeCell ref="B2091:B2096"/>
    <mergeCell ref="B2007:B2012"/>
    <mergeCell ref="B2833:B2838"/>
    <mergeCell ref="A887:A892"/>
    <mergeCell ref="B3337:B3342"/>
    <mergeCell ref="A2959:A2964"/>
    <mergeCell ref="B285:B290"/>
    <mergeCell ref="B89:B94"/>
    <mergeCell ref="B1615:B1620"/>
    <mergeCell ref="B558:B563"/>
    <mergeCell ref="B2910:B2915"/>
    <mergeCell ref="A1741:A1746"/>
    <mergeCell ref="A215:A220"/>
    <mergeCell ref="A1790:A1795"/>
    <mergeCell ref="A2567:A2572"/>
    <mergeCell ref="B2770:B2775"/>
    <mergeCell ref="A3036:A3041"/>
    <mergeCell ref="B3274:B3279"/>
    <mergeCell ref="B1552:B1557"/>
    <mergeCell ref="A432:A437"/>
    <mergeCell ref="A1314:A1319"/>
    <mergeCell ref="A1678:A1683"/>
    <mergeCell ref="A2504:A2509"/>
    <mergeCell ref="A2560:A2565"/>
    <mergeCell ref="A2973:A2978"/>
    <mergeCell ref="A782:A787"/>
    <mergeCell ref="A1251:A1256"/>
    <mergeCell ref="A2077:A2082"/>
    <mergeCell ref="A2133:A2138"/>
    <mergeCell ref="A2448:A2453"/>
    <mergeCell ref="A3323:A3328"/>
    <mergeCell ref="B2259:B2264"/>
    <mergeCell ref="B2623:B2628"/>
    <mergeCell ref="A2070:A2075"/>
    <mergeCell ref="B985:B990"/>
    <mergeCell ref="A3260:A3265"/>
    <mergeCell ref="B901:B906"/>
    <mergeCell ref="B705:B710"/>
    <mergeCell ref="B1370:B1375"/>
    <mergeCell ref="B509:B514"/>
    <mergeCell ref="B1804:B1809"/>
    <mergeCell ref="A635:A640"/>
    <mergeCell ref="B2168:B2173"/>
    <mergeCell ref="B1720:B1725"/>
    <mergeCell ref="B1839:B1844"/>
    <mergeCell ref="B446:B451"/>
    <mergeCell ref="B551:B556"/>
    <mergeCell ref="B1328:B1333"/>
    <mergeCell ref="B1643:B1648"/>
    <mergeCell ref="B2665:B2670"/>
    <mergeCell ref="A572:A577"/>
    <mergeCell ref="A677:A682"/>
    <mergeCell ref="A1734:A1739"/>
    <mergeCell ref="A1867:A1872"/>
    <mergeCell ref="B1265:B1270"/>
    <mergeCell ref="A145:A150"/>
    <mergeCell ref="A1342:A1347"/>
    <mergeCell ref="A1027:A1032"/>
    <mergeCell ref="B2560:B2565"/>
    <mergeCell ref="A1391:A1396"/>
    <mergeCell ref="A2217:A2222"/>
    <mergeCell ref="A2588:A2593"/>
    <mergeCell ref="B838:B843"/>
    <mergeCell ref="A866:A871"/>
    <mergeCell ref="B3225:B3230"/>
    <mergeCell ref="A964:A969"/>
    <mergeCell ref="A2154:A2159"/>
    <mergeCell ref="B3029:B3034"/>
    <mergeCell ref="B1972:B1977"/>
    <mergeCell ref="B2287:B2292"/>
    <mergeCell ref="A803:A808"/>
    <mergeCell ref="A3155:A3160"/>
    <mergeCell ref="A901:A906"/>
    <mergeCell ref="A2098:A2103"/>
    <mergeCell ref="A3253:A3258"/>
    <mergeCell ref="B565:B570"/>
    <mergeCell ref="B614:B619"/>
    <mergeCell ref="A3092:A3097"/>
    <mergeCell ref="B733:B738"/>
    <mergeCell ref="B502:B507"/>
    <mergeCell ref="B1279:B1284"/>
    <mergeCell ref="B2574:B2579"/>
    <mergeCell ref="A2665:A2670"/>
    <mergeCell ref="B26:B31"/>
    <mergeCell ref="B159:B164"/>
    <mergeCell ref="B2378:B2383"/>
    <mergeCell ref="B2847:B2852"/>
    <mergeCell ref="A656:A661"/>
    <mergeCell ref="A1482:A1487"/>
    <mergeCell ref="B1125:B1130"/>
    <mergeCell ref="B2315:B2320"/>
    <mergeCell ref="B2119:B2124"/>
    <mergeCell ref="A229:A234"/>
    <mergeCell ref="A2581:A2586"/>
    <mergeCell ref="B2784:B2789"/>
    <mergeCell ref="B1062:B1067"/>
    <mergeCell ref="B866:B871"/>
    <mergeCell ref="B2392:B2397"/>
    <mergeCell ref="B3218:B3223"/>
    <mergeCell ref="A523:A528"/>
    <mergeCell ref="B915:B920"/>
    <mergeCell ref="B3134:B3139"/>
    <mergeCell ref="A992:A997"/>
    <mergeCell ref="A1769:A1774"/>
    <mergeCell ref="A2014:A2019"/>
    <mergeCell ref="A2147:A2152"/>
    <mergeCell ref="A3344:A3349"/>
    <mergeCell ref="B1965:B1970"/>
    <mergeCell ref="B2742:B2747"/>
    <mergeCell ref="A796:A801"/>
    <mergeCell ref="A1986:A1991"/>
    <mergeCell ref="A2091:A2096"/>
    <mergeCell ref="A516:A521"/>
    <mergeCell ref="A2868:A2873"/>
    <mergeCell ref="A3281:A3286"/>
    <mergeCell ref="A264:A269"/>
    <mergeCell ref="B2679:B2684"/>
    <mergeCell ref="A733:A738"/>
    <mergeCell ref="A1559:A1564"/>
    <mergeCell ref="A89:A94"/>
    <mergeCell ref="A2805:A2810"/>
    <mergeCell ref="B250:B255"/>
    <mergeCell ref="B1272:B1277"/>
    <mergeCell ref="B1741:B1746"/>
    <mergeCell ref="A306:A311"/>
    <mergeCell ref="A376:A381"/>
    <mergeCell ref="A1083:A1088"/>
    <mergeCell ref="A2378:A2383"/>
    <mergeCell ref="A3204:A3209"/>
    <mergeCell ref="B187:B192"/>
    <mergeCell ref="B1209:B1214"/>
    <mergeCell ref="B1678:B1683"/>
    <mergeCell ref="B2455:B2460"/>
    <mergeCell ref="B1286:B1291"/>
    <mergeCell ref="B2112:B2117"/>
    <mergeCell ref="B1202:B1207"/>
    <mergeCell ref="B2028:B2033"/>
    <mergeCell ref="B3358:B3363"/>
    <mergeCell ref="B1636:B1641"/>
    <mergeCell ref="B775:B780"/>
    <mergeCell ref="B2105:B2110"/>
    <mergeCell ref="A985:A990"/>
    <mergeCell ref="A1762:A1767"/>
    <mergeCell ref="B3295:B3300"/>
    <mergeCell ref="A705:A710"/>
    <mergeCell ref="A3057:A3062"/>
    <mergeCell ref="B2966:B2971"/>
    <mergeCell ref="B1573:B1578"/>
    <mergeCell ref="A509:A514"/>
    <mergeCell ref="B2042:B2047"/>
    <mergeCell ref="A1699:A1704"/>
    <mergeCell ref="A2896:A2901"/>
    <mergeCell ref="A2168:A2173"/>
    <mergeCell ref="A2994:A2999"/>
    <mergeCell ref="B320:B325"/>
    <mergeCell ref="B635:B640"/>
    <mergeCell ref="B2707:B2712"/>
    <mergeCell ref="A446:A451"/>
    <mergeCell ref="A1272:A1277"/>
    <mergeCell ref="A1643:A1648"/>
    <mergeCell ref="A2518:A2523"/>
    <mergeCell ref="B572:B577"/>
    <mergeCell ref="B47:B52"/>
    <mergeCell ref="B180:B185"/>
    <mergeCell ref="B96:B101"/>
    <mergeCell ref="B922:B927"/>
    <mergeCell ref="B1391:B1396"/>
    <mergeCell ref="A1930:A1935"/>
    <mergeCell ref="A3225:A3230"/>
    <mergeCell ref="B2056:B2061"/>
    <mergeCell ref="B1860:B1865"/>
    <mergeCell ref="B467:B472"/>
    <mergeCell ref="B803:B808"/>
    <mergeCell ref="B936:B941"/>
    <mergeCell ref="B3155:B3160"/>
    <mergeCell ref="A698:A703"/>
    <mergeCell ref="A1:M1"/>
    <mergeCell ref="B1601:B1606"/>
    <mergeCell ref="A537:A542"/>
    <mergeCell ref="B3092:B3097"/>
    <mergeCell ref="B2581:B2586"/>
    <mergeCell ref="A1783:A1788"/>
    <mergeCell ref="A1412:A1417"/>
    <mergeCell ref="B33:B38"/>
    <mergeCell ref="A5:A10"/>
    <mergeCell ref="B2616:B2621"/>
    <mergeCell ref="A1300:A1305"/>
    <mergeCell ref="A159:A164"/>
    <mergeCell ref="B2189:B2194"/>
    <mergeCell ref="A824:A829"/>
    <mergeCell ref="A3176:A3181"/>
    <mergeCell ref="A96:A101"/>
    <mergeCell ref="A922:A927"/>
    <mergeCell ref="A2119:A2124"/>
    <mergeCell ref="A2315:A2320"/>
    <mergeCell ref="A3274:A3279"/>
    <mergeCell ref="B2476:B2481"/>
    <mergeCell ref="A1923:A1928"/>
    <mergeCell ref="A3113:A3118"/>
    <mergeCell ref="A3218:A3223"/>
    <mergeCell ref="B754:B759"/>
    <mergeCell ref="B2049:B2054"/>
    <mergeCell ref="A1860:A1865"/>
    <mergeCell ref="A2686:A2691"/>
    <mergeCell ref="B1986:B1991"/>
    <mergeCell ref="B516:B521"/>
    <mergeCell ref="B1671:B1676"/>
    <mergeCell ref="B2868:B2873"/>
    <mergeCell ref="A1503:A1508"/>
    <mergeCell ref="B264:B269"/>
    <mergeCell ref="B1594:B1599"/>
    <mergeCell ref="B1510:B1515"/>
    <mergeCell ref="B1314:B1319"/>
    <mergeCell ref="B2336:B2341"/>
    <mergeCell ref="B1979:B1984"/>
    <mergeCell ref="A250:A255"/>
    <mergeCell ref="B2805:B2810"/>
    <mergeCell ref="A2931:A2936"/>
    <mergeCell ref="B61:B66"/>
    <mergeCell ref="B1083:B1088"/>
    <mergeCell ref="B2413:B2418"/>
    <mergeCell ref="B2777:B2782"/>
    <mergeCell ref="B2329:B2334"/>
    <mergeCell ref="A1209:A1214"/>
    <mergeCell ref="A1013:A1018"/>
    <mergeCell ref="A2539:A2544"/>
    <mergeCell ref="B1160:B1165"/>
    <mergeCell ref="B3232:B3237"/>
    <mergeCell ref="A1286:A1291"/>
    <mergeCell ref="A2063:A2068"/>
    <mergeCell ref="A2112:A2117"/>
    <mergeCell ref="A2476:A2481"/>
    <mergeCell ref="A3358:A3363"/>
    <mergeCell ref="A285:A290"/>
    <mergeCell ref="B2700:B2705"/>
    <mergeCell ref="A754:A759"/>
    <mergeCell ref="A1636:A1641"/>
    <mergeCell ref="B3169:B3174"/>
    <mergeCell ref="A2000:A2005"/>
    <mergeCell ref="A2049:A2054"/>
    <mergeCell ref="A2826:A2831"/>
    <mergeCell ref="A3197:A3202"/>
    <mergeCell ref="A3295:A3300"/>
    <mergeCell ref="B1762:B1767"/>
    <mergeCell ref="A278:A283"/>
    <mergeCell ref="A327:A332"/>
    <mergeCell ref="A1573:A1578"/>
    <mergeCell ref="A47:A52"/>
    <mergeCell ref="A2399:A2404"/>
    <mergeCell ref="B1699:B1704"/>
    <mergeCell ref="B2896:B2901"/>
    <mergeCell ref="A1041:A1046"/>
    <mergeCell ref="A1510:A1515"/>
    <mergeCell ref="B1307:B1312"/>
    <mergeCell ref="B1223:B1228"/>
    <mergeCell ref="B2602:B2607"/>
    <mergeCell ref="B2518:B2523"/>
    <mergeCell ref="B54:B59"/>
    <mergeCell ref="B796:B801"/>
    <mergeCell ref="A180:A185"/>
    <mergeCell ref="B2126:B2131"/>
    <mergeCell ref="B3183:B3188"/>
    <mergeCell ref="A1237:A1242"/>
    <mergeCell ref="A1370:A1375"/>
    <mergeCell ref="B3316:B3321"/>
    <mergeCell ref="B719:B724"/>
    <mergeCell ref="B768:B773"/>
    <mergeCell ref="B873:B878"/>
    <mergeCell ref="B2987:B2992"/>
    <mergeCell ref="A530:A535"/>
    <mergeCell ref="B1930:B1935"/>
    <mergeCell ref="A894:A899"/>
    <mergeCell ref="B2063:B2068"/>
    <mergeCell ref="A2917:A2922"/>
    <mergeCell ref="B3085:B3090"/>
    <mergeCell ref="B341:B346"/>
    <mergeCell ref="B2924:B2929"/>
    <mergeCell ref="B2728:B2733"/>
    <mergeCell ref="A3190:A3195"/>
    <mergeCell ref="A467:A472"/>
    <mergeCell ref="A1664:A1669"/>
    <mergeCell ref="B2882:B2887"/>
    <mergeCell ref="A936:A941"/>
    <mergeCell ref="A2910:A2915"/>
    <mergeCell ref="B1475:B1480"/>
    <mergeCell ref="A1601:A1606"/>
    <mergeCell ref="A2427:A2432"/>
    <mergeCell ref="B432:B437"/>
    <mergeCell ref="B117:B122"/>
    <mergeCell ref="A1405:A1410"/>
    <mergeCell ref="B1412:B1417"/>
    <mergeCell ref="A1951:A1956"/>
    <mergeCell ref="A1223:A1228"/>
    <mergeCell ref="A3050:A3055"/>
    <mergeCell ref="B1881:B1886"/>
    <mergeCell ref="B2350:B2355"/>
    <mergeCell ref="B824:B829"/>
    <mergeCell ref="B3176:B3181"/>
    <mergeCell ref="A1692:A1697"/>
    <mergeCell ref="A2280:A2285"/>
    <mergeCell ref="A2987:A2992"/>
    <mergeCell ref="A2084:A2089"/>
    <mergeCell ref="A558:A563"/>
    <mergeCell ref="B3113:B3118"/>
    <mergeCell ref="A1804:A1809"/>
    <mergeCell ref="B369:B374"/>
    <mergeCell ref="B2721:B2726"/>
    <mergeCell ref="B418:B423"/>
    <mergeCell ref="B2441:B2446"/>
    <mergeCell ref="A495:A500"/>
    <mergeCell ref="B2637:B2642"/>
    <mergeCell ref="A2847:A2852"/>
    <mergeCell ref="A2903:A2908"/>
    <mergeCell ref="B3106:B3111"/>
    <mergeCell ref="B1468:B1473"/>
    <mergeCell ref="A299:A304"/>
    <mergeCell ref="B1188:B1193"/>
    <mergeCell ref="B2210:B2215"/>
    <mergeCell ref="A68:A73"/>
    <mergeCell ref="A19:A24"/>
    <mergeCell ref="A845:A850"/>
    <mergeCell ref="A2:M2"/>
    <mergeCell ref="A117:A122"/>
    <mergeCell ref="A2336:A2341"/>
    <mergeCell ref="A2784:A2789"/>
    <mergeCell ref="A2840:A2845"/>
    <mergeCell ref="B2182:B2187"/>
    <mergeCell ref="A1062:A1067"/>
    <mergeCell ref="A1118:A1123"/>
    <mergeCell ref="A2413:A2418"/>
    <mergeCell ref="A3134:A3139"/>
    <mergeCell ref="A2777:A2782"/>
    <mergeCell ref="B1244:B1249"/>
    <mergeCell ref="B2539:B2544"/>
    <mergeCell ref="A1055:A1060"/>
    <mergeCell ref="A1881:A1886"/>
    <mergeCell ref="A2350:A2355"/>
    <mergeCell ref="A3127:A3132"/>
    <mergeCell ref="B817:B822"/>
    <mergeCell ref="B537:B542"/>
    <mergeCell ref="A628:A633"/>
    <mergeCell ref="B2889:B2894"/>
    <mergeCell ref="B3253:B3258"/>
    <mergeCell ref="B789:B794"/>
    <mergeCell ref="A2700:A2705"/>
    <mergeCell ref="B1531:B1536"/>
    <mergeCell ref="B2000:B2005"/>
    <mergeCell ref="B2826:B2831"/>
    <mergeCell ref="A2637:A2642"/>
    <mergeCell ref="B278:B283"/>
    <mergeCell ref="B82:B87"/>
    <mergeCell ref="B1104:B1109"/>
    <mergeCell ref="B1608:B1613"/>
    <mergeCell ref="B2434:B2439"/>
    <mergeCell ref="B2903:B2908"/>
    <mergeCell ref="A208:A213"/>
    <mergeCell ref="B2819:B2824"/>
    <mergeCell ref="B1181:B1186"/>
    <mergeCell ref="A12:A17"/>
    <mergeCell ref="B1041:B1046"/>
    <mergeCell ref="B1545:B1550"/>
    <mergeCell ref="A1307:A1312"/>
    <mergeCell ref="A1671:A1676"/>
    <mergeCell ref="A2497:A2502"/>
    <mergeCell ref="B1020:B1025"/>
    <mergeCell ref="B1895:B1900"/>
    <mergeCell ref="A775:A780"/>
    <mergeCell ref="A831:A836"/>
    <mergeCell ref="A1972:A1977"/>
    <mergeCell ref="A1244:A1249"/>
    <mergeCell ref="A2021:A2026"/>
    <mergeCell ref="A2126:A2131"/>
    <mergeCell ref="B3190:B3195"/>
    <mergeCell ref="A3316:A3321"/>
    <mergeCell ref="A719:A724"/>
    <mergeCell ref="A348:A353"/>
    <mergeCell ref="A768:A773"/>
    <mergeCell ref="A1594:A1599"/>
    <mergeCell ref="B894:B899"/>
    <mergeCell ref="A2924:A2929"/>
    <mergeCell ref="A1531:A1536"/>
    <mergeCell ref="A2728:A2733"/>
    <mergeCell ref="B1559:B1564"/>
    <mergeCell ref="B1664:B1669"/>
    <mergeCell ref="A2532:A2537"/>
    <mergeCell ref="B75:B80"/>
    <mergeCell ref="B306:B311"/>
    <mergeCell ref="B439:B444"/>
    <mergeCell ref="B2658:B2663"/>
    <mergeCell ref="A201:A206"/>
    <mergeCell ref="A2469:A2474"/>
    <mergeCell ref="B3008:B3013"/>
    <mergeCell ref="B1951:B1956"/>
    <mergeCell ref="A138:A143"/>
    <mergeCell ref="A915:A920"/>
    <mergeCell ref="B2084:B2089"/>
    <mergeCell ref="B1923:B1928"/>
    <mergeCell ref="B831:B836"/>
    <mergeCell ref="B2749:B2754"/>
    <mergeCell ref="A859:A864"/>
    <mergeCell ref="A488:A493"/>
    <mergeCell ref="B2945:B2950"/>
    <mergeCell ref="B670:B675"/>
    <mergeCell ref="B1496:B1501"/>
    <mergeCell ref="B1692:B1697"/>
    <mergeCell ref="B3022:B3027"/>
    <mergeCell ref="A3148:A3153"/>
    <mergeCell ref="A425:A430"/>
    <mergeCell ref="A1622:A1627"/>
    <mergeCell ref="B243:B248"/>
    <mergeCell ref="B2644:B2649"/>
    <mergeCell ref="A369:A374"/>
    <mergeCell ref="A1146:A1151"/>
    <mergeCell ref="A2721:A2726"/>
    <mergeCell ref="A3085:A3090"/>
    <mergeCell ref="A418:A423"/>
    <mergeCell ref="A2441:A2446"/>
    <mergeCell ref="B3309:B3314"/>
    <mergeCell ref="A1363:A1368"/>
    <mergeCell ref="A2189:A2194"/>
    <mergeCell ref="A2245:A2250"/>
    <mergeCell ref="A2658:A2663"/>
    <mergeCell ref="B19:B24"/>
    <mergeCell ref="B1349:B1354"/>
    <mergeCell ref="B2371:B2376"/>
    <mergeCell ref="B2840:B2845"/>
    <mergeCell ref="A2182:A2187"/>
    <mergeCell ref="A3008:A3013"/>
    <mergeCell ref="B1118:B1123"/>
    <mergeCell ref="B1944:B1949"/>
    <mergeCell ref="B2308:B2313"/>
    <mergeCell ref="A1755:A1760"/>
    <mergeCell ref="B586:B591"/>
    <mergeCell ref="B390:B395"/>
    <mergeCell ref="B1916:B1921"/>
    <mergeCell ref="B1055:B1060"/>
    <mergeCell ref="B859:B864"/>
    <mergeCell ref="B1832:B1837"/>
    <mergeCell ref="A2042:A2047"/>
    <mergeCell ref="B3211:B3216"/>
    <mergeCell ref="B3127:B3132"/>
    <mergeCell ref="A3337:A3342"/>
    <mergeCell ref="B663:B668"/>
    <mergeCell ref="B383:B388"/>
    <mergeCell ref="B1405:B1410"/>
    <mergeCell ref="A1615:A1620"/>
    <mergeCell ref="A40:A45"/>
    <mergeCell ref="A1979:A1984"/>
    <mergeCell ref="B2735:B2740"/>
    <mergeCell ref="A2861:A2866"/>
    <mergeCell ref="A1335:A1340"/>
    <mergeCell ref="A257:A262"/>
    <mergeCell ref="A1139:A1144"/>
    <mergeCell ref="B2672:B2677"/>
    <mergeCell ref="A1552:A1557"/>
    <mergeCell ref="A1608:A1613"/>
    <mergeCell ref="A82:A87"/>
    <mergeCell ref="A2434:A2439"/>
    <mergeCell ref="A2798:A2803"/>
    <mergeCell ref="A2294:A2299"/>
    <mergeCell ref="B950:B955"/>
    <mergeCell ref="A1076:A1081"/>
    <mergeCell ref="A1902:A1907"/>
    <mergeCell ref="A2273:A2278"/>
    <mergeCell ref="A1545:A1550"/>
    <mergeCell ref="A2371:A2376"/>
    <mergeCell ref="B12:B17"/>
    <mergeCell ref="B2399:B2404"/>
    <mergeCell ref="A649:A654"/>
    <mergeCell ref="A1475:A1480"/>
    <mergeCell ref="A2210:A2215"/>
    <mergeCell ref="A1895:A1900"/>
    <mergeCell ref="B810:B815"/>
    <mergeCell ref="B726:B731"/>
    <mergeCell ref="B530:B535"/>
    <mergeCell ref="B2021:B2026"/>
    <mergeCell ref="B299:B304"/>
    <mergeCell ref="B1629:B1634"/>
    <mergeCell ref="B2686:B2691"/>
    <mergeCell ref="B376:B381"/>
    <mergeCell ref="B2959:B2964"/>
    <mergeCell ref="B1566:B1571"/>
    <mergeCell ref="B2763:B2768"/>
    <mergeCell ref="A1328:A1333"/>
    <mergeCell ref="A2889:A2894"/>
    <mergeCell ref="B313:B318"/>
    <mergeCell ref="B957:B962"/>
    <mergeCell ref="B2532:B2537"/>
    <mergeCell ref="A1167:A1172"/>
    <mergeCell ref="B2252:B2257"/>
    <mergeCell ref="A439:A444"/>
    <mergeCell ref="A1265:A1270"/>
    <mergeCell ref="B2385:B2390"/>
    <mergeCell ref="B978:B983"/>
    <mergeCell ref="B3330:B3335"/>
    <mergeCell ref="B2469:B2474"/>
    <mergeCell ref="B3246:B3251"/>
    <mergeCell ref="B3050:B3055"/>
    <mergeCell ref="A1104:A1109"/>
    <mergeCell ref="A789:A794"/>
    <mergeCell ref="B1797:B1802"/>
    <mergeCell ref="A1454:A1459"/>
  </mergeCells>
  <conditionalFormatting sqref="D7:L7">
    <cfRule type="cellIs" priority="1" operator="lessThan" dxfId="0">
      <formula>0</formula>
    </cfRule>
  </conditionalFormatting>
  <conditionalFormatting sqref="M10">
    <cfRule type="cellIs" priority="2" operator="equal" dxfId="0">
      <formula>"PEDIR YA (atrasado)"</formula>
    </cfRule>
  </conditionalFormatting>
  <conditionalFormatting sqref="D14:L14">
    <cfRule type="cellIs" priority="3" operator="lessThan" dxfId="0">
      <formula>0</formula>
    </cfRule>
  </conditionalFormatting>
  <conditionalFormatting sqref="M17">
    <cfRule type="cellIs" priority="4" operator="equal" dxfId="0">
      <formula>"PEDIR YA (atrasado)"</formula>
    </cfRule>
  </conditionalFormatting>
  <conditionalFormatting sqref="D21:L21">
    <cfRule type="cellIs" priority="5" operator="lessThan" dxfId="0">
      <formula>0</formula>
    </cfRule>
  </conditionalFormatting>
  <conditionalFormatting sqref="M24">
    <cfRule type="cellIs" priority="6" operator="equal" dxfId="0">
      <formula>"PEDIR YA (atrasado)"</formula>
    </cfRule>
  </conditionalFormatting>
  <conditionalFormatting sqref="D28:L28">
    <cfRule type="cellIs" priority="7" operator="lessThan" dxfId="0">
      <formula>0</formula>
    </cfRule>
  </conditionalFormatting>
  <conditionalFormatting sqref="M31">
    <cfRule type="cellIs" priority="8" operator="equal" dxfId="0">
      <formula>"PEDIR YA (atrasado)"</formula>
    </cfRule>
  </conditionalFormatting>
  <conditionalFormatting sqref="D35:L35">
    <cfRule type="cellIs" priority="9" operator="lessThan" dxfId="0">
      <formula>0</formula>
    </cfRule>
  </conditionalFormatting>
  <conditionalFormatting sqref="M38">
    <cfRule type="cellIs" priority="10" operator="equal" dxfId="0">
      <formula>"PEDIR YA (atrasado)"</formula>
    </cfRule>
  </conditionalFormatting>
  <conditionalFormatting sqref="D42:L42">
    <cfRule type="cellIs" priority="11" operator="lessThan" dxfId="0">
      <formula>0</formula>
    </cfRule>
  </conditionalFormatting>
  <conditionalFormatting sqref="M45">
    <cfRule type="cellIs" priority="12" operator="equal" dxfId="0">
      <formula>"PEDIR YA (atrasado)"</formula>
    </cfRule>
  </conditionalFormatting>
  <conditionalFormatting sqref="D49:L49">
    <cfRule type="cellIs" priority="13" operator="lessThan" dxfId="0">
      <formula>0</formula>
    </cfRule>
  </conditionalFormatting>
  <conditionalFormatting sqref="M52">
    <cfRule type="cellIs" priority="14" operator="equal" dxfId="0">
      <formula>"PEDIR YA (atrasado)"</formula>
    </cfRule>
  </conditionalFormatting>
  <conditionalFormatting sqref="D56:L56">
    <cfRule type="cellIs" priority="15" operator="lessThan" dxfId="0">
      <formula>0</formula>
    </cfRule>
  </conditionalFormatting>
  <conditionalFormatting sqref="M59">
    <cfRule type="cellIs" priority="16" operator="equal" dxfId="0">
      <formula>"PEDIR YA (atrasado)"</formula>
    </cfRule>
  </conditionalFormatting>
  <conditionalFormatting sqref="D63:L63">
    <cfRule type="cellIs" priority="17" operator="lessThan" dxfId="0">
      <formula>0</formula>
    </cfRule>
  </conditionalFormatting>
  <conditionalFormatting sqref="M66">
    <cfRule type="cellIs" priority="18" operator="equal" dxfId="0">
      <formula>"PEDIR YA (atrasado)"</formula>
    </cfRule>
  </conditionalFormatting>
  <conditionalFormatting sqref="D70:L70">
    <cfRule type="cellIs" priority="19" operator="lessThan" dxfId="0">
      <formula>0</formula>
    </cfRule>
  </conditionalFormatting>
  <conditionalFormatting sqref="M73">
    <cfRule type="cellIs" priority="20" operator="equal" dxfId="0">
      <formula>"PEDIR YA (atrasado)"</formula>
    </cfRule>
  </conditionalFormatting>
  <conditionalFormatting sqref="D77:L77">
    <cfRule type="cellIs" priority="21" operator="lessThan" dxfId="0">
      <formula>0</formula>
    </cfRule>
  </conditionalFormatting>
  <conditionalFormatting sqref="M80">
    <cfRule type="cellIs" priority="22" operator="equal" dxfId="0">
      <formula>"PEDIR YA (atrasado)"</formula>
    </cfRule>
  </conditionalFormatting>
  <conditionalFormatting sqref="D84:L84">
    <cfRule type="cellIs" priority="23" operator="lessThan" dxfId="0">
      <formula>0</formula>
    </cfRule>
  </conditionalFormatting>
  <conditionalFormatting sqref="M87">
    <cfRule type="cellIs" priority="24" operator="equal" dxfId="0">
      <formula>"PEDIR YA (atrasado)"</formula>
    </cfRule>
  </conditionalFormatting>
  <conditionalFormatting sqref="D91:L91">
    <cfRule type="cellIs" priority="25" operator="lessThan" dxfId="0">
      <formula>0</formula>
    </cfRule>
  </conditionalFormatting>
  <conditionalFormatting sqref="M94">
    <cfRule type="cellIs" priority="26" operator="equal" dxfId="0">
      <formula>"PEDIR YA (atrasado)"</formula>
    </cfRule>
  </conditionalFormatting>
  <conditionalFormatting sqref="D98:L98">
    <cfRule type="cellIs" priority="27" operator="lessThan" dxfId="0">
      <formula>0</formula>
    </cfRule>
  </conditionalFormatting>
  <conditionalFormatting sqref="M101">
    <cfRule type="cellIs" priority="28" operator="equal" dxfId="0">
      <formula>"PEDIR YA (atrasado)"</formula>
    </cfRule>
  </conditionalFormatting>
  <conditionalFormatting sqref="D105:L105">
    <cfRule type="cellIs" priority="29" operator="lessThan" dxfId="0">
      <formula>0</formula>
    </cfRule>
  </conditionalFormatting>
  <conditionalFormatting sqref="M108">
    <cfRule type="cellIs" priority="30" operator="equal" dxfId="0">
      <formula>"PEDIR YA (atrasado)"</formula>
    </cfRule>
  </conditionalFormatting>
  <conditionalFormatting sqref="D112:L112">
    <cfRule type="cellIs" priority="31" operator="lessThan" dxfId="0">
      <formula>0</formula>
    </cfRule>
  </conditionalFormatting>
  <conditionalFormatting sqref="M115">
    <cfRule type="cellIs" priority="32" operator="equal" dxfId="0">
      <formula>"PEDIR YA (atrasado)"</formula>
    </cfRule>
  </conditionalFormatting>
  <conditionalFormatting sqref="D119:L119">
    <cfRule type="cellIs" priority="33" operator="lessThan" dxfId="0">
      <formula>0</formula>
    </cfRule>
  </conditionalFormatting>
  <conditionalFormatting sqref="M122">
    <cfRule type="cellIs" priority="34" operator="equal" dxfId="0">
      <formula>"PEDIR YA (atrasado)"</formula>
    </cfRule>
  </conditionalFormatting>
  <conditionalFormatting sqref="D126:L126">
    <cfRule type="cellIs" priority="35" operator="lessThan" dxfId="0">
      <formula>0</formula>
    </cfRule>
  </conditionalFormatting>
  <conditionalFormatting sqref="M129">
    <cfRule type="cellIs" priority="36" operator="equal" dxfId="0">
      <formula>"PEDIR YA (atrasado)"</formula>
    </cfRule>
  </conditionalFormatting>
  <conditionalFormatting sqref="D133:L133">
    <cfRule type="cellIs" priority="37" operator="lessThan" dxfId="0">
      <formula>0</formula>
    </cfRule>
  </conditionalFormatting>
  <conditionalFormatting sqref="M136">
    <cfRule type="cellIs" priority="38" operator="equal" dxfId="0">
      <formula>"PEDIR YA (atrasado)"</formula>
    </cfRule>
  </conditionalFormatting>
  <conditionalFormatting sqref="D140:L140">
    <cfRule type="cellIs" priority="39" operator="lessThan" dxfId="0">
      <formula>0</formula>
    </cfRule>
  </conditionalFormatting>
  <conditionalFormatting sqref="M143">
    <cfRule type="cellIs" priority="40" operator="equal" dxfId="0">
      <formula>"PEDIR YA (atrasado)"</formula>
    </cfRule>
  </conditionalFormatting>
  <conditionalFormatting sqref="D147:L147">
    <cfRule type="cellIs" priority="41" operator="lessThan" dxfId="0">
      <formula>0</formula>
    </cfRule>
  </conditionalFormatting>
  <conditionalFormatting sqref="M150">
    <cfRule type="cellIs" priority="42" operator="equal" dxfId="0">
      <formula>"PEDIR YA (atrasado)"</formula>
    </cfRule>
  </conditionalFormatting>
  <conditionalFormatting sqref="D154:L154">
    <cfRule type="cellIs" priority="43" operator="lessThan" dxfId="0">
      <formula>0</formula>
    </cfRule>
  </conditionalFormatting>
  <conditionalFormatting sqref="M157">
    <cfRule type="cellIs" priority="44" operator="equal" dxfId="0">
      <formula>"PEDIR YA (atrasado)"</formula>
    </cfRule>
  </conditionalFormatting>
  <conditionalFormatting sqref="D161:L161">
    <cfRule type="cellIs" priority="45" operator="lessThan" dxfId="0">
      <formula>0</formula>
    </cfRule>
  </conditionalFormatting>
  <conditionalFormatting sqref="M164">
    <cfRule type="cellIs" priority="46" operator="equal" dxfId="0">
      <formula>"PEDIR YA (atrasado)"</formula>
    </cfRule>
  </conditionalFormatting>
  <conditionalFormatting sqref="D168:L168">
    <cfRule type="cellIs" priority="47" operator="lessThan" dxfId="0">
      <formula>0</formula>
    </cfRule>
  </conditionalFormatting>
  <conditionalFormatting sqref="M171">
    <cfRule type="cellIs" priority="48" operator="equal" dxfId="0">
      <formula>"PEDIR YA (atrasado)"</formula>
    </cfRule>
  </conditionalFormatting>
  <conditionalFormatting sqref="D175:L175">
    <cfRule type="cellIs" priority="49" operator="lessThan" dxfId="0">
      <formula>0</formula>
    </cfRule>
  </conditionalFormatting>
  <conditionalFormatting sqref="M178">
    <cfRule type="cellIs" priority="50" operator="equal" dxfId="0">
      <formula>"PEDIR YA (atrasado)"</formula>
    </cfRule>
  </conditionalFormatting>
  <conditionalFormatting sqref="D182:L182">
    <cfRule type="cellIs" priority="51" operator="lessThan" dxfId="0">
      <formula>0</formula>
    </cfRule>
  </conditionalFormatting>
  <conditionalFormatting sqref="M185">
    <cfRule type="cellIs" priority="52" operator="equal" dxfId="0">
      <formula>"PEDIR YA (atrasado)"</formula>
    </cfRule>
  </conditionalFormatting>
  <conditionalFormatting sqref="D189:L189">
    <cfRule type="cellIs" priority="53" operator="lessThan" dxfId="0">
      <formula>0</formula>
    </cfRule>
  </conditionalFormatting>
  <conditionalFormatting sqref="M192">
    <cfRule type="cellIs" priority="54" operator="equal" dxfId="0">
      <formula>"PEDIR YA (atrasado)"</formula>
    </cfRule>
  </conditionalFormatting>
  <conditionalFormatting sqref="D196:L196">
    <cfRule type="cellIs" priority="55" operator="lessThan" dxfId="0">
      <formula>0</formula>
    </cfRule>
  </conditionalFormatting>
  <conditionalFormatting sqref="M199">
    <cfRule type="cellIs" priority="56" operator="equal" dxfId="0">
      <formula>"PEDIR YA (atrasado)"</formula>
    </cfRule>
  </conditionalFormatting>
  <conditionalFormatting sqref="D203:L203">
    <cfRule type="cellIs" priority="57" operator="lessThan" dxfId="0">
      <formula>0</formula>
    </cfRule>
  </conditionalFormatting>
  <conditionalFormatting sqref="M206">
    <cfRule type="cellIs" priority="58" operator="equal" dxfId="0">
      <formula>"PEDIR YA (atrasado)"</formula>
    </cfRule>
  </conditionalFormatting>
  <conditionalFormatting sqref="D210:L210">
    <cfRule type="cellIs" priority="59" operator="lessThan" dxfId="0">
      <formula>0</formula>
    </cfRule>
  </conditionalFormatting>
  <conditionalFormatting sqref="M213">
    <cfRule type="cellIs" priority="60" operator="equal" dxfId="0">
      <formula>"PEDIR YA (atrasado)"</formula>
    </cfRule>
  </conditionalFormatting>
  <conditionalFormatting sqref="D217:L217">
    <cfRule type="cellIs" priority="61" operator="lessThan" dxfId="0">
      <formula>0</formula>
    </cfRule>
  </conditionalFormatting>
  <conditionalFormatting sqref="M220">
    <cfRule type="cellIs" priority="62" operator="equal" dxfId="0">
      <formula>"PEDIR YA (atrasado)"</formula>
    </cfRule>
  </conditionalFormatting>
  <conditionalFormatting sqref="D224:L224">
    <cfRule type="cellIs" priority="63" operator="lessThan" dxfId="0">
      <formula>0</formula>
    </cfRule>
  </conditionalFormatting>
  <conditionalFormatting sqref="M227">
    <cfRule type="cellIs" priority="64" operator="equal" dxfId="0">
      <formula>"PEDIR YA (atrasado)"</formula>
    </cfRule>
  </conditionalFormatting>
  <conditionalFormatting sqref="D231:L231">
    <cfRule type="cellIs" priority="65" operator="lessThan" dxfId="0">
      <formula>0</formula>
    </cfRule>
  </conditionalFormatting>
  <conditionalFormatting sqref="M234">
    <cfRule type="cellIs" priority="66" operator="equal" dxfId="0">
      <formula>"PEDIR YA (atrasado)"</formula>
    </cfRule>
  </conditionalFormatting>
  <conditionalFormatting sqref="D238:L238">
    <cfRule type="cellIs" priority="67" operator="lessThan" dxfId="0">
      <formula>0</formula>
    </cfRule>
  </conditionalFormatting>
  <conditionalFormatting sqref="M241">
    <cfRule type="cellIs" priority="68" operator="equal" dxfId="0">
      <formula>"PEDIR YA (atrasado)"</formula>
    </cfRule>
  </conditionalFormatting>
  <conditionalFormatting sqref="D245:L245">
    <cfRule type="cellIs" priority="69" operator="lessThan" dxfId="0">
      <formula>0</formula>
    </cfRule>
  </conditionalFormatting>
  <conditionalFormatting sqref="M248">
    <cfRule type="cellIs" priority="70" operator="equal" dxfId="0">
      <formula>"PEDIR YA (atrasado)"</formula>
    </cfRule>
  </conditionalFormatting>
  <conditionalFormatting sqref="D252:L252">
    <cfRule type="cellIs" priority="71" operator="lessThan" dxfId="0">
      <formula>0</formula>
    </cfRule>
  </conditionalFormatting>
  <conditionalFormatting sqref="M255">
    <cfRule type="cellIs" priority="72" operator="equal" dxfId="0">
      <formula>"PEDIR YA (atrasado)"</formula>
    </cfRule>
  </conditionalFormatting>
  <conditionalFormatting sqref="D259:L259">
    <cfRule type="cellIs" priority="73" operator="lessThan" dxfId="0">
      <formula>0</formula>
    </cfRule>
  </conditionalFormatting>
  <conditionalFormatting sqref="M262">
    <cfRule type="cellIs" priority="74" operator="equal" dxfId="0">
      <formula>"PEDIR YA (atrasado)"</formula>
    </cfRule>
  </conditionalFormatting>
  <conditionalFormatting sqref="D266:L266">
    <cfRule type="cellIs" priority="75" operator="lessThan" dxfId="0">
      <formula>0</formula>
    </cfRule>
  </conditionalFormatting>
  <conditionalFormatting sqref="M269">
    <cfRule type="cellIs" priority="76" operator="equal" dxfId="0">
      <formula>"PEDIR YA (atrasado)"</formula>
    </cfRule>
  </conditionalFormatting>
  <conditionalFormatting sqref="D273:L273">
    <cfRule type="cellIs" priority="77" operator="lessThan" dxfId="0">
      <formula>0</formula>
    </cfRule>
  </conditionalFormatting>
  <conditionalFormatting sqref="M276">
    <cfRule type="cellIs" priority="78" operator="equal" dxfId="0">
      <formula>"PEDIR YA (atrasado)"</formula>
    </cfRule>
  </conditionalFormatting>
  <conditionalFormatting sqref="D280:L280">
    <cfRule type="cellIs" priority="79" operator="lessThan" dxfId="0">
      <formula>0</formula>
    </cfRule>
  </conditionalFormatting>
  <conditionalFormatting sqref="M283">
    <cfRule type="cellIs" priority="80" operator="equal" dxfId="0">
      <formula>"PEDIR YA (atrasado)"</formula>
    </cfRule>
  </conditionalFormatting>
  <conditionalFormatting sqref="D287:L287">
    <cfRule type="cellIs" priority="81" operator="lessThan" dxfId="0">
      <formula>0</formula>
    </cfRule>
  </conditionalFormatting>
  <conditionalFormatting sqref="M290">
    <cfRule type="cellIs" priority="82" operator="equal" dxfId="0">
      <formula>"PEDIR YA (atrasado)"</formula>
    </cfRule>
  </conditionalFormatting>
  <conditionalFormatting sqref="D294:L294">
    <cfRule type="cellIs" priority="83" operator="lessThan" dxfId="0">
      <formula>0</formula>
    </cfRule>
  </conditionalFormatting>
  <conditionalFormatting sqref="M297">
    <cfRule type="cellIs" priority="84" operator="equal" dxfId="0">
      <formula>"PEDIR YA (atrasado)"</formula>
    </cfRule>
  </conditionalFormatting>
  <conditionalFormatting sqref="D301:L301">
    <cfRule type="cellIs" priority="85" operator="lessThan" dxfId="0">
      <formula>0</formula>
    </cfRule>
  </conditionalFormatting>
  <conditionalFormatting sqref="M304">
    <cfRule type="cellIs" priority="86" operator="equal" dxfId="0">
      <formula>"PEDIR YA (atrasado)"</formula>
    </cfRule>
  </conditionalFormatting>
  <conditionalFormatting sqref="D308:L308">
    <cfRule type="cellIs" priority="87" operator="lessThan" dxfId="0">
      <formula>0</formula>
    </cfRule>
  </conditionalFormatting>
  <conditionalFormatting sqref="M311">
    <cfRule type="cellIs" priority="88" operator="equal" dxfId="0">
      <formula>"PEDIR YA (atrasado)"</formula>
    </cfRule>
  </conditionalFormatting>
  <conditionalFormatting sqref="D315:L315">
    <cfRule type="cellIs" priority="89" operator="lessThan" dxfId="0">
      <formula>0</formula>
    </cfRule>
  </conditionalFormatting>
  <conditionalFormatting sqref="M318">
    <cfRule type="cellIs" priority="90" operator="equal" dxfId="0">
      <formula>"PEDIR YA (atrasado)"</formula>
    </cfRule>
  </conditionalFormatting>
  <conditionalFormatting sqref="D322:L322">
    <cfRule type="cellIs" priority="91" operator="lessThan" dxfId="0">
      <formula>0</formula>
    </cfRule>
  </conditionalFormatting>
  <conditionalFormatting sqref="M325">
    <cfRule type="cellIs" priority="92" operator="equal" dxfId="0">
      <formula>"PEDIR YA (atrasado)"</formula>
    </cfRule>
  </conditionalFormatting>
  <conditionalFormatting sqref="D329:L329">
    <cfRule type="cellIs" priority="93" operator="lessThan" dxfId="0">
      <formula>0</formula>
    </cfRule>
  </conditionalFormatting>
  <conditionalFormatting sqref="M332">
    <cfRule type="cellIs" priority="94" operator="equal" dxfId="0">
      <formula>"PEDIR YA (atrasado)"</formula>
    </cfRule>
  </conditionalFormatting>
  <conditionalFormatting sqref="D336:L336">
    <cfRule type="cellIs" priority="95" operator="lessThan" dxfId="0">
      <formula>0</formula>
    </cfRule>
  </conditionalFormatting>
  <conditionalFormatting sqref="M339">
    <cfRule type="cellIs" priority="96" operator="equal" dxfId="0">
      <formula>"PEDIR YA (atrasado)"</formula>
    </cfRule>
  </conditionalFormatting>
  <conditionalFormatting sqref="D343:L343">
    <cfRule type="cellIs" priority="97" operator="lessThan" dxfId="0">
      <formula>0</formula>
    </cfRule>
  </conditionalFormatting>
  <conditionalFormatting sqref="M346">
    <cfRule type="cellIs" priority="98" operator="equal" dxfId="0">
      <formula>"PEDIR YA (atrasado)"</formula>
    </cfRule>
  </conditionalFormatting>
  <conditionalFormatting sqref="D350:L350">
    <cfRule type="cellIs" priority="99" operator="lessThan" dxfId="0">
      <formula>0</formula>
    </cfRule>
  </conditionalFormatting>
  <conditionalFormatting sqref="M353">
    <cfRule type="cellIs" priority="100" operator="equal" dxfId="0">
      <formula>"PEDIR YA (atrasado)"</formula>
    </cfRule>
  </conditionalFormatting>
  <conditionalFormatting sqref="D357:L357">
    <cfRule type="cellIs" priority="101" operator="lessThan" dxfId="0">
      <formula>0</formula>
    </cfRule>
  </conditionalFormatting>
  <conditionalFormatting sqref="M360">
    <cfRule type="cellIs" priority="102" operator="equal" dxfId="0">
      <formula>"PEDIR YA (atrasado)"</formula>
    </cfRule>
  </conditionalFormatting>
  <conditionalFormatting sqref="D364:L364">
    <cfRule type="cellIs" priority="103" operator="lessThan" dxfId="0">
      <formula>0</formula>
    </cfRule>
  </conditionalFormatting>
  <conditionalFormatting sqref="M367">
    <cfRule type="cellIs" priority="104" operator="equal" dxfId="0">
      <formula>"PEDIR YA (atrasado)"</formula>
    </cfRule>
  </conditionalFormatting>
  <conditionalFormatting sqref="D371:L371">
    <cfRule type="cellIs" priority="105" operator="lessThan" dxfId="0">
      <formula>0</formula>
    </cfRule>
  </conditionalFormatting>
  <conditionalFormatting sqref="M374">
    <cfRule type="cellIs" priority="106" operator="equal" dxfId="0">
      <formula>"PEDIR YA (atrasado)"</formula>
    </cfRule>
  </conditionalFormatting>
  <conditionalFormatting sqref="D378:L378">
    <cfRule type="cellIs" priority="107" operator="lessThan" dxfId="0">
      <formula>0</formula>
    </cfRule>
  </conditionalFormatting>
  <conditionalFormatting sqref="M381">
    <cfRule type="cellIs" priority="108" operator="equal" dxfId="0">
      <formula>"PEDIR YA (atrasado)"</formula>
    </cfRule>
  </conditionalFormatting>
  <conditionalFormatting sqref="D385:L385">
    <cfRule type="cellIs" priority="109" operator="lessThan" dxfId="0">
      <formula>0</formula>
    </cfRule>
  </conditionalFormatting>
  <conditionalFormatting sqref="M388">
    <cfRule type="cellIs" priority="110" operator="equal" dxfId="0">
      <formula>"PEDIR YA (atrasado)"</formula>
    </cfRule>
  </conditionalFormatting>
  <conditionalFormatting sqref="D392:L392">
    <cfRule type="cellIs" priority="111" operator="lessThan" dxfId="0">
      <formula>0</formula>
    </cfRule>
  </conditionalFormatting>
  <conditionalFormatting sqref="M395">
    <cfRule type="cellIs" priority="112" operator="equal" dxfId="0">
      <formula>"PEDIR YA (atrasado)"</formula>
    </cfRule>
  </conditionalFormatting>
  <conditionalFormatting sqref="D399:L399">
    <cfRule type="cellIs" priority="113" operator="lessThan" dxfId="0">
      <formula>0</formula>
    </cfRule>
  </conditionalFormatting>
  <conditionalFormatting sqref="M402">
    <cfRule type="cellIs" priority="114" operator="equal" dxfId="0">
      <formula>"PEDIR YA (atrasado)"</formula>
    </cfRule>
  </conditionalFormatting>
  <conditionalFormatting sqref="D406:L406">
    <cfRule type="cellIs" priority="115" operator="lessThan" dxfId="0">
      <formula>0</formula>
    </cfRule>
  </conditionalFormatting>
  <conditionalFormatting sqref="M409">
    <cfRule type="cellIs" priority="116" operator="equal" dxfId="0">
      <formula>"PEDIR YA (atrasado)"</formula>
    </cfRule>
  </conditionalFormatting>
  <conditionalFormatting sqref="D413:L413">
    <cfRule type="cellIs" priority="117" operator="lessThan" dxfId="0">
      <formula>0</formula>
    </cfRule>
  </conditionalFormatting>
  <conditionalFormatting sqref="M416">
    <cfRule type="cellIs" priority="118" operator="equal" dxfId="0">
      <formula>"PEDIR YA (atrasado)"</formula>
    </cfRule>
  </conditionalFormatting>
  <conditionalFormatting sqref="D420:L420">
    <cfRule type="cellIs" priority="119" operator="lessThan" dxfId="0">
      <formula>0</formula>
    </cfRule>
  </conditionalFormatting>
  <conditionalFormatting sqref="M423">
    <cfRule type="cellIs" priority="120" operator="equal" dxfId="0">
      <formula>"PEDIR YA (atrasado)"</formula>
    </cfRule>
  </conditionalFormatting>
  <conditionalFormatting sqref="D427:L427">
    <cfRule type="cellIs" priority="121" operator="lessThan" dxfId="0">
      <formula>0</formula>
    </cfRule>
  </conditionalFormatting>
  <conditionalFormatting sqref="M430">
    <cfRule type="cellIs" priority="122" operator="equal" dxfId="0">
      <formula>"PEDIR YA (atrasado)"</formula>
    </cfRule>
  </conditionalFormatting>
  <conditionalFormatting sqref="D434:L434">
    <cfRule type="cellIs" priority="123" operator="lessThan" dxfId="0">
      <formula>0</formula>
    </cfRule>
  </conditionalFormatting>
  <conditionalFormatting sqref="M437">
    <cfRule type="cellIs" priority="124" operator="equal" dxfId="0">
      <formula>"PEDIR YA (atrasado)"</formula>
    </cfRule>
  </conditionalFormatting>
  <conditionalFormatting sqref="D441:L441">
    <cfRule type="cellIs" priority="125" operator="lessThan" dxfId="0">
      <formula>0</formula>
    </cfRule>
  </conditionalFormatting>
  <conditionalFormatting sqref="M444">
    <cfRule type="cellIs" priority="126" operator="equal" dxfId="0">
      <formula>"PEDIR YA (atrasado)"</formula>
    </cfRule>
  </conditionalFormatting>
  <conditionalFormatting sqref="D448:L448">
    <cfRule type="cellIs" priority="127" operator="lessThan" dxfId="0">
      <formula>0</formula>
    </cfRule>
  </conditionalFormatting>
  <conditionalFormatting sqref="M451">
    <cfRule type="cellIs" priority="128" operator="equal" dxfId="0">
      <formula>"PEDIR YA (atrasado)"</formula>
    </cfRule>
  </conditionalFormatting>
  <conditionalFormatting sqref="D455:L455">
    <cfRule type="cellIs" priority="129" operator="lessThan" dxfId="0">
      <formula>0</formula>
    </cfRule>
  </conditionalFormatting>
  <conditionalFormatting sqref="M458">
    <cfRule type="cellIs" priority="130" operator="equal" dxfId="0">
      <formula>"PEDIR YA (atrasado)"</formula>
    </cfRule>
  </conditionalFormatting>
  <conditionalFormatting sqref="D462:L462">
    <cfRule type="cellIs" priority="131" operator="lessThan" dxfId="0">
      <formula>0</formula>
    </cfRule>
  </conditionalFormatting>
  <conditionalFormatting sqref="M465">
    <cfRule type="cellIs" priority="132" operator="equal" dxfId="0">
      <formula>"PEDIR YA (atrasado)"</formula>
    </cfRule>
  </conditionalFormatting>
  <conditionalFormatting sqref="D469:L469">
    <cfRule type="cellIs" priority="133" operator="lessThan" dxfId="0">
      <formula>0</formula>
    </cfRule>
  </conditionalFormatting>
  <conditionalFormatting sqref="M472">
    <cfRule type="cellIs" priority="134" operator="equal" dxfId="0">
      <formula>"PEDIR YA (atrasado)"</formula>
    </cfRule>
  </conditionalFormatting>
  <conditionalFormatting sqref="D476:L476">
    <cfRule type="cellIs" priority="135" operator="lessThan" dxfId="0">
      <formula>0</formula>
    </cfRule>
  </conditionalFormatting>
  <conditionalFormatting sqref="M479">
    <cfRule type="cellIs" priority="136" operator="equal" dxfId="0">
      <formula>"PEDIR YA (atrasado)"</formula>
    </cfRule>
  </conditionalFormatting>
  <conditionalFormatting sqref="D483:L483">
    <cfRule type="cellIs" priority="137" operator="lessThan" dxfId="0">
      <formula>0</formula>
    </cfRule>
  </conditionalFormatting>
  <conditionalFormatting sqref="M486">
    <cfRule type="cellIs" priority="138" operator="equal" dxfId="0">
      <formula>"PEDIR YA (atrasado)"</formula>
    </cfRule>
  </conditionalFormatting>
  <conditionalFormatting sqref="D490:L490">
    <cfRule type="cellIs" priority="139" operator="lessThan" dxfId="0">
      <formula>0</formula>
    </cfRule>
  </conditionalFormatting>
  <conditionalFormatting sqref="M493">
    <cfRule type="cellIs" priority="140" operator="equal" dxfId="0">
      <formula>"PEDIR YA (atrasado)"</formula>
    </cfRule>
  </conditionalFormatting>
  <conditionalFormatting sqref="D497:L497">
    <cfRule type="cellIs" priority="141" operator="lessThan" dxfId="0">
      <formula>0</formula>
    </cfRule>
  </conditionalFormatting>
  <conditionalFormatting sqref="M500">
    <cfRule type="cellIs" priority="142" operator="equal" dxfId="0">
      <formula>"PEDIR YA (atrasado)"</formula>
    </cfRule>
  </conditionalFormatting>
  <conditionalFormatting sqref="D504:L504">
    <cfRule type="cellIs" priority="143" operator="lessThan" dxfId="0">
      <formula>0</formula>
    </cfRule>
  </conditionalFormatting>
  <conditionalFormatting sqref="M507">
    <cfRule type="cellIs" priority="144" operator="equal" dxfId="0">
      <formula>"PEDIR YA (atrasado)"</formula>
    </cfRule>
  </conditionalFormatting>
  <conditionalFormatting sqref="D511:L511">
    <cfRule type="cellIs" priority="145" operator="lessThan" dxfId="0">
      <formula>0</formula>
    </cfRule>
  </conditionalFormatting>
  <conditionalFormatting sqref="M514">
    <cfRule type="cellIs" priority="146" operator="equal" dxfId="0">
      <formula>"PEDIR YA (atrasado)"</formula>
    </cfRule>
  </conditionalFormatting>
  <conditionalFormatting sqref="D518:L518">
    <cfRule type="cellIs" priority="147" operator="lessThan" dxfId="0">
      <formula>0</formula>
    </cfRule>
  </conditionalFormatting>
  <conditionalFormatting sqref="M521">
    <cfRule type="cellIs" priority="148" operator="equal" dxfId="0">
      <formula>"PEDIR YA (atrasado)"</formula>
    </cfRule>
  </conditionalFormatting>
  <conditionalFormatting sqref="D525:L525">
    <cfRule type="cellIs" priority="149" operator="lessThan" dxfId="0">
      <formula>0</formula>
    </cfRule>
  </conditionalFormatting>
  <conditionalFormatting sqref="M528">
    <cfRule type="cellIs" priority="150" operator="equal" dxfId="0">
      <formula>"PEDIR YA (atrasado)"</formula>
    </cfRule>
  </conditionalFormatting>
  <conditionalFormatting sqref="D532:L532">
    <cfRule type="cellIs" priority="151" operator="lessThan" dxfId="0">
      <formula>0</formula>
    </cfRule>
  </conditionalFormatting>
  <conditionalFormatting sqref="M535">
    <cfRule type="cellIs" priority="152" operator="equal" dxfId="0">
      <formula>"PEDIR YA (atrasado)"</formula>
    </cfRule>
  </conditionalFormatting>
  <conditionalFormatting sqref="D539:L539">
    <cfRule type="cellIs" priority="153" operator="lessThan" dxfId="0">
      <formula>0</formula>
    </cfRule>
  </conditionalFormatting>
  <conditionalFormatting sqref="M542">
    <cfRule type="cellIs" priority="154" operator="equal" dxfId="0">
      <formula>"PEDIR YA (atrasado)"</formula>
    </cfRule>
  </conditionalFormatting>
  <conditionalFormatting sqref="D546:L546">
    <cfRule type="cellIs" priority="155" operator="lessThan" dxfId="0">
      <formula>0</formula>
    </cfRule>
  </conditionalFormatting>
  <conditionalFormatting sqref="M549">
    <cfRule type="cellIs" priority="156" operator="equal" dxfId="0">
      <formula>"PEDIR YA (atrasado)"</formula>
    </cfRule>
  </conditionalFormatting>
  <conditionalFormatting sqref="D553:L553">
    <cfRule type="cellIs" priority="157" operator="lessThan" dxfId="0">
      <formula>0</formula>
    </cfRule>
  </conditionalFormatting>
  <conditionalFormatting sqref="M556">
    <cfRule type="cellIs" priority="158" operator="equal" dxfId="0">
      <formula>"PEDIR YA (atrasado)"</formula>
    </cfRule>
  </conditionalFormatting>
  <conditionalFormatting sqref="D560:L560">
    <cfRule type="cellIs" priority="159" operator="lessThan" dxfId="0">
      <formula>0</formula>
    </cfRule>
  </conditionalFormatting>
  <conditionalFormatting sqref="M563">
    <cfRule type="cellIs" priority="160" operator="equal" dxfId="0">
      <formula>"PEDIR YA (atrasado)"</formula>
    </cfRule>
  </conditionalFormatting>
  <conditionalFormatting sqref="D567:L567">
    <cfRule type="cellIs" priority="161" operator="lessThan" dxfId="0">
      <formula>0</formula>
    </cfRule>
  </conditionalFormatting>
  <conditionalFormatting sqref="M570">
    <cfRule type="cellIs" priority="162" operator="equal" dxfId="0">
      <formula>"PEDIR YA (atrasado)"</formula>
    </cfRule>
  </conditionalFormatting>
  <conditionalFormatting sqref="D574:L574">
    <cfRule type="cellIs" priority="163" operator="lessThan" dxfId="0">
      <formula>0</formula>
    </cfRule>
  </conditionalFormatting>
  <conditionalFormatting sqref="M577">
    <cfRule type="cellIs" priority="164" operator="equal" dxfId="0">
      <formula>"PEDIR YA (atrasado)"</formula>
    </cfRule>
  </conditionalFormatting>
  <conditionalFormatting sqref="D581:L581">
    <cfRule type="cellIs" priority="165" operator="lessThan" dxfId="0">
      <formula>0</formula>
    </cfRule>
  </conditionalFormatting>
  <conditionalFormatting sqref="M584">
    <cfRule type="cellIs" priority="166" operator="equal" dxfId="0">
      <formula>"PEDIR YA (atrasado)"</formula>
    </cfRule>
  </conditionalFormatting>
  <conditionalFormatting sqref="D588:L588">
    <cfRule type="cellIs" priority="167" operator="lessThan" dxfId="0">
      <formula>0</formula>
    </cfRule>
  </conditionalFormatting>
  <conditionalFormatting sqref="M591">
    <cfRule type="cellIs" priority="168" operator="equal" dxfId="0">
      <formula>"PEDIR YA (atrasado)"</formula>
    </cfRule>
  </conditionalFormatting>
  <conditionalFormatting sqref="D595:L595">
    <cfRule type="cellIs" priority="169" operator="lessThan" dxfId="0">
      <formula>0</formula>
    </cfRule>
  </conditionalFormatting>
  <conditionalFormatting sqref="M598">
    <cfRule type="cellIs" priority="170" operator="equal" dxfId="0">
      <formula>"PEDIR YA (atrasado)"</formula>
    </cfRule>
  </conditionalFormatting>
  <conditionalFormatting sqref="D602:L602">
    <cfRule type="cellIs" priority="171" operator="lessThan" dxfId="0">
      <formula>0</formula>
    </cfRule>
  </conditionalFormatting>
  <conditionalFormatting sqref="M605">
    <cfRule type="cellIs" priority="172" operator="equal" dxfId="0">
      <formula>"PEDIR YA (atrasado)"</formula>
    </cfRule>
  </conditionalFormatting>
  <conditionalFormatting sqref="D609:L609">
    <cfRule type="cellIs" priority="173" operator="lessThan" dxfId="0">
      <formula>0</formula>
    </cfRule>
  </conditionalFormatting>
  <conditionalFormatting sqref="M612">
    <cfRule type="cellIs" priority="174" operator="equal" dxfId="0">
      <formula>"PEDIR YA (atrasado)"</formula>
    </cfRule>
  </conditionalFormatting>
  <conditionalFormatting sqref="D616:L616">
    <cfRule type="cellIs" priority="175" operator="lessThan" dxfId="0">
      <formula>0</formula>
    </cfRule>
  </conditionalFormatting>
  <conditionalFormatting sqref="M619">
    <cfRule type="cellIs" priority="176" operator="equal" dxfId="0">
      <formula>"PEDIR YA (atrasado)"</formula>
    </cfRule>
  </conditionalFormatting>
  <conditionalFormatting sqref="D623:L623">
    <cfRule type="cellIs" priority="177" operator="lessThan" dxfId="0">
      <formula>0</formula>
    </cfRule>
  </conditionalFormatting>
  <conditionalFormatting sqref="M626">
    <cfRule type="cellIs" priority="178" operator="equal" dxfId="0">
      <formula>"PEDIR YA (atrasado)"</formula>
    </cfRule>
  </conditionalFormatting>
  <conditionalFormatting sqref="D630:L630">
    <cfRule type="cellIs" priority="179" operator="lessThan" dxfId="0">
      <formula>0</formula>
    </cfRule>
  </conditionalFormatting>
  <conditionalFormatting sqref="M633">
    <cfRule type="cellIs" priority="180" operator="equal" dxfId="0">
      <formula>"PEDIR YA (atrasado)"</formula>
    </cfRule>
  </conditionalFormatting>
  <conditionalFormatting sqref="D637:L637">
    <cfRule type="cellIs" priority="181" operator="lessThan" dxfId="0">
      <formula>0</formula>
    </cfRule>
  </conditionalFormatting>
  <conditionalFormatting sqref="M640">
    <cfRule type="cellIs" priority="182" operator="equal" dxfId="0">
      <formula>"PEDIR YA (atrasado)"</formula>
    </cfRule>
  </conditionalFormatting>
  <conditionalFormatting sqref="D644:L644">
    <cfRule type="cellIs" priority="183" operator="lessThan" dxfId="0">
      <formula>0</formula>
    </cfRule>
  </conditionalFormatting>
  <conditionalFormatting sqref="M647">
    <cfRule type="cellIs" priority="184" operator="equal" dxfId="0">
      <formula>"PEDIR YA (atrasado)"</formula>
    </cfRule>
  </conditionalFormatting>
  <conditionalFormatting sqref="D651:L651">
    <cfRule type="cellIs" priority="185" operator="lessThan" dxfId="0">
      <formula>0</formula>
    </cfRule>
  </conditionalFormatting>
  <conditionalFormatting sqref="M654">
    <cfRule type="cellIs" priority="186" operator="equal" dxfId="0">
      <formula>"PEDIR YA (atrasado)"</formula>
    </cfRule>
  </conditionalFormatting>
  <conditionalFormatting sqref="D658:L658">
    <cfRule type="cellIs" priority="187" operator="lessThan" dxfId="0">
      <formula>0</formula>
    </cfRule>
  </conditionalFormatting>
  <conditionalFormatting sqref="M661">
    <cfRule type="cellIs" priority="188" operator="equal" dxfId="0">
      <formula>"PEDIR YA (atrasado)"</formula>
    </cfRule>
  </conditionalFormatting>
  <conditionalFormatting sqref="D665:L665">
    <cfRule type="cellIs" priority="189" operator="lessThan" dxfId="0">
      <formula>0</formula>
    </cfRule>
  </conditionalFormatting>
  <conditionalFormatting sqref="M668">
    <cfRule type="cellIs" priority="190" operator="equal" dxfId="0">
      <formula>"PEDIR YA (atrasado)"</formula>
    </cfRule>
  </conditionalFormatting>
  <conditionalFormatting sqref="D672:L672">
    <cfRule type="cellIs" priority="191" operator="lessThan" dxfId="0">
      <formula>0</formula>
    </cfRule>
  </conditionalFormatting>
  <conditionalFormatting sqref="M675">
    <cfRule type="cellIs" priority="192" operator="equal" dxfId="0">
      <formula>"PEDIR YA (atrasado)"</formula>
    </cfRule>
  </conditionalFormatting>
  <conditionalFormatting sqref="D679:L679">
    <cfRule type="cellIs" priority="193" operator="lessThan" dxfId="0">
      <formula>0</formula>
    </cfRule>
  </conditionalFormatting>
  <conditionalFormatting sqref="M682">
    <cfRule type="cellIs" priority="194" operator="equal" dxfId="0">
      <formula>"PEDIR YA (atrasado)"</formula>
    </cfRule>
  </conditionalFormatting>
  <conditionalFormatting sqref="D686:L686">
    <cfRule type="cellIs" priority="195" operator="lessThan" dxfId="0">
      <formula>0</formula>
    </cfRule>
  </conditionalFormatting>
  <conditionalFormatting sqref="M689">
    <cfRule type="cellIs" priority="196" operator="equal" dxfId="0">
      <formula>"PEDIR YA (atrasado)"</formula>
    </cfRule>
  </conditionalFormatting>
  <conditionalFormatting sqref="D693:L693">
    <cfRule type="cellIs" priority="197" operator="lessThan" dxfId="0">
      <formula>0</formula>
    </cfRule>
  </conditionalFormatting>
  <conditionalFormatting sqref="M696">
    <cfRule type="cellIs" priority="198" operator="equal" dxfId="0">
      <formula>"PEDIR YA (atrasado)"</formula>
    </cfRule>
  </conditionalFormatting>
  <conditionalFormatting sqref="D700:L700">
    <cfRule type="cellIs" priority="199" operator="lessThan" dxfId="0">
      <formula>0</formula>
    </cfRule>
  </conditionalFormatting>
  <conditionalFormatting sqref="M703">
    <cfRule type="cellIs" priority="200" operator="equal" dxfId="0">
      <formula>"PEDIR YA (atrasado)"</formula>
    </cfRule>
  </conditionalFormatting>
  <conditionalFormatting sqref="D707:L707">
    <cfRule type="cellIs" priority="201" operator="lessThan" dxfId="0">
      <formula>0</formula>
    </cfRule>
  </conditionalFormatting>
  <conditionalFormatting sqref="M710">
    <cfRule type="cellIs" priority="202" operator="equal" dxfId="0">
      <formula>"PEDIR YA (atrasado)"</formula>
    </cfRule>
  </conditionalFormatting>
  <conditionalFormatting sqref="D714:L714">
    <cfRule type="cellIs" priority="203" operator="lessThan" dxfId="0">
      <formula>0</formula>
    </cfRule>
  </conditionalFormatting>
  <conditionalFormatting sqref="M717">
    <cfRule type="cellIs" priority="204" operator="equal" dxfId="0">
      <formula>"PEDIR YA (atrasado)"</formula>
    </cfRule>
  </conditionalFormatting>
  <conditionalFormatting sqref="D721:L721">
    <cfRule type="cellIs" priority="205" operator="lessThan" dxfId="0">
      <formula>0</formula>
    </cfRule>
  </conditionalFormatting>
  <conditionalFormatting sqref="M724">
    <cfRule type="cellIs" priority="206" operator="equal" dxfId="0">
      <formula>"PEDIR YA (atrasado)"</formula>
    </cfRule>
  </conditionalFormatting>
  <conditionalFormatting sqref="D728:L728">
    <cfRule type="cellIs" priority="207" operator="lessThan" dxfId="0">
      <formula>0</formula>
    </cfRule>
  </conditionalFormatting>
  <conditionalFormatting sqref="M731">
    <cfRule type="cellIs" priority="208" operator="equal" dxfId="0">
      <formula>"PEDIR YA (atrasado)"</formula>
    </cfRule>
  </conditionalFormatting>
  <conditionalFormatting sqref="D735:L735">
    <cfRule type="cellIs" priority="209" operator="lessThan" dxfId="0">
      <formula>0</formula>
    </cfRule>
  </conditionalFormatting>
  <conditionalFormatting sqref="M738">
    <cfRule type="cellIs" priority="210" operator="equal" dxfId="0">
      <formula>"PEDIR YA (atrasado)"</formula>
    </cfRule>
  </conditionalFormatting>
  <conditionalFormatting sqref="D742:L742">
    <cfRule type="cellIs" priority="211" operator="lessThan" dxfId="0">
      <formula>0</formula>
    </cfRule>
  </conditionalFormatting>
  <conditionalFormatting sqref="M745">
    <cfRule type="cellIs" priority="212" operator="equal" dxfId="0">
      <formula>"PEDIR YA (atrasado)"</formula>
    </cfRule>
  </conditionalFormatting>
  <conditionalFormatting sqref="D749:L749">
    <cfRule type="cellIs" priority="213" operator="lessThan" dxfId="0">
      <formula>0</formula>
    </cfRule>
  </conditionalFormatting>
  <conditionalFormatting sqref="M752">
    <cfRule type="cellIs" priority="214" operator="equal" dxfId="0">
      <formula>"PEDIR YA (atrasado)"</formula>
    </cfRule>
  </conditionalFormatting>
  <conditionalFormatting sqref="D756:L756">
    <cfRule type="cellIs" priority="215" operator="lessThan" dxfId="0">
      <formula>0</formula>
    </cfRule>
  </conditionalFormatting>
  <conditionalFormatting sqref="M759">
    <cfRule type="cellIs" priority="216" operator="equal" dxfId="0">
      <formula>"PEDIR YA (atrasado)"</formula>
    </cfRule>
  </conditionalFormatting>
  <conditionalFormatting sqref="D763:L763">
    <cfRule type="cellIs" priority="217" operator="lessThan" dxfId="0">
      <formula>0</formula>
    </cfRule>
  </conditionalFormatting>
  <conditionalFormatting sqref="M766">
    <cfRule type="cellIs" priority="218" operator="equal" dxfId="0">
      <formula>"PEDIR YA (atrasado)"</formula>
    </cfRule>
  </conditionalFormatting>
  <conditionalFormatting sqref="D770:L770">
    <cfRule type="cellIs" priority="219" operator="lessThan" dxfId="0">
      <formula>0</formula>
    </cfRule>
  </conditionalFormatting>
  <conditionalFormatting sqref="M773">
    <cfRule type="cellIs" priority="220" operator="equal" dxfId="0">
      <formula>"PEDIR YA (atrasado)"</formula>
    </cfRule>
  </conditionalFormatting>
  <conditionalFormatting sqref="D777:L777">
    <cfRule type="cellIs" priority="221" operator="lessThan" dxfId="0">
      <formula>0</formula>
    </cfRule>
  </conditionalFormatting>
  <conditionalFormatting sqref="M780">
    <cfRule type="cellIs" priority="222" operator="equal" dxfId="0">
      <formula>"PEDIR YA (atrasado)"</formula>
    </cfRule>
  </conditionalFormatting>
  <conditionalFormatting sqref="D784:L784">
    <cfRule type="cellIs" priority="223" operator="lessThan" dxfId="0">
      <formula>0</formula>
    </cfRule>
  </conditionalFormatting>
  <conditionalFormatting sqref="M787">
    <cfRule type="cellIs" priority="224" operator="equal" dxfId="0">
      <formula>"PEDIR YA (atrasado)"</formula>
    </cfRule>
  </conditionalFormatting>
  <conditionalFormatting sqref="D791:L791">
    <cfRule type="cellIs" priority="225" operator="lessThan" dxfId="0">
      <formula>0</formula>
    </cfRule>
  </conditionalFormatting>
  <conditionalFormatting sqref="M794">
    <cfRule type="cellIs" priority="226" operator="equal" dxfId="0">
      <formula>"PEDIR YA (atrasado)"</formula>
    </cfRule>
  </conditionalFormatting>
  <conditionalFormatting sqref="D798:L798">
    <cfRule type="cellIs" priority="227" operator="lessThan" dxfId="0">
      <formula>0</formula>
    </cfRule>
  </conditionalFormatting>
  <conditionalFormatting sqref="M801">
    <cfRule type="cellIs" priority="228" operator="equal" dxfId="0">
      <formula>"PEDIR YA (atrasado)"</formula>
    </cfRule>
  </conditionalFormatting>
  <conditionalFormatting sqref="D805:L805">
    <cfRule type="cellIs" priority="229" operator="lessThan" dxfId="0">
      <formula>0</formula>
    </cfRule>
  </conditionalFormatting>
  <conditionalFormatting sqref="M808">
    <cfRule type="cellIs" priority="230" operator="equal" dxfId="0">
      <formula>"PEDIR YA (atrasado)"</formula>
    </cfRule>
  </conditionalFormatting>
  <conditionalFormatting sqref="D812:L812">
    <cfRule type="cellIs" priority="231" operator="lessThan" dxfId="0">
      <formula>0</formula>
    </cfRule>
  </conditionalFormatting>
  <conditionalFormatting sqref="M815">
    <cfRule type="cellIs" priority="232" operator="equal" dxfId="0">
      <formula>"PEDIR YA (atrasado)"</formula>
    </cfRule>
  </conditionalFormatting>
  <conditionalFormatting sqref="D819:L819">
    <cfRule type="cellIs" priority="233" operator="lessThan" dxfId="0">
      <formula>0</formula>
    </cfRule>
  </conditionalFormatting>
  <conditionalFormatting sqref="M822">
    <cfRule type="cellIs" priority="234" operator="equal" dxfId="0">
      <formula>"PEDIR YA (atrasado)"</formula>
    </cfRule>
  </conditionalFormatting>
  <conditionalFormatting sqref="D826:L826">
    <cfRule type="cellIs" priority="235" operator="lessThan" dxfId="0">
      <formula>0</formula>
    </cfRule>
  </conditionalFormatting>
  <conditionalFormatting sqref="M829">
    <cfRule type="cellIs" priority="236" operator="equal" dxfId="0">
      <formula>"PEDIR YA (atrasado)"</formula>
    </cfRule>
  </conditionalFormatting>
  <conditionalFormatting sqref="D833:L833">
    <cfRule type="cellIs" priority="237" operator="lessThan" dxfId="0">
      <formula>0</formula>
    </cfRule>
  </conditionalFormatting>
  <conditionalFormatting sqref="M836">
    <cfRule type="cellIs" priority="238" operator="equal" dxfId="0">
      <formula>"PEDIR YA (atrasado)"</formula>
    </cfRule>
  </conditionalFormatting>
  <conditionalFormatting sqref="D840:L840">
    <cfRule type="cellIs" priority="239" operator="lessThan" dxfId="0">
      <formula>0</formula>
    </cfRule>
  </conditionalFormatting>
  <conditionalFormatting sqref="M843">
    <cfRule type="cellIs" priority="240" operator="equal" dxfId="0">
      <formula>"PEDIR YA (atrasado)"</formula>
    </cfRule>
  </conditionalFormatting>
  <conditionalFormatting sqref="D847:L847">
    <cfRule type="cellIs" priority="241" operator="lessThan" dxfId="0">
      <formula>0</formula>
    </cfRule>
  </conditionalFormatting>
  <conditionalFormatting sqref="M850">
    <cfRule type="cellIs" priority="242" operator="equal" dxfId="0">
      <formula>"PEDIR YA (atrasado)"</formula>
    </cfRule>
  </conditionalFormatting>
  <conditionalFormatting sqref="D854:L854">
    <cfRule type="cellIs" priority="243" operator="lessThan" dxfId="0">
      <formula>0</formula>
    </cfRule>
  </conditionalFormatting>
  <conditionalFormatting sqref="M857">
    <cfRule type="cellIs" priority="244" operator="equal" dxfId="0">
      <formula>"PEDIR YA (atrasado)"</formula>
    </cfRule>
  </conditionalFormatting>
  <conditionalFormatting sqref="D861:L861">
    <cfRule type="cellIs" priority="245" operator="lessThan" dxfId="0">
      <formula>0</formula>
    </cfRule>
  </conditionalFormatting>
  <conditionalFormatting sqref="M864">
    <cfRule type="cellIs" priority="246" operator="equal" dxfId="0">
      <formula>"PEDIR YA (atrasado)"</formula>
    </cfRule>
  </conditionalFormatting>
  <conditionalFormatting sqref="D868:L868">
    <cfRule type="cellIs" priority="247" operator="lessThan" dxfId="0">
      <formula>0</formula>
    </cfRule>
  </conditionalFormatting>
  <conditionalFormatting sqref="M871">
    <cfRule type="cellIs" priority="248" operator="equal" dxfId="0">
      <formula>"PEDIR YA (atrasado)"</formula>
    </cfRule>
  </conditionalFormatting>
  <conditionalFormatting sqref="D875:L875">
    <cfRule type="cellIs" priority="249" operator="lessThan" dxfId="0">
      <formula>0</formula>
    </cfRule>
  </conditionalFormatting>
  <conditionalFormatting sqref="M878">
    <cfRule type="cellIs" priority="250" operator="equal" dxfId="0">
      <formula>"PEDIR YA (atrasado)"</formula>
    </cfRule>
  </conditionalFormatting>
  <conditionalFormatting sqref="D882:L882">
    <cfRule type="cellIs" priority="251" operator="lessThan" dxfId="0">
      <formula>0</formula>
    </cfRule>
  </conditionalFormatting>
  <conditionalFormatting sqref="M885">
    <cfRule type="cellIs" priority="252" operator="equal" dxfId="0">
      <formula>"PEDIR YA (atrasado)"</formula>
    </cfRule>
  </conditionalFormatting>
  <conditionalFormatting sqref="D889:L889">
    <cfRule type="cellIs" priority="253" operator="lessThan" dxfId="0">
      <formula>0</formula>
    </cfRule>
  </conditionalFormatting>
  <conditionalFormatting sqref="M892">
    <cfRule type="cellIs" priority="254" operator="equal" dxfId="0">
      <formula>"PEDIR YA (atrasado)"</formula>
    </cfRule>
  </conditionalFormatting>
  <conditionalFormatting sqref="D896:L896">
    <cfRule type="cellIs" priority="255" operator="lessThan" dxfId="0">
      <formula>0</formula>
    </cfRule>
  </conditionalFormatting>
  <conditionalFormatting sqref="M899">
    <cfRule type="cellIs" priority="256" operator="equal" dxfId="0">
      <formula>"PEDIR YA (atrasado)"</formula>
    </cfRule>
  </conditionalFormatting>
  <conditionalFormatting sqref="D903:L903">
    <cfRule type="cellIs" priority="257" operator="lessThan" dxfId="0">
      <formula>0</formula>
    </cfRule>
  </conditionalFormatting>
  <conditionalFormatting sqref="M906">
    <cfRule type="cellIs" priority="258" operator="equal" dxfId="0">
      <formula>"PEDIR YA (atrasado)"</formula>
    </cfRule>
  </conditionalFormatting>
  <conditionalFormatting sqref="D910:L910">
    <cfRule type="cellIs" priority="259" operator="lessThan" dxfId="0">
      <formula>0</formula>
    </cfRule>
  </conditionalFormatting>
  <conditionalFormatting sqref="M913">
    <cfRule type="cellIs" priority="260" operator="equal" dxfId="0">
      <formula>"PEDIR YA (atrasado)"</formula>
    </cfRule>
  </conditionalFormatting>
  <conditionalFormatting sqref="D917:L917">
    <cfRule type="cellIs" priority="261" operator="lessThan" dxfId="0">
      <formula>0</formula>
    </cfRule>
  </conditionalFormatting>
  <conditionalFormatting sqref="M920">
    <cfRule type="cellIs" priority="262" operator="equal" dxfId="0">
      <formula>"PEDIR YA (atrasado)"</formula>
    </cfRule>
  </conditionalFormatting>
  <conditionalFormatting sqref="D924:L924">
    <cfRule type="cellIs" priority="263" operator="lessThan" dxfId="0">
      <formula>0</formula>
    </cfRule>
  </conditionalFormatting>
  <conditionalFormatting sqref="M927">
    <cfRule type="cellIs" priority="264" operator="equal" dxfId="0">
      <formula>"PEDIR YA (atrasado)"</formula>
    </cfRule>
  </conditionalFormatting>
  <conditionalFormatting sqref="D931:L931">
    <cfRule type="cellIs" priority="265" operator="lessThan" dxfId="0">
      <formula>0</formula>
    </cfRule>
  </conditionalFormatting>
  <conditionalFormatting sqref="M934">
    <cfRule type="cellIs" priority="266" operator="equal" dxfId="0">
      <formula>"PEDIR YA (atrasado)"</formula>
    </cfRule>
  </conditionalFormatting>
  <conditionalFormatting sqref="D938:L938">
    <cfRule type="cellIs" priority="267" operator="lessThan" dxfId="0">
      <formula>0</formula>
    </cfRule>
  </conditionalFormatting>
  <conditionalFormatting sqref="M941">
    <cfRule type="cellIs" priority="268" operator="equal" dxfId="0">
      <formula>"PEDIR YA (atrasado)"</formula>
    </cfRule>
  </conditionalFormatting>
  <conditionalFormatting sqref="D945:L945">
    <cfRule type="cellIs" priority="269" operator="lessThan" dxfId="0">
      <formula>0</formula>
    </cfRule>
  </conditionalFormatting>
  <conditionalFormatting sqref="M948">
    <cfRule type="cellIs" priority="270" operator="equal" dxfId="0">
      <formula>"PEDIR YA (atrasado)"</formula>
    </cfRule>
  </conditionalFormatting>
  <conditionalFormatting sqref="D952:L952">
    <cfRule type="cellIs" priority="271" operator="lessThan" dxfId="0">
      <formula>0</formula>
    </cfRule>
  </conditionalFormatting>
  <conditionalFormatting sqref="M955">
    <cfRule type="cellIs" priority="272" operator="equal" dxfId="0">
      <formula>"PEDIR YA (atrasado)"</formula>
    </cfRule>
  </conditionalFormatting>
  <conditionalFormatting sqref="D959:L959">
    <cfRule type="cellIs" priority="273" operator="lessThan" dxfId="0">
      <formula>0</formula>
    </cfRule>
  </conditionalFormatting>
  <conditionalFormatting sqref="M962">
    <cfRule type="cellIs" priority="274" operator="equal" dxfId="0">
      <formula>"PEDIR YA (atrasado)"</formula>
    </cfRule>
  </conditionalFormatting>
  <conditionalFormatting sqref="D966:L966">
    <cfRule type="cellIs" priority="275" operator="lessThan" dxfId="0">
      <formula>0</formula>
    </cfRule>
  </conditionalFormatting>
  <conditionalFormatting sqref="M969">
    <cfRule type="cellIs" priority="276" operator="equal" dxfId="0">
      <formula>"PEDIR YA (atrasado)"</formula>
    </cfRule>
  </conditionalFormatting>
  <conditionalFormatting sqref="D973:L973">
    <cfRule type="cellIs" priority="277" operator="lessThan" dxfId="0">
      <formula>0</formula>
    </cfRule>
  </conditionalFormatting>
  <conditionalFormatting sqref="M976">
    <cfRule type="cellIs" priority="278" operator="equal" dxfId="0">
      <formula>"PEDIR YA (atrasado)"</formula>
    </cfRule>
  </conditionalFormatting>
  <conditionalFormatting sqref="D980:L980">
    <cfRule type="cellIs" priority="279" operator="lessThan" dxfId="0">
      <formula>0</formula>
    </cfRule>
  </conditionalFormatting>
  <conditionalFormatting sqref="M983">
    <cfRule type="cellIs" priority="280" operator="equal" dxfId="0">
      <formula>"PEDIR YA (atrasado)"</formula>
    </cfRule>
  </conditionalFormatting>
  <conditionalFormatting sqref="D987:L987">
    <cfRule type="cellIs" priority="281" operator="lessThan" dxfId="0">
      <formula>0</formula>
    </cfRule>
  </conditionalFormatting>
  <conditionalFormatting sqref="M990">
    <cfRule type="cellIs" priority="282" operator="equal" dxfId="0">
      <formula>"PEDIR YA (atrasado)"</formula>
    </cfRule>
  </conditionalFormatting>
  <conditionalFormatting sqref="D994:L994">
    <cfRule type="cellIs" priority="283" operator="lessThan" dxfId="0">
      <formula>0</formula>
    </cfRule>
  </conditionalFormatting>
  <conditionalFormatting sqref="M997">
    <cfRule type="cellIs" priority="284" operator="equal" dxfId="0">
      <formula>"PEDIR YA (atrasado)"</formula>
    </cfRule>
  </conditionalFormatting>
  <conditionalFormatting sqref="D1001:L1001">
    <cfRule type="cellIs" priority="285" operator="lessThan" dxfId="0">
      <formula>0</formula>
    </cfRule>
  </conditionalFormatting>
  <conditionalFormatting sqref="M1004">
    <cfRule type="cellIs" priority="286" operator="equal" dxfId="0">
      <formula>"PEDIR YA (atrasado)"</formula>
    </cfRule>
  </conditionalFormatting>
  <conditionalFormatting sqref="D1008:L1008">
    <cfRule type="cellIs" priority="287" operator="lessThan" dxfId="0">
      <formula>0</formula>
    </cfRule>
  </conditionalFormatting>
  <conditionalFormatting sqref="M1011">
    <cfRule type="cellIs" priority="288" operator="equal" dxfId="0">
      <formula>"PEDIR YA (atrasado)"</formula>
    </cfRule>
  </conditionalFormatting>
  <conditionalFormatting sqref="D1015:L1015">
    <cfRule type="cellIs" priority="289" operator="lessThan" dxfId="0">
      <formula>0</formula>
    </cfRule>
  </conditionalFormatting>
  <conditionalFormatting sqref="M1018">
    <cfRule type="cellIs" priority="290" operator="equal" dxfId="0">
      <formula>"PEDIR YA (atrasado)"</formula>
    </cfRule>
  </conditionalFormatting>
  <conditionalFormatting sqref="D1022:L1022">
    <cfRule type="cellIs" priority="291" operator="lessThan" dxfId="0">
      <formula>0</formula>
    </cfRule>
  </conditionalFormatting>
  <conditionalFormatting sqref="M1025">
    <cfRule type="cellIs" priority="292" operator="equal" dxfId="0">
      <formula>"PEDIR YA (atrasado)"</formula>
    </cfRule>
  </conditionalFormatting>
  <conditionalFormatting sqref="D1029:L1029">
    <cfRule type="cellIs" priority="293" operator="lessThan" dxfId="0">
      <formula>0</formula>
    </cfRule>
  </conditionalFormatting>
  <conditionalFormatting sqref="M1032">
    <cfRule type="cellIs" priority="294" operator="equal" dxfId="0">
      <formula>"PEDIR YA (atrasado)"</formula>
    </cfRule>
  </conditionalFormatting>
  <conditionalFormatting sqref="D1036:L1036">
    <cfRule type="cellIs" priority="295" operator="lessThan" dxfId="0">
      <formula>0</formula>
    </cfRule>
  </conditionalFormatting>
  <conditionalFormatting sqref="M1039">
    <cfRule type="cellIs" priority="296" operator="equal" dxfId="0">
      <formula>"PEDIR YA (atrasado)"</formula>
    </cfRule>
  </conditionalFormatting>
  <conditionalFormatting sqref="D1043:L1043">
    <cfRule type="cellIs" priority="297" operator="lessThan" dxfId="0">
      <formula>0</formula>
    </cfRule>
  </conditionalFormatting>
  <conditionalFormatting sqref="M1046">
    <cfRule type="cellIs" priority="298" operator="equal" dxfId="0">
      <formula>"PEDIR YA (atrasado)"</formula>
    </cfRule>
  </conditionalFormatting>
  <conditionalFormatting sqref="D1050:L1050">
    <cfRule type="cellIs" priority="299" operator="lessThan" dxfId="0">
      <formula>0</formula>
    </cfRule>
  </conditionalFormatting>
  <conditionalFormatting sqref="M1053">
    <cfRule type="cellIs" priority="300" operator="equal" dxfId="0">
      <formula>"PEDIR YA (atrasado)"</formula>
    </cfRule>
  </conditionalFormatting>
  <conditionalFormatting sqref="D1057:L1057">
    <cfRule type="cellIs" priority="301" operator="lessThan" dxfId="0">
      <formula>0</formula>
    </cfRule>
  </conditionalFormatting>
  <conditionalFormatting sqref="M1060">
    <cfRule type="cellIs" priority="302" operator="equal" dxfId="0">
      <formula>"PEDIR YA (atrasado)"</formula>
    </cfRule>
  </conditionalFormatting>
  <conditionalFormatting sqref="D1064:L1064">
    <cfRule type="cellIs" priority="303" operator="lessThan" dxfId="0">
      <formula>0</formula>
    </cfRule>
  </conditionalFormatting>
  <conditionalFormatting sqref="M1067">
    <cfRule type="cellIs" priority="304" operator="equal" dxfId="0">
      <formula>"PEDIR YA (atrasado)"</formula>
    </cfRule>
  </conditionalFormatting>
  <conditionalFormatting sqref="D1071:L1071">
    <cfRule type="cellIs" priority="305" operator="lessThan" dxfId="0">
      <formula>0</formula>
    </cfRule>
  </conditionalFormatting>
  <conditionalFormatting sqref="M1074">
    <cfRule type="cellIs" priority="306" operator="equal" dxfId="0">
      <formula>"PEDIR YA (atrasado)"</formula>
    </cfRule>
  </conditionalFormatting>
  <conditionalFormatting sqref="D1078:L1078">
    <cfRule type="cellIs" priority="307" operator="lessThan" dxfId="0">
      <formula>0</formula>
    </cfRule>
  </conditionalFormatting>
  <conditionalFormatting sqref="M1081">
    <cfRule type="cellIs" priority="308" operator="equal" dxfId="0">
      <formula>"PEDIR YA (atrasado)"</formula>
    </cfRule>
  </conditionalFormatting>
  <conditionalFormatting sqref="D1085:L1085">
    <cfRule type="cellIs" priority="309" operator="lessThan" dxfId="0">
      <formula>0</formula>
    </cfRule>
  </conditionalFormatting>
  <conditionalFormatting sqref="M1088">
    <cfRule type="cellIs" priority="310" operator="equal" dxfId="0">
      <formula>"PEDIR YA (atrasado)"</formula>
    </cfRule>
  </conditionalFormatting>
  <conditionalFormatting sqref="D1092:L1092">
    <cfRule type="cellIs" priority="311" operator="lessThan" dxfId="0">
      <formula>0</formula>
    </cfRule>
  </conditionalFormatting>
  <conditionalFormatting sqref="M1095">
    <cfRule type="cellIs" priority="312" operator="equal" dxfId="0">
      <formula>"PEDIR YA (atrasado)"</formula>
    </cfRule>
  </conditionalFormatting>
  <conditionalFormatting sqref="D1099:L1099">
    <cfRule type="cellIs" priority="313" operator="lessThan" dxfId="0">
      <formula>0</formula>
    </cfRule>
  </conditionalFormatting>
  <conditionalFormatting sqref="M1102">
    <cfRule type="cellIs" priority="314" operator="equal" dxfId="0">
      <formula>"PEDIR YA (atrasado)"</formula>
    </cfRule>
  </conditionalFormatting>
  <conditionalFormatting sqref="D1106:L1106">
    <cfRule type="cellIs" priority="315" operator="lessThan" dxfId="0">
      <formula>0</formula>
    </cfRule>
  </conditionalFormatting>
  <conditionalFormatting sqref="M1109">
    <cfRule type="cellIs" priority="316" operator="equal" dxfId="0">
      <formula>"PEDIR YA (atrasado)"</formula>
    </cfRule>
  </conditionalFormatting>
  <conditionalFormatting sqref="D1113:L1113">
    <cfRule type="cellIs" priority="317" operator="lessThan" dxfId="0">
      <formula>0</formula>
    </cfRule>
  </conditionalFormatting>
  <conditionalFormatting sqref="M1116">
    <cfRule type="cellIs" priority="318" operator="equal" dxfId="0">
      <formula>"PEDIR YA (atrasado)"</formula>
    </cfRule>
  </conditionalFormatting>
  <conditionalFormatting sqref="D1120:L1120">
    <cfRule type="cellIs" priority="319" operator="lessThan" dxfId="0">
      <formula>0</formula>
    </cfRule>
  </conditionalFormatting>
  <conditionalFormatting sqref="M1123">
    <cfRule type="cellIs" priority="320" operator="equal" dxfId="0">
      <formula>"PEDIR YA (atrasado)"</formula>
    </cfRule>
  </conditionalFormatting>
  <conditionalFormatting sqref="D1127:L1127">
    <cfRule type="cellIs" priority="321" operator="lessThan" dxfId="0">
      <formula>0</formula>
    </cfRule>
  </conditionalFormatting>
  <conditionalFormatting sqref="M1130">
    <cfRule type="cellIs" priority="322" operator="equal" dxfId="0">
      <formula>"PEDIR YA (atrasado)"</formula>
    </cfRule>
  </conditionalFormatting>
  <conditionalFormatting sqref="D1134:L1134">
    <cfRule type="cellIs" priority="323" operator="lessThan" dxfId="0">
      <formula>0</formula>
    </cfRule>
  </conditionalFormatting>
  <conditionalFormatting sqref="M1137">
    <cfRule type="cellIs" priority="324" operator="equal" dxfId="0">
      <formula>"PEDIR YA (atrasado)"</formula>
    </cfRule>
  </conditionalFormatting>
  <conditionalFormatting sqref="D1141:L1141">
    <cfRule type="cellIs" priority="325" operator="lessThan" dxfId="0">
      <formula>0</formula>
    </cfRule>
  </conditionalFormatting>
  <conditionalFormatting sqref="M1144">
    <cfRule type="cellIs" priority="326" operator="equal" dxfId="0">
      <formula>"PEDIR YA (atrasado)"</formula>
    </cfRule>
  </conditionalFormatting>
  <conditionalFormatting sqref="D1148:L1148">
    <cfRule type="cellIs" priority="327" operator="lessThan" dxfId="0">
      <formula>0</formula>
    </cfRule>
  </conditionalFormatting>
  <conditionalFormatting sqref="M1151">
    <cfRule type="cellIs" priority="328" operator="equal" dxfId="0">
      <formula>"PEDIR YA (atrasado)"</formula>
    </cfRule>
  </conditionalFormatting>
  <conditionalFormatting sqref="D1155:L1155">
    <cfRule type="cellIs" priority="329" operator="lessThan" dxfId="0">
      <formula>0</formula>
    </cfRule>
  </conditionalFormatting>
  <conditionalFormatting sqref="M1158">
    <cfRule type="cellIs" priority="330" operator="equal" dxfId="0">
      <formula>"PEDIR YA (atrasado)"</formula>
    </cfRule>
  </conditionalFormatting>
  <conditionalFormatting sqref="D1162:L1162">
    <cfRule type="cellIs" priority="331" operator="lessThan" dxfId="0">
      <formula>0</formula>
    </cfRule>
  </conditionalFormatting>
  <conditionalFormatting sqref="M1165">
    <cfRule type="cellIs" priority="332" operator="equal" dxfId="0">
      <formula>"PEDIR YA (atrasado)"</formula>
    </cfRule>
  </conditionalFormatting>
  <conditionalFormatting sqref="D1169:L1169">
    <cfRule type="cellIs" priority="333" operator="lessThan" dxfId="0">
      <formula>0</formula>
    </cfRule>
  </conditionalFormatting>
  <conditionalFormatting sqref="M1172">
    <cfRule type="cellIs" priority="334" operator="equal" dxfId="0">
      <formula>"PEDIR YA (atrasado)"</formula>
    </cfRule>
  </conditionalFormatting>
  <conditionalFormatting sqref="D1176:L1176">
    <cfRule type="cellIs" priority="335" operator="lessThan" dxfId="0">
      <formula>0</formula>
    </cfRule>
  </conditionalFormatting>
  <conditionalFormatting sqref="M1179">
    <cfRule type="cellIs" priority="336" operator="equal" dxfId="0">
      <formula>"PEDIR YA (atrasado)"</formula>
    </cfRule>
  </conditionalFormatting>
  <conditionalFormatting sqref="D1183:L1183">
    <cfRule type="cellIs" priority="337" operator="lessThan" dxfId="0">
      <formula>0</formula>
    </cfRule>
  </conditionalFormatting>
  <conditionalFormatting sqref="M1186">
    <cfRule type="cellIs" priority="338" operator="equal" dxfId="0">
      <formula>"PEDIR YA (atrasado)"</formula>
    </cfRule>
  </conditionalFormatting>
  <conditionalFormatting sqref="D1190:L1190">
    <cfRule type="cellIs" priority="339" operator="lessThan" dxfId="0">
      <formula>0</formula>
    </cfRule>
  </conditionalFormatting>
  <conditionalFormatting sqref="M1193">
    <cfRule type="cellIs" priority="340" operator="equal" dxfId="0">
      <formula>"PEDIR YA (atrasado)"</formula>
    </cfRule>
  </conditionalFormatting>
  <conditionalFormatting sqref="D1197:L1197">
    <cfRule type="cellIs" priority="341" operator="lessThan" dxfId="0">
      <formula>0</formula>
    </cfRule>
  </conditionalFormatting>
  <conditionalFormatting sqref="M1200">
    <cfRule type="cellIs" priority="342" operator="equal" dxfId="0">
      <formula>"PEDIR YA (atrasado)"</formula>
    </cfRule>
  </conditionalFormatting>
  <conditionalFormatting sqref="D1204:L1204">
    <cfRule type="cellIs" priority="343" operator="lessThan" dxfId="0">
      <formula>0</formula>
    </cfRule>
  </conditionalFormatting>
  <conditionalFormatting sqref="M1207">
    <cfRule type="cellIs" priority="344" operator="equal" dxfId="0">
      <formula>"PEDIR YA (atrasado)"</formula>
    </cfRule>
  </conditionalFormatting>
  <conditionalFormatting sqref="D1211:L1211">
    <cfRule type="cellIs" priority="345" operator="lessThan" dxfId="0">
      <formula>0</formula>
    </cfRule>
  </conditionalFormatting>
  <conditionalFormatting sqref="M1214">
    <cfRule type="cellIs" priority="346" operator="equal" dxfId="0">
      <formula>"PEDIR YA (atrasado)"</formula>
    </cfRule>
  </conditionalFormatting>
  <conditionalFormatting sqref="D1218:L1218">
    <cfRule type="cellIs" priority="347" operator="lessThan" dxfId="0">
      <formula>0</formula>
    </cfRule>
  </conditionalFormatting>
  <conditionalFormatting sqref="M1221">
    <cfRule type="cellIs" priority="348" operator="equal" dxfId="0">
      <formula>"PEDIR YA (atrasado)"</formula>
    </cfRule>
  </conditionalFormatting>
  <conditionalFormatting sqref="D1225:L1225">
    <cfRule type="cellIs" priority="349" operator="lessThan" dxfId="0">
      <formula>0</formula>
    </cfRule>
  </conditionalFormatting>
  <conditionalFormatting sqref="M1228">
    <cfRule type="cellIs" priority="350" operator="equal" dxfId="0">
      <formula>"PEDIR YA (atrasado)"</formula>
    </cfRule>
  </conditionalFormatting>
  <conditionalFormatting sqref="D1232:L1232">
    <cfRule type="cellIs" priority="351" operator="lessThan" dxfId="0">
      <formula>0</formula>
    </cfRule>
  </conditionalFormatting>
  <conditionalFormatting sqref="M1235">
    <cfRule type="cellIs" priority="352" operator="equal" dxfId="0">
      <formula>"PEDIR YA (atrasado)"</formula>
    </cfRule>
  </conditionalFormatting>
  <conditionalFormatting sqref="D1239:L1239">
    <cfRule type="cellIs" priority="353" operator="lessThan" dxfId="0">
      <formula>0</formula>
    </cfRule>
  </conditionalFormatting>
  <conditionalFormatting sqref="M1242">
    <cfRule type="cellIs" priority="354" operator="equal" dxfId="0">
      <formula>"PEDIR YA (atrasado)"</formula>
    </cfRule>
  </conditionalFormatting>
  <conditionalFormatting sqref="D1246:L1246">
    <cfRule type="cellIs" priority="355" operator="lessThan" dxfId="0">
      <formula>0</formula>
    </cfRule>
  </conditionalFormatting>
  <conditionalFormatting sqref="M1249">
    <cfRule type="cellIs" priority="356" operator="equal" dxfId="0">
      <formula>"PEDIR YA (atrasado)"</formula>
    </cfRule>
  </conditionalFormatting>
  <conditionalFormatting sqref="D1253:L1253">
    <cfRule type="cellIs" priority="357" operator="lessThan" dxfId="0">
      <formula>0</formula>
    </cfRule>
  </conditionalFormatting>
  <conditionalFormatting sqref="M1256">
    <cfRule type="cellIs" priority="358" operator="equal" dxfId="0">
      <formula>"PEDIR YA (atrasado)"</formula>
    </cfRule>
  </conditionalFormatting>
  <conditionalFormatting sqref="D1260:L1260">
    <cfRule type="cellIs" priority="359" operator="lessThan" dxfId="0">
      <formula>0</formula>
    </cfRule>
  </conditionalFormatting>
  <conditionalFormatting sqref="M1263">
    <cfRule type="cellIs" priority="360" operator="equal" dxfId="0">
      <formula>"PEDIR YA (atrasado)"</formula>
    </cfRule>
  </conditionalFormatting>
  <conditionalFormatting sqref="D1267:L1267">
    <cfRule type="cellIs" priority="361" operator="lessThan" dxfId="0">
      <formula>0</formula>
    </cfRule>
  </conditionalFormatting>
  <conditionalFormatting sqref="M1270">
    <cfRule type="cellIs" priority="362" operator="equal" dxfId="0">
      <formula>"PEDIR YA (atrasado)"</formula>
    </cfRule>
  </conditionalFormatting>
  <conditionalFormatting sqref="D1274:L1274">
    <cfRule type="cellIs" priority="363" operator="lessThan" dxfId="0">
      <formula>0</formula>
    </cfRule>
  </conditionalFormatting>
  <conditionalFormatting sqref="M1277">
    <cfRule type="cellIs" priority="364" operator="equal" dxfId="0">
      <formula>"PEDIR YA (atrasado)"</formula>
    </cfRule>
  </conditionalFormatting>
  <conditionalFormatting sqref="D1281:L1281">
    <cfRule type="cellIs" priority="365" operator="lessThan" dxfId="0">
      <formula>0</formula>
    </cfRule>
  </conditionalFormatting>
  <conditionalFormatting sqref="M1284">
    <cfRule type="cellIs" priority="366" operator="equal" dxfId="0">
      <formula>"PEDIR YA (atrasado)"</formula>
    </cfRule>
  </conditionalFormatting>
  <conditionalFormatting sqref="D1288:L1288">
    <cfRule type="cellIs" priority="367" operator="lessThan" dxfId="0">
      <formula>0</formula>
    </cfRule>
  </conditionalFormatting>
  <conditionalFormatting sqref="M1291">
    <cfRule type="cellIs" priority="368" operator="equal" dxfId="0">
      <formula>"PEDIR YA (atrasado)"</formula>
    </cfRule>
  </conditionalFormatting>
  <conditionalFormatting sqref="D1295:L1295">
    <cfRule type="cellIs" priority="369" operator="lessThan" dxfId="0">
      <formula>0</formula>
    </cfRule>
  </conditionalFormatting>
  <conditionalFormatting sqref="M1298">
    <cfRule type="cellIs" priority="370" operator="equal" dxfId="0">
      <formula>"PEDIR YA (atrasado)"</formula>
    </cfRule>
  </conditionalFormatting>
  <conditionalFormatting sqref="D1302:L1302">
    <cfRule type="cellIs" priority="371" operator="lessThan" dxfId="0">
      <formula>0</formula>
    </cfRule>
  </conditionalFormatting>
  <conditionalFormatting sqref="M1305">
    <cfRule type="cellIs" priority="372" operator="equal" dxfId="0">
      <formula>"PEDIR YA (atrasado)"</formula>
    </cfRule>
  </conditionalFormatting>
  <conditionalFormatting sqref="D1309:L1309">
    <cfRule type="cellIs" priority="373" operator="lessThan" dxfId="0">
      <formula>0</formula>
    </cfRule>
  </conditionalFormatting>
  <conditionalFormatting sqref="M1312">
    <cfRule type="cellIs" priority="374" operator="equal" dxfId="0">
      <formula>"PEDIR YA (atrasado)"</formula>
    </cfRule>
  </conditionalFormatting>
  <conditionalFormatting sqref="D1316:L1316">
    <cfRule type="cellIs" priority="375" operator="lessThan" dxfId="0">
      <formula>0</formula>
    </cfRule>
  </conditionalFormatting>
  <conditionalFormatting sqref="M1319">
    <cfRule type="cellIs" priority="376" operator="equal" dxfId="0">
      <formula>"PEDIR YA (atrasado)"</formula>
    </cfRule>
  </conditionalFormatting>
  <conditionalFormatting sqref="D1323:L1323">
    <cfRule type="cellIs" priority="377" operator="lessThan" dxfId="0">
      <formula>0</formula>
    </cfRule>
  </conditionalFormatting>
  <conditionalFormatting sqref="M1326">
    <cfRule type="cellIs" priority="378" operator="equal" dxfId="0">
      <formula>"PEDIR YA (atrasado)"</formula>
    </cfRule>
  </conditionalFormatting>
  <conditionalFormatting sqref="D1330:L1330">
    <cfRule type="cellIs" priority="379" operator="lessThan" dxfId="0">
      <formula>0</formula>
    </cfRule>
  </conditionalFormatting>
  <conditionalFormatting sqref="M1333">
    <cfRule type="cellIs" priority="380" operator="equal" dxfId="0">
      <formula>"PEDIR YA (atrasado)"</formula>
    </cfRule>
  </conditionalFormatting>
  <conditionalFormatting sqref="D1337:L1337">
    <cfRule type="cellIs" priority="381" operator="lessThan" dxfId="0">
      <formula>0</formula>
    </cfRule>
  </conditionalFormatting>
  <conditionalFormatting sqref="M1340">
    <cfRule type="cellIs" priority="382" operator="equal" dxfId="0">
      <formula>"PEDIR YA (atrasado)"</formula>
    </cfRule>
  </conditionalFormatting>
  <conditionalFormatting sqref="D1344:L1344">
    <cfRule type="cellIs" priority="383" operator="lessThan" dxfId="0">
      <formula>0</formula>
    </cfRule>
  </conditionalFormatting>
  <conditionalFormatting sqref="M1347">
    <cfRule type="cellIs" priority="384" operator="equal" dxfId="0">
      <formula>"PEDIR YA (atrasado)"</formula>
    </cfRule>
  </conditionalFormatting>
  <conditionalFormatting sqref="D1351:L1351">
    <cfRule type="cellIs" priority="385" operator="lessThan" dxfId="0">
      <formula>0</formula>
    </cfRule>
  </conditionalFormatting>
  <conditionalFormatting sqref="M1354">
    <cfRule type="cellIs" priority="386" operator="equal" dxfId="0">
      <formula>"PEDIR YA (atrasado)"</formula>
    </cfRule>
  </conditionalFormatting>
  <conditionalFormatting sqref="D1358:L1358">
    <cfRule type="cellIs" priority="387" operator="lessThan" dxfId="0">
      <formula>0</formula>
    </cfRule>
  </conditionalFormatting>
  <conditionalFormatting sqref="M1361">
    <cfRule type="cellIs" priority="388" operator="equal" dxfId="0">
      <formula>"PEDIR YA (atrasado)"</formula>
    </cfRule>
  </conditionalFormatting>
  <conditionalFormatting sqref="D1365:L1365">
    <cfRule type="cellIs" priority="389" operator="lessThan" dxfId="0">
      <formula>0</formula>
    </cfRule>
  </conditionalFormatting>
  <conditionalFormatting sqref="M1368">
    <cfRule type="cellIs" priority="390" operator="equal" dxfId="0">
      <formula>"PEDIR YA (atrasado)"</formula>
    </cfRule>
  </conditionalFormatting>
  <conditionalFormatting sqref="D1372:L1372">
    <cfRule type="cellIs" priority="391" operator="lessThan" dxfId="0">
      <formula>0</formula>
    </cfRule>
  </conditionalFormatting>
  <conditionalFormatting sqref="M1375">
    <cfRule type="cellIs" priority="392" operator="equal" dxfId="0">
      <formula>"PEDIR YA (atrasado)"</formula>
    </cfRule>
  </conditionalFormatting>
  <conditionalFormatting sqref="D1379:L1379">
    <cfRule type="cellIs" priority="393" operator="lessThan" dxfId="0">
      <formula>0</formula>
    </cfRule>
  </conditionalFormatting>
  <conditionalFormatting sqref="M1382">
    <cfRule type="cellIs" priority="394" operator="equal" dxfId="0">
      <formula>"PEDIR YA (atrasado)"</formula>
    </cfRule>
  </conditionalFormatting>
  <conditionalFormatting sqref="D1386:L1386">
    <cfRule type="cellIs" priority="395" operator="lessThan" dxfId="0">
      <formula>0</formula>
    </cfRule>
  </conditionalFormatting>
  <conditionalFormatting sqref="M1389">
    <cfRule type="cellIs" priority="396" operator="equal" dxfId="0">
      <formula>"PEDIR YA (atrasado)"</formula>
    </cfRule>
  </conditionalFormatting>
  <conditionalFormatting sqref="D1393:L1393">
    <cfRule type="cellIs" priority="397" operator="lessThan" dxfId="0">
      <formula>0</formula>
    </cfRule>
  </conditionalFormatting>
  <conditionalFormatting sqref="M1396">
    <cfRule type="cellIs" priority="398" operator="equal" dxfId="0">
      <formula>"PEDIR YA (atrasado)"</formula>
    </cfRule>
  </conditionalFormatting>
  <conditionalFormatting sqref="D1400:L1400">
    <cfRule type="cellIs" priority="399" operator="lessThan" dxfId="0">
      <formula>0</formula>
    </cfRule>
  </conditionalFormatting>
  <conditionalFormatting sqref="M1403">
    <cfRule type="cellIs" priority="400" operator="equal" dxfId="0">
      <formula>"PEDIR YA (atrasado)"</formula>
    </cfRule>
  </conditionalFormatting>
  <conditionalFormatting sqref="D1407:L1407">
    <cfRule type="cellIs" priority="401" operator="lessThan" dxfId="0">
      <formula>0</formula>
    </cfRule>
  </conditionalFormatting>
  <conditionalFormatting sqref="M1410">
    <cfRule type="cellIs" priority="402" operator="equal" dxfId="0">
      <formula>"PEDIR YA (atrasado)"</formula>
    </cfRule>
  </conditionalFormatting>
  <conditionalFormatting sqref="D1414:L1414">
    <cfRule type="cellIs" priority="403" operator="lessThan" dxfId="0">
      <formula>0</formula>
    </cfRule>
  </conditionalFormatting>
  <conditionalFormatting sqref="M1417">
    <cfRule type="cellIs" priority="404" operator="equal" dxfId="0">
      <formula>"PEDIR YA (atrasado)"</formula>
    </cfRule>
  </conditionalFormatting>
  <conditionalFormatting sqref="D1421:L1421">
    <cfRule type="cellIs" priority="405" operator="lessThan" dxfId="0">
      <formula>0</formula>
    </cfRule>
  </conditionalFormatting>
  <conditionalFormatting sqref="M1424">
    <cfRule type="cellIs" priority="406" operator="equal" dxfId="0">
      <formula>"PEDIR YA (atrasado)"</formula>
    </cfRule>
  </conditionalFormatting>
  <conditionalFormatting sqref="D1428:L1428">
    <cfRule type="cellIs" priority="407" operator="lessThan" dxfId="0">
      <formula>0</formula>
    </cfRule>
  </conditionalFormatting>
  <conditionalFormatting sqref="M1431">
    <cfRule type="cellIs" priority="408" operator="equal" dxfId="0">
      <formula>"PEDIR YA (atrasado)"</formula>
    </cfRule>
  </conditionalFormatting>
  <conditionalFormatting sqref="D1435:L1435">
    <cfRule type="cellIs" priority="409" operator="lessThan" dxfId="0">
      <formula>0</formula>
    </cfRule>
  </conditionalFormatting>
  <conditionalFormatting sqref="M1438">
    <cfRule type="cellIs" priority="410" operator="equal" dxfId="0">
      <formula>"PEDIR YA (atrasado)"</formula>
    </cfRule>
  </conditionalFormatting>
  <conditionalFormatting sqref="D1442:L1442">
    <cfRule type="cellIs" priority="411" operator="lessThan" dxfId="0">
      <formula>0</formula>
    </cfRule>
  </conditionalFormatting>
  <conditionalFormatting sqref="M1445">
    <cfRule type="cellIs" priority="412" operator="equal" dxfId="0">
      <formula>"PEDIR YA (atrasado)"</formula>
    </cfRule>
  </conditionalFormatting>
  <conditionalFormatting sqref="D1449:L1449">
    <cfRule type="cellIs" priority="413" operator="lessThan" dxfId="0">
      <formula>0</formula>
    </cfRule>
  </conditionalFormatting>
  <conditionalFormatting sqref="M1452">
    <cfRule type="cellIs" priority="414" operator="equal" dxfId="0">
      <formula>"PEDIR YA (atrasado)"</formula>
    </cfRule>
  </conditionalFormatting>
  <conditionalFormatting sqref="D1456:L1456">
    <cfRule type="cellIs" priority="415" operator="lessThan" dxfId="0">
      <formula>0</formula>
    </cfRule>
  </conditionalFormatting>
  <conditionalFormatting sqref="M1459">
    <cfRule type="cellIs" priority="416" operator="equal" dxfId="0">
      <formula>"PEDIR YA (atrasado)"</formula>
    </cfRule>
  </conditionalFormatting>
  <conditionalFormatting sqref="D1463:L1463">
    <cfRule type="cellIs" priority="417" operator="lessThan" dxfId="0">
      <formula>0</formula>
    </cfRule>
  </conditionalFormatting>
  <conditionalFormatting sqref="M1466">
    <cfRule type="cellIs" priority="418" operator="equal" dxfId="0">
      <formula>"PEDIR YA (atrasado)"</formula>
    </cfRule>
  </conditionalFormatting>
  <conditionalFormatting sqref="D1470:L1470">
    <cfRule type="cellIs" priority="419" operator="lessThan" dxfId="0">
      <formula>0</formula>
    </cfRule>
  </conditionalFormatting>
  <conditionalFormatting sqref="M1473">
    <cfRule type="cellIs" priority="420" operator="equal" dxfId="0">
      <formula>"PEDIR YA (atrasado)"</formula>
    </cfRule>
  </conditionalFormatting>
  <conditionalFormatting sqref="D1477:L1477">
    <cfRule type="cellIs" priority="421" operator="lessThan" dxfId="0">
      <formula>0</formula>
    </cfRule>
  </conditionalFormatting>
  <conditionalFormatting sqref="M1480">
    <cfRule type="cellIs" priority="422" operator="equal" dxfId="0">
      <formula>"PEDIR YA (atrasado)"</formula>
    </cfRule>
  </conditionalFormatting>
  <conditionalFormatting sqref="D1484:L1484">
    <cfRule type="cellIs" priority="423" operator="lessThan" dxfId="0">
      <formula>0</formula>
    </cfRule>
  </conditionalFormatting>
  <conditionalFormatting sqref="M1487">
    <cfRule type="cellIs" priority="424" operator="equal" dxfId="0">
      <formula>"PEDIR YA (atrasado)"</formula>
    </cfRule>
  </conditionalFormatting>
  <conditionalFormatting sqref="D1491:L1491">
    <cfRule type="cellIs" priority="425" operator="lessThan" dxfId="0">
      <formula>0</formula>
    </cfRule>
  </conditionalFormatting>
  <conditionalFormatting sqref="M1494">
    <cfRule type="cellIs" priority="426" operator="equal" dxfId="0">
      <formula>"PEDIR YA (atrasado)"</formula>
    </cfRule>
  </conditionalFormatting>
  <conditionalFormatting sqref="D1498:L1498">
    <cfRule type="cellIs" priority="427" operator="lessThan" dxfId="0">
      <formula>0</formula>
    </cfRule>
  </conditionalFormatting>
  <conditionalFormatting sqref="M1501">
    <cfRule type="cellIs" priority="428" operator="equal" dxfId="0">
      <formula>"PEDIR YA (atrasado)"</formula>
    </cfRule>
  </conditionalFormatting>
  <conditionalFormatting sqref="D1505:L1505">
    <cfRule type="cellIs" priority="429" operator="lessThan" dxfId="0">
      <formula>0</formula>
    </cfRule>
  </conditionalFormatting>
  <conditionalFormatting sqref="M1508">
    <cfRule type="cellIs" priority="430" operator="equal" dxfId="0">
      <formula>"PEDIR YA (atrasado)"</formula>
    </cfRule>
  </conditionalFormatting>
  <conditionalFormatting sqref="D1512:L1512">
    <cfRule type="cellIs" priority="431" operator="lessThan" dxfId="0">
      <formula>0</formula>
    </cfRule>
  </conditionalFormatting>
  <conditionalFormatting sqref="M1515">
    <cfRule type="cellIs" priority="432" operator="equal" dxfId="0">
      <formula>"PEDIR YA (atrasado)"</formula>
    </cfRule>
  </conditionalFormatting>
  <conditionalFormatting sqref="D1519:L1519">
    <cfRule type="cellIs" priority="433" operator="lessThan" dxfId="0">
      <formula>0</formula>
    </cfRule>
  </conditionalFormatting>
  <conditionalFormatting sqref="M1522">
    <cfRule type="cellIs" priority="434" operator="equal" dxfId="0">
      <formula>"PEDIR YA (atrasado)"</formula>
    </cfRule>
  </conditionalFormatting>
  <conditionalFormatting sqref="D1526:L1526">
    <cfRule type="cellIs" priority="435" operator="lessThan" dxfId="0">
      <formula>0</formula>
    </cfRule>
  </conditionalFormatting>
  <conditionalFormatting sqref="M1529">
    <cfRule type="cellIs" priority="436" operator="equal" dxfId="0">
      <formula>"PEDIR YA (atrasado)"</formula>
    </cfRule>
  </conditionalFormatting>
  <conditionalFormatting sqref="D1533:L1533">
    <cfRule type="cellIs" priority="437" operator="lessThan" dxfId="0">
      <formula>0</formula>
    </cfRule>
  </conditionalFormatting>
  <conditionalFormatting sqref="M1536">
    <cfRule type="cellIs" priority="438" operator="equal" dxfId="0">
      <formula>"PEDIR YA (atrasado)"</formula>
    </cfRule>
  </conditionalFormatting>
  <conditionalFormatting sqref="D1540:L1540">
    <cfRule type="cellIs" priority="439" operator="lessThan" dxfId="0">
      <formula>0</formula>
    </cfRule>
  </conditionalFormatting>
  <conditionalFormatting sqref="M1543">
    <cfRule type="cellIs" priority="440" operator="equal" dxfId="0">
      <formula>"PEDIR YA (atrasado)"</formula>
    </cfRule>
  </conditionalFormatting>
  <conditionalFormatting sqref="D1547:L1547">
    <cfRule type="cellIs" priority="441" operator="lessThan" dxfId="0">
      <formula>0</formula>
    </cfRule>
  </conditionalFormatting>
  <conditionalFormatting sqref="M1550">
    <cfRule type="cellIs" priority="442" operator="equal" dxfId="0">
      <formula>"PEDIR YA (atrasado)"</formula>
    </cfRule>
  </conditionalFormatting>
  <conditionalFormatting sqref="D1554:L1554">
    <cfRule type="cellIs" priority="443" operator="lessThan" dxfId="0">
      <formula>0</formula>
    </cfRule>
  </conditionalFormatting>
  <conditionalFormatting sqref="M1557">
    <cfRule type="cellIs" priority="444" operator="equal" dxfId="0">
      <formula>"PEDIR YA (atrasado)"</formula>
    </cfRule>
  </conditionalFormatting>
  <conditionalFormatting sqref="D1561:L1561">
    <cfRule type="cellIs" priority="445" operator="lessThan" dxfId="0">
      <formula>0</formula>
    </cfRule>
  </conditionalFormatting>
  <conditionalFormatting sqref="M1564">
    <cfRule type="cellIs" priority="446" operator="equal" dxfId="0">
      <formula>"PEDIR YA (atrasado)"</formula>
    </cfRule>
  </conditionalFormatting>
  <conditionalFormatting sqref="D1568:L1568">
    <cfRule type="cellIs" priority="447" operator="lessThan" dxfId="0">
      <formula>0</formula>
    </cfRule>
  </conditionalFormatting>
  <conditionalFormatting sqref="M1571">
    <cfRule type="cellIs" priority="448" operator="equal" dxfId="0">
      <formula>"PEDIR YA (atrasado)"</formula>
    </cfRule>
  </conditionalFormatting>
  <conditionalFormatting sqref="D1575:L1575">
    <cfRule type="cellIs" priority="449" operator="lessThan" dxfId="0">
      <formula>0</formula>
    </cfRule>
  </conditionalFormatting>
  <conditionalFormatting sqref="M1578">
    <cfRule type="cellIs" priority="450" operator="equal" dxfId="0">
      <formula>"PEDIR YA (atrasado)"</formula>
    </cfRule>
  </conditionalFormatting>
  <conditionalFormatting sqref="D1582:L1582">
    <cfRule type="cellIs" priority="451" operator="lessThan" dxfId="0">
      <formula>0</formula>
    </cfRule>
  </conditionalFormatting>
  <conditionalFormatting sqref="M1585">
    <cfRule type="cellIs" priority="452" operator="equal" dxfId="0">
      <formula>"PEDIR YA (atrasado)"</formula>
    </cfRule>
  </conditionalFormatting>
  <conditionalFormatting sqref="D1589:L1589">
    <cfRule type="cellIs" priority="453" operator="lessThan" dxfId="0">
      <formula>0</formula>
    </cfRule>
  </conditionalFormatting>
  <conditionalFormatting sqref="M1592">
    <cfRule type="cellIs" priority="454" operator="equal" dxfId="0">
      <formula>"PEDIR YA (atrasado)"</formula>
    </cfRule>
  </conditionalFormatting>
  <conditionalFormatting sqref="D1596:L1596">
    <cfRule type="cellIs" priority="455" operator="lessThan" dxfId="0">
      <formula>0</formula>
    </cfRule>
  </conditionalFormatting>
  <conditionalFormatting sqref="M1599">
    <cfRule type="cellIs" priority="456" operator="equal" dxfId="0">
      <formula>"PEDIR YA (atrasado)"</formula>
    </cfRule>
  </conditionalFormatting>
  <conditionalFormatting sqref="D1603:L1603">
    <cfRule type="cellIs" priority="457" operator="lessThan" dxfId="0">
      <formula>0</formula>
    </cfRule>
  </conditionalFormatting>
  <conditionalFormatting sqref="M1606">
    <cfRule type="cellIs" priority="458" operator="equal" dxfId="0">
      <formula>"PEDIR YA (atrasado)"</formula>
    </cfRule>
  </conditionalFormatting>
  <conditionalFormatting sqref="D1610:L1610">
    <cfRule type="cellIs" priority="459" operator="lessThan" dxfId="0">
      <formula>0</formula>
    </cfRule>
  </conditionalFormatting>
  <conditionalFormatting sqref="M1613">
    <cfRule type="cellIs" priority="460" operator="equal" dxfId="0">
      <formula>"PEDIR YA (atrasado)"</formula>
    </cfRule>
  </conditionalFormatting>
  <conditionalFormatting sqref="D1617:L1617">
    <cfRule type="cellIs" priority="461" operator="lessThan" dxfId="0">
      <formula>0</formula>
    </cfRule>
  </conditionalFormatting>
  <conditionalFormatting sqref="M1620">
    <cfRule type="cellIs" priority="462" operator="equal" dxfId="0">
      <formula>"PEDIR YA (atrasado)"</formula>
    </cfRule>
  </conditionalFormatting>
  <conditionalFormatting sqref="D1624:L1624">
    <cfRule type="cellIs" priority="463" operator="lessThan" dxfId="0">
      <formula>0</formula>
    </cfRule>
  </conditionalFormatting>
  <conditionalFormatting sqref="M1627">
    <cfRule type="cellIs" priority="464" operator="equal" dxfId="0">
      <formula>"PEDIR YA (atrasado)"</formula>
    </cfRule>
  </conditionalFormatting>
  <conditionalFormatting sqref="D1631:L1631">
    <cfRule type="cellIs" priority="465" operator="lessThan" dxfId="0">
      <formula>0</formula>
    </cfRule>
  </conditionalFormatting>
  <conditionalFormatting sqref="M1634">
    <cfRule type="cellIs" priority="466" operator="equal" dxfId="0">
      <formula>"PEDIR YA (atrasado)"</formula>
    </cfRule>
  </conditionalFormatting>
  <conditionalFormatting sqref="D1638:L1638">
    <cfRule type="cellIs" priority="467" operator="lessThan" dxfId="0">
      <formula>0</formula>
    </cfRule>
  </conditionalFormatting>
  <conditionalFormatting sqref="M1641">
    <cfRule type="cellIs" priority="468" operator="equal" dxfId="0">
      <formula>"PEDIR YA (atrasado)"</formula>
    </cfRule>
  </conditionalFormatting>
  <conditionalFormatting sqref="D1645:L1645">
    <cfRule type="cellIs" priority="469" operator="lessThan" dxfId="0">
      <formula>0</formula>
    </cfRule>
  </conditionalFormatting>
  <conditionalFormatting sqref="M1648">
    <cfRule type="cellIs" priority="470" operator="equal" dxfId="0">
      <formula>"PEDIR YA (atrasado)"</formula>
    </cfRule>
  </conditionalFormatting>
  <conditionalFormatting sqref="D1652:L1652">
    <cfRule type="cellIs" priority="471" operator="lessThan" dxfId="0">
      <formula>0</formula>
    </cfRule>
  </conditionalFormatting>
  <conditionalFormatting sqref="M1655">
    <cfRule type="cellIs" priority="472" operator="equal" dxfId="0">
      <formula>"PEDIR YA (atrasado)"</formula>
    </cfRule>
  </conditionalFormatting>
  <conditionalFormatting sqref="D1659:L1659">
    <cfRule type="cellIs" priority="473" operator="lessThan" dxfId="0">
      <formula>0</formula>
    </cfRule>
  </conditionalFormatting>
  <conditionalFormatting sqref="M1662">
    <cfRule type="cellIs" priority="474" operator="equal" dxfId="0">
      <formula>"PEDIR YA (atrasado)"</formula>
    </cfRule>
  </conditionalFormatting>
  <conditionalFormatting sqref="D1666:L1666">
    <cfRule type="cellIs" priority="475" operator="lessThan" dxfId="0">
      <formula>0</formula>
    </cfRule>
  </conditionalFormatting>
  <conditionalFormatting sqref="M1669">
    <cfRule type="cellIs" priority="476" operator="equal" dxfId="0">
      <formula>"PEDIR YA (atrasado)"</formula>
    </cfRule>
  </conditionalFormatting>
  <conditionalFormatting sqref="D1673:L1673">
    <cfRule type="cellIs" priority="477" operator="lessThan" dxfId="0">
      <formula>0</formula>
    </cfRule>
  </conditionalFormatting>
  <conditionalFormatting sqref="M1676">
    <cfRule type="cellIs" priority="478" operator="equal" dxfId="0">
      <formula>"PEDIR YA (atrasado)"</formula>
    </cfRule>
  </conditionalFormatting>
  <conditionalFormatting sqref="D1680:L1680">
    <cfRule type="cellIs" priority="479" operator="lessThan" dxfId="0">
      <formula>0</formula>
    </cfRule>
  </conditionalFormatting>
  <conditionalFormatting sqref="M1683">
    <cfRule type="cellIs" priority="480" operator="equal" dxfId="0">
      <formula>"PEDIR YA (atrasado)"</formula>
    </cfRule>
  </conditionalFormatting>
  <conditionalFormatting sqref="D1687:L1687">
    <cfRule type="cellIs" priority="481" operator="lessThan" dxfId="0">
      <formula>0</formula>
    </cfRule>
  </conditionalFormatting>
  <conditionalFormatting sqref="M1690">
    <cfRule type="cellIs" priority="482" operator="equal" dxfId="0">
      <formula>"PEDIR YA (atrasado)"</formula>
    </cfRule>
  </conditionalFormatting>
  <conditionalFormatting sqref="D1694:L1694">
    <cfRule type="cellIs" priority="483" operator="lessThan" dxfId="0">
      <formula>0</formula>
    </cfRule>
  </conditionalFormatting>
  <conditionalFormatting sqref="M1697">
    <cfRule type="cellIs" priority="484" operator="equal" dxfId="0">
      <formula>"PEDIR YA (atrasado)"</formula>
    </cfRule>
  </conditionalFormatting>
  <conditionalFormatting sqref="D1701:L1701">
    <cfRule type="cellIs" priority="485" operator="lessThan" dxfId="0">
      <formula>0</formula>
    </cfRule>
  </conditionalFormatting>
  <conditionalFormatting sqref="M1704">
    <cfRule type="cellIs" priority="486" operator="equal" dxfId="0">
      <formula>"PEDIR YA (atrasado)"</formula>
    </cfRule>
  </conditionalFormatting>
  <conditionalFormatting sqref="D1708:L1708">
    <cfRule type="cellIs" priority="487" operator="lessThan" dxfId="0">
      <formula>0</formula>
    </cfRule>
  </conditionalFormatting>
  <conditionalFormatting sqref="M1711">
    <cfRule type="cellIs" priority="488" operator="equal" dxfId="0">
      <formula>"PEDIR YA (atrasado)"</formula>
    </cfRule>
  </conditionalFormatting>
  <conditionalFormatting sqref="D1715:L1715">
    <cfRule type="cellIs" priority="489" operator="lessThan" dxfId="0">
      <formula>0</formula>
    </cfRule>
  </conditionalFormatting>
  <conditionalFormatting sqref="M1718">
    <cfRule type="cellIs" priority="490" operator="equal" dxfId="0">
      <formula>"PEDIR YA (atrasado)"</formula>
    </cfRule>
  </conditionalFormatting>
  <conditionalFormatting sqref="D1722:L1722">
    <cfRule type="cellIs" priority="491" operator="lessThan" dxfId="0">
      <formula>0</formula>
    </cfRule>
  </conditionalFormatting>
  <conditionalFormatting sqref="M1725">
    <cfRule type="cellIs" priority="492" operator="equal" dxfId="0">
      <formula>"PEDIR YA (atrasado)"</formula>
    </cfRule>
  </conditionalFormatting>
  <conditionalFormatting sqref="D1729:L1729">
    <cfRule type="cellIs" priority="493" operator="lessThan" dxfId="0">
      <formula>0</formula>
    </cfRule>
  </conditionalFormatting>
  <conditionalFormatting sqref="M1732">
    <cfRule type="cellIs" priority="494" operator="equal" dxfId="0">
      <formula>"PEDIR YA (atrasado)"</formula>
    </cfRule>
  </conditionalFormatting>
  <conditionalFormatting sqref="D1736:L1736">
    <cfRule type="cellIs" priority="495" operator="lessThan" dxfId="0">
      <formula>0</formula>
    </cfRule>
  </conditionalFormatting>
  <conditionalFormatting sqref="M1739">
    <cfRule type="cellIs" priority="496" operator="equal" dxfId="0">
      <formula>"PEDIR YA (atrasado)"</formula>
    </cfRule>
  </conditionalFormatting>
  <conditionalFormatting sqref="D1743:L1743">
    <cfRule type="cellIs" priority="497" operator="lessThan" dxfId="0">
      <formula>0</formula>
    </cfRule>
  </conditionalFormatting>
  <conditionalFormatting sqref="M1746">
    <cfRule type="cellIs" priority="498" operator="equal" dxfId="0">
      <formula>"PEDIR YA (atrasado)"</formula>
    </cfRule>
  </conditionalFormatting>
  <conditionalFormatting sqref="D1750:L1750">
    <cfRule type="cellIs" priority="499" operator="lessThan" dxfId="0">
      <formula>0</formula>
    </cfRule>
  </conditionalFormatting>
  <conditionalFormatting sqref="M1753">
    <cfRule type="cellIs" priority="500" operator="equal" dxfId="0">
      <formula>"PEDIR YA (atrasado)"</formula>
    </cfRule>
  </conditionalFormatting>
  <conditionalFormatting sqref="D1757:L1757">
    <cfRule type="cellIs" priority="501" operator="lessThan" dxfId="0">
      <formula>0</formula>
    </cfRule>
  </conditionalFormatting>
  <conditionalFormatting sqref="M1760">
    <cfRule type="cellIs" priority="502" operator="equal" dxfId="0">
      <formula>"PEDIR YA (atrasado)"</formula>
    </cfRule>
  </conditionalFormatting>
  <conditionalFormatting sqref="D1764:L1764">
    <cfRule type="cellIs" priority="503" operator="lessThan" dxfId="0">
      <formula>0</formula>
    </cfRule>
  </conditionalFormatting>
  <conditionalFormatting sqref="M1767">
    <cfRule type="cellIs" priority="504" operator="equal" dxfId="0">
      <formula>"PEDIR YA (atrasado)"</formula>
    </cfRule>
  </conditionalFormatting>
  <conditionalFormatting sqref="D1771:L1771">
    <cfRule type="cellIs" priority="505" operator="lessThan" dxfId="0">
      <formula>0</formula>
    </cfRule>
  </conditionalFormatting>
  <conditionalFormatting sqref="M1774">
    <cfRule type="cellIs" priority="506" operator="equal" dxfId="0">
      <formula>"PEDIR YA (atrasado)"</formula>
    </cfRule>
  </conditionalFormatting>
  <conditionalFormatting sqref="D1778:L1778">
    <cfRule type="cellIs" priority="507" operator="lessThan" dxfId="0">
      <formula>0</formula>
    </cfRule>
  </conditionalFormatting>
  <conditionalFormatting sqref="M1781">
    <cfRule type="cellIs" priority="508" operator="equal" dxfId="0">
      <formula>"PEDIR YA (atrasado)"</formula>
    </cfRule>
  </conditionalFormatting>
  <conditionalFormatting sqref="D1785:L1785">
    <cfRule type="cellIs" priority="509" operator="lessThan" dxfId="0">
      <formula>0</formula>
    </cfRule>
  </conditionalFormatting>
  <conditionalFormatting sqref="M1788">
    <cfRule type="cellIs" priority="510" operator="equal" dxfId="0">
      <formula>"PEDIR YA (atrasado)"</formula>
    </cfRule>
  </conditionalFormatting>
  <conditionalFormatting sqref="D1792:L1792">
    <cfRule type="cellIs" priority="511" operator="lessThan" dxfId="0">
      <formula>0</formula>
    </cfRule>
  </conditionalFormatting>
  <conditionalFormatting sqref="M1795">
    <cfRule type="cellIs" priority="512" operator="equal" dxfId="0">
      <formula>"PEDIR YA (atrasado)"</formula>
    </cfRule>
  </conditionalFormatting>
  <conditionalFormatting sqref="D1799:L1799">
    <cfRule type="cellIs" priority="513" operator="lessThan" dxfId="0">
      <formula>0</formula>
    </cfRule>
  </conditionalFormatting>
  <conditionalFormatting sqref="M1802">
    <cfRule type="cellIs" priority="514" operator="equal" dxfId="0">
      <formula>"PEDIR YA (atrasado)"</formula>
    </cfRule>
  </conditionalFormatting>
  <conditionalFormatting sqref="D1806:L1806">
    <cfRule type="cellIs" priority="515" operator="lessThan" dxfId="0">
      <formula>0</formula>
    </cfRule>
  </conditionalFormatting>
  <conditionalFormatting sqref="M1809">
    <cfRule type="cellIs" priority="516" operator="equal" dxfId="0">
      <formula>"PEDIR YA (atrasado)"</formula>
    </cfRule>
  </conditionalFormatting>
  <conditionalFormatting sqref="D1813:L1813">
    <cfRule type="cellIs" priority="517" operator="lessThan" dxfId="0">
      <formula>0</formula>
    </cfRule>
  </conditionalFormatting>
  <conditionalFormatting sqref="M1816">
    <cfRule type="cellIs" priority="518" operator="equal" dxfId="0">
      <formula>"PEDIR YA (atrasado)"</formula>
    </cfRule>
  </conditionalFormatting>
  <conditionalFormatting sqref="D1820:L1820">
    <cfRule type="cellIs" priority="519" operator="lessThan" dxfId="0">
      <formula>0</formula>
    </cfRule>
  </conditionalFormatting>
  <conditionalFormatting sqref="M1823">
    <cfRule type="cellIs" priority="520" operator="equal" dxfId="0">
      <formula>"PEDIR YA (atrasado)"</formula>
    </cfRule>
  </conditionalFormatting>
  <conditionalFormatting sqref="D1827:L1827">
    <cfRule type="cellIs" priority="521" operator="lessThan" dxfId="0">
      <formula>0</formula>
    </cfRule>
  </conditionalFormatting>
  <conditionalFormatting sqref="M1830">
    <cfRule type="cellIs" priority="522" operator="equal" dxfId="0">
      <formula>"PEDIR YA (atrasado)"</formula>
    </cfRule>
  </conditionalFormatting>
  <conditionalFormatting sqref="D1834:L1834">
    <cfRule type="cellIs" priority="523" operator="lessThan" dxfId="0">
      <formula>0</formula>
    </cfRule>
  </conditionalFormatting>
  <conditionalFormatting sqref="M1837">
    <cfRule type="cellIs" priority="524" operator="equal" dxfId="0">
      <formula>"PEDIR YA (atrasado)"</formula>
    </cfRule>
  </conditionalFormatting>
  <conditionalFormatting sqref="D1841:L1841">
    <cfRule type="cellIs" priority="525" operator="lessThan" dxfId="0">
      <formula>0</formula>
    </cfRule>
  </conditionalFormatting>
  <conditionalFormatting sqref="M1844">
    <cfRule type="cellIs" priority="526" operator="equal" dxfId="0">
      <formula>"PEDIR YA (atrasado)"</formula>
    </cfRule>
  </conditionalFormatting>
  <conditionalFormatting sqref="D1848:L1848">
    <cfRule type="cellIs" priority="527" operator="lessThan" dxfId="0">
      <formula>0</formula>
    </cfRule>
  </conditionalFormatting>
  <conditionalFormatting sqref="M1851">
    <cfRule type="cellIs" priority="528" operator="equal" dxfId="0">
      <formula>"PEDIR YA (atrasado)"</formula>
    </cfRule>
  </conditionalFormatting>
  <conditionalFormatting sqref="D1855:L1855">
    <cfRule type="cellIs" priority="529" operator="lessThan" dxfId="0">
      <formula>0</formula>
    </cfRule>
  </conditionalFormatting>
  <conditionalFormatting sqref="M1858">
    <cfRule type="cellIs" priority="530" operator="equal" dxfId="0">
      <formula>"PEDIR YA (atrasado)"</formula>
    </cfRule>
  </conditionalFormatting>
  <conditionalFormatting sqref="D1862:L1862">
    <cfRule type="cellIs" priority="531" operator="lessThan" dxfId="0">
      <formula>0</formula>
    </cfRule>
  </conditionalFormatting>
  <conditionalFormatting sqref="M1865">
    <cfRule type="cellIs" priority="532" operator="equal" dxfId="0">
      <formula>"PEDIR YA (atrasado)"</formula>
    </cfRule>
  </conditionalFormatting>
  <conditionalFormatting sqref="D1869:L1869">
    <cfRule type="cellIs" priority="533" operator="lessThan" dxfId="0">
      <formula>0</formula>
    </cfRule>
  </conditionalFormatting>
  <conditionalFormatting sqref="M1872">
    <cfRule type="cellIs" priority="534" operator="equal" dxfId="0">
      <formula>"PEDIR YA (atrasado)"</formula>
    </cfRule>
  </conditionalFormatting>
  <conditionalFormatting sqref="D1876:L1876">
    <cfRule type="cellIs" priority="535" operator="lessThan" dxfId="0">
      <formula>0</formula>
    </cfRule>
  </conditionalFormatting>
  <conditionalFormatting sqref="M1879">
    <cfRule type="cellIs" priority="536" operator="equal" dxfId="0">
      <formula>"PEDIR YA (atrasado)"</formula>
    </cfRule>
  </conditionalFormatting>
  <conditionalFormatting sqref="D1883:L1883">
    <cfRule type="cellIs" priority="537" operator="lessThan" dxfId="0">
      <formula>0</formula>
    </cfRule>
  </conditionalFormatting>
  <conditionalFormatting sqref="M1886">
    <cfRule type="cellIs" priority="538" operator="equal" dxfId="0">
      <formula>"PEDIR YA (atrasado)"</formula>
    </cfRule>
  </conditionalFormatting>
  <conditionalFormatting sqref="D1890:L1890">
    <cfRule type="cellIs" priority="539" operator="lessThan" dxfId="0">
      <formula>0</formula>
    </cfRule>
  </conditionalFormatting>
  <conditionalFormatting sqref="M1893">
    <cfRule type="cellIs" priority="540" operator="equal" dxfId="0">
      <formula>"PEDIR YA (atrasado)"</formula>
    </cfRule>
  </conditionalFormatting>
  <conditionalFormatting sqref="D1897:L1897">
    <cfRule type="cellIs" priority="541" operator="lessThan" dxfId="0">
      <formula>0</formula>
    </cfRule>
  </conditionalFormatting>
  <conditionalFormatting sqref="M1900">
    <cfRule type="cellIs" priority="542" operator="equal" dxfId="0">
      <formula>"PEDIR YA (atrasado)"</formula>
    </cfRule>
  </conditionalFormatting>
  <conditionalFormatting sqref="D1904:L1904">
    <cfRule type="cellIs" priority="543" operator="lessThan" dxfId="0">
      <formula>0</formula>
    </cfRule>
  </conditionalFormatting>
  <conditionalFormatting sqref="M1907">
    <cfRule type="cellIs" priority="544" operator="equal" dxfId="0">
      <formula>"PEDIR YA (atrasado)"</formula>
    </cfRule>
  </conditionalFormatting>
  <conditionalFormatting sqref="D1911:L1911">
    <cfRule type="cellIs" priority="545" operator="lessThan" dxfId="0">
      <formula>0</formula>
    </cfRule>
  </conditionalFormatting>
  <conditionalFormatting sqref="M1914">
    <cfRule type="cellIs" priority="546" operator="equal" dxfId="0">
      <formula>"PEDIR YA (atrasado)"</formula>
    </cfRule>
  </conditionalFormatting>
  <conditionalFormatting sqref="D1918:L1918">
    <cfRule type="cellIs" priority="547" operator="lessThan" dxfId="0">
      <formula>0</formula>
    </cfRule>
  </conditionalFormatting>
  <conditionalFormatting sqref="M1921">
    <cfRule type="cellIs" priority="548" operator="equal" dxfId="0">
      <formula>"PEDIR YA (atrasado)"</formula>
    </cfRule>
  </conditionalFormatting>
  <conditionalFormatting sqref="D1925:L1925">
    <cfRule type="cellIs" priority="549" operator="lessThan" dxfId="0">
      <formula>0</formula>
    </cfRule>
  </conditionalFormatting>
  <conditionalFormatting sqref="M1928">
    <cfRule type="cellIs" priority="550" operator="equal" dxfId="0">
      <formula>"PEDIR YA (atrasado)"</formula>
    </cfRule>
  </conditionalFormatting>
  <conditionalFormatting sqref="D1932:L1932">
    <cfRule type="cellIs" priority="551" operator="lessThan" dxfId="0">
      <formula>0</formula>
    </cfRule>
  </conditionalFormatting>
  <conditionalFormatting sqref="M1935">
    <cfRule type="cellIs" priority="552" operator="equal" dxfId="0">
      <formula>"PEDIR YA (atrasado)"</formula>
    </cfRule>
  </conditionalFormatting>
  <conditionalFormatting sqref="D1939:L1939">
    <cfRule type="cellIs" priority="553" operator="lessThan" dxfId="0">
      <formula>0</formula>
    </cfRule>
  </conditionalFormatting>
  <conditionalFormatting sqref="M1942">
    <cfRule type="cellIs" priority="554" operator="equal" dxfId="0">
      <formula>"PEDIR YA (atrasado)"</formula>
    </cfRule>
  </conditionalFormatting>
  <conditionalFormatting sqref="D1946:L1946">
    <cfRule type="cellIs" priority="555" operator="lessThan" dxfId="0">
      <formula>0</formula>
    </cfRule>
  </conditionalFormatting>
  <conditionalFormatting sqref="M1949">
    <cfRule type="cellIs" priority="556" operator="equal" dxfId="0">
      <formula>"PEDIR YA (atrasado)"</formula>
    </cfRule>
  </conditionalFormatting>
  <conditionalFormatting sqref="D1953:L1953">
    <cfRule type="cellIs" priority="557" operator="lessThan" dxfId="0">
      <formula>0</formula>
    </cfRule>
  </conditionalFormatting>
  <conditionalFormatting sqref="M1956">
    <cfRule type="cellIs" priority="558" operator="equal" dxfId="0">
      <formula>"PEDIR YA (atrasado)"</formula>
    </cfRule>
  </conditionalFormatting>
  <conditionalFormatting sqref="D1960:L1960">
    <cfRule type="cellIs" priority="559" operator="lessThan" dxfId="0">
      <formula>0</formula>
    </cfRule>
  </conditionalFormatting>
  <conditionalFormatting sqref="M1963">
    <cfRule type="cellIs" priority="560" operator="equal" dxfId="0">
      <formula>"PEDIR YA (atrasado)"</formula>
    </cfRule>
  </conditionalFormatting>
  <conditionalFormatting sqref="D1967:L1967">
    <cfRule type="cellIs" priority="561" operator="lessThan" dxfId="0">
      <formula>0</formula>
    </cfRule>
  </conditionalFormatting>
  <conditionalFormatting sqref="M1970">
    <cfRule type="cellIs" priority="562" operator="equal" dxfId="0">
      <formula>"PEDIR YA (atrasado)"</formula>
    </cfRule>
  </conditionalFormatting>
  <conditionalFormatting sqref="D1974:L1974">
    <cfRule type="cellIs" priority="563" operator="lessThan" dxfId="0">
      <formula>0</formula>
    </cfRule>
  </conditionalFormatting>
  <conditionalFormatting sqref="M1977">
    <cfRule type="cellIs" priority="564" operator="equal" dxfId="0">
      <formula>"PEDIR YA (atrasado)"</formula>
    </cfRule>
  </conditionalFormatting>
  <conditionalFormatting sqref="D1981:L1981">
    <cfRule type="cellIs" priority="565" operator="lessThan" dxfId="0">
      <formula>0</formula>
    </cfRule>
  </conditionalFormatting>
  <conditionalFormatting sqref="M1984">
    <cfRule type="cellIs" priority="566" operator="equal" dxfId="0">
      <formula>"PEDIR YA (atrasado)"</formula>
    </cfRule>
  </conditionalFormatting>
  <conditionalFormatting sqref="D1988:L1988">
    <cfRule type="cellIs" priority="567" operator="lessThan" dxfId="0">
      <formula>0</formula>
    </cfRule>
  </conditionalFormatting>
  <conditionalFormatting sqref="M1991">
    <cfRule type="cellIs" priority="568" operator="equal" dxfId="0">
      <formula>"PEDIR YA (atrasado)"</formula>
    </cfRule>
  </conditionalFormatting>
  <conditionalFormatting sqref="D1995:L1995">
    <cfRule type="cellIs" priority="569" operator="lessThan" dxfId="0">
      <formula>0</formula>
    </cfRule>
  </conditionalFormatting>
  <conditionalFormatting sqref="M1998">
    <cfRule type="cellIs" priority="570" operator="equal" dxfId="0">
      <formula>"PEDIR YA (atrasado)"</formula>
    </cfRule>
  </conditionalFormatting>
  <conditionalFormatting sqref="D2002:L2002">
    <cfRule type="cellIs" priority="571" operator="lessThan" dxfId="0">
      <formula>0</formula>
    </cfRule>
  </conditionalFormatting>
  <conditionalFormatting sqref="M2005">
    <cfRule type="cellIs" priority="572" operator="equal" dxfId="0">
      <formula>"PEDIR YA (atrasado)"</formula>
    </cfRule>
  </conditionalFormatting>
  <conditionalFormatting sqref="D2009:L2009">
    <cfRule type="cellIs" priority="573" operator="lessThan" dxfId="0">
      <formula>0</formula>
    </cfRule>
  </conditionalFormatting>
  <conditionalFormatting sqref="M2012">
    <cfRule type="cellIs" priority="574" operator="equal" dxfId="0">
      <formula>"PEDIR YA (atrasado)"</formula>
    </cfRule>
  </conditionalFormatting>
  <conditionalFormatting sqref="D2016:L2016">
    <cfRule type="cellIs" priority="575" operator="lessThan" dxfId="0">
      <formula>0</formula>
    </cfRule>
  </conditionalFormatting>
  <conditionalFormatting sqref="M2019">
    <cfRule type="cellIs" priority="576" operator="equal" dxfId="0">
      <formula>"PEDIR YA (atrasado)"</formula>
    </cfRule>
  </conditionalFormatting>
  <conditionalFormatting sqref="D2023:L2023">
    <cfRule type="cellIs" priority="577" operator="lessThan" dxfId="0">
      <formula>0</formula>
    </cfRule>
  </conditionalFormatting>
  <conditionalFormatting sqref="M2026">
    <cfRule type="cellIs" priority="578" operator="equal" dxfId="0">
      <formula>"PEDIR YA (atrasado)"</formula>
    </cfRule>
  </conditionalFormatting>
  <conditionalFormatting sqref="D2030:L2030">
    <cfRule type="cellIs" priority="579" operator="lessThan" dxfId="0">
      <formula>0</formula>
    </cfRule>
  </conditionalFormatting>
  <conditionalFormatting sqref="M2033">
    <cfRule type="cellIs" priority="580" operator="equal" dxfId="0">
      <formula>"PEDIR YA (atrasado)"</formula>
    </cfRule>
  </conditionalFormatting>
  <conditionalFormatting sqref="D2037:L2037">
    <cfRule type="cellIs" priority="581" operator="lessThan" dxfId="0">
      <formula>0</formula>
    </cfRule>
  </conditionalFormatting>
  <conditionalFormatting sqref="M2040">
    <cfRule type="cellIs" priority="582" operator="equal" dxfId="0">
      <formula>"PEDIR YA (atrasado)"</formula>
    </cfRule>
  </conditionalFormatting>
  <conditionalFormatting sqref="D2044:L2044">
    <cfRule type="cellIs" priority="583" operator="lessThan" dxfId="0">
      <formula>0</formula>
    </cfRule>
  </conditionalFormatting>
  <conditionalFormatting sqref="M2047">
    <cfRule type="cellIs" priority="584" operator="equal" dxfId="0">
      <formula>"PEDIR YA (atrasado)"</formula>
    </cfRule>
  </conditionalFormatting>
  <conditionalFormatting sqref="D2051:L2051">
    <cfRule type="cellIs" priority="585" operator="lessThan" dxfId="0">
      <formula>0</formula>
    </cfRule>
  </conditionalFormatting>
  <conditionalFormatting sqref="M2054">
    <cfRule type="cellIs" priority="586" operator="equal" dxfId="0">
      <formula>"PEDIR YA (atrasado)"</formula>
    </cfRule>
  </conditionalFormatting>
  <conditionalFormatting sqref="D2058:L2058">
    <cfRule type="cellIs" priority="587" operator="lessThan" dxfId="0">
      <formula>0</formula>
    </cfRule>
  </conditionalFormatting>
  <conditionalFormatting sqref="M2061">
    <cfRule type="cellIs" priority="588" operator="equal" dxfId="0">
      <formula>"PEDIR YA (atrasado)"</formula>
    </cfRule>
  </conditionalFormatting>
  <conditionalFormatting sqref="D2065:L2065">
    <cfRule type="cellIs" priority="589" operator="lessThan" dxfId="0">
      <formula>0</formula>
    </cfRule>
  </conditionalFormatting>
  <conditionalFormatting sqref="M2068">
    <cfRule type="cellIs" priority="590" operator="equal" dxfId="0">
      <formula>"PEDIR YA (atrasado)"</formula>
    </cfRule>
  </conditionalFormatting>
  <conditionalFormatting sqref="D2072:L2072">
    <cfRule type="cellIs" priority="591" operator="lessThan" dxfId="0">
      <formula>0</formula>
    </cfRule>
  </conditionalFormatting>
  <conditionalFormatting sqref="M2075">
    <cfRule type="cellIs" priority="592" operator="equal" dxfId="0">
      <formula>"PEDIR YA (atrasado)"</formula>
    </cfRule>
  </conditionalFormatting>
  <conditionalFormatting sqref="D2079:L2079">
    <cfRule type="cellIs" priority="593" operator="lessThan" dxfId="0">
      <formula>0</formula>
    </cfRule>
  </conditionalFormatting>
  <conditionalFormatting sqref="M2082">
    <cfRule type="cellIs" priority="594" operator="equal" dxfId="0">
      <formula>"PEDIR YA (atrasado)"</formula>
    </cfRule>
  </conditionalFormatting>
  <conditionalFormatting sqref="D2086:L2086">
    <cfRule type="cellIs" priority="595" operator="lessThan" dxfId="0">
      <formula>0</formula>
    </cfRule>
  </conditionalFormatting>
  <conditionalFormatting sqref="M2089">
    <cfRule type="cellIs" priority="596" operator="equal" dxfId="0">
      <formula>"PEDIR YA (atrasado)"</formula>
    </cfRule>
  </conditionalFormatting>
  <conditionalFormatting sqref="D2093:L2093">
    <cfRule type="cellIs" priority="597" operator="lessThan" dxfId="0">
      <formula>0</formula>
    </cfRule>
  </conditionalFormatting>
  <conditionalFormatting sqref="M2096">
    <cfRule type="cellIs" priority="598" operator="equal" dxfId="0">
      <formula>"PEDIR YA (atrasado)"</formula>
    </cfRule>
  </conditionalFormatting>
  <conditionalFormatting sqref="D2100:L2100">
    <cfRule type="cellIs" priority="599" operator="lessThan" dxfId="0">
      <formula>0</formula>
    </cfRule>
  </conditionalFormatting>
  <conditionalFormatting sqref="M2103">
    <cfRule type="cellIs" priority="600" operator="equal" dxfId="0">
      <formula>"PEDIR YA (atrasado)"</formula>
    </cfRule>
  </conditionalFormatting>
  <conditionalFormatting sqref="D2107:L2107">
    <cfRule type="cellIs" priority="601" operator="lessThan" dxfId="0">
      <formula>0</formula>
    </cfRule>
  </conditionalFormatting>
  <conditionalFormatting sqref="M2110">
    <cfRule type="cellIs" priority="602" operator="equal" dxfId="0">
      <formula>"PEDIR YA (atrasado)"</formula>
    </cfRule>
  </conditionalFormatting>
  <conditionalFormatting sqref="D2114:L2114">
    <cfRule type="cellIs" priority="603" operator="lessThan" dxfId="0">
      <formula>0</formula>
    </cfRule>
  </conditionalFormatting>
  <conditionalFormatting sqref="M2117">
    <cfRule type="cellIs" priority="604" operator="equal" dxfId="0">
      <formula>"PEDIR YA (atrasado)"</formula>
    </cfRule>
  </conditionalFormatting>
  <conditionalFormatting sqref="D2121:L2121">
    <cfRule type="cellIs" priority="605" operator="lessThan" dxfId="0">
      <formula>0</formula>
    </cfRule>
  </conditionalFormatting>
  <conditionalFormatting sqref="M2124">
    <cfRule type="cellIs" priority="606" operator="equal" dxfId="0">
      <formula>"PEDIR YA (atrasado)"</formula>
    </cfRule>
  </conditionalFormatting>
  <conditionalFormatting sqref="D2128:L2128">
    <cfRule type="cellIs" priority="607" operator="lessThan" dxfId="0">
      <formula>0</formula>
    </cfRule>
  </conditionalFormatting>
  <conditionalFormatting sqref="M2131">
    <cfRule type="cellIs" priority="608" operator="equal" dxfId="0">
      <formula>"PEDIR YA (atrasado)"</formula>
    </cfRule>
  </conditionalFormatting>
  <conditionalFormatting sqref="D2135:L2135">
    <cfRule type="cellIs" priority="609" operator="lessThan" dxfId="0">
      <formula>0</formula>
    </cfRule>
  </conditionalFormatting>
  <conditionalFormatting sqref="M2138">
    <cfRule type="cellIs" priority="610" operator="equal" dxfId="0">
      <formula>"PEDIR YA (atrasado)"</formula>
    </cfRule>
  </conditionalFormatting>
  <conditionalFormatting sqref="D2142:L2142">
    <cfRule type="cellIs" priority="611" operator="lessThan" dxfId="0">
      <formula>0</formula>
    </cfRule>
  </conditionalFormatting>
  <conditionalFormatting sqref="M2145">
    <cfRule type="cellIs" priority="612" operator="equal" dxfId="0">
      <formula>"PEDIR YA (atrasado)"</formula>
    </cfRule>
  </conditionalFormatting>
  <conditionalFormatting sqref="D2149:L2149">
    <cfRule type="cellIs" priority="613" operator="lessThan" dxfId="0">
      <formula>0</formula>
    </cfRule>
  </conditionalFormatting>
  <conditionalFormatting sqref="M2152">
    <cfRule type="cellIs" priority="614" operator="equal" dxfId="0">
      <formula>"PEDIR YA (atrasado)"</formula>
    </cfRule>
  </conditionalFormatting>
  <conditionalFormatting sqref="D2156:L2156">
    <cfRule type="cellIs" priority="615" operator="lessThan" dxfId="0">
      <formula>0</formula>
    </cfRule>
  </conditionalFormatting>
  <conditionalFormatting sqref="M2159">
    <cfRule type="cellIs" priority="616" operator="equal" dxfId="0">
      <formula>"PEDIR YA (atrasado)"</formula>
    </cfRule>
  </conditionalFormatting>
  <conditionalFormatting sqref="D2163:L2163">
    <cfRule type="cellIs" priority="617" operator="lessThan" dxfId="0">
      <formula>0</formula>
    </cfRule>
  </conditionalFormatting>
  <conditionalFormatting sqref="M2166">
    <cfRule type="cellIs" priority="618" operator="equal" dxfId="0">
      <formula>"PEDIR YA (atrasado)"</formula>
    </cfRule>
  </conditionalFormatting>
  <conditionalFormatting sqref="D2170:L2170">
    <cfRule type="cellIs" priority="619" operator="lessThan" dxfId="0">
      <formula>0</formula>
    </cfRule>
  </conditionalFormatting>
  <conditionalFormatting sqref="M2173">
    <cfRule type="cellIs" priority="620" operator="equal" dxfId="0">
      <formula>"PEDIR YA (atrasado)"</formula>
    </cfRule>
  </conditionalFormatting>
  <conditionalFormatting sqref="D2177:L2177">
    <cfRule type="cellIs" priority="621" operator="lessThan" dxfId="0">
      <formula>0</formula>
    </cfRule>
  </conditionalFormatting>
  <conditionalFormatting sqref="M2180">
    <cfRule type="cellIs" priority="622" operator="equal" dxfId="0">
      <formula>"PEDIR YA (atrasado)"</formula>
    </cfRule>
  </conditionalFormatting>
  <conditionalFormatting sqref="D2184:L2184">
    <cfRule type="cellIs" priority="623" operator="lessThan" dxfId="0">
      <formula>0</formula>
    </cfRule>
  </conditionalFormatting>
  <conditionalFormatting sqref="M2187">
    <cfRule type="cellIs" priority="624" operator="equal" dxfId="0">
      <formula>"PEDIR YA (atrasado)"</formula>
    </cfRule>
  </conditionalFormatting>
  <conditionalFormatting sqref="D2191:L2191">
    <cfRule type="cellIs" priority="625" operator="lessThan" dxfId="0">
      <formula>0</formula>
    </cfRule>
  </conditionalFormatting>
  <conditionalFormatting sqref="M2194">
    <cfRule type="cellIs" priority="626" operator="equal" dxfId="0">
      <formula>"PEDIR YA (atrasado)"</formula>
    </cfRule>
  </conditionalFormatting>
  <conditionalFormatting sqref="D2198:L2198">
    <cfRule type="cellIs" priority="627" operator="lessThan" dxfId="0">
      <formula>0</formula>
    </cfRule>
  </conditionalFormatting>
  <conditionalFormatting sqref="M2201">
    <cfRule type="cellIs" priority="628" operator="equal" dxfId="0">
      <formula>"PEDIR YA (atrasado)"</formula>
    </cfRule>
  </conditionalFormatting>
  <conditionalFormatting sqref="D2205:L2205">
    <cfRule type="cellIs" priority="629" operator="lessThan" dxfId="0">
      <formula>0</formula>
    </cfRule>
  </conditionalFormatting>
  <conditionalFormatting sqref="M2208">
    <cfRule type="cellIs" priority="630" operator="equal" dxfId="0">
      <formula>"PEDIR YA (atrasado)"</formula>
    </cfRule>
  </conditionalFormatting>
  <conditionalFormatting sqref="D2212:L2212">
    <cfRule type="cellIs" priority="631" operator="lessThan" dxfId="0">
      <formula>0</formula>
    </cfRule>
  </conditionalFormatting>
  <conditionalFormatting sqref="M2215">
    <cfRule type="cellIs" priority="632" operator="equal" dxfId="0">
      <formula>"PEDIR YA (atrasado)"</formula>
    </cfRule>
  </conditionalFormatting>
  <conditionalFormatting sqref="D2219:L2219">
    <cfRule type="cellIs" priority="633" operator="lessThan" dxfId="0">
      <formula>0</formula>
    </cfRule>
  </conditionalFormatting>
  <conditionalFormatting sqref="M2222">
    <cfRule type="cellIs" priority="634" operator="equal" dxfId="0">
      <formula>"PEDIR YA (atrasado)"</formula>
    </cfRule>
  </conditionalFormatting>
  <conditionalFormatting sqref="D2226:L2226">
    <cfRule type="cellIs" priority="635" operator="lessThan" dxfId="0">
      <formula>0</formula>
    </cfRule>
  </conditionalFormatting>
  <conditionalFormatting sqref="M2229">
    <cfRule type="cellIs" priority="636" operator="equal" dxfId="0">
      <formula>"PEDIR YA (atrasado)"</formula>
    </cfRule>
  </conditionalFormatting>
  <conditionalFormatting sqref="D2233:L2233">
    <cfRule type="cellIs" priority="637" operator="lessThan" dxfId="0">
      <formula>0</formula>
    </cfRule>
  </conditionalFormatting>
  <conditionalFormatting sqref="M2236">
    <cfRule type="cellIs" priority="638" operator="equal" dxfId="0">
      <formula>"PEDIR YA (atrasado)"</formula>
    </cfRule>
  </conditionalFormatting>
  <conditionalFormatting sqref="D2240:L2240">
    <cfRule type="cellIs" priority="639" operator="lessThan" dxfId="0">
      <formula>0</formula>
    </cfRule>
  </conditionalFormatting>
  <conditionalFormatting sqref="M2243">
    <cfRule type="cellIs" priority="640" operator="equal" dxfId="0">
      <formula>"PEDIR YA (atrasado)"</formula>
    </cfRule>
  </conditionalFormatting>
  <conditionalFormatting sqref="D2247:L2247">
    <cfRule type="cellIs" priority="641" operator="lessThan" dxfId="0">
      <formula>0</formula>
    </cfRule>
  </conditionalFormatting>
  <conditionalFormatting sqref="M2250">
    <cfRule type="cellIs" priority="642" operator="equal" dxfId="0">
      <formula>"PEDIR YA (atrasado)"</formula>
    </cfRule>
  </conditionalFormatting>
  <conditionalFormatting sqref="D2254:L2254">
    <cfRule type="cellIs" priority="643" operator="lessThan" dxfId="0">
      <formula>0</formula>
    </cfRule>
  </conditionalFormatting>
  <conditionalFormatting sqref="M2257">
    <cfRule type="cellIs" priority="644" operator="equal" dxfId="0">
      <formula>"PEDIR YA (atrasado)"</formula>
    </cfRule>
  </conditionalFormatting>
  <conditionalFormatting sqref="D2261:L2261">
    <cfRule type="cellIs" priority="645" operator="lessThan" dxfId="0">
      <formula>0</formula>
    </cfRule>
  </conditionalFormatting>
  <conditionalFormatting sqref="M2264">
    <cfRule type="cellIs" priority="646" operator="equal" dxfId="0">
      <formula>"PEDIR YA (atrasado)"</formula>
    </cfRule>
  </conditionalFormatting>
  <conditionalFormatting sqref="D2268:L2268">
    <cfRule type="cellIs" priority="647" operator="lessThan" dxfId="0">
      <formula>0</formula>
    </cfRule>
  </conditionalFormatting>
  <conditionalFormatting sqref="M2271">
    <cfRule type="cellIs" priority="648" operator="equal" dxfId="0">
      <formula>"PEDIR YA (atrasado)"</formula>
    </cfRule>
  </conditionalFormatting>
  <conditionalFormatting sqref="D2275:L2275">
    <cfRule type="cellIs" priority="649" operator="lessThan" dxfId="0">
      <formula>0</formula>
    </cfRule>
  </conditionalFormatting>
  <conditionalFormatting sqref="M2278">
    <cfRule type="cellIs" priority="650" operator="equal" dxfId="0">
      <formula>"PEDIR YA (atrasado)"</formula>
    </cfRule>
  </conditionalFormatting>
  <conditionalFormatting sqref="D2282:L2282">
    <cfRule type="cellIs" priority="651" operator="lessThan" dxfId="0">
      <formula>0</formula>
    </cfRule>
  </conditionalFormatting>
  <conditionalFormatting sqref="M2285">
    <cfRule type="cellIs" priority="652" operator="equal" dxfId="0">
      <formula>"PEDIR YA (atrasado)"</formula>
    </cfRule>
  </conditionalFormatting>
  <conditionalFormatting sqref="D2289:L2289">
    <cfRule type="cellIs" priority="653" operator="lessThan" dxfId="0">
      <formula>0</formula>
    </cfRule>
  </conditionalFormatting>
  <conditionalFormatting sqref="M2292">
    <cfRule type="cellIs" priority="654" operator="equal" dxfId="0">
      <formula>"PEDIR YA (atrasado)"</formula>
    </cfRule>
  </conditionalFormatting>
  <conditionalFormatting sqref="D2296:L2296">
    <cfRule type="cellIs" priority="655" operator="lessThan" dxfId="0">
      <formula>0</formula>
    </cfRule>
  </conditionalFormatting>
  <conditionalFormatting sqref="M2299">
    <cfRule type="cellIs" priority="656" operator="equal" dxfId="0">
      <formula>"PEDIR YA (atrasado)"</formula>
    </cfRule>
  </conditionalFormatting>
  <conditionalFormatting sqref="D2303:L2303">
    <cfRule type="cellIs" priority="657" operator="lessThan" dxfId="0">
      <formula>0</formula>
    </cfRule>
  </conditionalFormatting>
  <conditionalFormatting sqref="M2306">
    <cfRule type="cellIs" priority="658" operator="equal" dxfId="0">
      <formula>"PEDIR YA (atrasado)"</formula>
    </cfRule>
  </conditionalFormatting>
  <conditionalFormatting sqref="D2310:L2310">
    <cfRule type="cellIs" priority="659" operator="lessThan" dxfId="0">
      <formula>0</formula>
    </cfRule>
  </conditionalFormatting>
  <conditionalFormatting sqref="M2313">
    <cfRule type="cellIs" priority="660" operator="equal" dxfId="0">
      <formula>"PEDIR YA (atrasado)"</formula>
    </cfRule>
  </conditionalFormatting>
  <conditionalFormatting sqref="D2317:L2317">
    <cfRule type="cellIs" priority="661" operator="lessThan" dxfId="0">
      <formula>0</formula>
    </cfRule>
  </conditionalFormatting>
  <conditionalFormatting sqref="M2320">
    <cfRule type="cellIs" priority="662" operator="equal" dxfId="0">
      <formula>"PEDIR YA (atrasado)"</formula>
    </cfRule>
  </conditionalFormatting>
  <conditionalFormatting sqref="D2324:L2324">
    <cfRule type="cellIs" priority="663" operator="lessThan" dxfId="0">
      <formula>0</formula>
    </cfRule>
  </conditionalFormatting>
  <conditionalFormatting sqref="M2327">
    <cfRule type="cellIs" priority="664" operator="equal" dxfId="0">
      <formula>"PEDIR YA (atrasado)"</formula>
    </cfRule>
  </conditionalFormatting>
  <conditionalFormatting sqref="D2331:L2331">
    <cfRule type="cellIs" priority="665" operator="lessThan" dxfId="0">
      <formula>0</formula>
    </cfRule>
  </conditionalFormatting>
  <conditionalFormatting sqref="M2334">
    <cfRule type="cellIs" priority="666" operator="equal" dxfId="0">
      <formula>"PEDIR YA (atrasado)"</formula>
    </cfRule>
  </conditionalFormatting>
  <conditionalFormatting sqref="D2338:L2338">
    <cfRule type="cellIs" priority="667" operator="lessThan" dxfId="0">
      <formula>0</formula>
    </cfRule>
  </conditionalFormatting>
  <conditionalFormatting sqref="M2341">
    <cfRule type="cellIs" priority="668" operator="equal" dxfId="0">
      <formula>"PEDIR YA (atrasado)"</formula>
    </cfRule>
  </conditionalFormatting>
  <conditionalFormatting sqref="D2345:L2345">
    <cfRule type="cellIs" priority="669" operator="lessThan" dxfId="0">
      <formula>0</formula>
    </cfRule>
  </conditionalFormatting>
  <conditionalFormatting sqref="M2348">
    <cfRule type="cellIs" priority="670" operator="equal" dxfId="0">
      <formula>"PEDIR YA (atrasado)"</formula>
    </cfRule>
  </conditionalFormatting>
  <conditionalFormatting sqref="D2352:L2352">
    <cfRule type="cellIs" priority="671" operator="lessThan" dxfId="0">
      <formula>0</formula>
    </cfRule>
  </conditionalFormatting>
  <conditionalFormatting sqref="M2355">
    <cfRule type="cellIs" priority="672" operator="equal" dxfId="0">
      <formula>"PEDIR YA (atrasado)"</formula>
    </cfRule>
  </conditionalFormatting>
  <conditionalFormatting sqref="D2359:L2359">
    <cfRule type="cellIs" priority="673" operator="lessThan" dxfId="0">
      <formula>0</formula>
    </cfRule>
  </conditionalFormatting>
  <conditionalFormatting sqref="M2362">
    <cfRule type="cellIs" priority="674" operator="equal" dxfId="0">
      <formula>"PEDIR YA (atrasado)"</formula>
    </cfRule>
  </conditionalFormatting>
  <conditionalFormatting sqref="D2366:L2366">
    <cfRule type="cellIs" priority="675" operator="lessThan" dxfId="0">
      <formula>0</formula>
    </cfRule>
  </conditionalFormatting>
  <conditionalFormatting sqref="M2369">
    <cfRule type="cellIs" priority="676" operator="equal" dxfId="0">
      <formula>"PEDIR YA (atrasado)"</formula>
    </cfRule>
  </conditionalFormatting>
  <conditionalFormatting sqref="D2373:L2373">
    <cfRule type="cellIs" priority="677" operator="lessThan" dxfId="0">
      <formula>0</formula>
    </cfRule>
  </conditionalFormatting>
  <conditionalFormatting sqref="M2376">
    <cfRule type="cellIs" priority="678" operator="equal" dxfId="0">
      <formula>"PEDIR YA (atrasado)"</formula>
    </cfRule>
  </conditionalFormatting>
  <conditionalFormatting sqref="D2380:L2380">
    <cfRule type="cellIs" priority="679" operator="lessThan" dxfId="0">
      <formula>0</formula>
    </cfRule>
  </conditionalFormatting>
  <conditionalFormatting sqref="M2383">
    <cfRule type="cellIs" priority="680" operator="equal" dxfId="0">
      <formula>"PEDIR YA (atrasado)"</formula>
    </cfRule>
  </conditionalFormatting>
  <conditionalFormatting sqref="D2387:L2387">
    <cfRule type="cellIs" priority="681" operator="lessThan" dxfId="0">
      <formula>0</formula>
    </cfRule>
  </conditionalFormatting>
  <conditionalFormatting sqref="M2390">
    <cfRule type="cellIs" priority="682" operator="equal" dxfId="0">
      <formula>"PEDIR YA (atrasado)"</formula>
    </cfRule>
  </conditionalFormatting>
  <conditionalFormatting sqref="D2394:L2394">
    <cfRule type="cellIs" priority="683" operator="lessThan" dxfId="0">
      <formula>0</formula>
    </cfRule>
  </conditionalFormatting>
  <conditionalFormatting sqref="M2397">
    <cfRule type="cellIs" priority="684" operator="equal" dxfId="0">
      <formula>"PEDIR YA (atrasado)"</formula>
    </cfRule>
  </conditionalFormatting>
  <conditionalFormatting sqref="D2401:L2401">
    <cfRule type="cellIs" priority="685" operator="lessThan" dxfId="0">
      <formula>0</formula>
    </cfRule>
  </conditionalFormatting>
  <conditionalFormatting sqref="M2404">
    <cfRule type="cellIs" priority="686" operator="equal" dxfId="0">
      <formula>"PEDIR YA (atrasado)"</formula>
    </cfRule>
  </conditionalFormatting>
  <conditionalFormatting sqref="D2408:L2408">
    <cfRule type="cellIs" priority="687" operator="lessThan" dxfId="0">
      <formula>0</formula>
    </cfRule>
  </conditionalFormatting>
  <conditionalFormatting sqref="M2411">
    <cfRule type="cellIs" priority="688" operator="equal" dxfId="0">
      <formula>"PEDIR YA (atrasado)"</formula>
    </cfRule>
  </conditionalFormatting>
  <conditionalFormatting sqref="D2415:L2415">
    <cfRule type="cellIs" priority="689" operator="lessThan" dxfId="0">
      <formula>0</formula>
    </cfRule>
  </conditionalFormatting>
  <conditionalFormatting sqref="M2418">
    <cfRule type="cellIs" priority="690" operator="equal" dxfId="0">
      <formula>"PEDIR YA (atrasado)"</formula>
    </cfRule>
  </conditionalFormatting>
  <conditionalFormatting sqref="D2422:L2422">
    <cfRule type="cellIs" priority="691" operator="lessThan" dxfId="0">
      <formula>0</formula>
    </cfRule>
  </conditionalFormatting>
  <conditionalFormatting sqref="M2425">
    <cfRule type="cellIs" priority="692" operator="equal" dxfId="0">
      <formula>"PEDIR YA (atrasado)"</formula>
    </cfRule>
  </conditionalFormatting>
  <conditionalFormatting sqref="D2429:L2429">
    <cfRule type="cellIs" priority="693" operator="lessThan" dxfId="0">
      <formula>0</formula>
    </cfRule>
  </conditionalFormatting>
  <conditionalFormatting sqref="M2432">
    <cfRule type="cellIs" priority="694" operator="equal" dxfId="0">
      <formula>"PEDIR YA (atrasado)"</formula>
    </cfRule>
  </conditionalFormatting>
  <conditionalFormatting sqref="D2436:L2436">
    <cfRule type="cellIs" priority="695" operator="lessThan" dxfId="0">
      <formula>0</formula>
    </cfRule>
  </conditionalFormatting>
  <conditionalFormatting sqref="M2439">
    <cfRule type="cellIs" priority="696" operator="equal" dxfId="0">
      <formula>"PEDIR YA (atrasado)"</formula>
    </cfRule>
  </conditionalFormatting>
  <conditionalFormatting sqref="D2443:L2443">
    <cfRule type="cellIs" priority="697" operator="lessThan" dxfId="0">
      <formula>0</formula>
    </cfRule>
  </conditionalFormatting>
  <conditionalFormatting sqref="M2446">
    <cfRule type="cellIs" priority="698" operator="equal" dxfId="0">
      <formula>"PEDIR YA (atrasado)"</formula>
    </cfRule>
  </conditionalFormatting>
  <conditionalFormatting sqref="D2450:L2450">
    <cfRule type="cellIs" priority="699" operator="lessThan" dxfId="0">
      <formula>0</formula>
    </cfRule>
  </conditionalFormatting>
  <conditionalFormatting sqref="M2453">
    <cfRule type="cellIs" priority="700" operator="equal" dxfId="0">
      <formula>"PEDIR YA (atrasado)"</formula>
    </cfRule>
  </conditionalFormatting>
  <conditionalFormatting sqref="D2457:L2457">
    <cfRule type="cellIs" priority="701" operator="lessThan" dxfId="0">
      <formula>0</formula>
    </cfRule>
  </conditionalFormatting>
  <conditionalFormatting sqref="M2460">
    <cfRule type="cellIs" priority="702" operator="equal" dxfId="0">
      <formula>"PEDIR YA (atrasado)"</formula>
    </cfRule>
  </conditionalFormatting>
  <conditionalFormatting sqref="D2464:L2464">
    <cfRule type="cellIs" priority="703" operator="lessThan" dxfId="0">
      <formula>0</formula>
    </cfRule>
  </conditionalFormatting>
  <conditionalFormatting sqref="M2467">
    <cfRule type="cellIs" priority="704" operator="equal" dxfId="0">
      <formula>"PEDIR YA (atrasado)"</formula>
    </cfRule>
  </conditionalFormatting>
  <conditionalFormatting sqref="D2471:L2471">
    <cfRule type="cellIs" priority="705" operator="lessThan" dxfId="0">
      <formula>0</formula>
    </cfRule>
  </conditionalFormatting>
  <conditionalFormatting sqref="M2474">
    <cfRule type="cellIs" priority="706" operator="equal" dxfId="0">
      <formula>"PEDIR YA (atrasado)"</formula>
    </cfRule>
  </conditionalFormatting>
  <conditionalFormatting sqref="D2478:L2478">
    <cfRule type="cellIs" priority="707" operator="lessThan" dxfId="0">
      <formula>0</formula>
    </cfRule>
  </conditionalFormatting>
  <conditionalFormatting sqref="M2481">
    <cfRule type="cellIs" priority="708" operator="equal" dxfId="0">
      <formula>"PEDIR YA (atrasado)"</formula>
    </cfRule>
  </conditionalFormatting>
  <conditionalFormatting sqref="D2485:L2485">
    <cfRule type="cellIs" priority="709" operator="lessThan" dxfId="0">
      <formula>0</formula>
    </cfRule>
  </conditionalFormatting>
  <conditionalFormatting sqref="M2488">
    <cfRule type="cellIs" priority="710" operator="equal" dxfId="0">
      <formula>"PEDIR YA (atrasado)"</formula>
    </cfRule>
  </conditionalFormatting>
  <conditionalFormatting sqref="D2492:L2492">
    <cfRule type="cellIs" priority="711" operator="lessThan" dxfId="0">
      <formula>0</formula>
    </cfRule>
  </conditionalFormatting>
  <conditionalFormatting sqref="M2495">
    <cfRule type="cellIs" priority="712" operator="equal" dxfId="0">
      <formula>"PEDIR YA (atrasado)"</formula>
    </cfRule>
  </conditionalFormatting>
  <conditionalFormatting sqref="D2499:L2499">
    <cfRule type="cellIs" priority="713" operator="lessThan" dxfId="0">
      <formula>0</formula>
    </cfRule>
  </conditionalFormatting>
  <conditionalFormatting sqref="M2502">
    <cfRule type="cellIs" priority="714" operator="equal" dxfId="0">
      <formula>"PEDIR YA (atrasado)"</formula>
    </cfRule>
  </conditionalFormatting>
  <conditionalFormatting sqref="D2506:L2506">
    <cfRule type="cellIs" priority="715" operator="lessThan" dxfId="0">
      <formula>0</formula>
    </cfRule>
  </conditionalFormatting>
  <conditionalFormatting sqref="M2509">
    <cfRule type="cellIs" priority="716" operator="equal" dxfId="0">
      <formula>"PEDIR YA (atrasado)"</formula>
    </cfRule>
  </conditionalFormatting>
  <conditionalFormatting sqref="D2513:L2513">
    <cfRule type="cellIs" priority="717" operator="lessThan" dxfId="0">
      <formula>0</formula>
    </cfRule>
  </conditionalFormatting>
  <conditionalFormatting sqref="M2516">
    <cfRule type="cellIs" priority="718" operator="equal" dxfId="0">
      <formula>"PEDIR YA (atrasado)"</formula>
    </cfRule>
  </conditionalFormatting>
  <conditionalFormatting sqref="D2520:L2520">
    <cfRule type="cellIs" priority="719" operator="lessThan" dxfId="0">
      <formula>0</formula>
    </cfRule>
  </conditionalFormatting>
  <conditionalFormatting sqref="M2523">
    <cfRule type="cellIs" priority="720" operator="equal" dxfId="0">
      <formula>"PEDIR YA (atrasado)"</formula>
    </cfRule>
  </conditionalFormatting>
  <conditionalFormatting sqref="D2527:L2527">
    <cfRule type="cellIs" priority="721" operator="lessThan" dxfId="0">
      <formula>0</formula>
    </cfRule>
  </conditionalFormatting>
  <conditionalFormatting sqref="M2530">
    <cfRule type="cellIs" priority="722" operator="equal" dxfId="0">
      <formula>"PEDIR YA (atrasado)"</formula>
    </cfRule>
  </conditionalFormatting>
  <conditionalFormatting sqref="D2534:L2534">
    <cfRule type="cellIs" priority="723" operator="lessThan" dxfId="0">
      <formula>0</formula>
    </cfRule>
  </conditionalFormatting>
  <conditionalFormatting sqref="M2537">
    <cfRule type="cellIs" priority="724" operator="equal" dxfId="0">
      <formula>"PEDIR YA (atrasado)"</formula>
    </cfRule>
  </conditionalFormatting>
  <conditionalFormatting sqref="D2541:L2541">
    <cfRule type="cellIs" priority="725" operator="lessThan" dxfId="0">
      <formula>0</formula>
    </cfRule>
  </conditionalFormatting>
  <conditionalFormatting sqref="M2544">
    <cfRule type="cellIs" priority="726" operator="equal" dxfId="0">
      <formula>"PEDIR YA (atrasado)"</formula>
    </cfRule>
  </conditionalFormatting>
  <conditionalFormatting sqref="D2548:L2548">
    <cfRule type="cellIs" priority="727" operator="lessThan" dxfId="0">
      <formula>0</formula>
    </cfRule>
  </conditionalFormatting>
  <conditionalFormatting sqref="M2551">
    <cfRule type="cellIs" priority="728" operator="equal" dxfId="0">
      <formula>"PEDIR YA (atrasado)"</formula>
    </cfRule>
  </conditionalFormatting>
  <conditionalFormatting sqref="D2555:L2555">
    <cfRule type="cellIs" priority="729" operator="lessThan" dxfId="0">
      <formula>0</formula>
    </cfRule>
  </conditionalFormatting>
  <conditionalFormatting sqref="M2558">
    <cfRule type="cellIs" priority="730" operator="equal" dxfId="0">
      <formula>"PEDIR YA (atrasado)"</formula>
    </cfRule>
  </conditionalFormatting>
  <conditionalFormatting sqref="D2562:L2562">
    <cfRule type="cellIs" priority="731" operator="lessThan" dxfId="0">
      <formula>0</formula>
    </cfRule>
  </conditionalFormatting>
  <conditionalFormatting sqref="M2565">
    <cfRule type="cellIs" priority="732" operator="equal" dxfId="0">
      <formula>"PEDIR YA (atrasado)"</formula>
    </cfRule>
  </conditionalFormatting>
  <conditionalFormatting sqref="D2569:L2569">
    <cfRule type="cellIs" priority="733" operator="lessThan" dxfId="0">
      <formula>0</formula>
    </cfRule>
  </conditionalFormatting>
  <conditionalFormatting sqref="M2572">
    <cfRule type="cellIs" priority="734" operator="equal" dxfId="0">
      <formula>"PEDIR YA (atrasado)"</formula>
    </cfRule>
  </conditionalFormatting>
  <conditionalFormatting sqref="D2576:L2576">
    <cfRule type="cellIs" priority="735" operator="lessThan" dxfId="0">
      <formula>0</formula>
    </cfRule>
  </conditionalFormatting>
  <conditionalFormatting sqref="M2579">
    <cfRule type="cellIs" priority="736" operator="equal" dxfId="0">
      <formula>"PEDIR YA (atrasado)"</formula>
    </cfRule>
  </conditionalFormatting>
  <conditionalFormatting sqref="D2583:L2583">
    <cfRule type="cellIs" priority="737" operator="lessThan" dxfId="0">
      <formula>0</formula>
    </cfRule>
  </conditionalFormatting>
  <conditionalFormatting sqref="M2586">
    <cfRule type="cellIs" priority="738" operator="equal" dxfId="0">
      <formula>"PEDIR YA (atrasado)"</formula>
    </cfRule>
  </conditionalFormatting>
  <conditionalFormatting sqref="D2590:L2590">
    <cfRule type="cellIs" priority="739" operator="lessThan" dxfId="0">
      <formula>0</formula>
    </cfRule>
  </conditionalFormatting>
  <conditionalFormatting sqref="M2593">
    <cfRule type="cellIs" priority="740" operator="equal" dxfId="0">
      <formula>"PEDIR YA (atrasado)"</formula>
    </cfRule>
  </conditionalFormatting>
  <conditionalFormatting sqref="D2597:L2597">
    <cfRule type="cellIs" priority="741" operator="lessThan" dxfId="0">
      <formula>0</formula>
    </cfRule>
  </conditionalFormatting>
  <conditionalFormatting sqref="M2600">
    <cfRule type="cellIs" priority="742" operator="equal" dxfId="0">
      <formula>"PEDIR YA (atrasado)"</formula>
    </cfRule>
  </conditionalFormatting>
  <conditionalFormatting sqref="D2604:L2604">
    <cfRule type="cellIs" priority="743" operator="lessThan" dxfId="0">
      <formula>0</formula>
    </cfRule>
  </conditionalFormatting>
  <conditionalFormatting sqref="M2607">
    <cfRule type="cellIs" priority="744" operator="equal" dxfId="0">
      <formula>"PEDIR YA (atrasado)"</formula>
    </cfRule>
  </conditionalFormatting>
  <conditionalFormatting sqref="D2611:L2611">
    <cfRule type="cellIs" priority="745" operator="lessThan" dxfId="0">
      <formula>0</formula>
    </cfRule>
  </conditionalFormatting>
  <conditionalFormatting sqref="M2614">
    <cfRule type="cellIs" priority="746" operator="equal" dxfId="0">
      <formula>"PEDIR YA (atrasado)"</formula>
    </cfRule>
  </conditionalFormatting>
  <conditionalFormatting sqref="D2618:L2618">
    <cfRule type="cellIs" priority="747" operator="lessThan" dxfId="0">
      <formula>0</formula>
    </cfRule>
  </conditionalFormatting>
  <conditionalFormatting sqref="M2621">
    <cfRule type="cellIs" priority="748" operator="equal" dxfId="0">
      <formula>"PEDIR YA (atrasado)"</formula>
    </cfRule>
  </conditionalFormatting>
  <conditionalFormatting sqref="D2625:L2625">
    <cfRule type="cellIs" priority="749" operator="lessThan" dxfId="0">
      <formula>0</formula>
    </cfRule>
  </conditionalFormatting>
  <conditionalFormatting sqref="M2628">
    <cfRule type="cellIs" priority="750" operator="equal" dxfId="0">
      <formula>"PEDIR YA (atrasado)"</formula>
    </cfRule>
  </conditionalFormatting>
  <conditionalFormatting sqref="D2632:L2632">
    <cfRule type="cellIs" priority="751" operator="lessThan" dxfId="0">
      <formula>0</formula>
    </cfRule>
  </conditionalFormatting>
  <conditionalFormatting sqref="M2635">
    <cfRule type="cellIs" priority="752" operator="equal" dxfId="0">
      <formula>"PEDIR YA (atrasado)"</formula>
    </cfRule>
  </conditionalFormatting>
  <conditionalFormatting sqref="D2639:L2639">
    <cfRule type="cellIs" priority="753" operator="lessThan" dxfId="0">
      <formula>0</formula>
    </cfRule>
  </conditionalFormatting>
  <conditionalFormatting sqref="M2642">
    <cfRule type="cellIs" priority="754" operator="equal" dxfId="0">
      <formula>"PEDIR YA (atrasado)"</formula>
    </cfRule>
  </conditionalFormatting>
  <conditionalFormatting sqref="D2646:L2646">
    <cfRule type="cellIs" priority="755" operator="lessThan" dxfId="0">
      <formula>0</formula>
    </cfRule>
  </conditionalFormatting>
  <conditionalFormatting sqref="M2649">
    <cfRule type="cellIs" priority="756" operator="equal" dxfId="0">
      <formula>"PEDIR YA (atrasado)"</formula>
    </cfRule>
  </conditionalFormatting>
  <conditionalFormatting sqref="D2653:L2653">
    <cfRule type="cellIs" priority="757" operator="lessThan" dxfId="0">
      <formula>0</formula>
    </cfRule>
  </conditionalFormatting>
  <conditionalFormatting sqref="M2656">
    <cfRule type="cellIs" priority="758" operator="equal" dxfId="0">
      <formula>"PEDIR YA (atrasado)"</formula>
    </cfRule>
  </conditionalFormatting>
  <conditionalFormatting sqref="D2660:L2660">
    <cfRule type="cellIs" priority="759" operator="lessThan" dxfId="0">
      <formula>0</formula>
    </cfRule>
  </conditionalFormatting>
  <conditionalFormatting sqref="M2663">
    <cfRule type="cellIs" priority="760" operator="equal" dxfId="0">
      <formula>"PEDIR YA (atrasado)"</formula>
    </cfRule>
  </conditionalFormatting>
  <conditionalFormatting sqref="D2667:L2667">
    <cfRule type="cellIs" priority="761" operator="lessThan" dxfId="0">
      <formula>0</formula>
    </cfRule>
  </conditionalFormatting>
  <conditionalFormatting sqref="M2670">
    <cfRule type="cellIs" priority="762" operator="equal" dxfId="0">
      <formula>"PEDIR YA (atrasado)"</formula>
    </cfRule>
  </conditionalFormatting>
  <conditionalFormatting sqref="D2674:L2674">
    <cfRule type="cellIs" priority="763" operator="lessThan" dxfId="0">
      <formula>0</formula>
    </cfRule>
  </conditionalFormatting>
  <conditionalFormatting sqref="M2677">
    <cfRule type="cellIs" priority="764" operator="equal" dxfId="0">
      <formula>"PEDIR YA (atrasado)"</formula>
    </cfRule>
  </conditionalFormatting>
  <conditionalFormatting sqref="D2681:L2681">
    <cfRule type="cellIs" priority="765" operator="lessThan" dxfId="0">
      <formula>0</formula>
    </cfRule>
  </conditionalFormatting>
  <conditionalFormatting sqref="M2684">
    <cfRule type="cellIs" priority="766" operator="equal" dxfId="0">
      <formula>"PEDIR YA (atrasado)"</formula>
    </cfRule>
  </conditionalFormatting>
  <conditionalFormatting sqref="D2688:L2688">
    <cfRule type="cellIs" priority="767" operator="lessThan" dxfId="0">
      <formula>0</formula>
    </cfRule>
  </conditionalFormatting>
  <conditionalFormatting sqref="M2691">
    <cfRule type="cellIs" priority="768" operator="equal" dxfId="0">
      <formula>"PEDIR YA (atrasado)"</formula>
    </cfRule>
  </conditionalFormatting>
  <conditionalFormatting sqref="D2695:L2695">
    <cfRule type="cellIs" priority="769" operator="lessThan" dxfId="0">
      <formula>0</formula>
    </cfRule>
  </conditionalFormatting>
  <conditionalFormatting sqref="M2698">
    <cfRule type="cellIs" priority="770" operator="equal" dxfId="0">
      <formula>"PEDIR YA (atrasado)"</formula>
    </cfRule>
  </conditionalFormatting>
  <conditionalFormatting sqref="D2702:L2702">
    <cfRule type="cellIs" priority="771" operator="lessThan" dxfId="0">
      <formula>0</formula>
    </cfRule>
  </conditionalFormatting>
  <conditionalFormatting sqref="M2705">
    <cfRule type="cellIs" priority="772" operator="equal" dxfId="0">
      <formula>"PEDIR YA (atrasado)"</formula>
    </cfRule>
  </conditionalFormatting>
  <conditionalFormatting sqref="D2709:L2709">
    <cfRule type="cellIs" priority="773" operator="lessThan" dxfId="0">
      <formula>0</formula>
    </cfRule>
  </conditionalFormatting>
  <conditionalFormatting sqref="M2712">
    <cfRule type="cellIs" priority="774" operator="equal" dxfId="0">
      <formula>"PEDIR YA (atrasado)"</formula>
    </cfRule>
  </conditionalFormatting>
  <conditionalFormatting sqref="D2716:L2716">
    <cfRule type="cellIs" priority="775" operator="lessThan" dxfId="0">
      <formula>0</formula>
    </cfRule>
  </conditionalFormatting>
  <conditionalFormatting sqref="M2719">
    <cfRule type="cellIs" priority="776" operator="equal" dxfId="0">
      <formula>"PEDIR YA (atrasado)"</formula>
    </cfRule>
  </conditionalFormatting>
  <conditionalFormatting sqref="D2723:L2723">
    <cfRule type="cellIs" priority="777" operator="lessThan" dxfId="0">
      <formula>0</formula>
    </cfRule>
  </conditionalFormatting>
  <conditionalFormatting sqref="M2726">
    <cfRule type="cellIs" priority="778" operator="equal" dxfId="0">
      <formula>"PEDIR YA (atrasado)"</formula>
    </cfRule>
  </conditionalFormatting>
  <conditionalFormatting sqref="D2730:L2730">
    <cfRule type="cellIs" priority="779" operator="lessThan" dxfId="0">
      <formula>0</formula>
    </cfRule>
  </conditionalFormatting>
  <conditionalFormatting sqref="M2733">
    <cfRule type="cellIs" priority="780" operator="equal" dxfId="0">
      <formula>"PEDIR YA (atrasado)"</formula>
    </cfRule>
  </conditionalFormatting>
  <conditionalFormatting sqref="D2737:L2737">
    <cfRule type="cellIs" priority="781" operator="lessThan" dxfId="0">
      <formula>0</formula>
    </cfRule>
  </conditionalFormatting>
  <conditionalFormatting sqref="M2740">
    <cfRule type="cellIs" priority="782" operator="equal" dxfId="0">
      <formula>"PEDIR YA (atrasado)"</formula>
    </cfRule>
  </conditionalFormatting>
  <conditionalFormatting sqref="D2744:L2744">
    <cfRule type="cellIs" priority="783" operator="lessThan" dxfId="0">
      <formula>0</formula>
    </cfRule>
  </conditionalFormatting>
  <conditionalFormatting sqref="M2747">
    <cfRule type="cellIs" priority="784" operator="equal" dxfId="0">
      <formula>"PEDIR YA (atrasado)"</formula>
    </cfRule>
  </conditionalFormatting>
  <conditionalFormatting sqref="D2751:L2751">
    <cfRule type="cellIs" priority="785" operator="lessThan" dxfId="0">
      <formula>0</formula>
    </cfRule>
  </conditionalFormatting>
  <conditionalFormatting sqref="M2754">
    <cfRule type="cellIs" priority="786" operator="equal" dxfId="0">
      <formula>"PEDIR YA (atrasado)"</formula>
    </cfRule>
  </conditionalFormatting>
  <conditionalFormatting sqref="D2758:L2758">
    <cfRule type="cellIs" priority="787" operator="lessThan" dxfId="0">
      <formula>0</formula>
    </cfRule>
  </conditionalFormatting>
  <conditionalFormatting sqref="M2761">
    <cfRule type="cellIs" priority="788" operator="equal" dxfId="0">
      <formula>"PEDIR YA (atrasado)"</formula>
    </cfRule>
  </conditionalFormatting>
  <conditionalFormatting sqref="D2765:L2765">
    <cfRule type="cellIs" priority="789" operator="lessThan" dxfId="0">
      <formula>0</formula>
    </cfRule>
  </conditionalFormatting>
  <conditionalFormatting sqref="M2768">
    <cfRule type="cellIs" priority="790" operator="equal" dxfId="0">
      <formula>"PEDIR YA (atrasado)"</formula>
    </cfRule>
  </conditionalFormatting>
  <conditionalFormatting sqref="D2772:L2772">
    <cfRule type="cellIs" priority="791" operator="lessThan" dxfId="0">
      <formula>0</formula>
    </cfRule>
  </conditionalFormatting>
  <conditionalFormatting sqref="M2775">
    <cfRule type="cellIs" priority="792" operator="equal" dxfId="0">
      <formula>"PEDIR YA (atrasado)"</formula>
    </cfRule>
  </conditionalFormatting>
  <conditionalFormatting sqref="D2779:L2779">
    <cfRule type="cellIs" priority="793" operator="lessThan" dxfId="0">
      <formula>0</formula>
    </cfRule>
  </conditionalFormatting>
  <conditionalFormatting sqref="M2782">
    <cfRule type="cellIs" priority="794" operator="equal" dxfId="0">
      <formula>"PEDIR YA (atrasado)"</formula>
    </cfRule>
  </conditionalFormatting>
  <conditionalFormatting sqref="D2786:L2786">
    <cfRule type="cellIs" priority="795" operator="lessThan" dxfId="0">
      <formula>0</formula>
    </cfRule>
  </conditionalFormatting>
  <conditionalFormatting sqref="M2789">
    <cfRule type="cellIs" priority="796" operator="equal" dxfId="0">
      <formula>"PEDIR YA (atrasado)"</formula>
    </cfRule>
  </conditionalFormatting>
  <conditionalFormatting sqref="D2793:L2793">
    <cfRule type="cellIs" priority="797" operator="lessThan" dxfId="0">
      <formula>0</formula>
    </cfRule>
  </conditionalFormatting>
  <conditionalFormatting sqref="M2796">
    <cfRule type="cellIs" priority="798" operator="equal" dxfId="0">
      <formula>"PEDIR YA (atrasado)"</formula>
    </cfRule>
  </conditionalFormatting>
  <conditionalFormatting sqref="D2800:L2800">
    <cfRule type="cellIs" priority="799" operator="lessThan" dxfId="0">
      <formula>0</formula>
    </cfRule>
  </conditionalFormatting>
  <conditionalFormatting sqref="M2803">
    <cfRule type="cellIs" priority="800" operator="equal" dxfId="0">
      <formula>"PEDIR YA (atrasado)"</formula>
    </cfRule>
  </conditionalFormatting>
  <conditionalFormatting sqref="D2807:L2807">
    <cfRule type="cellIs" priority="801" operator="lessThan" dxfId="0">
      <formula>0</formula>
    </cfRule>
  </conditionalFormatting>
  <conditionalFormatting sqref="M2810">
    <cfRule type="cellIs" priority="802" operator="equal" dxfId="0">
      <formula>"PEDIR YA (atrasado)"</formula>
    </cfRule>
  </conditionalFormatting>
  <conditionalFormatting sqref="D2814:L2814">
    <cfRule type="cellIs" priority="803" operator="lessThan" dxfId="0">
      <formula>0</formula>
    </cfRule>
  </conditionalFormatting>
  <conditionalFormatting sqref="M2817">
    <cfRule type="cellIs" priority="804" operator="equal" dxfId="0">
      <formula>"PEDIR YA (atrasado)"</formula>
    </cfRule>
  </conditionalFormatting>
  <conditionalFormatting sqref="D2821:L2821">
    <cfRule type="cellIs" priority="805" operator="lessThan" dxfId="0">
      <formula>0</formula>
    </cfRule>
  </conditionalFormatting>
  <conditionalFormatting sqref="M2824">
    <cfRule type="cellIs" priority="806" operator="equal" dxfId="0">
      <formula>"PEDIR YA (atrasado)"</formula>
    </cfRule>
  </conditionalFormatting>
  <conditionalFormatting sqref="D2828:L2828">
    <cfRule type="cellIs" priority="807" operator="lessThan" dxfId="0">
      <formula>0</formula>
    </cfRule>
  </conditionalFormatting>
  <conditionalFormatting sqref="M2831">
    <cfRule type="cellIs" priority="808" operator="equal" dxfId="0">
      <formula>"PEDIR YA (atrasado)"</formula>
    </cfRule>
  </conditionalFormatting>
  <conditionalFormatting sqref="D2835:L2835">
    <cfRule type="cellIs" priority="809" operator="lessThan" dxfId="0">
      <formula>0</formula>
    </cfRule>
  </conditionalFormatting>
  <conditionalFormatting sqref="M2838">
    <cfRule type="cellIs" priority="810" operator="equal" dxfId="0">
      <formula>"PEDIR YA (atrasado)"</formula>
    </cfRule>
  </conditionalFormatting>
  <conditionalFormatting sqref="D2842:L2842">
    <cfRule type="cellIs" priority="811" operator="lessThan" dxfId="0">
      <formula>0</formula>
    </cfRule>
  </conditionalFormatting>
  <conditionalFormatting sqref="M2845">
    <cfRule type="cellIs" priority="812" operator="equal" dxfId="0">
      <formula>"PEDIR YA (atrasado)"</formula>
    </cfRule>
  </conditionalFormatting>
  <conditionalFormatting sqref="D2849:L2849">
    <cfRule type="cellIs" priority="813" operator="lessThan" dxfId="0">
      <formula>0</formula>
    </cfRule>
  </conditionalFormatting>
  <conditionalFormatting sqref="M2852">
    <cfRule type="cellIs" priority="814" operator="equal" dxfId="0">
      <formula>"PEDIR YA (atrasado)"</formula>
    </cfRule>
  </conditionalFormatting>
  <conditionalFormatting sqref="D2856:L2856">
    <cfRule type="cellIs" priority="815" operator="lessThan" dxfId="0">
      <formula>0</formula>
    </cfRule>
  </conditionalFormatting>
  <conditionalFormatting sqref="M2859">
    <cfRule type="cellIs" priority="816" operator="equal" dxfId="0">
      <formula>"PEDIR YA (atrasado)"</formula>
    </cfRule>
  </conditionalFormatting>
  <conditionalFormatting sqref="D2863:L2863">
    <cfRule type="cellIs" priority="817" operator="lessThan" dxfId="0">
      <formula>0</formula>
    </cfRule>
  </conditionalFormatting>
  <conditionalFormatting sqref="M2866">
    <cfRule type="cellIs" priority="818" operator="equal" dxfId="0">
      <formula>"PEDIR YA (atrasado)"</formula>
    </cfRule>
  </conditionalFormatting>
  <conditionalFormatting sqref="D2870:L2870">
    <cfRule type="cellIs" priority="819" operator="lessThan" dxfId="0">
      <formula>0</formula>
    </cfRule>
  </conditionalFormatting>
  <conditionalFormatting sqref="M2873">
    <cfRule type="cellIs" priority="820" operator="equal" dxfId="0">
      <formula>"PEDIR YA (atrasado)"</formula>
    </cfRule>
  </conditionalFormatting>
  <conditionalFormatting sqref="D2877:L2877">
    <cfRule type="cellIs" priority="821" operator="lessThan" dxfId="0">
      <formula>0</formula>
    </cfRule>
  </conditionalFormatting>
  <conditionalFormatting sqref="M2880">
    <cfRule type="cellIs" priority="822" operator="equal" dxfId="0">
      <formula>"PEDIR YA (atrasado)"</formula>
    </cfRule>
  </conditionalFormatting>
  <conditionalFormatting sqref="D2884:L2884">
    <cfRule type="cellIs" priority="823" operator="lessThan" dxfId="0">
      <formula>0</formula>
    </cfRule>
  </conditionalFormatting>
  <conditionalFormatting sqref="M2887">
    <cfRule type="cellIs" priority="824" operator="equal" dxfId="0">
      <formula>"PEDIR YA (atrasado)"</formula>
    </cfRule>
  </conditionalFormatting>
  <conditionalFormatting sqref="D2891:L2891">
    <cfRule type="cellIs" priority="825" operator="lessThan" dxfId="0">
      <formula>0</formula>
    </cfRule>
  </conditionalFormatting>
  <conditionalFormatting sqref="M2894">
    <cfRule type="cellIs" priority="826" operator="equal" dxfId="0">
      <formula>"PEDIR YA (atrasado)"</formula>
    </cfRule>
  </conditionalFormatting>
  <conditionalFormatting sqref="D2898:L2898">
    <cfRule type="cellIs" priority="827" operator="lessThan" dxfId="0">
      <formula>0</formula>
    </cfRule>
  </conditionalFormatting>
  <conditionalFormatting sqref="M2901">
    <cfRule type="cellIs" priority="828" operator="equal" dxfId="0">
      <formula>"PEDIR YA (atrasado)"</formula>
    </cfRule>
  </conditionalFormatting>
  <conditionalFormatting sqref="D2905:L2905">
    <cfRule type="cellIs" priority="829" operator="lessThan" dxfId="0">
      <formula>0</formula>
    </cfRule>
  </conditionalFormatting>
  <conditionalFormatting sqref="M2908">
    <cfRule type="cellIs" priority="830" operator="equal" dxfId="0">
      <formula>"PEDIR YA (atrasado)"</formula>
    </cfRule>
  </conditionalFormatting>
  <conditionalFormatting sqref="D2912:L2912">
    <cfRule type="cellIs" priority="831" operator="lessThan" dxfId="0">
      <formula>0</formula>
    </cfRule>
  </conditionalFormatting>
  <conditionalFormatting sqref="M2915">
    <cfRule type="cellIs" priority="832" operator="equal" dxfId="0">
      <formula>"PEDIR YA (atrasado)"</formula>
    </cfRule>
  </conditionalFormatting>
  <conditionalFormatting sqref="D2919:L2919">
    <cfRule type="cellIs" priority="833" operator="lessThan" dxfId="0">
      <formula>0</formula>
    </cfRule>
  </conditionalFormatting>
  <conditionalFormatting sqref="M2922">
    <cfRule type="cellIs" priority="834" operator="equal" dxfId="0">
      <formula>"PEDIR YA (atrasado)"</formula>
    </cfRule>
  </conditionalFormatting>
  <conditionalFormatting sqref="D2926:L2926">
    <cfRule type="cellIs" priority="835" operator="lessThan" dxfId="0">
      <formula>0</formula>
    </cfRule>
  </conditionalFormatting>
  <conditionalFormatting sqref="M2929">
    <cfRule type="cellIs" priority="836" operator="equal" dxfId="0">
      <formula>"PEDIR YA (atrasado)"</formula>
    </cfRule>
  </conditionalFormatting>
  <conditionalFormatting sqref="D2933:L2933">
    <cfRule type="cellIs" priority="837" operator="lessThan" dxfId="0">
      <formula>0</formula>
    </cfRule>
  </conditionalFormatting>
  <conditionalFormatting sqref="M2936">
    <cfRule type="cellIs" priority="838" operator="equal" dxfId="0">
      <formula>"PEDIR YA (atrasado)"</formula>
    </cfRule>
  </conditionalFormatting>
  <conditionalFormatting sqref="D2940:L2940">
    <cfRule type="cellIs" priority="839" operator="lessThan" dxfId="0">
      <formula>0</formula>
    </cfRule>
  </conditionalFormatting>
  <conditionalFormatting sqref="M2943">
    <cfRule type="cellIs" priority="840" operator="equal" dxfId="0">
      <formula>"PEDIR YA (atrasado)"</formula>
    </cfRule>
  </conditionalFormatting>
  <conditionalFormatting sqref="D2947:L2947">
    <cfRule type="cellIs" priority="841" operator="lessThan" dxfId="0">
      <formula>0</formula>
    </cfRule>
  </conditionalFormatting>
  <conditionalFormatting sqref="M2950">
    <cfRule type="cellIs" priority="842" operator="equal" dxfId="0">
      <formula>"PEDIR YA (atrasado)"</formula>
    </cfRule>
  </conditionalFormatting>
  <conditionalFormatting sqref="D2954:L2954">
    <cfRule type="cellIs" priority="843" operator="lessThan" dxfId="0">
      <formula>0</formula>
    </cfRule>
  </conditionalFormatting>
  <conditionalFormatting sqref="M2957">
    <cfRule type="cellIs" priority="844" operator="equal" dxfId="0">
      <formula>"PEDIR YA (atrasado)"</formula>
    </cfRule>
  </conditionalFormatting>
  <conditionalFormatting sqref="D2961:L2961">
    <cfRule type="cellIs" priority="845" operator="lessThan" dxfId="0">
      <formula>0</formula>
    </cfRule>
  </conditionalFormatting>
  <conditionalFormatting sqref="M2964">
    <cfRule type="cellIs" priority="846" operator="equal" dxfId="0">
      <formula>"PEDIR YA (atrasado)"</formula>
    </cfRule>
  </conditionalFormatting>
  <conditionalFormatting sqref="D2968:L2968">
    <cfRule type="cellIs" priority="847" operator="lessThan" dxfId="0">
      <formula>0</formula>
    </cfRule>
  </conditionalFormatting>
  <conditionalFormatting sqref="M2971">
    <cfRule type="cellIs" priority="848" operator="equal" dxfId="0">
      <formula>"PEDIR YA (atrasado)"</formula>
    </cfRule>
  </conditionalFormatting>
  <conditionalFormatting sqref="D2975:L2975">
    <cfRule type="cellIs" priority="849" operator="lessThan" dxfId="0">
      <formula>0</formula>
    </cfRule>
  </conditionalFormatting>
  <conditionalFormatting sqref="M2978">
    <cfRule type="cellIs" priority="850" operator="equal" dxfId="0">
      <formula>"PEDIR YA (atrasado)"</formula>
    </cfRule>
  </conditionalFormatting>
  <conditionalFormatting sqref="D2982:L2982">
    <cfRule type="cellIs" priority="851" operator="lessThan" dxfId="0">
      <formula>0</formula>
    </cfRule>
  </conditionalFormatting>
  <conditionalFormatting sqref="M2985">
    <cfRule type="cellIs" priority="852" operator="equal" dxfId="0">
      <formula>"PEDIR YA (atrasado)"</formula>
    </cfRule>
  </conditionalFormatting>
  <conditionalFormatting sqref="D2989:L2989">
    <cfRule type="cellIs" priority="853" operator="lessThan" dxfId="0">
      <formula>0</formula>
    </cfRule>
  </conditionalFormatting>
  <conditionalFormatting sqref="M2992">
    <cfRule type="cellIs" priority="854" operator="equal" dxfId="0">
      <formula>"PEDIR YA (atrasado)"</formula>
    </cfRule>
  </conditionalFormatting>
  <conditionalFormatting sqref="D2996:L2996">
    <cfRule type="cellIs" priority="855" operator="lessThan" dxfId="0">
      <formula>0</formula>
    </cfRule>
  </conditionalFormatting>
  <conditionalFormatting sqref="M2999">
    <cfRule type="cellIs" priority="856" operator="equal" dxfId="0">
      <formula>"PEDIR YA (atrasado)"</formula>
    </cfRule>
  </conditionalFormatting>
  <conditionalFormatting sqref="D3003:L3003">
    <cfRule type="cellIs" priority="857" operator="lessThan" dxfId="0">
      <formula>0</formula>
    </cfRule>
  </conditionalFormatting>
  <conditionalFormatting sqref="M3006">
    <cfRule type="cellIs" priority="858" operator="equal" dxfId="0">
      <formula>"PEDIR YA (atrasado)"</formula>
    </cfRule>
  </conditionalFormatting>
  <conditionalFormatting sqref="D3010:L3010">
    <cfRule type="cellIs" priority="859" operator="lessThan" dxfId="0">
      <formula>0</formula>
    </cfRule>
  </conditionalFormatting>
  <conditionalFormatting sqref="M3013">
    <cfRule type="cellIs" priority="860" operator="equal" dxfId="0">
      <formula>"PEDIR YA (atrasado)"</formula>
    </cfRule>
  </conditionalFormatting>
  <conditionalFormatting sqref="D3017:L3017">
    <cfRule type="cellIs" priority="861" operator="lessThan" dxfId="0">
      <formula>0</formula>
    </cfRule>
  </conditionalFormatting>
  <conditionalFormatting sqref="M3020">
    <cfRule type="cellIs" priority="862" operator="equal" dxfId="0">
      <formula>"PEDIR YA (atrasado)"</formula>
    </cfRule>
  </conditionalFormatting>
  <conditionalFormatting sqref="D3024:L3024">
    <cfRule type="cellIs" priority="863" operator="lessThan" dxfId="0">
      <formula>0</formula>
    </cfRule>
  </conditionalFormatting>
  <conditionalFormatting sqref="M3027">
    <cfRule type="cellIs" priority="864" operator="equal" dxfId="0">
      <formula>"PEDIR YA (atrasado)"</formula>
    </cfRule>
  </conditionalFormatting>
  <conditionalFormatting sqref="D3031:L3031">
    <cfRule type="cellIs" priority="865" operator="lessThan" dxfId="0">
      <formula>0</formula>
    </cfRule>
  </conditionalFormatting>
  <conditionalFormatting sqref="M3034">
    <cfRule type="cellIs" priority="866" operator="equal" dxfId="0">
      <formula>"PEDIR YA (atrasado)"</formula>
    </cfRule>
  </conditionalFormatting>
  <conditionalFormatting sqref="D3038:L3038">
    <cfRule type="cellIs" priority="867" operator="lessThan" dxfId="0">
      <formula>0</formula>
    </cfRule>
  </conditionalFormatting>
  <conditionalFormatting sqref="M3041">
    <cfRule type="cellIs" priority="868" operator="equal" dxfId="0">
      <formula>"PEDIR YA (atrasado)"</formula>
    </cfRule>
  </conditionalFormatting>
  <conditionalFormatting sqref="D3045:L3045">
    <cfRule type="cellIs" priority="869" operator="lessThan" dxfId="0">
      <formula>0</formula>
    </cfRule>
  </conditionalFormatting>
  <conditionalFormatting sqref="M3048">
    <cfRule type="cellIs" priority="870" operator="equal" dxfId="0">
      <formula>"PEDIR YA (atrasado)"</formula>
    </cfRule>
  </conditionalFormatting>
  <conditionalFormatting sqref="D3052:L3052">
    <cfRule type="cellIs" priority="871" operator="lessThan" dxfId="0">
      <formula>0</formula>
    </cfRule>
  </conditionalFormatting>
  <conditionalFormatting sqref="M3055">
    <cfRule type="cellIs" priority="872" operator="equal" dxfId="0">
      <formula>"PEDIR YA (atrasado)"</formula>
    </cfRule>
  </conditionalFormatting>
  <conditionalFormatting sqref="D3059:L3059">
    <cfRule type="cellIs" priority="873" operator="lessThan" dxfId="0">
      <formula>0</formula>
    </cfRule>
  </conditionalFormatting>
  <conditionalFormatting sqref="M3062">
    <cfRule type="cellIs" priority="874" operator="equal" dxfId="0">
      <formula>"PEDIR YA (atrasado)"</formula>
    </cfRule>
  </conditionalFormatting>
  <conditionalFormatting sqref="D3066:L3066">
    <cfRule type="cellIs" priority="875" operator="lessThan" dxfId="0">
      <formula>0</formula>
    </cfRule>
  </conditionalFormatting>
  <conditionalFormatting sqref="M3069">
    <cfRule type="cellIs" priority="876" operator="equal" dxfId="0">
      <formula>"PEDIR YA (atrasado)"</formula>
    </cfRule>
  </conditionalFormatting>
  <conditionalFormatting sqref="D3073:L3073">
    <cfRule type="cellIs" priority="877" operator="lessThan" dxfId="0">
      <formula>0</formula>
    </cfRule>
  </conditionalFormatting>
  <conditionalFormatting sqref="M3076">
    <cfRule type="cellIs" priority="878" operator="equal" dxfId="0">
      <formula>"PEDIR YA (atrasado)"</formula>
    </cfRule>
  </conditionalFormatting>
  <conditionalFormatting sqref="D3080:L3080">
    <cfRule type="cellIs" priority="879" operator="lessThan" dxfId="0">
      <formula>0</formula>
    </cfRule>
  </conditionalFormatting>
  <conditionalFormatting sqref="M3083">
    <cfRule type="cellIs" priority="880" operator="equal" dxfId="0">
      <formula>"PEDIR YA (atrasado)"</formula>
    </cfRule>
  </conditionalFormatting>
  <conditionalFormatting sqref="D3087:L3087">
    <cfRule type="cellIs" priority="881" operator="lessThan" dxfId="0">
      <formula>0</formula>
    </cfRule>
  </conditionalFormatting>
  <conditionalFormatting sqref="M3090">
    <cfRule type="cellIs" priority="882" operator="equal" dxfId="0">
      <formula>"PEDIR YA (atrasado)"</formula>
    </cfRule>
  </conditionalFormatting>
  <conditionalFormatting sqref="D3094:L3094">
    <cfRule type="cellIs" priority="883" operator="lessThan" dxfId="0">
      <formula>0</formula>
    </cfRule>
  </conditionalFormatting>
  <conditionalFormatting sqref="M3097">
    <cfRule type="cellIs" priority="884" operator="equal" dxfId="0">
      <formula>"PEDIR YA (atrasado)"</formula>
    </cfRule>
  </conditionalFormatting>
  <conditionalFormatting sqref="D3101:L3101">
    <cfRule type="cellIs" priority="885" operator="lessThan" dxfId="0">
      <formula>0</formula>
    </cfRule>
  </conditionalFormatting>
  <conditionalFormatting sqref="M3104">
    <cfRule type="cellIs" priority="886" operator="equal" dxfId="0">
      <formula>"PEDIR YA (atrasado)"</formula>
    </cfRule>
  </conditionalFormatting>
  <conditionalFormatting sqref="D3108:L3108">
    <cfRule type="cellIs" priority="887" operator="lessThan" dxfId="0">
      <formula>0</formula>
    </cfRule>
  </conditionalFormatting>
  <conditionalFormatting sqref="M3111">
    <cfRule type="cellIs" priority="888" operator="equal" dxfId="0">
      <formula>"PEDIR YA (atrasado)"</formula>
    </cfRule>
  </conditionalFormatting>
  <conditionalFormatting sqref="D3115:L3115">
    <cfRule type="cellIs" priority="889" operator="lessThan" dxfId="0">
      <formula>0</formula>
    </cfRule>
  </conditionalFormatting>
  <conditionalFormatting sqref="M3118">
    <cfRule type="cellIs" priority="890" operator="equal" dxfId="0">
      <formula>"PEDIR YA (atrasado)"</formula>
    </cfRule>
  </conditionalFormatting>
  <conditionalFormatting sqref="D3122:L3122">
    <cfRule type="cellIs" priority="891" operator="lessThan" dxfId="0">
      <formula>0</formula>
    </cfRule>
  </conditionalFormatting>
  <conditionalFormatting sqref="M3125">
    <cfRule type="cellIs" priority="892" operator="equal" dxfId="0">
      <formula>"PEDIR YA (atrasado)"</formula>
    </cfRule>
  </conditionalFormatting>
  <conditionalFormatting sqref="D3129:L3129">
    <cfRule type="cellIs" priority="893" operator="lessThan" dxfId="0">
      <formula>0</formula>
    </cfRule>
  </conditionalFormatting>
  <conditionalFormatting sqref="M3132">
    <cfRule type="cellIs" priority="894" operator="equal" dxfId="0">
      <formula>"PEDIR YA (atrasado)"</formula>
    </cfRule>
  </conditionalFormatting>
  <conditionalFormatting sqref="D3136:L3136">
    <cfRule type="cellIs" priority="895" operator="lessThan" dxfId="0">
      <formula>0</formula>
    </cfRule>
  </conditionalFormatting>
  <conditionalFormatting sqref="M3139">
    <cfRule type="cellIs" priority="896" operator="equal" dxfId="0">
      <formula>"PEDIR YA (atrasado)"</formula>
    </cfRule>
  </conditionalFormatting>
  <conditionalFormatting sqref="D3143:L3143">
    <cfRule type="cellIs" priority="897" operator="lessThan" dxfId="0">
      <formula>0</formula>
    </cfRule>
  </conditionalFormatting>
  <conditionalFormatting sqref="M3146">
    <cfRule type="cellIs" priority="898" operator="equal" dxfId="0">
      <formula>"PEDIR YA (atrasado)"</formula>
    </cfRule>
  </conditionalFormatting>
  <conditionalFormatting sqref="D3150:L3150">
    <cfRule type="cellIs" priority="899" operator="lessThan" dxfId="0">
      <formula>0</formula>
    </cfRule>
  </conditionalFormatting>
  <conditionalFormatting sqref="M3153">
    <cfRule type="cellIs" priority="900" operator="equal" dxfId="0">
      <formula>"PEDIR YA (atrasado)"</formula>
    </cfRule>
  </conditionalFormatting>
  <conditionalFormatting sqref="D3157:L3157">
    <cfRule type="cellIs" priority="901" operator="lessThan" dxfId="0">
      <formula>0</formula>
    </cfRule>
  </conditionalFormatting>
  <conditionalFormatting sqref="M3160">
    <cfRule type="cellIs" priority="902" operator="equal" dxfId="0">
      <formula>"PEDIR YA (atrasado)"</formula>
    </cfRule>
  </conditionalFormatting>
  <conditionalFormatting sqref="D3164:L3164">
    <cfRule type="cellIs" priority="903" operator="lessThan" dxfId="0">
      <formula>0</formula>
    </cfRule>
  </conditionalFormatting>
  <conditionalFormatting sqref="M3167">
    <cfRule type="cellIs" priority="904" operator="equal" dxfId="0">
      <formula>"PEDIR YA (atrasado)"</formula>
    </cfRule>
  </conditionalFormatting>
  <conditionalFormatting sqref="D3171:L3171">
    <cfRule type="cellIs" priority="905" operator="lessThan" dxfId="0">
      <formula>0</formula>
    </cfRule>
  </conditionalFormatting>
  <conditionalFormatting sqref="M3174">
    <cfRule type="cellIs" priority="906" operator="equal" dxfId="0">
      <formula>"PEDIR YA (atrasado)"</formula>
    </cfRule>
  </conditionalFormatting>
  <conditionalFormatting sqref="D3178:L3178">
    <cfRule type="cellIs" priority="907" operator="lessThan" dxfId="0">
      <formula>0</formula>
    </cfRule>
  </conditionalFormatting>
  <conditionalFormatting sqref="M3181">
    <cfRule type="cellIs" priority="908" operator="equal" dxfId="0">
      <formula>"PEDIR YA (atrasado)"</formula>
    </cfRule>
  </conditionalFormatting>
  <conditionalFormatting sqref="D3185:L3185">
    <cfRule type="cellIs" priority="909" operator="lessThan" dxfId="0">
      <formula>0</formula>
    </cfRule>
  </conditionalFormatting>
  <conditionalFormatting sqref="M3188">
    <cfRule type="cellIs" priority="910" operator="equal" dxfId="0">
      <formula>"PEDIR YA (atrasado)"</formula>
    </cfRule>
  </conditionalFormatting>
  <conditionalFormatting sqref="D3192:L3192">
    <cfRule type="cellIs" priority="911" operator="lessThan" dxfId="0">
      <formula>0</formula>
    </cfRule>
  </conditionalFormatting>
  <conditionalFormatting sqref="M3195">
    <cfRule type="cellIs" priority="912" operator="equal" dxfId="0">
      <formula>"PEDIR YA (atrasado)"</formula>
    </cfRule>
  </conditionalFormatting>
  <conditionalFormatting sqref="D3199:L3199">
    <cfRule type="cellIs" priority="913" operator="lessThan" dxfId="0">
      <formula>0</formula>
    </cfRule>
  </conditionalFormatting>
  <conditionalFormatting sqref="M3202">
    <cfRule type="cellIs" priority="914" operator="equal" dxfId="0">
      <formula>"PEDIR YA (atrasado)"</formula>
    </cfRule>
  </conditionalFormatting>
  <conditionalFormatting sqref="D3206:L3206">
    <cfRule type="cellIs" priority="915" operator="lessThan" dxfId="0">
      <formula>0</formula>
    </cfRule>
  </conditionalFormatting>
  <conditionalFormatting sqref="M3209">
    <cfRule type="cellIs" priority="916" operator="equal" dxfId="0">
      <formula>"PEDIR YA (atrasado)"</formula>
    </cfRule>
  </conditionalFormatting>
  <conditionalFormatting sqref="D3213:L3213">
    <cfRule type="cellIs" priority="917" operator="lessThan" dxfId="0">
      <formula>0</formula>
    </cfRule>
  </conditionalFormatting>
  <conditionalFormatting sqref="M3216">
    <cfRule type="cellIs" priority="918" operator="equal" dxfId="0">
      <formula>"PEDIR YA (atrasado)"</formula>
    </cfRule>
  </conditionalFormatting>
  <conditionalFormatting sqref="D3220:L3220">
    <cfRule type="cellIs" priority="919" operator="lessThan" dxfId="0">
      <formula>0</formula>
    </cfRule>
  </conditionalFormatting>
  <conditionalFormatting sqref="M3223">
    <cfRule type="cellIs" priority="920" operator="equal" dxfId="0">
      <formula>"PEDIR YA (atrasado)"</formula>
    </cfRule>
  </conditionalFormatting>
  <conditionalFormatting sqref="D3227:L3227">
    <cfRule type="cellIs" priority="921" operator="lessThan" dxfId="0">
      <formula>0</formula>
    </cfRule>
  </conditionalFormatting>
  <conditionalFormatting sqref="M3230">
    <cfRule type="cellIs" priority="922" operator="equal" dxfId="0">
      <formula>"PEDIR YA (atrasado)"</formula>
    </cfRule>
  </conditionalFormatting>
  <conditionalFormatting sqref="D3234:L3234">
    <cfRule type="cellIs" priority="923" operator="lessThan" dxfId="0">
      <formula>0</formula>
    </cfRule>
  </conditionalFormatting>
  <conditionalFormatting sqref="M3237">
    <cfRule type="cellIs" priority="924" operator="equal" dxfId="0">
      <formula>"PEDIR YA (atrasado)"</formula>
    </cfRule>
  </conditionalFormatting>
  <conditionalFormatting sqref="D3241:L3241">
    <cfRule type="cellIs" priority="925" operator="lessThan" dxfId="0">
      <formula>0</formula>
    </cfRule>
  </conditionalFormatting>
  <conditionalFormatting sqref="M3244">
    <cfRule type="cellIs" priority="926" operator="equal" dxfId="0">
      <formula>"PEDIR YA (atrasado)"</formula>
    </cfRule>
  </conditionalFormatting>
  <conditionalFormatting sqref="D3248:L3248">
    <cfRule type="cellIs" priority="927" operator="lessThan" dxfId="0">
      <formula>0</formula>
    </cfRule>
  </conditionalFormatting>
  <conditionalFormatting sqref="M3251">
    <cfRule type="cellIs" priority="928" operator="equal" dxfId="0">
      <formula>"PEDIR YA (atrasado)"</formula>
    </cfRule>
  </conditionalFormatting>
  <conditionalFormatting sqref="D3255:L3255">
    <cfRule type="cellIs" priority="929" operator="lessThan" dxfId="0">
      <formula>0</formula>
    </cfRule>
  </conditionalFormatting>
  <conditionalFormatting sqref="M3258">
    <cfRule type="cellIs" priority="930" operator="equal" dxfId="0">
      <formula>"PEDIR YA (atrasado)"</formula>
    </cfRule>
  </conditionalFormatting>
  <conditionalFormatting sqref="D3262:L3262">
    <cfRule type="cellIs" priority="931" operator="lessThan" dxfId="0">
      <formula>0</formula>
    </cfRule>
  </conditionalFormatting>
  <conditionalFormatting sqref="M3265">
    <cfRule type="cellIs" priority="932" operator="equal" dxfId="0">
      <formula>"PEDIR YA (atrasado)"</formula>
    </cfRule>
  </conditionalFormatting>
  <conditionalFormatting sqref="D3269:L3269">
    <cfRule type="cellIs" priority="933" operator="lessThan" dxfId="0">
      <formula>0</formula>
    </cfRule>
  </conditionalFormatting>
  <conditionalFormatting sqref="M3272">
    <cfRule type="cellIs" priority="934" operator="equal" dxfId="0">
      <formula>"PEDIR YA (atrasado)"</formula>
    </cfRule>
  </conditionalFormatting>
  <conditionalFormatting sqref="D3276:L3276">
    <cfRule type="cellIs" priority="935" operator="lessThan" dxfId="0">
      <formula>0</formula>
    </cfRule>
  </conditionalFormatting>
  <conditionalFormatting sqref="M3279">
    <cfRule type="cellIs" priority="936" operator="equal" dxfId="0">
      <formula>"PEDIR YA (atrasado)"</formula>
    </cfRule>
  </conditionalFormatting>
  <conditionalFormatting sqref="D3283:L3283">
    <cfRule type="cellIs" priority="937" operator="lessThan" dxfId="0">
      <formula>0</formula>
    </cfRule>
  </conditionalFormatting>
  <conditionalFormatting sqref="M3286">
    <cfRule type="cellIs" priority="938" operator="equal" dxfId="0">
      <formula>"PEDIR YA (atrasado)"</formula>
    </cfRule>
  </conditionalFormatting>
  <conditionalFormatting sqref="D3290:L3290">
    <cfRule type="cellIs" priority="939" operator="lessThan" dxfId="0">
      <formula>0</formula>
    </cfRule>
  </conditionalFormatting>
  <conditionalFormatting sqref="M3293">
    <cfRule type="cellIs" priority="940" operator="equal" dxfId="0">
      <formula>"PEDIR YA (atrasado)"</formula>
    </cfRule>
  </conditionalFormatting>
  <conditionalFormatting sqref="D3297:L3297">
    <cfRule type="cellIs" priority="941" operator="lessThan" dxfId="0">
      <formula>0</formula>
    </cfRule>
  </conditionalFormatting>
  <conditionalFormatting sqref="M3300">
    <cfRule type="cellIs" priority="942" operator="equal" dxfId="0">
      <formula>"PEDIR YA (atrasado)"</formula>
    </cfRule>
  </conditionalFormatting>
  <conditionalFormatting sqref="D3304:L3304">
    <cfRule type="cellIs" priority="943" operator="lessThan" dxfId="0">
      <formula>0</formula>
    </cfRule>
  </conditionalFormatting>
  <conditionalFormatting sqref="M3307">
    <cfRule type="cellIs" priority="944" operator="equal" dxfId="0">
      <formula>"PEDIR YA (atrasado)"</formula>
    </cfRule>
  </conditionalFormatting>
  <conditionalFormatting sqref="D3311:L3311">
    <cfRule type="cellIs" priority="945" operator="lessThan" dxfId="0">
      <formula>0</formula>
    </cfRule>
  </conditionalFormatting>
  <conditionalFormatting sqref="M3314">
    <cfRule type="cellIs" priority="946" operator="equal" dxfId="0">
      <formula>"PEDIR YA (atrasado)"</formula>
    </cfRule>
  </conditionalFormatting>
  <conditionalFormatting sqref="D3318:L3318">
    <cfRule type="cellIs" priority="947" operator="lessThan" dxfId="0">
      <formula>0</formula>
    </cfRule>
  </conditionalFormatting>
  <conditionalFormatting sqref="M3321">
    <cfRule type="cellIs" priority="948" operator="equal" dxfId="0">
      <formula>"PEDIR YA (atrasado)"</formula>
    </cfRule>
  </conditionalFormatting>
  <conditionalFormatting sqref="D3325:L3325">
    <cfRule type="cellIs" priority="949" operator="lessThan" dxfId="0">
      <formula>0</formula>
    </cfRule>
  </conditionalFormatting>
  <conditionalFormatting sqref="M3328">
    <cfRule type="cellIs" priority="950" operator="equal" dxfId="0">
      <formula>"PEDIR YA (atrasado)"</formula>
    </cfRule>
  </conditionalFormatting>
  <conditionalFormatting sqref="D3332:L3332">
    <cfRule type="cellIs" priority="951" operator="lessThan" dxfId="0">
      <formula>0</formula>
    </cfRule>
  </conditionalFormatting>
  <conditionalFormatting sqref="M3335">
    <cfRule type="cellIs" priority="952" operator="equal" dxfId="0">
      <formula>"PEDIR YA (atrasado)"</formula>
    </cfRule>
  </conditionalFormatting>
  <conditionalFormatting sqref="D3339:L3339">
    <cfRule type="cellIs" priority="953" operator="lessThan" dxfId="0">
      <formula>0</formula>
    </cfRule>
  </conditionalFormatting>
  <conditionalFormatting sqref="M3342">
    <cfRule type="cellIs" priority="954" operator="equal" dxfId="0">
      <formula>"PEDIR YA (atrasado)"</formula>
    </cfRule>
  </conditionalFormatting>
  <conditionalFormatting sqref="D3346:L3346">
    <cfRule type="cellIs" priority="955" operator="lessThan" dxfId="0">
      <formula>0</formula>
    </cfRule>
  </conditionalFormatting>
  <conditionalFormatting sqref="M3349">
    <cfRule type="cellIs" priority="956" operator="equal" dxfId="0">
      <formula>"PEDIR YA (atrasado)"</formula>
    </cfRule>
  </conditionalFormatting>
  <conditionalFormatting sqref="D3353:L3353">
    <cfRule type="cellIs" priority="957" operator="lessThan" dxfId="0">
      <formula>0</formula>
    </cfRule>
  </conditionalFormatting>
  <conditionalFormatting sqref="M3356">
    <cfRule type="cellIs" priority="958" operator="equal" dxfId="0">
      <formula>"PEDIR YA (atrasado)"</formula>
    </cfRule>
  </conditionalFormatting>
  <conditionalFormatting sqref="D3360:L3360">
    <cfRule type="cellIs" priority="959" operator="lessThan" dxfId="0">
      <formula>0</formula>
    </cfRule>
  </conditionalFormatting>
  <conditionalFormatting sqref="M3363">
    <cfRule type="cellIs" priority="960" operator="equal" dxfId="0">
      <formula>"PEDIR YA (atrasado)"</formula>
    </cfRule>
  </conditionalFormatting>
  <conditionalFormatting sqref="D3367:L3367">
    <cfRule type="cellIs" priority="961" operator="lessThan" dxfId="0">
      <formula>0</formula>
    </cfRule>
  </conditionalFormatting>
  <conditionalFormatting sqref="M3370">
    <cfRule type="cellIs" priority="962" operator="equal" dxfId="0">
      <formula>"PEDIR YA (atrasado)"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2EFDA"/>
    <outlinePr summaryBelow="1" summaryRight="1"/>
    <pageSetUpPr/>
  </sheetPr>
  <dimension ref="A1:O48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4" customWidth="1" min="14" max="14"/>
    <col width="20" customWidth="1" min="15" max="15"/>
  </cols>
  <sheetData>
    <row r="1" ht="26" customHeight="1">
      <c r="A1" s="1" t="inlineStr">
        <is>
          <t>RESULTADO — Que pedir, cuanto y en que semana</t>
        </is>
      </c>
    </row>
    <row r="2" ht="18" customHeight="1">
      <c r="A2" s="2" t="inlineStr">
        <is>
          <t>Filtra la columna 'Total a pedir' por mayor que cero para quedarte solo con lo que hay que comprar.</t>
        </is>
      </c>
    </row>
    <row r="3">
      <c r="E3" s="59">
        <f>Plan!E$3</f>
        <v/>
      </c>
      <c r="F3" s="59">
        <f>Plan!F$3</f>
        <v/>
      </c>
      <c r="G3" s="59">
        <f>Plan!G$3</f>
        <v/>
      </c>
      <c r="H3" s="59">
        <f>Plan!H$3</f>
        <v/>
      </c>
      <c r="I3" s="59">
        <f>Plan!I$3</f>
        <v/>
      </c>
      <c r="J3" s="59">
        <f>Plan!J$3</f>
        <v/>
      </c>
      <c r="K3" s="59">
        <f>Plan!K$3</f>
        <v/>
      </c>
      <c r="L3" s="59">
        <f>Plan!L$3</f>
        <v/>
      </c>
    </row>
    <row r="4" ht="32" customHeight="1">
      <c r="A4" s="6" t="inlineStr">
        <is>
          <t>Codigo</t>
        </is>
      </c>
      <c r="B4" s="6" t="inlineStr">
        <is>
          <t>Producto</t>
        </is>
      </c>
      <c r="C4" s="6" t="inlineStr">
        <is>
          <t>Unidad</t>
        </is>
      </c>
      <c r="D4" s="6" t="inlineStr">
        <is>
          <t>Precio (S/)</t>
        </is>
      </c>
      <c r="E4" s="6" t="inlineStr">
        <is>
          <t>Sem 1</t>
        </is>
      </c>
      <c r="F4" s="6" t="inlineStr">
        <is>
          <t>Sem 2</t>
        </is>
      </c>
      <c r="G4" s="6" t="inlineStr">
        <is>
          <t>Sem 3</t>
        </is>
      </c>
      <c r="H4" s="6" t="inlineStr">
        <is>
          <t>Sem 4</t>
        </is>
      </c>
      <c r="I4" s="6" t="inlineStr">
        <is>
          <t>Sem 5</t>
        </is>
      </c>
      <c r="J4" s="6" t="inlineStr">
        <is>
          <t>Sem 6</t>
        </is>
      </c>
      <c r="K4" s="6" t="inlineStr">
        <is>
          <t>Sem 7</t>
        </is>
      </c>
      <c r="L4" s="6" t="inlineStr">
        <is>
          <t>Sem 8</t>
        </is>
      </c>
      <c r="M4" s="6" t="inlineStr">
        <is>
          <t>Total a pedir</t>
        </is>
      </c>
      <c r="N4" s="6" t="inlineStr">
        <is>
          <t>Total S/</t>
        </is>
      </c>
      <c r="O4" s="6" t="inlineStr">
        <is>
          <t>Alerta</t>
        </is>
      </c>
    </row>
    <row r="5">
      <c r="A5" s="73">
        <f>IF(Materiales!$A$4="","",Materiales!$A$4)</f>
        <v/>
      </c>
      <c r="B5" s="60">
        <f>IF(Materiales!$B$4="","",Materiales!$B$4)</f>
        <v/>
      </c>
      <c r="C5" s="73">
        <f>IF(Materiales!$C$4="","",Materiales!$C$4)</f>
        <v/>
      </c>
      <c r="D5" s="74">
        <f>IF(Materiales!$D$4="","",Materiales!$D$4)</f>
        <v/>
      </c>
      <c r="E5" s="75">
        <f>IF($A5="","",MRP!E10)</f>
        <v/>
      </c>
      <c r="F5" s="75">
        <f>IF($A5="","",MRP!F10)</f>
        <v/>
      </c>
      <c r="G5" s="75">
        <f>IF($A5="","",MRP!G10)</f>
        <v/>
      </c>
      <c r="H5" s="75">
        <f>IF($A5="","",MRP!H10)</f>
        <v/>
      </c>
      <c r="I5" s="75">
        <f>IF($A5="","",MRP!I10)</f>
        <v/>
      </c>
      <c r="J5" s="75">
        <f>IF($A5="","",MRP!J10)</f>
        <v/>
      </c>
      <c r="K5" s="75">
        <f>IF($A5="","",MRP!K10)</f>
        <v/>
      </c>
      <c r="L5" s="75">
        <f>IF($A5="","",MRP!L10)</f>
        <v/>
      </c>
      <c r="M5" s="76">
        <f>IF($A5="","",SUM(E5:L5))</f>
        <v/>
      </c>
      <c r="N5" s="77">
        <f>IF(ISNUMBER(D5),M5*D5,"")</f>
        <v/>
      </c>
      <c r="O5" s="78">
        <f>MRP!M10</f>
        <v/>
      </c>
    </row>
    <row r="6">
      <c r="A6" s="73">
        <f>IF(Materiales!$A$5="","",Materiales!$A$5)</f>
        <v/>
      </c>
      <c r="B6" s="60">
        <f>IF(Materiales!$B$5="","",Materiales!$B$5)</f>
        <v/>
      </c>
      <c r="C6" s="73">
        <f>IF(Materiales!$C$5="","",Materiales!$C$5)</f>
        <v/>
      </c>
      <c r="D6" s="74">
        <f>IF(Materiales!$D$5="","",Materiales!$D$5)</f>
        <v/>
      </c>
      <c r="E6" s="75">
        <f>IF($A6="","",MRP!E17)</f>
        <v/>
      </c>
      <c r="F6" s="75">
        <f>IF($A6="","",MRP!F17)</f>
        <v/>
      </c>
      <c r="G6" s="75">
        <f>IF($A6="","",MRP!G17)</f>
        <v/>
      </c>
      <c r="H6" s="75">
        <f>IF($A6="","",MRP!H17)</f>
        <v/>
      </c>
      <c r="I6" s="75">
        <f>IF($A6="","",MRP!I17)</f>
        <v/>
      </c>
      <c r="J6" s="75">
        <f>IF($A6="","",MRP!J17)</f>
        <v/>
      </c>
      <c r="K6" s="75">
        <f>IF($A6="","",MRP!K17)</f>
        <v/>
      </c>
      <c r="L6" s="75">
        <f>IF($A6="","",MRP!L17)</f>
        <v/>
      </c>
      <c r="M6" s="76">
        <f>IF($A6="","",SUM(E6:L6))</f>
        <v/>
      </c>
      <c r="N6" s="77">
        <f>IF(ISNUMBER(D6),M6*D6,"")</f>
        <v/>
      </c>
      <c r="O6" s="78">
        <f>MRP!M17</f>
        <v/>
      </c>
    </row>
    <row r="7">
      <c r="A7" s="73">
        <f>IF(Materiales!$A$6="","",Materiales!$A$6)</f>
        <v/>
      </c>
      <c r="B7" s="60">
        <f>IF(Materiales!$B$6="","",Materiales!$B$6)</f>
        <v/>
      </c>
      <c r="C7" s="73">
        <f>IF(Materiales!$C$6="","",Materiales!$C$6)</f>
        <v/>
      </c>
      <c r="D7" s="74">
        <f>IF(Materiales!$D$6="","",Materiales!$D$6)</f>
        <v/>
      </c>
      <c r="E7" s="75">
        <f>IF($A7="","",MRP!E24)</f>
        <v/>
      </c>
      <c r="F7" s="75">
        <f>IF($A7="","",MRP!F24)</f>
        <v/>
      </c>
      <c r="G7" s="75">
        <f>IF($A7="","",MRP!G24)</f>
        <v/>
      </c>
      <c r="H7" s="75">
        <f>IF($A7="","",MRP!H24)</f>
        <v/>
      </c>
      <c r="I7" s="75">
        <f>IF($A7="","",MRP!I24)</f>
        <v/>
      </c>
      <c r="J7" s="75">
        <f>IF($A7="","",MRP!J24)</f>
        <v/>
      </c>
      <c r="K7" s="75">
        <f>IF($A7="","",MRP!K24)</f>
        <v/>
      </c>
      <c r="L7" s="75">
        <f>IF($A7="","",MRP!L24)</f>
        <v/>
      </c>
      <c r="M7" s="76">
        <f>IF($A7="","",SUM(E7:L7))</f>
        <v/>
      </c>
      <c r="N7" s="77">
        <f>IF(ISNUMBER(D7),M7*D7,"")</f>
        <v/>
      </c>
      <c r="O7" s="78">
        <f>MRP!M24</f>
        <v/>
      </c>
    </row>
    <row r="8">
      <c r="A8" s="73">
        <f>IF(Materiales!$A$7="","",Materiales!$A$7)</f>
        <v/>
      </c>
      <c r="B8" s="60">
        <f>IF(Materiales!$B$7="","",Materiales!$B$7)</f>
        <v/>
      </c>
      <c r="C8" s="73">
        <f>IF(Materiales!$C$7="","",Materiales!$C$7)</f>
        <v/>
      </c>
      <c r="D8" s="74">
        <f>IF(Materiales!$D$7="","",Materiales!$D$7)</f>
        <v/>
      </c>
      <c r="E8" s="75">
        <f>IF($A8="","",MRP!E31)</f>
        <v/>
      </c>
      <c r="F8" s="75">
        <f>IF($A8="","",MRP!F31)</f>
        <v/>
      </c>
      <c r="G8" s="75">
        <f>IF($A8="","",MRP!G31)</f>
        <v/>
      </c>
      <c r="H8" s="75">
        <f>IF($A8="","",MRP!H31)</f>
        <v/>
      </c>
      <c r="I8" s="75">
        <f>IF($A8="","",MRP!I31)</f>
        <v/>
      </c>
      <c r="J8" s="75">
        <f>IF($A8="","",MRP!J31)</f>
        <v/>
      </c>
      <c r="K8" s="75">
        <f>IF($A8="","",MRP!K31)</f>
        <v/>
      </c>
      <c r="L8" s="75">
        <f>IF($A8="","",MRP!L31)</f>
        <v/>
      </c>
      <c r="M8" s="76">
        <f>IF($A8="","",SUM(E8:L8))</f>
        <v/>
      </c>
      <c r="N8" s="77">
        <f>IF(ISNUMBER(D8),M8*D8,"")</f>
        <v/>
      </c>
      <c r="O8" s="78">
        <f>MRP!M31</f>
        <v/>
      </c>
    </row>
    <row r="9">
      <c r="A9" s="73">
        <f>IF(Materiales!$A$8="","",Materiales!$A$8)</f>
        <v/>
      </c>
      <c r="B9" s="60">
        <f>IF(Materiales!$B$8="","",Materiales!$B$8)</f>
        <v/>
      </c>
      <c r="C9" s="73">
        <f>IF(Materiales!$C$8="","",Materiales!$C$8)</f>
        <v/>
      </c>
      <c r="D9" s="74">
        <f>IF(Materiales!$D$8="","",Materiales!$D$8)</f>
        <v/>
      </c>
      <c r="E9" s="75">
        <f>IF($A9="","",MRP!E38)</f>
        <v/>
      </c>
      <c r="F9" s="75">
        <f>IF($A9="","",MRP!F38)</f>
        <v/>
      </c>
      <c r="G9" s="75">
        <f>IF($A9="","",MRP!G38)</f>
        <v/>
      </c>
      <c r="H9" s="75">
        <f>IF($A9="","",MRP!H38)</f>
        <v/>
      </c>
      <c r="I9" s="75">
        <f>IF($A9="","",MRP!I38)</f>
        <v/>
      </c>
      <c r="J9" s="75">
        <f>IF($A9="","",MRP!J38)</f>
        <v/>
      </c>
      <c r="K9" s="75">
        <f>IF($A9="","",MRP!K38)</f>
        <v/>
      </c>
      <c r="L9" s="75">
        <f>IF($A9="","",MRP!L38)</f>
        <v/>
      </c>
      <c r="M9" s="76">
        <f>IF($A9="","",SUM(E9:L9))</f>
        <v/>
      </c>
      <c r="N9" s="77">
        <f>IF(ISNUMBER(D9),M9*D9,"")</f>
        <v/>
      </c>
      <c r="O9" s="78">
        <f>MRP!M38</f>
        <v/>
      </c>
    </row>
    <row r="10">
      <c r="A10" s="73">
        <f>IF(Materiales!$A$9="","",Materiales!$A$9)</f>
        <v/>
      </c>
      <c r="B10" s="60">
        <f>IF(Materiales!$B$9="","",Materiales!$B$9)</f>
        <v/>
      </c>
      <c r="C10" s="73">
        <f>IF(Materiales!$C$9="","",Materiales!$C$9)</f>
        <v/>
      </c>
      <c r="D10" s="74">
        <f>IF(Materiales!$D$9="","",Materiales!$D$9)</f>
        <v/>
      </c>
      <c r="E10" s="75">
        <f>IF($A10="","",MRP!E45)</f>
        <v/>
      </c>
      <c r="F10" s="75">
        <f>IF($A10="","",MRP!F45)</f>
        <v/>
      </c>
      <c r="G10" s="75">
        <f>IF($A10="","",MRP!G45)</f>
        <v/>
      </c>
      <c r="H10" s="75">
        <f>IF($A10="","",MRP!H45)</f>
        <v/>
      </c>
      <c r="I10" s="75">
        <f>IF($A10="","",MRP!I45)</f>
        <v/>
      </c>
      <c r="J10" s="75">
        <f>IF($A10="","",MRP!J45)</f>
        <v/>
      </c>
      <c r="K10" s="75">
        <f>IF($A10="","",MRP!K45)</f>
        <v/>
      </c>
      <c r="L10" s="75">
        <f>IF($A10="","",MRP!L45)</f>
        <v/>
      </c>
      <c r="M10" s="76">
        <f>IF($A10="","",SUM(E10:L10))</f>
        <v/>
      </c>
      <c r="N10" s="77">
        <f>IF(ISNUMBER(D10),M10*D10,"")</f>
        <v/>
      </c>
      <c r="O10" s="78">
        <f>MRP!M45</f>
        <v/>
      </c>
    </row>
    <row r="11">
      <c r="A11" s="73">
        <f>IF(Materiales!$A$10="","",Materiales!$A$10)</f>
        <v/>
      </c>
      <c r="B11" s="60">
        <f>IF(Materiales!$B$10="","",Materiales!$B$10)</f>
        <v/>
      </c>
      <c r="C11" s="73">
        <f>IF(Materiales!$C$10="","",Materiales!$C$10)</f>
        <v/>
      </c>
      <c r="D11" s="74">
        <f>IF(Materiales!$D$10="","",Materiales!$D$10)</f>
        <v/>
      </c>
      <c r="E11" s="75">
        <f>IF($A11="","",MRP!E52)</f>
        <v/>
      </c>
      <c r="F11" s="75">
        <f>IF($A11="","",MRP!F52)</f>
        <v/>
      </c>
      <c r="G11" s="75">
        <f>IF($A11="","",MRP!G52)</f>
        <v/>
      </c>
      <c r="H11" s="75">
        <f>IF($A11="","",MRP!H52)</f>
        <v/>
      </c>
      <c r="I11" s="75">
        <f>IF($A11="","",MRP!I52)</f>
        <v/>
      </c>
      <c r="J11" s="75">
        <f>IF($A11="","",MRP!J52)</f>
        <v/>
      </c>
      <c r="K11" s="75">
        <f>IF($A11="","",MRP!K52)</f>
        <v/>
      </c>
      <c r="L11" s="75">
        <f>IF($A11="","",MRP!L52)</f>
        <v/>
      </c>
      <c r="M11" s="76">
        <f>IF($A11="","",SUM(E11:L11))</f>
        <v/>
      </c>
      <c r="N11" s="77">
        <f>IF(ISNUMBER(D11),M11*D11,"")</f>
        <v/>
      </c>
      <c r="O11" s="78">
        <f>MRP!M52</f>
        <v/>
      </c>
    </row>
    <row r="12">
      <c r="A12" s="73">
        <f>IF(Materiales!$A$11="","",Materiales!$A$11)</f>
        <v/>
      </c>
      <c r="B12" s="60">
        <f>IF(Materiales!$B$11="","",Materiales!$B$11)</f>
        <v/>
      </c>
      <c r="C12" s="73">
        <f>IF(Materiales!$C$11="","",Materiales!$C$11)</f>
        <v/>
      </c>
      <c r="D12" s="74">
        <f>IF(Materiales!$D$11="","",Materiales!$D$11)</f>
        <v/>
      </c>
      <c r="E12" s="75">
        <f>IF($A12="","",MRP!E59)</f>
        <v/>
      </c>
      <c r="F12" s="75">
        <f>IF($A12="","",MRP!F59)</f>
        <v/>
      </c>
      <c r="G12" s="75">
        <f>IF($A12="","",MRP!G59)</f>
        <v/>
      </c>
      <c r="H12" s="75">
        <f>IF($A12="","",MRP!H59)</f>
        <v/>
      </c>
      <c r="I12" s="75">
        <f>IF($A12="","",MRP!I59)</f>
        <v/>
      </c>
      <c r="J12" s="75">
        <f>IF($A12="","",MRP!J59)</f>
        <v/>
      </c>
      <c r="K12" s="75">
        <f>IF($A12="","",MRP!K59)</f>
        <v/>
      </c>
      <c r="L12" s="75">
        <f>IF($A12="","",MRP!L59)</f>
        <v/>
      </c>
      <c r="M12" s="76">
        <f>IF($A12="","",SUM(E12:L12))</f>
        <v/>
      </c>
      <c r="N12" s="77">
        <f>IF(ISNUMBER(D12),M12*D12,"")</f>
        <v/>
      </c>
      <c r="O12" s="78">
        <f>MRP!M59</f>
        <v/>
      </c>
    </row>
    <row r="13">
      <c r="A13" s="73">
        <f>IF(Materiales!$A$12="","",Materiales!$A$12)</f>
        <v/>
      </c>
      <c r="B13" s="60">
        <f>IF(Materiales!$B$12="","",Materiales!$B$12)</f>
        <v/>
      </c>
      <c r="C13" s="73">
        <f>IF(Materiales!$C$12="","",Materiales!$C$12)</f>
        <v/>
      </c>
      <c r="D13" s="74">
        <f>IF(Materiales!$D$12="","",Materiales!$D$12)</f>
        <v/>
      </c>
      <c r="E13" s="75">
        <f>IF($A13="","",MRP!E66)</f>
        <v/>
      </c>
      <c r="F13" s="75">
        <f>IF($A13="","",MRP!F66)</f>
        <v/>
      </c>
      <c r="G13" s="75">
        <f>IF($A13="","",MRP!G66)</f>
        <v/>
      </c>
      <c r="H13" s="75">
        <f>IF($A13="","",MRP!H66)</f>
        <v/>
      </c>
      <c r="I13" s="75">
        <f>IF($A13="","",MRP!I66)</f>
        <v/>
      </c>
      <c r="J13" s="75">
        <f>IF($A13="","",MRP!J66)</f>
        <v/>
      </c>
      <c r="K13" s="75">
        <f>IF($A13="","",MRP!K66)</f>
        <v/>
      </c>
      <c r="L13" s="75">
        <f>IF($A13="","",MRP!L66)</f>
        <v/>
      </c>
      <c r="M13" s="76">
        <f>IF($A13="","",SUM(E13:L13))</f>
        <v/>
      </c>
      <c r="N13" s="77">
        <f>IF(ISNUMBER(D13),M13*D13,"")</f>
        <v/>
      </c>
      <c r="O13" s="78">
        <f>MRP!M66</f>
        <v/>
      </c>
    </row>
    <row r="14">
      <c r="A14" s="73">
        <f>IF(Materiales!$A$13="","",Materiales!$A$13)</f>
        <v/>
      </c>
      <c r="B14" s="60">
        <f>IF(Materiales!$B$13="","",Materiales!$B$13)</f>
        <v/>
      </c>
      <c r="C14" s="73">
        <f>IF(Materiales!$C$13="","",Materiales!$C$13)</f>
        <v/>
      </c>
      <c r="D14" s="74">
        <f>IF(Materiales!$D$13="","",Materiales!$D$13)</f>
        <v/>
      </c>
      <c r="E14" s="75">
        <f>IF($A14="","",MRP!E73)</f>
        <v/>
      </c>
      <c r="F14" s="75">
        <f>IF($A14="","",MRP!F73)</f>
        <v/>
      </c>
      <c r="G14" s="75">
        <f>IF($A14="","",MRP!G73)</f>
        <v/>
      </c>
      <c r="H14" s="75">
        <f>IF($A14="","",MRP!H73)</f>
        <v/>
      </c>
      <c r="I14" s="75">
        <f>IF($A14="","",MRP!I73)</f>
        <v/>
      </c>
      <c r="J14" s="75">
        <f>IF($A14="","",MRP!J73)</f>
        <v/>
      </c>
      <c r="K14" s="75">
        <f>IF($A14="","",MRP!K73)</f>
        <v/>
      </c>
      <c r="L14" s="75">
        <f>IF($A14="","",MRP!L73)</f>
        <v/>
      </c>
      <c r="M14" s="76">
        <f>IF($A14="","",SUM(E14:L14))</f>
        <v/>
      </c>
      <c r="N14" s="77">
        <f>IF(ISNUMBER(D14),M14*D14,"")</f>
        <v/>
      </c>
      <c r="O14" s="78">
        <f>MRP!M73</f>
        <v/>
      </c>
    </row>
    <row r="15">
      <c r="A15" s="73">
        <f>IF(Materiales!$A$14="","",Materiales!$A$14)</f>
        <v/>
      </c>
      <c r="B15" s="60">
        <f>IF(Materiales!$B$14="","",Materiales!$B$14)</f>
        <v/>
      </c>
      <c r="C15" s="73">
        <f>IF(Materiales!$C$14="","",Materiales!$C$14)</f>
        <v/>
      </c>
      <c r="D15" s="74">
        <f>IF(Materiales!$D$14="","",Materiales!$D$14)</f>
        <v/>
      </c>
      <c r="E15" s="75">
        <f>IF($A15="","",MRP!E80)</f>
        <v/>
      </c>
      <c r="F15" s="75">
        <f>IF($A15="","",MRP!F80)</f>
        <v/>
      </c>
      <c r="G15" s="75">
        <f>IF($A15="","",MRP!G80)</f>
        <v/>
      </c>
      <c r="H15" s="75">
        <f>IF($A15="","",MRP!H80)</f>
        <v/>
      </c>
      <c r="I15" s="75">
        <f>IF($A15="","",MRP!I80)</f>
        <v/>
      </c>
      <c r="J15" s="75">
        <f>IF($A15="","",MRP!J80)</f>
        <v/>
      </c>
      <c r="K15" s="75">
        <f>IF($A15="","",MRP!K80)</f>
        <v/>
      </c>
      <c r="L15" s="75">
        <f>IF($A15="","",MRP!L80)</f>
        <v/>
      </c>
      <c r="M15" s="76">
        <f>IF($A15="","",SUM(E15:L15))</f>
        <v/>
      </c>
      <c r="N15" s="77">
        <f>IF(ISNUMBER(D15),M15*D15,"")</f>
        <v/>
      </c>
      <c r="O15" s="78">
        <f>MRP!M80</f>
        <v/>
      </c>
    </row>
    <row r="16">
      <c r="A16" s="73">
        <f>IF(Materiales!$A$15="","",Materiales!$A$15)</f>
        <v/>
      </c>
      <c r="B16" s="60">
        <f>IF(Materiales!$B$15="","",Materiales!$B$15)</f>
        <v/>
      </c>
      <c r="C16" s="73">
        <f>IF(Materiales!$C$15="","",Materiales!$C$15)</f>
        <v/>
      </c>
      <c r="D16" s="74">
        <f>IF(Materiales!$D$15="","",Materiales!$D$15)</f>
        <v/>
      </c>
      <c r="E16" s="75">
        <f>IF($A16="","",MRP!E87)</f>
        <v/>
      </c>
      <c r="F16" s="75">
        <f>IF($A16="","",MRP!F87)</f>
        <v/>
      </c>
      <c r="G16" s="75">
        <f>IF($A16="","",MRP!G87)</f>
        <v/>
      </c>
      <c r="H16" s="75">
        <f>IF($A16="","",MRP!H87)</f>
        <v/>
      </c>
      <c r="I16" s="75">
        <f>IF($A16="","",MRP!I87)</f>
        <v/>
      </c>
      <c r="J16" s="75">
        <f>IF($A16="","",MRP!J87)</f>
        <v/>
      </c>
      <c r="K16" s="75">
        <f>IF($A16="","",MRP!K87)</f>
        <v/>
      </c>
      <c r="L16" s="75">
        <f>IF($A16="","",MRP!L87)</f>
        <v/>
      </c>
      <c r="M16" s="76">
        <f>IF($A16="","",SUM(E16:L16))</f>
        <v/>
      </c>
      <c r="N16" s="77">
        <f>IF(ISNUMBER(D16),M16*D16,"")</f>
        <v/>
      </c>
      <c r="O16" s="78">
        <f>MRP!M87</f>
        <v/>
      </c>
    </row>
    <row r="17">
      <c r="A17" s="73">
        <f>IF(Materiales!$A$16="","",Materiales!$A$16)</f>
        <v/>
      </c>
      <c r="B17" s="60">
        <f>IF(Materiales!$B$16="","",Materiales!$B$16)</f>
        <v/>
      </c>
      <c r="C17" s="73">
        <f>IF(Materiales!$C$16="","",Materiales!$C$16)</f>
        <v/>
      </c>
      <c r="D17" s="74">
        <f>IF(Materiales!$D$16="","",Materiales!$D$16)</f>
        <v/>
      </c>
      <c r="E17" s="75">
        <f>IF($A17="","",MRP!E94)</f>
        <v/>
      </c>
      <c r="F17" s="75">
        <f>IF($A17="","",MRP!F94)</f>
        <v/>
      </c>
      <c r="G17" s="75">
        <f>IF($A17="","",MRP!G94)</f>
        <v/>
      </c>
      <c r="H17" s="75">
        <f>IF($A17="","",MRP!H94)</f>
        <v/>
      </c>
      <c r="I17" s="75">
        <f>IF($A17="","",MRP!I94)</f>
        <v/>
      </c>
      <c r="J17" s="75">
        <f>IF($A17="","",MRP!J94)</f>
        <v/>
      </c>
      <c r="K17" s="75">
        <f>IF($A17="","",MRP!K94)</f>
        <v/>
      </c>
      <c r="L17" s="75">
        <f>IF($A17="","",MRP!L94)</f>
        <v/>
      </c>
      <c r="M17" s="76">
        <f>IF($A17="","",SUM(E17:L17))</f>
        <v/>
      </c>
      <c r="N17" s="77">
        <f>IF(ISNUMBER(D17),M17*D17,"")</f>
        <v/>
      </c>
      <c r="O17" s="78">
        <f>MRP!M94</f>
        <v/>
      </c>
    </row>
    <row r="18">
      <c r="A18" s="73">
        <f>IF(Materiales!$A$17="","",Materiales!$A$17)</f>
        <v/>
      </c>
      <c r="B18" s="60">
        <f>IF(Materiales!$B$17="","",Materiales!$B$17)</f>
        <v/>
      </c>
      <c r="C18" s="73">
        <f>IF(Materiales!$C$17="","",Materiales!$C$17)</f>
        <v/>
      </c>
      <c r="D18" s="74">
        <f>IF(Materiales!$D$17="","",Materiales!$D$17)</f>
        <v/>
      </c>
      <c r="E18" s="75">
        <f>IF($A18="","",MRP!E101)</f>
        <v/>
      </c>
      <c r="F18" s="75">
        <f>IF($A18="","",MRP!F101)</f>
        <v/>
      </c>
      <c r="G18" s="75">
        <f>IF($A18="","",MRP!G101)</f>
        <v/>
      </c>
      <c r="H18" s="75">
        <f>IF($A18="","",MRP!H101)</f>
        <v/>
      </c>
      <c r="I18" s="75">
        <f>IF($A18="","",MRP!I101)</f>
        <v/>
      </c>
      <c r="J18" s="75">
        <f>IF($A18="","",MRP!J101)</f>
        <v/>
      </c>
      <c r="K18" s="75">
        <f>IF($A18="","",MRP!K101)</f>
        <v/>
      </c>
      <c r="L18" s="75">
        <f>IF($A18="","",MRP!L101)</f>
        <v/>
      </c>
      <c r="M18" s="76">
        <f>IF($A18="","",SUM(E18:L18))</f>
        <v/>
      </c>
      <c r="N18" s="77">
        <f>IF(ISNUMBER(D18),M18*D18,"")</f>
        <v/>
      </c>
      <c r="O18" s="78">
        <f>MRP!M101</f>
        <v/>
      </c>
    </row>
    <row r="19">
      <c r="A19" s="73">
        <f>IF(Materiales!$A$18="","",Materiales!$A$18)</f>
        <v/>
      </c>
      <c r="B19" s="60">
        <f>IF(Materiales!$B$18="","",Materiales!$B$18)</f>
        <v/>
      </c>
      <c r="C19" s="73">
        <f>IF(Materiales!$C$18="","",Materiales!$C$18)</f>
        <v/>
      </c>
      <c r="D19" s="74">
        <f>IF(Materiales!$D$18="","",Materiales!$D$18)</f>
        <v/>
      </c>
      <c r="E19" s="75">
        <f>IF($A19="","",MRP!E108)</f>
        <v/>
      </c>
      <c r="F19" s="75">
        <f>IF($A19="","",MRP!F108)</f>
        <v/>
      </c>
      <c r="G19" s="75">
        <f>IF($A19="","",MRP!G108)</f>
        <v/>
      </c>
      <c r="H19" s="75">
        <f>IF($A19="","",MRP!H108)</f>
        <v/>
      </c>
      <c r="I19" s="75">
        <f>IF($A19="","",MRP!I108)</f>
        <v/>
      </c>
      <c r="J19" s="75">
        <f>IF($A19="","",MRP!J108)</f>
        <v/>
      </c>
      <c r="K19" s="75">
        <f>IF($A19="","",MRP!K108)</f>
        <v/>
      </c>
      <c r="L19" s="75">
        <f>IF($A19="","",MRP!L108)</f>
        <v/>
      </c>
      <c r="M19" s="76">
        <f>IF($A19="","",SUM(E19:L19))</f>
        <v/>
      </c>
      <c r="N19" s="77">
        <f>IF(ISNUMBER(D19),M19*D19,"")</f>
        <v/>
      </c>
      <c r="O19" s="78">
        <f>MRP!M108</f>
        <v/>
      </c>
    </row>
    <row r="20">
      <c r="A20" s="73">
        <f>IF(Materiales!$A$19="","",Materiales!$A$19)</f>
        <v/>
      </c>
      <c r="B20" s="60">
        <f>IF(Materiales!$B$19="","",Materiales!$B$19)</f>
        <v/>
      </c>
      <c r="C20" s="73">
        <f>IF(Materiales!$C$19="","",Materiales!$C$19)</f>
        <v/>
      </c>
      <c r="D20" s="74">
        <f>IF(Materiales!$D$19="","",Materiales!$D$19)</f>
        <v/>
      </c>
      <c r="E20" s="75">
        <f>IF($A20="","",MRP!E115)</f>
        <v/>
      </c>
      <c r="F20" s="75">
        <f>IF($A20="","",MRP!F115)</f>
        <v/>
      </c>
      <c r="G20" s="75">
        <f>IF($A20="","",MRP!G115)</f>
        <v/>
      </c>
      <c r="H20" s="75">
        <f>IF($A20="","",MRP!H115)</f>
        <v/>
      </c>
      <c r="I20" s="75">
        <f>IF($A20="","",MRP!I115)</f>
        <v/>
      </c>
      <c r="J20" s="75">
        <f>IF($A20="","",MRP!J115)</f>
        <v/>
      </c>
      <c r="K20" s="75">
        <f>IF($A20="","",MRP!K115)</f>
        <v/>
      </c>
      <c r="L20" s="75">
        <f>IF($A20="","",MRP!L115)</f>
        <v/>
      </c>
      <c r="M20" s="76">
        <f>IF($A20="","",SUM(E20:L20))</f>
        <v/>
      </c>
      <c r="N20" s="77">
        <f>IF(ISNUMBER(D20),M20*D20,"")</f>
        <v/>
      </c>
      <c r="O20" s="78">
        <f>MRP!M115</f>
        <v/>
      </c>
    </row>
    <row r="21">
      <c r="A21" s="73">
        <f>IF(Materiales!$A$20="","",Materiales!$A$20)</f>
        <v/>
      </c>
      <c r="B21" s="60">
        <f>IF(Materiales!$B$20="","",Materiales!$B$20)</f>
        <v/>
      </c>
      <c r="C21" s="73">
        <f>IF(Materiales!$C$20="","",Materiales!$C$20)</f>
        <v/>
      </c>
      <c r="D21" s="74">
        <f>IF(Materiales!$D$20="","",Materiales!$D$20)</f>
        <v/>
      </c>
      <c r="E21" s="75">
        <f>IF($A21="","",MRP!E122)</f>
        <v/>
      </c>
      <c r="F21" s="75">
        <f>IF($A21="","",MRP!F122)</f>
        <v/>
      </c>
      <c r="G21" s="75">
        <f>IF($A21="","",MRP!G122)</f>
        <v/>
      </c>
      <c r="H21" s="75">
        <f>IF($A21="","",MRP!H122)</f>
        <v/>
      </c>
      <c r="I21" s="75">
        <f>IF($A21="","",MRP!I122)</f>
        <v/>
      </c>
      <c r="J21" s="75">
        <f>IF($A21="","",MRP!J122)</f>
        <v/>
      </c>
      <c r="K21" s="75">
        <f>IF($A21="","",MRP!K122)</f>
        <v/>
      </c>
      <c r="L21" s="75">
        <f>IF($A21="","",MRP!L122)</f>
        <v/>
      </c>
      <c r="M21" s="76">
        <f>IF($A21="","",SUM(E21:L21))</f>
        <v/>
      </c>
      <c r="N21" s="77">
        <f>IF(ISNUMBER(D21),M21*D21,"")</f>
        <v/>
      </c>
      <c r="O21" s="78">
        <f>MRP!M122</f>
        <v/>
      </c>
    </row>
    <row r="22">
      <c r="A22" s="73">
        <f>IF(Materiales!$A$21="","",Materiales!$A$21)</f>
        <v/>
      </c>
      <c r="B22" s="60">
        <f>IF(Materiales!$B$21="","",Materiales!$B$21)</f>
        <v/>
      </c>
      <c r="C22" s="73">
        <f>IF(Materiales!$C$21="","",Materiales!$C$21)</f>
        <v/>
      </c>
      <c r="D22" s="74">
        <f>IF(Materiales!$D$21="","",Materiales!$D$21)</f>
        <v/>
      </c>
      <c r="E22" s="75">
        <f>IF($A22="","",MRP!E129)</f>
        <v/>
      </c>
      <c r="F22" s="75">
        <f>IF($A22="","",MRP!F129)</f>
        <v/>
      </c>
      <c r="G22" s="75">
        <f>IF($A22="","",MRP!G129)</f>
        <v/>
      </c>
      <c r="H22" s="75">
        <f>IF($A22="","",MRP!H129)</f>
        <v/>
      </c>
      <c r="I22" s="75">
        <f>IF($A22="","",MRP!I129)</f>
        <v/>
      </c>
      <c r="J22" s="75">
        <f>IF($A22="","",MRP!J129)</f>
        <v/>
      </c>
      <c r="K22" s="75">
        <f>IF($A22="","",MRP!K129)</f>
        <v/>
      </c>
      <c r="L22" s="75">
        <f>IF($A22="","",MRP!L129)</f>
        <v/>
      </c>
      <c r="M22" s="76">
        <f>IF($A22="","",SUM(E22:L22))</f>
        <v/>
      </c>
      <c r="N22" s="77">
        <f>IF(ISNUMBER(D22),M22*D22,"")</f>
        <v/>
      </c>
      <c r="O22" s="78">
        <f>MRP!M129</f>
        <v/>
      </c>
    </row>
    <row r="23">
      <c r="A23" s="73">
        <f>IF(Materiales!$A$22="","",Materiales!$A$22)</f>
        <v/>
      </c>
      <c r="B23" s="60">
        <f>IF(Materiales!$B$22="","",Materiales!$B$22)</f>
        <v/>
      </c>
      <c r="C23" s="73">
        <f>IF(Materiales!$C$22="","",Materiales!$C$22)</f>
        <v/>
      </c>
      <c r="D23" s="74">
        <f>IF(Materiales!$D$22="","",Materiales!$D$22)</f>
        <v/>
      </c>
      <c r="E23" s="75">
        <f>IF($A23="","",MRP!E136)</f>
        <v/>
      </c>
      <c r="F23" s="75">
        <f>IF($A23="","",MRP!F136)</f>
        <v/>
      </c>
      <c r="G23" s="75">
        <f>IF($A23="","",MRP!G136)</f>
        <v/>
      </c>
      <c r="H23" s="75">
        <f>IF($A23="","",MRP!H136)</f>
        <v/>
      </c>
      <c r="I23" s="75">
        <f>IF($A23="","",MRP!I136)</f>
        <v/>
      </c>
      <c r="J23" s="75">
        <f>IF($A23="","",MRP!J136)</f>
        <v/>
      </c>
      <c r="K23" s="75">
        <f>IF($A23="","",MRP!K136)</f>
        <v/>
      </c>
      <c r="L23" s="75">
        <f>IF($A23="","",MRP!L136)</f>
        <v/>
      </c>
      <c r="M23" s="76">
        <f>IF($A23="","",SUM(E23:L23))</f>
        <v/>
      </c>
      <c r="N23" s="77">
        <f>IF(ISNUMBER(D23),M23*D23,"")</f>
        <v/>
      </c>
      <c r="O23" s="78">
        <f>MRP!M136</f>
        <v/>
      </c>
    </row>
    <row r="24">
      <c r="A24" s="73">
        <f>IF(Materiales!$A$23="","",Materiales!$A$23)</f>
        <v/>
      </c>
      <c r="B24" s="60">
        <f>IF(Materiales!$B$23="","",Materiales!$B$23)</f>
        <v/>
      </c>
      <c r="C24" s="73">
        <f>IF(Materiales!$C$23="","",Materiales!$C$23)</f>
        <v/>
      </c>
      <c r="D24" s="74">
        <f>IF(Materiales!$D$23="","",Materiales!$D$23)</f>
        <v/>
      </c>
      <c r="E24" s="75">
        <f>IF($A24="","",MRP!E143)</f>
        <v/>
      </c>
      <c r="F24" s="75">
        <f>IF($A24="","",MRP!F143)</f>
        <v/>
      </c>
      <c r="G24" s="75">
        <f>IF($A24="","",MRP!G143)</f>
        <v/>
      </c>
      <c r="H24" s="75">
        <f>IF($A24="","",MRP!H143)</f>
        <v/>
      </c>
      <c r="I24" s="75">
        <f>IF($A24="","",MRP!I143)</f>
        <v/>
      </c>
      <c r="J24" s="75">
        <f>IF($A24="","",MRP!J143)</f>
        <v/>
      </c>
      <c r="K24" s="75">
        <f>IF($A24="","",MRP!K143)</f>
        <v/>
      </c>
      <c r="L24" s="75">
        <f>IF($A24="","",MRP!L143)</f>
        <v/>
      </c>
      <c r="M24" s="76">
        <f>IF($A24="","",SUM(E24:L24))</f>
        <v/>
      </c>
      <c r="N24" s="77">
        <f>IF(ISNUMBER(D24),M24*D24,"")</f>
        <v/>
      </c>
      <c r="O24" s="78">
        <f>MRP!M143</f>
        <v/>
      </c>
    </row>
    <row r="25">
      <c r="A25" s="73">
        <f>IF(Materiales!$A$24="","",Materiales!$A$24)</f>
        <v/>
      </c>
      <c r="B25" s="60">
        <f>IF(Materiales!$B$24="","",Materiales!$B$24)</f>
        <v/>
      </c>
      <c r="C25" s="73">
        <f>IF(Materiales!$C$24="","",Materiales!$C$24)</f>
        <v/>
      </c>
      <c r="D25" s="74">
        <f>IF(Materiales!$D$24="","",Materiales!$D$24)</f>
        <v/>
      </c>
      <c r="E25" s="75">
        <f>IF($A25="","",MRP!E150)</f>
        <v/>
      </c>
      <c r="F25" s="75">
        <f>IF($A25="","",MRP!F150)</f>
        <v/>
      </c>
      <c r="G25" s="75">
        <f>IF($A25="","",MRP!G150)</f>
        <v/>
      </c>
      <c r="H25" s="75">
        <f>IF($A25="","",MRP!H150)</f>
        <v/>
      </c>
      <c r="I25" s="75">
        <f>IF($A25="","",MRP!I150)</f>
        <v/>
      </c>
      <c r="J25" s="75">
        <f>IF($A25="","",MRP!J150)</f>
        <v/>
      </c>
      <c r="K25" s="75">
        <f>IF($A25="","",MRP!K150)</f>
        <v/>
      </c>
      <c r="L25" s="75">
        <f>IF($A25="","",MRP!L150)</f>
        <v/>
      </c>
      <c r="M25" s="76">
        <f>IF($A25="","",SUM(E25:L25))</f>
        <v/>
      </c>
      <c r="N25" s="77">
        <f>IF(ISNUMBER(D25),M25*D25,"")</f>
        <v/>
      </c>
      <c r="O25" s="78">
        <f>MRP!M150</f>
        <v/>
      </c>
    </row>
    <row r="26">
      <c r="A26" s="73">
        <f>IF(Materiales!$A$25="","",Materiales!$A$25)</f>
        <v/>
      </c>
      <c r="B26" s="60">
        <f>IF(Materiales!$B$25="","",Materiales!$B$25)</f>
        <v/>
      </c>
      <c r="C26" s="73">
        <f>IF(Materiales!$C$25="","",Materiales!$C$25)</f>
        <v/>
      </c>
      <c r="D26" s="74">
        <f>IF(Materiales!$D$25="","",Materiales!$D$25)</f>
        <v/>
      </c>
      <c r="E26" s="75">
        <f>IF($A26="","",MRP!E157)</f>
        <v/>
      </c>
      <c r="F26" s="75">
        <f>IF($A26="","",MRP!F157)</f>
        <v/>
      </c>
      <c r="G26" s="75">
        <f>IF($A26="","",MRP!G157)</f>
        <v/>
      </c>
      <c r="H26" s="75">
        <f>IF($A26="","",MRP!H157)</f>
        <v/>
      </c>
      <c r="I26" s="75">
        <f>IF($A26="","",MRP!I157)</f>
        <v/>
      </c>
      <c r="J26" s="75">
        <f>IF($A26="","",MRP!J157)</f>
        <v/>
      </c>
      <c r="K26" s="75">
        <f>IF($A26="","",MRP!K157)</f>
        <v/>
      </c>
      <c r="L26" s="75">
        <f>IF($A26="","",MRP!L157)</f>
        <v/>
      </c>
      <c r="M26" s="76">
        <f>IF($A26="","",SUM(E26:L26))</f>
        <v/>
      </c>
      <c r="N26" s="77">
        <f>IF(ISNUMBER(D26),M26*D26,"")</f>
        <v/>
      </c>
      <c r="O26" s="78">
        <f>MRP!M157</f>
        <v/>
      </c>
    </row>
    <row r="27">
      <c r="A27" s="73">
        <f>IF(Materiales!$A$26="","",Materiales!$A$26)</f>
        <v/>
      </c>
      <c r="B27" s="60">
        <f>IF(Materiales!$B$26="","",Materiales!$B$26)</f>
        <v/>
      </c>
      <c r="C27" s="73">
        <f>IF(Materiales!$C$26="","",Materiales!$C$26)</f>
        <v/>
      </c>
      <c r="D27" s="74">
        <f>IF(Materiales!$D$26="","",Materiales!$D$26)</f>
        <v/>
      </c>
      <c r="E27" s="75">
        <f>IF($A27="","",MRP!E164)</f>
        <v/>
      </c>
      <c r="F27" s="75">
        <f>IF($A27="","",MRP!F164)</f>
        <v/>
      </c>
      <c r="G27" s="75">
        <f>IF($A27="","",MRP!G164)</f>
        <v/>
      </c>
      <c r="H27" s="75">
        <f>IF($A27="","",MRP!H164)</f>
        <v/>
      </c>
      <c r="I27" s="75">
        <f>IF($A27="","",MRP!I164)</f>
        <v/>
      </c>
      <c r="J27" s="75">
        <f>IF($A27="","",MRP!J164)</f>
        <v/>
      </c>
      <c r="K27" s="75">
        <f>IF($A27="","",MRP!K164)</f>
        <v/>
      </c>
      <c r="L27" s="75">
        <f>IF($A27="","",MRP!L164)</f>
        <v/>
      </c>
      <c r="M27" s="76">
        <f>IF($A27="","",SUM(E27:L27))</f>
        <v/>
      </c>
      <c r="N27" s="77">
        <f>IF(ISNUMBER(D27),M27*D27,"")</f>
        <v/>
      </c>
      <c r="O27" s="78">
        <f>MRP!M164</f>
        <v/>
      </c>
    </row>
    <row r="28">
      <c r="A28" s="73">
        <f>IF(Materiales!$A$27="","",Materiales!$A$27)</f>
        <v/>
      </c>
      <c r="B28" s="60">
        <f>IF(Materiales!$B$27="","",Materiales!$B$27)</f>
        <v/>
      </c>
      <c r="C28" s="73">
        <f>IF(Materiales!$C$27="","",Materiales!$C$27)</f>
        <v/>
      </c>
      <c r="D28" s="74">
        <f>IF(Materiales!$D$27="","",Materiales!$D$27)</f>
        <v/>
      </c>
      <c r="E28" s="75">
        <f>IF($A28="","",MRP!E171)</f>
        <v/>
      </c>
      <c r="F28" s="75">
        <f>IF($A28="","",MRP!F171)</f>
        <v/>
      </c>
      <c r="G28" s="75">
        <f>IF($A28="","",MRP!G171)</f>
        <v/>
      </c>
      <c r="H28" s="75">
        <f>IF($A28="","",MRP!H171)</f>
        <v/>
      </c>
      <c r="I28" s="75">
        <f>IF($A28="","",MRP!I171)</f>
        <v/>
      </c>
      <c r="J28" s="75">
        <f>IF($A28="","",MRP!J171)</f>
        <v/>
      </c>
      <c r="K28" s="75">
        <f>IF($A28="","",MRP!K171)</f>
        <v/>
      </c>
      <c r="L28" s="75">
        <f>IF($A28="","",MRP!L171)</f>
        <v/>
      </c>
      <c r="M28" s="76">
        <f>IF($A28="","",SUM(E28:L28))</f>
        <v/>
      </c>
      <c r="N28" s="77">
        <f>IF(ISNUMBER(D28),M28*D28,"")</f>
        <v/>
      </c>
      <c r="O28" s="78">
        <f>MRP!M171</f>
        <v/>
      </c>
    </row>
    <row r="29">
      <c r="A29" s="73">
        <f>IF(Materiales!$A$28="","",Materiales!$A$28)</f>
        <v/>
      </c>
      <c r="B29" s="60">
        <f>IF(Materiales!$B$28="","",Materiales!$B$28)</f>
        <v/>
      </c>
      <c r="C29" s="73">
        <f>IF(Materiales!$C$28="","",Materiales!$C$28)</f>
        <v/>
      </c>
      <c r="D29" s="74">
        <f>IF(Materiales!$D$28="","",Materiales!$D$28)</f>
        <v/>
      </c>
      <c r="E29" s="75">
        <f>IF($A29="","",MRP!E178)</f>
        <v/>
      </c>
      <c r="F29" s="75">
        <f>IF($A29="","",MRP!F178)</f>
        <v/>
      </c>
      <c r="G29" s="75">
        <f>IF($A29="","",MRP!G178)</f>
        <v/>
      </c>
      <c r="H29" s="75">
        <f>IF($A29="","",MRP!H178)</f>
        <v/>
      </c>
      <c r="I29" s="75">
        <f>IF($A29="","",MRP!I178)</f>
        <v/>
      </c>
      <c r="J29" s="75">
        <f>IF($A29="","",MRP!J178)</f>
        <v/>
      </c>
      <c r="K29" s="75">
        <f>IF($A29="","",MRP!K178)</f>
        <v/>
      </c>
      <c r="L29" s="75">
        <f>IF($A29="","",MRP!L178)</f>
        <v/>
      </c>
      <c r="M29" s="76">
        <f>IF($A29="","",SUM(E29:L29))</f>
        <v/>
      </c>
      <c r="N29" s="77">
        <f>IF(ISNUMBER(D29),M29*D29,"")</f>
        <v/>
      </c>
      <c r="O29" s="78">
        <f>MRP!M178</f>
        <v/>
      </c>
    </row>
    <row r="30">
      <c r="A30" s="73">
        <f>IF(Materiales!$A$29="","",Materiales!$A$29)</f>
        <v/>
      </c>
      <c r="B30" s="60">
        <f>IF(Materiales!$B$29="","",Materiales!$B$29)</f>
        <v/>
      </c>
      <c r="C30" s="73">
        <f>IF(Materiales!$C$29="","",Materiales!$C$29)</f>
        <v/>
      </c>
      <c r="D30" s="74">
        <f>IF(Materiales!$D$29="","",Materiales!$D$29)</f>
        <v/>
      </c>
      <c r="E30" s="75">
        <f>IF($A30="","",MRP!E185)</f>
        <v/>
      </c>
      <c r="F30" s="75">
        <f>IF($A30="","",MRP!F185)</f>
        <v/>
      </c>
      <c r="G30" s="75">
        <f>IF($A30="","",MRP!G185)</f>
        <v/>
      </c>
      <c r="H30" s="75">
        <f>IF($A30="","",MRP!H185)</f>
        <v/>
      </c>
      <c r="I30" s="75">
        <f>IF($A30="","",MRP!I185)</f>
        <v/>
      </c>
      <c r="J30" s="75">
        <f>IF($A30="","",MRP!J185)</f>
        <v/>
      </c>
      <c r="K30" s="75">
        <f>IF($A30="","",MRP!K185)</f>
        <v/>
      </c>
      <c r="L30" s="75">
        <f>IF($A30="","",MRP!L185)</f>
        <v/>
      </c>
      <c r="M30" s="76">
        <f>IF($A30="","",SUM(E30:L30))</f>
        <v/>
      </c>
      <c r="N30" s="77">
        <f>IF(ISNUMBER(D30),M30*D30,"")</f>
        <v/>
      </c>
      <c r="O30" s="78">
        <f>MRP!M185</f>
        <v/>
      </c>
    </row>
    <row r="31">
      <c r="A31" s="73">
        <f>IF(Materiales!$A$30="","",Materiales!$A$30)</f>
        <v/>
      </c>
      <c r="B31" s="60">
        <f>IF(Materiales!$B$30="","",Materiales!$B$30)</f>
        <v/>
      </c>
      <c r="C31" s="73">
        <f>IF(Materiales!$C$30="","",Materiales!$C$30)</f>
        <v/>
      </c>
      <c r="D31" s="74">
        <f>IF(Materiales!$D$30="","",Materiales!$D$30)</f>
        <v/>
      </c>
      <c r="E31" s="75">
        <f>IF($A31="","",MRP!E192)</f>
        <v/>
      </c>
      <c r="F31" s="75">
        <f>IF($A31="","",MRP!F192)</f>
        <v/>
      </c>
      <c r="G31" s="75">
        <f>IF($A31="","",MRP!G192)</f>
        <v/>
      </c>
      <c r="H31" s="75">
        <f>IF($A31="","",MRP!H192)</f>
        <v/>
      </c>
      <c r="I31" s="75">
        <f>IF($A31="","",MRP!I192)</f>
        <v/>
      </c>
      <c r="J31" s="75">
        <f>IF($A31="","",MRP!J192)</f>
        <v/>
      </c>
      <c r="K31" s="75">
        <f>IF($A31="","",MRP!K192)</f>
        <v/>
      </c>
      <c r="L31" s="75">
        <f>IF($A31="","",MRP!L192)</f>
        <v/>
      </c>
      <c r="M31" s="76">
        <f>IF($A31="","",SUM(E31:L31))</f>
        <v/>
      </c>
      <c r="N31" s="77">
        <f>IF(ISNUMBER(D31),M31*D31,"")</f>
        <v/>
      </c>
      <c r="O31" s="78">
        <f>MRP!M192</f>
        <v/>
      </c>
    </row>
    <row r="32">
      <c r="A32" s="73">
        <f>IF(Materiales!$A$31="","",Materiales!$A$31)</f>
        <v/>
      </c>
      <c r="B32" s="60">
        <f>IF(Materiales!$B$31="","",Materiales!$B$31)</f>
        <v/>
      </c>
      <c r="C32" s="73">
        <f>IF(Materiales!$C$31="","",Materiales!$C$31)</f>
        <v/>
      </c>
      <c r="D32" s="74">
        <f>IF(Materiales!$D$31="","",Materiales!$D$31)</f>
        <v/>
      </c>
      <c r="E32" s="75">
        <f>IF($A32="","",MRP!E199)</f>
        <v/>
      </c>
      <c r="F32" s="75">
        <f>IF($A32="","",MRP!F199)</f>
        <v/>
      </c>
      <c r="G32" s="75">
        <f>IF($A32="","",MRP!G199)</f>
        <v/>
      </c>
      <c r="H32" s="75">
        <f>IF($A32="","",MRP!H199)</f>
        <v/>
      </c>
      <c r="I32" s="75">
        <f>IF($A32="","",MRP!I199)</f>
        <v/>
      </c>
      <c r="J32" s="75">
        <f>IF($A32="","",MRP!J199)</f>
        <v/>
      </c>
      <c r="K32" s="75">
        <f>IF($A32="","",MRP!K199)</f>
        <v/>
      </c>
      <c r="L32" s="75">
        <f>IF($A32="","",MRP!L199)</f>
        <v/>
      </c>
      <c r="M32" s="76">
        <f>IF($A32="","",SUM(E32:L32))</f>
        <v/>
      </c>
      <c r="N32" s="77">
        <f>IF(ISNUMBER(D32),M32*D32,"")</f>
        <v/>
      </c>
      <c r="O32" s="78">
        <f>MRP!M199</f>
        <v/>
      </c>
    </row>
    <row r="33">
      <c r="A33" s="73">
        <f>IF(Materiales!$A$32="","",Materiales!$A$32)</f>
        <v/>
      </c>
      <c r="B33" s="60">
        <f>IF(Materiales!$B$32="","",Materiales!$B$32)</f>
        <v/>
      </c>
      <c r="C33" s="73">
        <f>IF(Materiales!$C$32="","",Materiales!$C$32)</f>
        <v/>
      </c>
      <c r="D33" s="74">
        <f>IF(Materiales!$D$32="","",Materiales!$D$32)</f>
        <v/>
      </c>
      <c r="E33" s="75">
        <f>IF($A33="","",MRP!E206)</f>
        <v/>
      </c>
      <c r="F33" s="75">
        <f>IF($A33="","",MRP!F206)</f>
        <v/>
      </c>
      <c r="G33" s="75">
        <f>IF($A33="","",MRP!G206)</f>
        <v/>
      </c>
      <c r="H33" s="75">
        <f>IF($A33="","",MRP!H206)</f>
        <v/>
      </c>
      <c r="I33" s="75">
        <f>IF($A33="","",MRP!I206)</f>
        <v/>
      </c>
      <c r="J33" s="75">
        <f>IF($A33="","",MRP!J206)</f>
        <v/>
      </c>
      <c r="K33" s="75">
        <f>IF($A33="","",MRP!K206)</f>
        <v/>
      </c>
      <c r="L33" s="75">
        <f>IF($A33="","",MRP!L206)</f>
        <v/>
      </c>
      <c r="M33" s="76">
        <f>IF($A33="","",SUM(E33:L33))</f>
        <v/>
      </c>
      <c r="N33" s="77">
        <f>IF(ISNUMBER(D33),M33*D33,"")</f>
        <v/>
      </c>
      <c r="O33" s="78">
        <f>MRP!M206</f>
        <v/>
      </c>
    </row>
    <row r="34">
      <c r="A34" s="73">
        <f>IF(Materiales!$A$33="","",Materiales!$A$33)</f>
        <v/>
      </c>
      <c r="B34" s="60">
        <f>IF(Materiales!$B$33="","",Materiales!$B$33)</f>
        <v/>
      </c>
      <c r="C34" s="73">
        <f>IF(Materiales!$C$33="","",Materiales!$C$33)</f>
        <v/>
      </c>
      <c r="D34" s="74">
        <f>IF(Materiales!$D$33="","",Materiales!$D$33)</f>
        <v/>
      </c>
      <c r="E34" s="75">
        <f>IF($A34="","",MRP!E213)</f>
        <v/>
      </c>
      <c r="F34" s="75">
        <f>IF($A34="","",MRP!F213)</f>
        <v/>
      </c>
      <c r="G34" s="75">
        <f>IF($A34="","",MRP!G213)</f>
        <v/>
      </c>
      <c r="H34" s="75">
        <f>IF($A34="","",MRP!H213)</f>
        <v/>
      </c>
      <c r="I34" s="75">
        <f>IF($A34="","",MRP!I213)</f>
        <v/>
      </c>
      <c r="J34" s="75">
        <f>IF($A34="","",MRP!J213)</f>
        <v/>
      </c>
      <c r="K34" s="75">
        <f>IF($A34="","",MRP!K213)</f>
        <v/>
      </c>
      <c r="L34" s="75">
        <f>IF($A34="","",MRP!L213)</f>
        <v/>
      </c>
      <c r="M34" s="76">
        <f>IF($A34="","",SUM(E34:L34))</f>
        <v/>
      </c>
      <c r="N34" s="77">
        <f>IF(ISNUMBER(D34),M34*D34,"")</f>
        <v/>
      </c>
      <c r="O34" s="78">
        <f>MRP!M213</f>
        <v/>
      </c>
    </row>
    <row r="35">
      <c r="A35" s="73">
        <f>IF(Materiales!$A$34="","",Materiales!$A$34)</f>
        <v/>
      </c>
      <c r="B35" s="60">
        <f>IF(Materiales!$B$34="","",Materiales!$B$34)</f>
        <v/>
      </c>
      <c r="C35" s="73">
        <f>IF(Materiales!$C$34="","",Materiales!$C$34)</f>
        <v/>
      </c>
      <c r="D35" s="74">
        <f>IF(Materiales!$D$34="","",Materiales!$D$34)</f>
        <v/>
      </c>
      <c r="E35" s="75">
        <f>IF($A35="","",MRP!E220)</f>
        <v/>
      </c>
      <c r="F35" s="75">
        <f>IF($A35="","",MRP!F220)</f>
        <v/>
      </c>
      <c r="G35" s="75">
        <f>IF($A35="","",MRP!G220)</f>
        <v/>
      </c>
      <c r="H35" s="75">
        <f>IF($A35="","",MRP!H220)</f>
        <v/>
      </c>
      <c r="I35" s="75">
        <f>IF($A35="","",MRP!I220)</f>
        <v/>
      </c>
      <c r="J35" s="75">
        <f>IF($A35="","",MRP!J220)</f>
        <v/>
      </c>
      <c r="K35" s="75">
        <f>IF($A35="","",MRP!K220)</f>
        <v/>
      </c>
      <c r="L35" s="75">
        <f>IF($A35="","",MRP!L220)</f>
        <v/>
      </c>
      <c r="M35" s="76">
        <f>IF($A35="","",SUM(E35:L35))</f>
        <v/>
      </c>
      <c r="N35" s="77">
        <f>IF(ISNUMBER(D35),M35*D35,"")</f>
        <v/>
      </c>
      <c r="O35" s="78">
        <f>MRP!M220</f>
        <v/>
      </c>
    </row>
    <row r="36">
      <c r="A36" s="73">
        <f>IF(Materiales!$A$35="","",Materiales!$A$35)</f>
        <v/>
      </c>
      <c r="B36" s="60">
        <f>IF(Materiales!$B$35="","",Materiales!$B$35)</f>
        <v/>
      </c>
      <c r="C36" s="73">
        <f>IF(Materiales!$C$35="","",Materiales!$C$35)</f>
        <v/>
      </c>
      <c r="D36" s="74">
        <f>IF(Materiales!$D$35="","",Materiales!$D$35)</f>
        <v/>
      </c>
      <c r="E36" s="75">
        <f>IF($A36="","",MRP!E227)</f>
        <v/>
      </c>
      <c r="F36" s="75">
        <f>IF($A36="","",MRP!F227)</f>
        <v/>
      </c>
      <c r="G36" s="75">
        <f>IF($A36="","",MRP!G227)</f>
        <v/>
      </c>
      <c r="H36" s="75">
        <f>IF($A36="","",MRP!H227)</f>
        <v/>
      </c>
      <c r="I36" s="75">
        <f>IF($A36="","",MRP!I227)</f>
        <v/>
      </c>
      <c r="J36" s="75">
        <f>IF($A36="","",MRP!J227)</f>
        <v/>
      </c>
      <c r="K36" s="75">
        <f>IF($A36="","",MRP!K227)</f>
        <v/>
      </c>
      <c r="L36" s="75">
        <f>IF($A36="","",MRP!L227)</f>
        <v/>
      </c>
      <c r="M36" s="76">
        <f>IF($A36="","",SUM(E36:L36))</f>
        <v/>
      </c>
      <c r="N36" s="77">
        <f>IF(ISNUMBER(D36),M36*D36,"")</f>
        <v/>
      </c>
      <c r="O36" s="78">
        <f>MRP!M227</f>
        <v/>
      </c>
    </row>
    <row r="37">
      <c r="A37" s="73">
        <f>IF(Materiales!$A$36="","",Materiales!$A$36)</f>
        <v/>
      </c>
      <c r="B37" s="60">
        <f>IF(Materiales!$B$36="","",Materiales!$B$36)</f>
        <v/>
      </c>
      <c r="C37" s="73">
        <f>IF(Materiales!$C$36="","",Materiales!$C$36)</f>
        <v/>
      </c>
      <c r="D37" s="74">
        <f>IF(Materiales!$D$36="","",Materiales!$D$36)</f>
        <v/>
      </c>
      <c r="E37" s="75">
        <f>IF($A37="","",MRP!E234)</f>
        <v/>
      </c>
      <c r="F37" s="75">
        <f>IF($A37="","",MRP!F234)</f>
        <v/>
      </c>
      <c r="G37" s="75">
        <f>IF($A37="","",MRP!G234)</f>
        <v/>
      </c>
      <c r="H37" s="75">
        <f>IF($A37="","",MRP!H234)</f>
        <v/>
      </c>
      <c r="I37" s="75">
        <f>IF($A37="","",MRP!I234)</f>
        <v/>
      </c>
      <c r="J37" s="75">
        <f>IF($A37="","",MRP!J234)</f>
        <v/>
      </c>
      <c r="K37" s="75">
        <f>IF($A37="","",MRP!K234)</f>
        <v/>
      </c>
      <c r="L37" s="75">
        <f>IF($A37="","",MRP!L234)</f>
        <v/>
      </c>
      <c r="M37" s="76">
        <f>IF($A37="","",SUM(E37:L37))</f>
        <v/>
      </c>
      <c r="N37" s="77">
        <f>IF(ISNUMBER(D37),M37*D37,"")</f>
        <v/>
      </c>
      <c r="O37" s="78">
        <f>MRP!M234</f>
        <v/>
      </c>
    </row>
    <row r="38">
      <c r="A38" s="73">
        <f>IF(Materiales!$A$37="","",Materiales!$A$37)</f>
        <v/>
      </c>
      <c r="B38" s="60">
        <f>IF(Materiales!$B$37="","",Materiales!$B$37)</f>
        <v/>
      </c>
      <c r="C38" s="73">
        <f>IF(Materiales!$C$37="","",Materiales!$C$37)</f>
        <v/>
      </c>
      <c r="D38" s="74">
        <f>IF(Materiales!$D$37="","",Materiales!$D$37)</f>
        <v/>
      </c>
      <c r="E38" s="75">
        <f>IF($A38="","",MRP!E241)</f>
        <v/>
      </c>
      <c r="F38" s="75">
        <f>IF($A38="","",MRP!F241)</f>
        <v/>
      </c>
      <c r="G38" s="75">
        <f>IF($A38="","",MRP!G241)</f>
        <v/>
      </c>
      <c r="H38" s="75">
        <f>IF($A38="","",MRP!H241)</f>
        <v/>
      </c>
      <c r="I38" s="75">
        <f>IF($A38="","",MRP!I241)</f>
        <v/>
      </c>
      <c r="J38" s="75">
        <f>IF($A38="","",MRP!J241)</f>
        <v/>
      </c>
      <c r="K38" s="75">
        <f>IF($A38="","",MRP!K241)</f>
        <v/>
      </c>
      <c r="L38" s="75">
        <f>IF($A38="","",MRP!L241)</f>
        <v/>
      </c>
      <c r="M38" s="76">
        <f>IF($A38="","",SUM(E38:L38))</f>
        <v/>
      </c>
      <c r="N38" s="77">
        <f>IF(ISNUMBER(D38),M38*D38,"")</f>
        <v/>
      </c>
      <c r="O38" s="78">
        <f>MRP!M241</f>
        <v/>
      </c>
    </row>
    <row r="39">
      <c r="A39" s="73">
        <f>IF(Materiales!$A$38="","",Materiales!$A$38)</f>
        <v/>
      </c>
      <c r="B39" s="60">
        <f>IF(Materiales!$B$38="","",Materiales!$B$38)</f>
        <v/>
      </c>
      <c r="C39" s="73">
        <f>IF(Materiales!$C$38="","",Materiales!$C$38)</f>
        <v/>
      </c>
      <c r="D39" s="74">
        <f>IF(Materiales!$D$38="","",Materiales!$D$38)</f>
        <v/>
      </c>
      <c r="E39" s="75">
        <f>IF($A39="","",MRP!E248)</f>
        <v/>
      </c>
      <c r="F39" s="75">
        <f>IF($A39="","",MRP!F248)</f>
        <v/>
      </c>
      <c r="G39" s="75">
        <f>IF($A39="","",MRP!G248)</f>
        <v/>
      </c>
      <c r="H39" s="75">
        <f>IF($A39="","",MRP!H248)</f>
        <v/>
      </c>
      <c r="I39" s="75">
        <f>IF($A39="","",MRP!I248)</f>
        <v/>
      </c>
      <c r="J39" s="75">
        <f>IF($A39="","",MRP!J248)</f>
        <v/>
      </c>
      <c r="K39" s="75">
        <f>IF($A39="","",MRP!K248)</f>
        <v/>
      </c>
      <c r="L39" s="75">
        <f>IF($A39="","",MRP!L248)</f>
        <v/>
      </c>
      <c r="M39" s="76">
        <f>IF($A39="","",SUM(E39:L39))</f>
        <v/>
      </c>
      <c r="N39" s="77">
        <f>IF(ISNUMBER(D39),M39*D39,"")</f>
        <v/>
      </c>
      <c r="O39" s="78">
        <f>MRP!M248</f>
        <v/>
      </c>
    </row>
    <row r="40">
      <c r="A40" s="73">
        <f>IF(Materiales!$A$39="","",Materiales!$A$39)</f>
        <v/>
      </c>
      <c r="B40" s="60">
        <f>IF(Materiales!$B$39="","",Materiales!$B$39)</f>
        <v/>
      </c>
      <c r="C40" s="73">
        <f>IF(Materiales!$C$39="","",Materiales!$C$39)</f>
        <v/>
      </c>
      <c r="D40" s="74">
        <f>IF(Materiales!$D$39="","",Materiales!$D$39)</f>
        <v/>
      </c>
      <c r="E40" s="75">
        <f>IF($A40="","",MRP!E255)</f>
        <v/>
      </c>
      <c r="F40" s="75">
        <f>IF($A40="","",MRP!F255)</f>
        <v/>
      </c>
      <c r="G40" s="75">
        <f>IF($A40="","",MRP!G255)</f>
        <v/>
      </c>
      <c r="H40" s="75">
        <f>IF($A40="","",MRP!H255)</f>
        <v/>
      </c>
      <c r="I40" s="75">
        <f>IF($A40="","",MRP!I255)</f>
        <v/>
      </c>
      <c r="J40" s="75">
        <f>IF($A40="","",MRP!J255)</f>
        <v/>
      </c>
      <c r="K40" s="75">
        <f>IF($A40="","",MRP!K255)</f>
        <v/>
      </c>
      <c r="L40" s="75">
        <f>IF($A40="","",MRP!L255)</f>
        <v/>
      </c>
      <c r="M40" s="76">
        <f>IF($A40="","",SUM(E40:L40))</f>
        <v/>
      </c>
      <c r="N40" s="77">
        <f>IF(ISNUMBER(D40),M40*D40,"")</f>
        <v/>
      </c>
      <c r="O40" s="78">
        <f>MRP!M255</f>
        <v/>
      </c>
    </row>
    <row r="41">
      <c r="A41" s="73">
        <f>IF(Materiales!$A$40="","",Materiales!$A$40)</f>
        <v/>
      </c>
      <c r="B41" s="60">
        <f>IF(Materiales!$B$40="","",Materiales!$B$40)</f>
        <v/>
      </c>
      <c r="C41" s="73">
        <f>IF(Materiales!$C$40="","",Materiales!$C$40)</f>
        <v/>
      </c>
      <c r="D41" s="74">
        <f>IF(Materiales!$D$40="","",Materiales!$D$40)</f>
        <v/>
      </c>
      <c r="E41" s="75">
        <f>IF($A41="","",MRP!E262)</f>
        <v/>
      </c>
      <c r="F41" s="75">
        <f>IF($A41="","",MRP!F262)</f>
        <v/>
      </c>
      <c r="G41" s="75">
        <f>IF($A41="","",MRP!G262)</f>
        <v/>
      </c>
      <c r="H41" s="75">
        <f>IF($A41="","",MRP!H262)</f>
        <v/>
      </c>
      <c r="I41" s="75">
        <f>IF($A41="","",MRP!I262)</f>
        <v/>
      </c>
      <c r="J41" s="75">
        <f>IF($A41="","",MRP!J262)</f>
        <v/>
      </c>
      <c r="K41" s="75">
        <f>IF($A41="","",MRP!K262)</f>
        <v/>
      </c>
      <c r="L41" s="75">
        <f>IF($A41="","",MRP!L262)</f>
        <v/>
      </c>
      <c r="M41" s="76">
        <f>IF($A41="","",SUM(E41:L41))</f>
        <v/>
      </c>
      <c r="N41" s="77">
        <f>IF(ISNUMBER(D41),M41*D41,"")</f>
        <v/>
      </c>
      <c r="O41" s="78">
        <f>MRP!M262</f>
        <v/>
      </c>
    </row>
    <row r="42">
      <c r="A42" s="73">
        <f>IF(Materiales!$A$41="","",Materiales!$A$41)</f>
        <v/>
      </c>
      <c r="B42" s="60">
        <f>IF(Materiales!$B$41="","",Materiales!$B$41)</f>
        <v/>
      </c>
      <c r="C42" s="73">
        <f>IF(Materiales!$C$41="","",Materiales!$C$41)</f>
        <v/>
      </c>
      <c r="D42" s="74">
        <f>IF(Materiales!$D$41="","",Materiales!$D$41)</f>
        <v/>
      </c>
      <c r="E42" s="75">
        <f>IF($A42="","",MRP!E269)</f>
        <v/>
      </c>
      <c r="F42" s="75">
        <f>IF($A42="","",MRP!F269)</f>
        <v/>
      </c>
      <c r="G42" s="75">
        <f>IF($A42="","",MRP!G269)</f>
        <v/>
      </c>
      <c r="H42" s="75">
        <f>IF($A42="","",MRP!H269)</f>
        <v/>
      </c>
      <c r="I42" s="75">
        <f>IF($A42="","",MRP!I269)</f>
        <v/>
      </c>
      <c r="J42" s="75">
        <f>IF($A42="","",MRP!J269)</f>
        <v/>
      </c>
      <c r="K42" s="75">
        <f>IF($A42="","",MRP!K269)</f>
        <v/>
      </c>
      <c r="L42" s="75">
        <f>IF($A42="","",MRP!L269)</f>
        <v/>
      </c>
      <c r="M42" s="76">
        <f>IF($A42="","",SUM(E42:L42))</f>
        <v/>
      </c>
      <c r="N42" s="77">
        <f>IF(ISNUMBER(D42),M42*D42,"")</f>
        <v/>
      </c>
      <c r="O42" s="78">
        <f>MRP!M269</f>
        <v/>
      </c>
    </row>
    <row r="43">
      <c r="A43" s="73">
        <f>IF(Materiales!$A$42="","",Materiales!$A$42)</f>
        <v/>
      </c>
      <c r="B43" s="60">
        <f>IF(Materiales!$B$42="","",Materiales!$B$42)</f>
        <v/>
      </c>
      <c r="C43" s="73">
        <f>IF(Materiales!$C$42="","",Materiales!$C$42)</f>
        <v/>
      </c>
      <c r="D43" s="74">
        <f>IF(Materiales!$D$42="","",Materiales!$D$42)</f>
        <v/>
      </c>
      <c r="E43" s="75">
        <f>IF($A43="","",MRP!E276)</f>
        <v/>
      </c>
      <c r="F43" s="75">
        <f>IF($A43="","",MRP!F276)</f>
        <v/>
      </c>
      <c r="G43" s="75">
        <f>IF($A43="","",MRP!G276)</f>
        <v/>
      </c>
      <c r="H43" s="75">
        <f>IF($A43="","",MRP!H276)</f>
        <v/>
      </c>
      <c r="I43" s="75">
        <f>IF($A43="","",MRP!I276)</f>
        <v/>
      </c>
      <c r="J43" s="75">
        <f>IF($A43="","",MRP!J276)</f>
        <v/>
      </c>
      <c r="K43" s="75">
        <f>IF($A43="","",MRP!K276)</f>
        <v/>
      </c>
      <c r="L43" s="75">
        <f>IF($A43="","",MRP!L276)</f>
        <v/>
      </c>
      <c r="M43" s="76">
        <f>IF($A43="","",SUM(E43:L43))</f>
        <v/>
      </c>
      <c r="N43" s="77">
        <f>IF(ISNUMBER(D43),M43*D43,"")</f>
        <v/>
      </c>
      <c r="O43" s="78">
        <f>MRP!M276</f>
        <v/>
      </c>
    </row>
    <row r="44">
      <c r="A44" s="73">
        <f>IF(Materiales!$A$43="","",Materiales!$A$43)</f>
        <v/>
      </c>
      <c r="B44" s="60">
        <f>IF(Materiales!$B$43="","",Materiales!$B$43)</f>
        <v/>
      </c>
      <c r="C44" s="73">
        <f>IF(Materiales!$C$43="","",Materiales!$C$43)</f>
        <v/>
      </c>
      <c r="D44" s="74">
        <f>IF(Materiales!$D$43="","",Materiales!$D$43)</f>
        <v/>
      </c>
      <c r="E44" s="75">
        <f>IF($A44="","",MRP!E283)</f>
        <v/>
      </c>
      <c r="F44" s="75">
        <f>IF($A44="","",MRP!F283)</f>
        <v/>
      </c>
      <c r="G44" s="75">
        <f>IF($A44="","",MRP!G283)</f>
        <v/>
      </c>
      <c r="H44" s="75">
        <f>IF($A44="","",MRP!H283)</f>
        <v/>
      </c>
      <c r="I44" s="75">
        <f>IF($A44="","",MRP!I283)</f>
        <v/>
      </c>
      <c r="J44" s="75">
        <f>IF($A44="","",MRP!J283)</f>
        <v/>
      </c>
      <c r="K44" s="75">
        <f>IF($A44="","",MRP!K283)</f>
        <v/>
      </c>
      <c r="L44" s="75">
        <f>IF($A44="","",MRP!L283)</f>
        <v/>
      </c>
      <c r="M44" s="76">
        <f>IF($A44="","",SUM(E44:L44))</f>
        <v/>
      </c>
      <c r="N44" s="77">
        <f>IF(ISNUMBER(D44),M44*D44,"")</f>
        <v/>
      </c>
      <c r="O44" s="78">
        <f>MRP!M283</f>
        <v/>
      </c>
    </row>
    <row r="45">
      <c r="A45" s="73">
        <f>IF(Materiales!$A$44="","",Materiales!$A$44)</f>
        <v/>
      </c>
      <c r="B45" s="60">
        <f>IF(Materiales!$B$44="","",Materiales!$B$44)</f>
        <v/>
      </c>
      <c r="C45" s="73">
        <f>IF(Materiales!$C$44="","",Materiales!$C$44)</f>
        <v/>
      </c>
      <c r="D45" s="74">
        <f>IF(Materiales!$D$44="","",Materiales!$D$44)</f>
        <v/>
      </c>
      <c r="E45" s="75">
        <f>IF($A45="","",MRP!E290)</f>
        <v/>
      </c>
      <c r="F45" s="75">
        <f>IF($A45="","",MRP!F290)</f>
        <v/>
      </c>
      <c r="G45" s="75">
        <f>IF($A45="","",MRP!G290)</f>
        <v/>
      </c>
      <c r="H45" s="75">
        <f>IF($A45="","",MRP!H290)</f>
        <v/>
      </c>
      <c r="I45" s="75">
        <f>IF($A45="","",MRP!I290)</f>
        <v/>
      </c>
      <c r="J45" s="75">
        <f>IF($A45="","",MRP!J290)</f>
        <v/>
      </c>
      <c r="K45" s="75">
        <f>IF($A45="","",MRP!K290)</f>
        <v/>
      </c>
      <c r="L45" s="75">
        <f>IF($A45="","",MRP!L290)</f>
        <v/>
      </c>
      <c r="M45" s="76">
        <f>IF($A45="","",SUM(E45:L45))</f>
        <v/>
      </c>
      <c r="N45" s="77">
        <f>IF(ISNUMBER(D45),M45*D45,"")</f>
        <v/>
      </c>
      <c r="O45" s="78">
        <f>MRP!M290</f>
        <v/>
      </c>
    </row>
    <row r="46">
      <c r="A46" s="73">
        <f>IF(Materiales!$A$45="","",Materiales!$A$45)</f>
        <v/>
      </c>
      <c r="B46" s="60">
        <f>IF(Materiales!$B$45="","",Materiales!$B$45)</f>
        <v/>
      </c>
      <c r="C46" s="73">
        <f>IF(Materiales!$C$45="","",Materiales!$C$45)</f>
        <v/>
      </c>
      <c r="D46" s="74">
        <f>IF(Materiales!$D$45="","",Materiales!$D$45)</f>
        <v/>
      </c>
      <c r="E46" s="75">
        <f>IF($A46="","",MRP!E297)</f>
        <v/>
      </c>
      <c r="F46" s="75">
        <f>IF($A46="","",MRP!F297)</f>
        <v/>
      </c>
      <c r="G46" s="75">
        <f>IF($A46="","",MRP!G297)</f>
        <v/>
      </c>
      <c r="H46" s="75">
        <f>IF($A46="","",MRP!H297)</f>
        <v/>
      </c>
      <c r="I46" s="75">
        <f>IF($A46="","",MRP!I297)</f>
        <v/>
      </c>
      <c r="J46" s="75">
        <f>IF($A46="","",MRP!J297)</f>
        <v/>
      </c>
      <c r="K46" s="75">
        <f>IF($A46="","",MRP!K297)</f>
        <v/>
      </c>
      <c r="L46" s="75">
        <f>IF($A46="","",MRP!L297)</f>
        <v/>
      </c>
      <c r="M46" s="76">
        <f>IF($A46="","",SUM(E46:L46))</f>
        <v/>
      </c>
      <c r="N46" s="77">
        <f>IF(ISNUMBER(D46),M46*D46,"")</f>
        <v/>
      </c>
      <c r="O46" s="78">
        <f>MRP!M297</f>
        <v/>
      </c>
    </row>
    <row r="47">
      <c r="A47" s="73">
        <f>IF(Materiales!$A$46="","",Materiales!$A$46)</f>
        <v/>
      </c>
      <c r="B47" s="60">
        <f>IF(Materiales!$B$46="","",Materiales!$B$46)</f>
        <v/>
      </c>
      <c r="C47" s="73">
        <f>IF(Materiales!$C$46="","",Materiales!$C$46)</f>
        <v/>
      </c>
      <c r="D47" s="74">
        <f>IF(Materiales!$D$46="","",Materiales!$D$46)</f>
        <v/>
      </c>
      <c r="E47" s="75">
        <f>IF($A47="","",MRP!E304)</f>
        <v/>
      </c>
      <c r="F47" s="75">
        <f>IF($A47="","",MRP!F304)</f>
        <v/>
      </c>
      <c r="G47" s="75">
        <f>IF($A47="","",MRP!G304)</f>
        <v/>
      </c>
      <c r="H47" s="75">
        <f>IF($A47="","",MRP!H304)</f>
        <v/>
      </c>
      <c r="I47" s="75">
        <f>IF($A47="","",MRP!I304)</f>
        <v/>
      </c>
      <c r="J47" s="75">
        <f>IF($A47="","",MRP!J304)</f>
        <v/>
      </c>
      <c r="K47" s="75">
        <f>IF($A47="","",MRP!K304)</f>
        <v/>
      </c>
      <c r="L47" s="75">
        <f>IF($A47="","",MRP!L304)</f>
        <v/>
      </c>
      <c r="M47" s="76">
        <f>IF($A47="","",SUM(E47:L47))</f>
        <v/>
      </c>
      <c r="N47" s="77">
        <f>IF(ISNUMBER(D47),M47*D47,"")</f>
        <v/>
      </c>
      <c r="O47" s="78">
        <f>MRP!M304</f>
        <v/>
      </c>
    </row>
    <row r="48">
      <c r="A48" s="73">
        <f>IF(Materiales!$A$47="","",Materiales!$A$47)</f>
        <v/>
      </c>
      <c r="B48" s="60">
        <f>IF(Materiales!$B$47="","",Materiales!$B$47)</f>
        <v/>
      </c>
      <c r="C48" s="73">
        <f>IF(Materiales!$C$47="","",Materiales!$C$47)</f>
        <v/>
      </c>
      <c r="D48" s="74">
        <f>IF(Materiales!$D$47="","",Materiales!$D$47)</f>
        <v/>
      </c>
      <c r="E48" s="75">
        <f>IF($A48="","",MRP!E311)</f>
        <v/>
      </c>
      <c r="F48" s="75">
        <f>IF($A48="","",MRP!F311)</f>
        <v/>
      </c>
      <c r="G48" s="75">
        <f>IF($A48="","",MRP!G311)</f>
        <v/>
      </c>
      <c r="H48" s="75">
        <f>IF($A48="","",MRP!H311)</f>
        <v/>
      </c>
      <c r="I48" s="75">
        <f>IF($A48="","",MRP!I311)</f>
        <v/>
      </c>
      <c r="J48" s="75">
        <f>IF($A48="","",MRP!J311)</f>
        <v/>
      </c>
      <c r="K48" s="75">
        <f>IF($A48="","",MRP!K311)</f>
        <v/>
      </c>
      <c r="L48" s="75">
        <f>IF($A48="","",MRP!L311)</f>
        <v/>
      </c>
      <c r="M48" s="76">
        <f>IF($A48="","",SUM(E48:L48))</f>
        <v/>
      </c>
      <c r="N48" s="77">
        <f>IF(ISNUMBER(D48),M48*D48,"")</f>
        <v/>
      </c>
      <c r="O48" s="78">
        <f>MRP!M311</f>
        <v/>
      </c>
    </row>
    <row r="49">
      <c r="A49" s="73">
        <f>IF(Materiales!$A$48="","",Materiales!$A$48)</f>
        <v/>
      </c>
      <c r="B49" s="60">
        <f>IF(Materiales!$B$48="","",Materiales!$B$48)</f>
        <v/>
      </c>
      <c r="C49" s="73">
        <f>IF(Materiales!$C$48="","",Materiales!$C$48)</f>
        <v/>
      </c>
      <c r="D49" s="74">
        <f>IF(Materiales!$D$48="","",Materiales!$D$48)</f>
        <v/>
      </c>
      <c r="E49" s="75">
        <f>IF($A49="","",MRP!E318)</f>
        <v/>
      </c>
      <c r="F49" s="75">
        <f>IF($A49="","",MRP!F318)</f>
        <v/>
      </c>
      <c r="G49" s="75">
        <f>IF($A49="","",MRP!G318)</f>
        <v/>
      </c>
      <c r="H49" s="75">
        <f>IF($A49="","",MRP!H318)</f>
        <v/>
      </c>
      <c r="I49" s="75">
        <f>IF($A49="","",MRP!I318)</f>
        <v/>
      </c>
      <c r="J49" s="75">
        <f>IF($A49="","",MRP!J318)</f>
        <v/>
      </c>
      <c r="K49" s="75">
        <f>IF($A49="","",MRP!K318)</f>
        <v/>
      </c>
      <c r="L49" s="75">
        <f>IF($A49="","",MRP!L318)</f>
        <v/>
      </c>
      <c r="M49" s="76">
        <f>IF($A49="","",SUM(E49:L49))</f>
        <v/>
      </c>
      <c r="N49" s="77">
        <f>IF(ISNUMBER(D49),M49*D49,"")</f>
        <v/>
      </c>
      <c r="O49" s="78">
        <f>MRP!M318</f>
        <v/>
      </c>
    </row>
    <row r="50">
      <c r="A50" s="73">
        <f>IF(Materiales!$A$49="","",Materiales!$A$49)</f>
        <v/>
      </c>
      <c r="B50" s="60">
        <f>IF(Materiales!$B$49="","",Materiales!$B$49)</f>
        <v/>
      </c>
      <c r="C50" s="73">
        <f>IF(Materiales!$C$49="","",Materiales!$C$49)</f>
        <v/>
      </c>
      <c r="D50" s="74">
        <f>IF(Materiales!$D$49="","",Materiales!$D$49)</f>
        <v/>
      </c>
      <c r="E50" s="75">
        <f>IF($A50="","",MRP!E325)</f>
        <v/>
      </c>
      <c r="F50" s="75">
        <f>IF($A50="","",MRP!F325)</f>
        <v/>
      </c>
      <c r="G50" s="75">
        <f>IF($A50="","",MRP!G325)</f>
        <v/>
      </c>
      <c r="H50" s="75">
        <f>IF($A50="","",MRP!H325)</f>
        <v/>
      </c>
      <c r="I50" s="75">
        <f>IF($A50="","",MRP!I325)</f>
        <v/>
      </c>
      <c r="J50" s="75">
        <f>IF($A50="","",MRP!J325)</f>
        <v/>
      </c>
      <c r="K50" s="75">
        <f>IF($A50="","",MRP!K325)</f>
        <v/>
      </c>
      <c r="L50" s="75">
        <f>IF($A50="","",MRP!L325)</f>
        <v/>
      </c>
      <c r="M50" s="76">
        <f>IF($A50="","",SUM(E50:L50))</f>
        <v/>
      </c>
      <c r="N50" s="77">
        <f>IF(ISNUMBER(D50),M50*D50,"")</f>
        <v/>
      </c>
      <c r="O50" s="78">
        <f>MRP!M325</f>
        <v/>
      </c>
    </row>
    <row r="51">
      <c r="A51" s="73">
        <f>IF(Materiales!$A$50="","",Materiales!$A$50)</f>
        <v/>
      </c>
      <c r="B51" s="60">
        <f>IF(Materiales!$B$50="","",Materiales!$B$50)</f>
        <v/>
      </c>
      <c r="C51" s="73">
        <f>IF(Materiales!$C$50="","",Materiales!$C$50)</f>
        <v/>
      </c>
      <c r="D51" s="74">
        <f>IF(Materiales!$D$50="","",Materiales!$D$50)</f>
        <v/>
      </c>
      <c r="E51" s="75">
        <f>IF($A51="","",MRP!E332)</f>
        <v/>
      </c>
      <c r="F51" s="75">
        <f>IF($A51="","",MRP!F332)</f>
        <v/>
      </c>
      <c r="G51" s="75">
        <f>IF($A51="","",MRP!G332)</f>
        <v/>
      </c>
      <c r="H51" s="75">
        <f>IF($A51="","",MRP!H332)</f>
        <v/>
      </c>
      <c r="I51" s="75">
        <f>IF($A51="","",MRP!I332)</f>
        <v/>
      </c>
      <c r="J51" s="75">
        <f>IF($A51="","",MRP!J332)</f>
        <v/>
      </c>
      <c r="K51" s="75">
        <f>IF($A51="","",MRP!K332)</f>
        <v/>
      </c>
      <c r="L51" s="75">
        <f>IF($A51="","",MRP!L332)</f>
        <v/>
      </c>
      <c r="M51" s="76">
        <f>IF($A51="","",SUM(E51:L51))</f>
        <v/>
      </c>
      <c r="N51" s="77">
        <f>IF(ISNUMBER(D51),M51*D51,"")</f>
        <v/>
      </c>
      <c r="O51" s="78">
        <f>MRP!M332</f>
        <v/>
      </c>
    </row>
    <row r="52">
      <c r="A52" s="73">
        <f>IF(Materiales!$A$51="","",Materiales!$A$51)</f>
        <v/>
      </c>
      <c r="B52" s="60">
        <f>IF(Materiales!$B$51="","",Materiales!$B$51)</f>
        <v/>
      </c>
      <c r="C52" s="73">
        <f>IF(Materiales!$C$51="","",Materiales!$C$51)</f>
        <v/>
      </c>
      <c r="D52" s="74">
        <f>IF(Materiales!$D$51="","",Materiales!$D$51)</f>
        <v/>
      </c>
      <c r="E52" s="75">
        <f>IF($A52="","",MRP!E339)</f>
        <v/>
      </c>
      <c r="F52" s="75">
        <f>IF($A52="","",MRP!F339)</f>
        <v/>
      </c>
      <c r="G52" s="75">
        <f>IF($A52="","",MRP!G339)</f>
        <v/>
      </c>
      <c r="H52" s="75">
        <f>IF($A52="","",MRP!H339)</f>
        <v/>
      </c>
      <c r="I52" s="75">
        <f>IF($A52="","",MRP!I339)</f>
        <v/>
      </c>
      <c r="J52" s="75">
        <f>IF($A52="","",MRP!J339)</f>
        <v/>
      </c>
      <c r="K52" s="75">
        <f>IF($A52="","",MRP!K339)</f>
        <v/>
      </c>
      <c r="L52" s="75">
        <f>IF($A52="","",MRP!L339)</f>
        <v/>
      </c>
      <c r="M52" s="76">
        <f>IF($A52="","",SUM(E52:L52))</f>
        <v/>
      </c>
      <c r="N52" s="77">
        <f>IF(ISNUMBER(D52),M52*D52,"")</f>
        <v/>
      </c>
      <c r="O52" s="78">
        <f>MRP!M339</f>
        <v/>
      </c>
    </row>
    <row r="53">
      <c r="A53" s="73">
        <f>IF(Materiales!$A$52="","",Materiales!$A$52)</f>
        <v/>
      </c>
      <c r="B53" s="60">
        <f>IF(Materiales!$B$52="","",Materiales!$B$52)</f>
        <v/>
      </c>
      <c r="C53" s="73">
        <f>IF(Materiales!$C$52="","",Materiales!$C$52)</f>
        <v/>
      </c>
      <c r="D53" s="74">
        <f>IF(Materiales!$D$52="","",Materiales!$D$52)</f>
        <v/>
      </c>
      <c r="E53" s="75">
        <f>IF($A53="","",MRP!E346)</f>
        <v/>
      </c>
      <c r="F53" s="75">
        <f>IF($A53="","",MRP!F346)</f>
        <v/>
      </c>
      <c r="G53" s="75">
        <f>IF($A53="","",MRP!G346)</f>
        <v/>
      </c>
      <c r="H53" s="75">
        <f>IF($A53="","",MRP!H346)</f>
        <v/>
      </c>
      <c r="I53" s="75">
        <f>IF($A53="","",MRP!I346)</f>
        <v/>
      </c>
      <c r="J53" s="75">
        <f>IF($A53="","",MRP!J346)</f>
        <v/>
      </c>
      <c r="K53" s="75">
        <f>IF($A53="","",MRP!K346)</f>
        <v/>
      </c>
      <c r="L53" s="75">
        <f>IF($A53="","",MRP!L346)</f>
        <v/>
      </c>
      <c r="M53" s="76">
        <f>IF($A53="","",SUM(E53:L53))</f>
        <v/>
      </c>
      <c r="N53" s="77">
        <f>IF(ISNUMBER(D53),M53*D53,"")</f>
        <v/>
      </c>
      <c r="O53" s="78">
        <f>MRP!M346</f>
        <v/>
      </c>
    </row>
    <row r="54">
      <c r="A54" s="73">
        <f>IF(Materiales!$A$53="","",Materiales!$A$53)</f>
        <v/>
      </c>
      <c r="B54" s="60">
        <f>IF(Materiales!$B$53="","",Materiales!$B$53)</f>
        <v/>
      </c>
      <c r="C54" s="73">
        <f>IF(Materiales!$C$53="","",Materiales!$C$53)</f>
        <v/>
      </c>
      <c r="D54" s="74">
        <f>IF(Materiales!$D$53="","",Materiales!$D$53)</f>
        <v/>
      </c>
      <c r="E54" s="75">
        <f>IF($A54="","",MRP!E353)</f>
        <v/>
      </c>
      <c r="F54" s="75">
        <f>IF($A54="","",MRP!F353)</f>
        <v/>
      </c>
      <c r="G54" s="75">
        <f>IF($A54="","",MRP!G353)</f>
        <v/>
      </c>
      <c r="H54" s="75">
        <f>IF($A54="","",MRP!H353)</f>
        <v/>
      </c>
      <c r="I54" s="75">
        <f>IF($A54="","",MRP!I353)</f>
        <v/>
      </c>
      <c r="J54" s="75">
        <f>IF($A54="","",MRP!J353)</f>
        <v/>
      </c>
      <c r="K54" s="75">
        <f>IF($A54="","",MRP!K353)</f>
        <v/>
      </c>
      <c r="L54" s="75">
        <f>IF($A54="","",MRP!L353)</f>
        <v/>
      </c>
      <c r="M54" s="76">
        <f>IF($A54="","",SUM(E54:L54))</f>
        <v/>
      </c>
      <c r="N54" s="77">
        <f>IF(ISNUMBER(D54),M54*D54,"")</f>
        <v/>
      </c>
      <c r="O54" s="78">
        <f>MRP!M353</f>
        <v/>
      </c>
    </row>
    <row r="55">
      <c r="A55" s="73">
        <f>IF(Materiales!$A$54="","",Materiales!$A$54)</f>
        <v/>
      </c>
      <c r="B55" s="60">
        <f>IF(Materiales!$B$54="","",Materiales!$B$54)</f>
        <v/>
      </c>
      <c r="C55" s="73">
        <f>IF(Materiales!$C$54="","",Materiales!$C$54)</f>
        <v/>
      </c>
      <c r="D55" s="74">
        <f>IF(Materiales!$D$54="","",Materiales!$D$54)</f>
        <v/>
      </c>
      <c r="E55" s="75">
        <f>IF($A55="","",MRP!E360)</f>
        <v/>
      </c>
      <c r="F55" s="75">
        <f>IF($A55="","",MRP!F360)</f>
        <v/>
      </c>
      <c r="G55" s="75">
        <f>IF($A55="","",MRP!G360)</f>
        <v/>
      </c>
      <c r="H55" s="75">
        <f>IF($A55="","",MRP!H360)</f>
        <v/>
      </c>
      <c r="I55" s="75">
        <f>IF($A55="","",MRP!I360)</f>
        <v/>
      </c>
      <c r="J55" s="75">
        <f>IF($A55="","",MRP!J360)</f>
        <v/>
      </c>
      <c r="K55" s="75">
        <f>IF($A55="","",MRP!K360)</f>
        <v/>
      </c>
      <c r="L55" s="75">
        <f>IF($A55="","",MRP!L360)</f>
        <v/>
      </c>
      <c r="M55" s="76">
        <f>IF($A55="","",SUM(E55:L55))</f>
        <v/>
      </c>
      <c r="N55" s="77">
        <f>IF(ISNUMBER(D55),M55*D55,"")</f>
        <v/>
      </c>
      <c r="O55" s="78">
        <f>MRP!M360</f>
        <v/>
      </c>
    </row>
    <row r="56">
      <c r="A56" s="73">
        <f>IF(Materiales!$A$55="","",Materiales!$A$55)</f>
        <v/>
      </c>
      <c r="B56" s="60">
        <f>IF(Materiales!$B$55="","",Materiales!$B$55)</f>
        <v/>
      </c>
      <c r="C56" s="73">
        <f>IF(Materiales!$C$55="","",Materiales!$C$55)</f>
        <v/>
      </c>
      <c r="D56" s="74">
        <f>IF(Materiales!$D$55="","",Materiales!$D$55)</f>
        <v/>
      </c>
      <c r="E56" s="75">
        <f>IF($A56="","",MRP!E367)</f>
        <v/>
      </c>
      <c r="F56" s="75">
        <f>IF($A56="","",MRP!F367)</f>
        <v/>
      </c>
      <c r="G56" s="75">
        <f>IF($A56="","",MRP!G367)</f>
        <v/>
      </c>
      <c r="H56" s="75">
        <f>IF($A56="","",MRP!H367)</f>
        <v/>
      </c>
      <c r="I56" s="75">
        <f>IF($A56="","",MRP!I367)</f>
        <v/>
      </c>
      <c r="J56" s="75">
        <f>IF($A56="","",MRP!J367)</f>
        <v/>
      </c>
      <c r="K56" s="75">
        <f>IF($A56="","",MRP!K367)</f>
        <v/>
      </c>
      <c r="L56" s="75">
        <f>IF($A56="","",MRP!L367)</f>
        <v/>
      </c>
      <c r="M56" s="76">
        <f>IF($A56="","",SUM(E56:L56))</f>
        <v/>
      </c>
      <c r="N56" s="77">
        <f>IF(ISNUMBER(D56),M56*D56,"")</f>
        <v/>
      </c>
      <c r="O56" s="78">
        <f>MRP!M367</f>
        <v/>
      </c>
    </row>
    <row r="57">
      <c r="A57" s="73">
        <f>IF(Materiales!$A$56="","",Materiales!$A$56)</f>
        <v/>
      </c>
      <c r="B57" s="60">
        <f>IF(Materiales!$B$56="","",Materiales!$B$56)</f>
        <v/>
      </c>
      <c r="C57" s="73">
        <f>IF(Materiales!$C$56="","",Materiales!$C$56)</f>
        <v/>
      </c>
      <c r="D57" s="74">
        <f>IF(Materiales!$D$56="","",Materiales!$D$56)</f>
        <v/>
      </c>
      <c r="E57" s="75">
        <f>IF($A57="","",MRP!E374)</f>
        <v/>
      </c>
      <c r="F57" s="75">
        <f>IF($A57="","",MRP!F374)</f>
        <v/>
      </c>
      <c r="G57" s="75">
        <f>IF($A57="","",MRP!G374)</f>
        <v/>
      </c>
      <c r="H57" s="75">
        <f>IF($A57="","",MRP!H374)</f>
        <v/>
      </c>
      <c r="I57" s="75">
        <f>IF($A57="","",MRP!I374)</f>
        <v/>
      </c>
      <c r="J57" s="75">
        <f>IF($A57="","",MRP!J374)</f>
        <v/>
      </c>
      <c r="K57" s="75">
        <f>IF($A57="","",MRP!K374)</f>
        <v/>
      </c>
      <c r="L57" s="75">
        <f>IF($A57="","",MRP!L374)</f>
        <v/>
      </c>
      <c r="M57" s="76">
        <f>IF($A57="","",SUM(E57:L57))</f>
        <v/>
      </c>
      <c r="N57" s="77">
        <f>IF(ISNUMBER(D57),M57*D57,"")</f>
        <v/>
      </c>
      <c r="O57" s="78">
        <f>MRP!M374</f>
        <v/>
      </c>
    </row>
    <row r="58">
      <c r="A58" s="73">
        <f>IF(Materiales!$A$57="","",Materiales!$A$57)</f>
        <v/>
      </c>
      <c r="B58" s="60">
        <f>IF(Materiales!$B$57="","",Materiales!$B$57)</f>
        <v/>
      </c>
      <c r="C58" s="73">
        <f>IF(Materiales!$C$57="","",Materiales!$C$57)</f>
        <v/>
      </c>
      <c r="D58" s="74">
        <f>IF(Materiales!$D$57="","",Materiales!$D$57)</f>
        <v/>
      </c>
      <c r="E58" s="75">
        <f>IF($A58="","",MRP!E381)</f>
        <v/>
      </c>
      <c r="F58" s="75">
        <f>IF($A58="","",MRP!F381)</f>
        <v/>
      </c>
      <c r="G58" s="75">
        <f>IF($A58="","",MRP!G381)</f>
        <v/>
      </c>
      <c r="H58" s="75">
        <f>IF($A58="","",MRP!H381)</f>
        <v/>
      </c>
      <c r="I58" s="75">
        <f>IF($A58="","",MRP!I381)</f>
        <v/>
      </c>
      <c r="J58" s="75">
        <f>IF($A58="","",MRP!J381)</f>
        <v/>
      </c>
      <c r="K58" s="75">
        <f>IF($A58="","",MRP!K381)</f>
        <v/>
      </c>
      <c r="L58" s="75">
        <f>IF($A58="","",MRP!L381)</f>
        <v/>
      </c>
      <c r="M58" s="76">
        <f>IF($A58="","",SUM(E58:L58))</f>
        <v/>
      </c>
      <c r="N58" s="77">
        <f>IF(ISNUMBER(D58),M58*D58,"")</f>
        <v/>
      </c>
      <c r="O58" s="78">
        <f>MRP!M381</f>
        <v/>
      </c>
    </row>
    <row r="59">
      <c r="A59" s="73">
        <f>IF(Materiales!$A$58="","",Materiales!$A$58)</f>
        <v/>
      </c>
      <c r="B59" s="60">
        <f>IF(Materiales!$B$58="","",Materiales!$B$58)</f>
        <v/>
      </c>
      <c r="C59" s="73">
        <f>IF(Materiales!$C$58="","",Materiales!$C$58)</f>
        <v/>
      </c>
      <c r="D59" s="74">
        <f>IF(Materiales!$D$58="","",Materiales!$D$58)</f>
        <v/>
      </c>
      <c r="E59" s="75">
        <f>IF($A59="","",MRP!E388)</f>
        <v/>
      </c>
      <c r="F59" s="75">
        <f>IF($A59="","",MRP!F388)</f>
        <v/>
      </c>
      <c r="G59" s="75">
        <f>IF($A59="","",MRP!G388)</f>
        <v/>
      </c>
      <c r="H59" s="75">
        <f>IF($A59="","",MRP!H388)</f>
        <v/>
      </c>
      <c r="I59" s="75">
        <f>IF($A59="","",MRP!I388)</f>
        <v/>
      </c>
      <c r="J59" s="75">
        <f>IF($A59="","",MRP!J388)</f>
        <v/>
      </c>
      <c r="K59" s="75">
        <f>IF($A59="","",MRP!K388)</f>
        <v/>
      </c>
      <c r="L59" s="75">
        <f>IF($A59="","",MRP!L388)</f>
        <v/>
      </c>
      <c r="M59" s="76">
        <f>IF($A59="","",SUM(E59:L59))</f>
        <v/>
      </c>
      <c r="N59" s="77">
        <f>IF(ISNUMBER(D59),M59*D59,"")</f>
        <v/>
      </c>
      <c r="O59" s="78">
        <f>MRP!M388</f>
        <v/>
      </c>
    </row>
    <row r="60">
      <c r="A60" s="73">
        <f>IF(Materiales!$A$59="","",Materiales!$A$59)</f>
        <v/>
      </c>
      <c r="B60" s="60">
        <f>IF(Materiales!$B$59="","",Materiales!$B$59)</f>
        <v/>
      </c>
      <c r="C60" s="73">
        <f>IF(Materiales!$C$59="","",Materiales!$C$59)</f>
        <v/>
      </c>
      <c r="D60" s="74">
        <f>IF(Materiales!$D$59="","",Materiales!$D$59)</f>
        <v/>
      </c>
      <c r="E60" s="75">
        <f>IF($A60="","",MRP!E395)</f>
        <v/>
      </c>
      <c r="F60" s="75">
        <f>IF($A60="","",MRP!F395)</f>
        <v/>
      </c>
      <c r="G60" s="75">
        <f>IF($A60="","",MRP!G395)</f>
        <v/>
      </c>
      <c r="H60" s="75">
        <f>IF($A60="","",MRP!H395)</f>
        <v/>
      </c>
      <c r="I60" s="75">
        <f>IF($A60="","",MRP!I395)</f>
        <v/>
      </c>
      <c r="J60" s="75">
        <f>IF($A60="","",MRP!J395)</f>
        <v/>
      </c>
      <c r="K60" s="75">
        <f>IF($A60="","",MRP!K395)</f>
        <v/>
      </c>
      <c r="L60" s="75">
        <f>IF($A60="","",MRP!L395)</f>
        <v/>
      </c>
      <c r="M60" s="76">
        <f>IF($A60="","",SUM(E60:L60))</f>
        <v/>
      </c>
      <c r="N60" s="77">
        <f>IF(ISNUMBER(D60),M60*D60,"")</f>
        <v/>
      </c>
      <c r="O60" s="78">
        <f>MRP!M395</f>
        <v/>
      </c>
    </row>
    <row r="61">
      <c r="A61" s="73">
        <f>IF(Materiales!$A$60="","",Materiales!$A$60)</f>
        <v/>
      </c>
      <c r="B61" s="60">
        <f>IF(Materiales!$B$60="","",Materiales!$B$60)</f>
        <v/>
      </c>
      <c r="C61" s="73">
        <f>IF(Materiales!$C$60="","",Materiales!$C$60)</f>
        <v/>
      </c>
      <c r="D61" s="74">
        <f>IF(Materiales!$D$60="","",Materiales!$D$60)</f>
        <v/>
      </c>
      <c r="E61" s="75">
        <f>IF($A61="","",MRP!E402)</f>
        <v/>
      </c>
      <c r="F61" s="75">
        <f>IF($A61="","",MRP!F402)</f>
        <v/>
      </c>
      <c r="G61" s="75">
        <f>IF($A61="","",MRP!G402)</f>
        <v/>
      </c>
      <c r="H61" s="75">
        <f>IF($A61="","",MRP!H402)</f>
        <v/>
      </c>
      <c r="I61" s="75">
        <f>IF($A61="","",MRP!I402)</f>
        <v/>
      </c>
      <c r="J61" s="75">
        <f>IF($A61="","",MRP!J402)</f>
        <v/>
      </c>
      <c r="K61" s="75">
        <f>IF($A61="","",MRP!K402)</f>
        <v/>
      </c>
      <c r="L61" s="75">
        <f>IF($A61="","",MRP!L402)</f>
        <v/>
      </c>
      <c r="M61" s="76">
        <f>IF($A61="","",SUM(E61:L61))</f>
        <v/>
      </c>
      <c r="N61" s="77">
        <f>IF(ISNUMBER(D61),M61*D61,"")</f>
        <v/>
      </c>
      <c r="O61" s="78">
        <f>MRP!M402</f>
        <v/>
      </c>
    </row>
    <row r="62">
      <c r="A62" s="73">
        <f>IF(Materiales!$A$61="","",Materiales!$A$61)</f>
        <v/>
      </c>
      <c r="B62" s="60">
        <f>IF(Materiales!$B$61="","",Materiales!$B$61)</f>
        <v/>
      </c>
      <c r="C62" s="73">
        <f>IF(Materiales!$C$61="","",Materiales!$C$61)</f>
        <v/>
      </c>
      <c r="D62" s="74">
        <f>IF(Materiales!$D$61="","",Materiales!$D$61)</f>
        <v/>
      </c>
      <c r="E62" s="75">
        <f>IF($A62="","",MRP!E409)</f>
        <v/>
      </c>
      <c r="F62" s="75">
        <f>IF($A62="","",MRP!F409)</f>
        <v/>
      </c>
      <c r="G62" s="75">
        <f>IF($A62="","",MRP!G409)</f>
        <v/>
      </c>
      <c r="H62" s="75">
        <f>IF($A62="","",MRP!H409)</f>
        <v/>
      </c>
      <c r="I62" s="75">
        <f>IF($A62="","",MRP!I409)</f>
        <v/>
      </c>
      <c r="J62" s="75">
        <f>IF($A62="","",MRP!J409)</f>
        <v/>
      </c>
      <c r="K62" s="75">
        <f>IF($A62="","",MRP!K409)</f>
        <v/>
      </c>
      <c r="L62" s="75">
        <f>IF($A62="","",MRP!L409)</f>
        <v/>
      </c>
      <c r="M62" s="76">
        <f>IF($A62="","",SUM(E62:L62))</f>
        <v/>
      </c>
      <c r="N62" s="77">
        <f>IF(ISNUMBER(D62),M62*D62,"")</f>
        <v/>
      </c>
      <c r="O62" s="78">
        <f>MRP!M409</f>
        <v/>
      </c>
    </row>
    <row r="63">
      <c r="A63" s="73">
        <f>IF(Materiales!$A$62="","",Materiales!$A$62)</f>
        <v/>
      </c>
      <c r="B63" s="60">
        <f>IF(Materiales!$B$62="","",Materiales!$B$62)</f>
        <v/>
      </c>
      <c r="C63" s="73">
        <f>IF(Materiales!$C$62="","",Materiales!$C$62)</f>
        <v/>
      </c>
      <c r="D63" s="74">
        <f>IF(Materiales!$D$62="","",Materiales!$D$62)</f>
        <v/>
      </c>
      <c r="E63" s="75">
        <f>IF($A63="","",MRP!E416)</f>
        <v/>
      </c>
      <c r="F63" s="75">
        <f>IF($A63="","",MRP!F416)</f>
        <v/>
      </c>
      <c r="G63" s="75">
        <f>IF($A63="","",MRP!G416)</f>
        <v/>
      </c>
      <c r="H63" s="75">
        <f>IF($A63="","",MRP!H416)</f>
        <v/>
      </c>
      <c r="I63" s="75">
        <f>IF($A63="","",MRP!I416)</f>
        <v/>
      </c>
      <c r="J63" s="75">
        <f>IF($A63="","",MRP!J416)</f>
        <v/>
      </c>
      <c r="K63" s="75">
        <f>IF($A63="","",MRP!K416)</f>
        <v/>
      </c>
      <c r="L63" s="75">
        <f>IF($A63="","",MRP!L416)</f>
        <v/>
      </c>
      <c r="M63" s="76">
        <f>IF($A63="","",SUM(E63:L63))</f>
        <v/>
      </c>
      <c r="N63" s="77">
        <f>IF(ISNUMBER(D63),M63*D63,"")</f>
        <v/>
      </c>
      <c r="O63" s="78">
        <f>MRP!M416</f>
        <v/>
      </c>
    </row>
    <row r="64">
      <c r="A64" s="73">
        <f>IF(Materiales!$A$63="","",Materiales!$A$63)</f>
        <v/>
      </c>
      <c r="B64" s="60">
        <f>IF(Materiales!$B$63="","",Materiales!$B$63)</f>
        <v/>
      </c>
      <c r="C64" s="73">
        <f>IF(Materiales!$C$63="","",Materiales!$C$63)</f>
        <v/>
      </c>
      <c r="D64" s="74">
        <f>IF(Materiales!$D$63="","",Materiales!$D$63)</f>
        <v/>
      </c>
      <c r="E64" s="75">
        <f>IF($A64="","",MRP!E423)</f>
        <v/>
      </c>
      <c r="F64" s="75">
        <f>IF($A64="","",MRP!F423)</f>
        <v/>
      </c>
      <c r="G64" s="75">
        <f>IF($A64="","",MRP!G423)</f>
        <v/>
      </c>
      <c r="H64" s="75">
        <f>IF($A64="","",MRP!H423)</f>
        <v/>
      </c>
      <c r="I64" s="75">
        <f>IF($A64="","",MRP!I423)</f>
        <v/>
      </c>
      <c r="J64" s="75">
        <f>IF($A64="","",MRP!J423)</f>
        <v/>
      </c>
      <c r="K64" s="75">
        <f>IF($A64="","",MRP!K423)</f>
        <v/>
      </c>
      <c r="L64" s="75">
        <f>IF($A64="","",MRP!L423)</f>
        <v/>
      </c>
      <c r="M64" s="76">
        <f>IF($A64="","",SUM(E64:L64))</f>
        <v/>
      </c>
      <c r="N64" s="77">
        <f>IF(ISNUMBER(D64),M64*D64,"")</f>
        <v/>
      </c>
      <c r="O64" s="78">
        <f>MRP!M423</f>
        <v/>
      </c>
    </row>
    <row r="65">
      <c r="A65" s="73">
        <f>IF(Materiales!$A$64="","",Materiales!$A$64)</f>
        <v/>
      </c>
      <c r="B65" s="60">
        <f>IF(Materiales!$B$64="","",Materiales!$B$64)</f>
        <v/>
      </c>
      <c r="C65" s="73">
        <f>IF(Materiales!$C$64="","",Materiales!$C$64)</f>
        <v/>
      </c>
      <c r="D65" s="74">
        <f>IF(Materiales!$D$64="","",Materiales!$D$64)</f>
        <v/>
      </c>
      <c r="E65" s="75">
        <f>IF($A65="","",MRP!E430)</f>
        <v/>
      </c>
      <c r="F65" s="75">
        <f>IF($A65="","",MRP!F430)</f>
        <v/>
      </c>
      <c r="G65" s="75">
        <f>IF($A65="","",MRP!G430)</f>
        <v/>
      </c>
      <c r="H65" s="75">
        <f>IF($A65="","",MRP!H430)</f>
        <v/>
      </c>
      <c r="I65" s="75">
        <f>IF($A65="","",MRP!I430)</f>
        <v/>
      </c>
      <c r="J65" s="75">
        <f>IF($A65="","",MRP!J430)</f>
        <v/>
      </c>
      <c r="K65" s="75">
        <f>IF($A65="","",MRP!K430)</f>
        <v/>
      </c>
      <c r="L65" s="75">
        <f>IF($A65="","",MRP!L430)</f>
        <v/>
      </c>
      <c r="M65" s="76">
        <f>IF($A65="","",SUM(E65:L65))</f>
        <v/>
      </c>
      <c r="N65" s="77">
        <f>IF(ISNUMBER(D65),M65*D65,"")</f>
        <v/>
      </c>
      <c r="O65" s="78">
        <f>MRP!M430</f>
        <v/>
      </c>
    </row>
    <row r="66">
      <c r="A66" s="73">
        <f>IF(Materiales!$A$65="","",Materiales!$A$65)</f>
        <v/>
      </c>
      <c r="B66" s="60">
        <f>IF(Materiales!$B$65="","",Materiales!$B$65)</f>
        <v/>
      </c>
      <c r="C66" s="73">
        <f>IF(Materiales!$C$65="","",Materiales!$C$65)</f>
        <v/>
      </c>
      <c r="D66" s="74">
        <f>IF(Materiales!$D$65="","",Materiales!$D$65)</f>
        <v/>
      </c>
      <c r="E66" s="75">
        <f>IF($A66="","",MRP!E437)</f>
        <v/>
      </c>
      <c r="F66" s="75">
        <f>IF($A66="","",MRP!F437)</f>
        <v/>
      </c>
      <c r="G66" s="75">
        <f>IF($A66="","",MRP!G437)</f>
        <v/>
      </c>
      <c r="H66" s="75">
        <f>IF($A66="","",MRP!H437)</f>
        <v/>
      </c>
      <c r="I66" s="75">
        <f>IF($A66="","",MRP!I437)</f>
        <v/>
      </c>
      <c r="J66" s="75">
        <f>IF($A66="","",MRP!J437)</f>
        <v/>
      </c>
      <c r="K66" s="75">
        <f>IF($A66="","",MRP!K437)</f>
        <v/>
      </c>
      <c r="L66" s="75">
        <f>IF($A66="","",MRP!L437)</f>
        <v/>
      </c>
      <c r="M66" s="76">
        <f>IF($A66="","",SUM(E66:L66))</f>
        <v/>
      </c>
      <c r="N66" s="77">
        <f>IF(ISNUMBER(D66),M66*D66,"")</f>
        <v/>
      </c>
      <c r="O66" s="78">
        <f>MRP!M437</f>
        <v/>
      </c>
    </row>
    <row r="67">
      <c r="A67" s="73">
        <f>IF(Materiales!$A$66="","",Materiales!$A$66)</f>
        <v/>
      </c>
      <c r="B67" s="60">
        <f>IF(Materiales!$B$66="","",Materiales!$B$66)</f>
        <v/>
      </c>
      <c r="C67" s="73">
        <f>IF(Materiales!$C$66="","",Materiales!$C$66)</f>
        <v/>
      </c>
      <c r="D67" s="74">
        <f>IF(Materiales!$D$66="","",Materiales!$D$66)</f>
        <v/>
      </c>
      <c r="E67" s="75">
        <f>IF($A67="","",MRP!E444)</f>
        <v/>
      </c>
      <c r="F67" s="75">
        <f>IF($A67="","",MRP!F444)</f>
        <v/>
      </c>
      <c r="G67" s="75">
        <f>IF($A67="","",MRP!G444)</f>
        <v/>
      </c>
      <c r="H67" s="75">
        <f>IF($A67="","",MRP!H444)</f>
        <v/>
      </c>
      <c r="I67" s="75">
        <f>IF($A67="","",MRP!I444)</f>
        <v/>
      </c>
      <c r="J67" s="75">
        <f>IF($A67="","",MRP!J444)</f>
        <v/>
      </c>
      <c r="K67" s="75">
        <f>IF($A67="","",MRP!K444)</f>
        <v/>
      </c>
      <c r="L67" s="75">
        <f>IF($A67="","",MRP!L444)</f>
        <v/>
      </c>
      <c r="M67" s="76">
        <f>IF($A67="","",SUM(E67:L67))</f>
        <v/>
      </c>
      <c r="N67" s="77">
        <f>IF(ISNUMBER(D67),M67*D67,"")</f>
        <v/>
      </c>
      <c r="O67" s="78">
        <f>MRP!M444</f>
        <v/>
      </c>
    </row>
    <row r="68">
      <c r="A68" s="73">
        <f>IF(Materiales!$A$67="","",Materiales!$A$67)</f>
        <v/>
      </c>
      <c r="B68" s="60">
        <f>IF(Materiales!$B$67="","",Materiales!$B$67)</f>
        <v/>
      </c>
      <c r="C68" s="73">
        <f>IF(Materiales!$C$67="","",Materiales!$C$67)</f>
        <v/>
      </c>
      <c r="D68" s="74">
        <f>IF(Materiales!$D$67="","",Materiales!$D$67)</f>
        <v/>
      </c>
      <c r="E68" s="75">
        <f>IF($A68="","",MRP!E451)</f>
        <v/>
      </c>
      <c r="F68" s="75">
        <f>IF($A68="","",MRP!F451)</f>
        <v/>
      </c>
      <c r="G68" s="75">
        <f>IF($A68="","",MRP!G451)</f>
        <v/>
      </c>
      <c r="H68" s="75">
        <f>IF($A68="","",MRP!H451)</f>
        <v/>
      </c>
      <c r="I68" s="75">
        <f>IF($A68="","",MRP!I451)</f>
        <v/>
      </c>
      <c r="J68" s="75">
        <f>IF($A68="","",MRP!J451)</f>
        <v/>
      </c>
      <c r="K68" s="75">
        <f>IF($A68="","",MRP!K451)</f>
        <v/>
      </c>
      <c r="L68" s="75">
        <f>IF($A68="","",MRP!L451)</f>
        <v/>
      </c>
      <c r="M68" s="76">
        <f>IF($A68="","",SUM(E68:L68))</f>
        <v/>
      </c>
      <c r="N68" s="77">
        <f>IF(ISNUMBER(D68),M68*D68,"")</f>
        <v/>
      </c>
      <c r="O68" s="78">
        <f>MRP!M451</f>
        <v/>
      </c>
    </row>
    <row r="69">
      <c r="A69" s="73">
        <f>IF(Materiales!$A$68="","",Materiales!$A$68)</f>
        <v/>
      </c>
      <c r="B69" s="60">
        <f>IF(Materiales!$B$68="","",Materiales!$B$68)</f>
        <v/>
      </c>
      <c r="C69" s="73">
        <f>IF(Materiales!$C$68="","",Materiales!$C$68)</f>
        <v/>
      </c>
      <c r="D69" s="74">
        <f>IF(Materiales!$D$68="","",Materiales!$D$68)</f>
        <v/>
      </c>
      <c r="E69" s="75">
        <f>IF($A69="","",MRP!E458)</f>
        <v/>
      </c>
      <c r="F69" s="75">
        <f>IF($A69="","",MRP!F458)</f>
        <v/>
      </c>
      <c r="G69" s="75">
        <f>IF($A69="","",MRP!G458)</f>
        <v/>
      </c>
      <c r="H69" s="75">
        <f>IF($A69="","",MRP!H458)</f>
        <v/>
      </c>
      <c r="I69" s="75">
        <f>IF($A69="","",MRP!I458)</f>
        <v/>
      </c>
      <c r="J69" s="75">
        <f>IF($A69="","",MRP!J458)</f>
        <v/>
      </c>
      <c r="K69" s="75">
        <f>IF($A69="","",MRP!K458)</f>
        <v/>
      </c>
      <c r="L69" s="75">
        <f>IF($A69="","",MRP!L458)</f>
        <v/>
      </c>
      <c r="M69" s="76">
        <f>IF($A69="","",SUM(E69:L69))</f>
        <v/>
      </c>
      <c r="N69" s="77">
        <f>IF(ISNUMBER(D69),M69*D69,"")</f>
        <v/>
      </c>
      <c r="O69" s="78">
        <f>MRP!M458</f>
        <v/>
      </c>
    </row>
    <row r="70">
      <c r="A70" s="73">
        <f>IF(Materiales!$A$69="","",Materiales!$A$69)</f>
        <v/>
      </c>
      <c r="B70" s="60">
        <f>IF(Materiales!$B$69="","",Materiales!$B$69)</f>
        <v/>
      </c>
      <c r="C70" s="73">
        <f>IF(Materiales!$C$69="","",Materiales!$C$69)</f>
        <v/>
      </c>
      <c r="D70" s="74">
        <f>IF(Materiales!$D$69="","",Materiales!$D$69)</f>
        <v/>
      </c>
      <c r="E70" s="75">
        <f>IF($A70="","",MRP!E465)</f>
        <v/>
      </c>
      <c r="F70" s="75">
        <f>IF($A70="","",MRP!F465)</f>
        <v/>
      </c>
      <c r="G70" s="75">
        <f>IF($A70="","",MRP!G465)</f>
        <v/>
      </c>
      <c r="H70" s="75">
        <f>IF($A70="","",MRP!H465)</f>
        <v/>
      </c>
      <c r="I70" s="75">
        <f>IF($A70="","",MRP!I465)</f>
        <v/>
      </c>
      <c r="J70" s="75">
        <f>IF($A70="","",MRP!J465)</f>
        <v/>
      </c>
      <c r="K70" s="75">
        <f>IF($A70="","",MRP!K465)</f>
        <v/>
      </c>
      <c r="L70" s="75">
        <f>IF($A70="","",MRP!L465)</f>
        <v/>
      </c>
      <c r="M70" s="76">
        <f>IF($A70="","",SUM(E70:L70))</f>
        <v/>
      </c>
      <c r="N70" s="77">
        <f>IF(ISNUMBER(D70),M70*D70,"")</f>
        <v/>
      </c>
      <c r="O70" s="78">
        <f>MRP!M465</f>
        <v/>
      </c>
    </row>
    <row r="71">
      <c r="A71" s="73">
        <f>IF(Materiales!$A$70="","",Materiales!$A$70)</f>
        <v/>
      </c>
      <c r="B71" s="60">
        <f>IF(Materiales!$B$70="","",Materiales!$B$70)</f>
        <v/>
      </c>
      <c r="C71" s="73">
        <f>IF(Materiales!$C$70="","",Materiales!$C$70)</f>
        <v/>
      </c>
      <c r="D71" s="74">
        <f>IF(Materiales!$D$70="","",Materiales!$D$70)</f>
        <v/>
      </c>
      <c r="E71" s="75">
        <f>IF($A71="","",MRP!E472)</f>
        <v/>
      </c>
      <c r="F71" s="75">
        <f>IF($A71="","",MRP!F472)</f>
        <v/>
      </c>
      <c r="G71" s="75">
        <f>IF($A71="","",MRP!G472)</f>
        <v/>
      </c>
      <c r="H71" s="75">
        <f>IF($A71="","",MRP!H472)</f>
        <v/>
      </c>
      <c r="I71" s="75">
        <f>IF($A71="","",MRP!I472)</f>
        <v/>
      </c>
      <c r="J71" s="75">
        <f>IF($A71="","",MRP!J472)</f>
        <v/>
      </c>
      <c r="K71" s="75">
        <f>IF($A71="","",MRP!K472)</f>
        <v/>
      </c>
      <c r="L71" s="75">
        <f>IF($A71="","",MRP!L472)</f>
        <v/>
      </c>
      <c r="M71" s="76">
        <f>IF($A71="","",SUM(E71:L71))</f>
        <v/>
      </c>
      <c r="N71" s="77">
        <f>IF(ISNUMBER(D71),M71*D71,"")</f>
        <v/>
      </c>
      <c r="O71" s="78">
        <f>MRP!M472</f>
        <v/>
      </c>
    </row>
    <row r="72">
      <c r="A72" s="73">
        <f>IF(Materiales!$A$71="","",Materiales!$A$71)</f>
        <v/>
      </c>
      <c r="B72" s="60">
        <f>IF(Materiales!$B$71="","",Materiales!$B$71)</f>
        <v/>
      </c>
      <c r="C72" s="73">
        <f>IF(Materiales!$C$71="","",Materiales!$C$71)</f>
        <v/>
      </c>
      <c r="D72" s="74">
        <f>IF(Materiales!$D$71="","",Materiales!$D$71)</f>
        <v/>
      </c>
      <c r="E72" s="75">
        <f>IF($A72="","",MRP!E479)</f>
        <v/>
      </c>
      <c r="F72" s="75">
        <f>IF($A72="","",MRP!F479)</f>
        <v/>
      </c>
      <c r="G72" s="75">
        <f>IF($A72="","",MRP!G479)</f>
        <v/>
      </c>
      <c r="H72" s="75">
        <f>IF($A72="","",MRP!H479)</f>
        <v/>
      </c>
      <c r="I72" s="75">
        <f>IF($A72="","",MRP!I479)</f>
        <v/>
      </c>
      <c r="J72" s="75">
        <f>IF($A72="","",MRP!J479)</f>
        <v/>
      </c>
      <c r="K72" s="75">
        <f>IF($A72="","",MRP!K479)</f>
        <v/>
      </c>
      <c r="L72" s="75">
        <f>IF($A72="","",MRP!L479)</f>
        <v/>
      </c>
      <c r="M72" s="76">
        <f>IF($A72="","",SUM(E72:L72))</f>
        <v/>
      </c>
      <c r="N72" s="77">
        <f>IF(ISNUMBER(D72),M72*D72,"")</f>
        <v/>
      </c>
      <c r="O72" s="78">
        <f>MRP!M479</f>
        <v/>
      </c>
    </row>
    <row r="73">
      <c r="A73" s="73">
        <f>IF(Materiales!$A$72="","",Materiales!$A$72)</f>
        <v/>
      </c>
      <c r="B73" s="60">
        <f>IF(Materiales!$B$72="","",Materiales!$B$72)</f>
        <v/>
      </c>
      <c r="C73" s="73">
        <f>IF(Materiales!$C$72="","",Materiales!$C$72)</f>
        <v/>
      </c>
      <c r="D73" s="74">
        <f>IF(Materiales!$D$72="","",Materiales!$D$72)</f>
        <v/>
      </c>
      <c r="E73" s="75">
        <f>IF($A73="","",MRP!E486)</f>
        <v/>
      </c>
      <c r="F73" s="75">
        <f>IF($A73="","",MRP!F486)</f>
        <v/>
      </c>
      <c r="G73" s="75">
        <f>IF($A73="","",MRP!G486)</f>
        <v/>
      </c>
      <c r="H73" s="75">
        <f>IF($A73="","",MRP!H486)</f>
        <v/>
      </c>
      <c r="I73" s="75">
        <f>IF($A73="","",MRP!I486)</f>
        <v/>
      </c>
      <c r="J73" s="75">
        <f>IF($A73="","",MRP!J486)</f>
        <v/>
      </c>
      <c r="K73" s="75">
        <f>IF($A73="","",MRP!K486)</f>
        <v/>
      </c>
      <c r="L73" s="75">
        <f>IF($A73="","",MRP!L486)</f>
        <v/>
      </c>
      <c r="M73" s="76">
        <f>IF($A73="","",SUM(E73:L73))</f>
        <v/>
      </c>
      <c r="N73" s="77">
        <f>IF(ISNUMBER(D73),M73*D73,"")</f>
        <v/>
      </c>
      <c r="O73" s="78">
        <f>MRP!M486</f>
        <v/>
      </c>
    </row>
    <row r="74">
      <c r="A74" s="73">
        <f>IF(Materiales!$A$73="","",Materiales!$A$73)</f>
        <v/>
      </c>
      <c r="B74" s="60">
        <f>IF(Materiales!$B$73="","",Materiales!$B$73)</f>
        <v/>
      </c>
      <c r="C74" s="73">
        <f>IF(Materiales!$C$73="","",Materiales!$C$73)</f>
        <v/>
      </c>
      <c r="D74" s="74">
        <f>IF(Materiales!$D$73="","",Materiales!$D$73)</f>
        <v/>
      </c>
      <c r="E74" s="75">
        <f>IF($A74="","",MRP!E493)</f>
        <v/>
      </c>
      <c r="F74" s="75">
        <f>IF($A74="","",MRP!F493)</f>
        <v/>
      </c>
      <c r="G74" s="75">
        <f>IF($A74="","",MRP!G493)</f>
        <v/>
      </c>
      <c r="H74" s="75">
        <f>IF($A74="","",MRP!H493)</f>
        <v/>
      </c>
      <c r="I74" s="75">
        <f>IF($A74="","",MRP!I493)</f>
        <v/>
      </c>
      <c r="J74" s="75">
        <f>IF($A74="","",MRP!J493)</f>
        <v/>
      </c>
      <c r="K74" s="75">
        <f>IF($A74="","",MRP!K493)</f>
        <v/>
      </c>
      <c r="L74" s="75">
        <f>IF($A74="","",MRP!L493)</f>
        <v/>
      </c>
      <c r="M74" s="76">
        <f>IF($A74="","",SUM(E74:L74))</f>
        <v/>
      </c>
      <c r="N74" s="77">
        <f>IF(ISNUMBER(D74),M74*D74,"")</f>
        <v/>
      </c>
      <c r="O74" s="78">
        <f>MRP!M493</f>
        <v/>
      </c>
    </row>
    <row r="75">
      <c r="A75" s="73">
        <f>IF(Materiales!$A$74="","",Materiales!$A$74)</f>
        <v/>
      </c>
      <c r="B75" s="60">
        <f>IF(Materiales!$B$74="","",Materiales!$B$74)</f>
        <v/>
      </c>
      <c r="C75" s="73">
        <f>IF(Materiales!$C$74="","",Materiales!$C$74)</f>
        <v/>
      </c>
      <c r="D75" s="74">
        <f>IF(Materiales!$D$74="","",Materiales!$D$74)</f>
        <v/>
      </c>
      <c r="E75" s="75">
        <f>IF($A75="","",MRP!E500)</f>
        <v/>
      </c>
      <c r="F75" s="75">
        <f>IF($A75="","",MRP!F500)</f>
        <v/>
      </c>
      <c r="G75" s="75">
        <f>IF($A75="","",MRP!G500)</f>
        <v/>
      </c>
      <c r="H75" s="75">
        <f>IF($A75="","",MRP!H500)</f>
        <v/>
      </c>
      <c r="I75" s="75">
        <f>IF($A75="","",MRP!I500)</f>
        <v/>
      </c>
      <c r="J75" s="75">
        <f>IF($A75="","",MRP!J500)</f>
        <v/>
      </c>
      <c r="K75" s="75">
        <f>IF($A75="","",MRP!K500)</f>
        <v/>
      </c>
      <c r="L75" s="75">
        <f>IF($A75="","",MRP!L500)</f>
        <v/>
      </c>
      <c r="M75" s="76">
        <f>IF($A75="","",SUM(E75:L75))</f>
        <v/>
      </c>
      <c r="N75" s="77">
        <f>IF(ISNUMBER(D75),M75*D75,"")</f>
        <v/>
      </c>
      <c r="O75" s="78">
        <f>MRP!M500</f>
        <v/>
      </c>
    </row>
    <row r="76">
      <c r="A76" s="73">
        <f>IF(Materiales!$A$75="","",Materiales!$A$75)</f>
        <v/>
      </c>
      <c r="B76" s="60">
        <f>IF(Materiales!$B$75="","",Materiales!$B$75)</f>
        <v/>
      </c>
      <c r="C76" s="73">
        <f>IF(Materiales!$C$75="","",Materiales!$C$75)</f>
        <v/>
      </c>
      <c r="D76" s="74">
        <f>IF(Materiales!$D$75="","",Materiales!$D$75)</f>
        <v/>
      </c>
      <c r="E76" s="75">
        <f>IF($A76="","",MRP!E507)</f>
        <v/>
      </c>
      <c r="F76" s="75">
        <f>IF($A76="","",MRP!F507)</f>
        <v/>
      </c>
      <c r="G76" s="75">
        <f>IF($A76="","",MRP!G507)</f>
        <v/>
      </c>
      <c r="H76" s="75">
        <f>IF($A76="","",MRP!H507)</f>
        <v/>
      </c>
      <c r="I76" s="75">
        <f>IF($A76="","",MRP!I507)</f>
        <v/>
      </c>
      <c r="J76" s="75">
        <f>IF($A76="","",MRP!J507)</f>
        <v/>
      </c>
      <c r="K76" s="75">
        <f>IF($A76="","",MRP!K507)</f>
        <v/>
      </c>
      <c r="L76" s="75">
        <f>IF($A76="","",MRP!L507)</f>
        <v/>
      </c>
      <c r="M76" s="76">
        <f>IF($A76="","",SUM(E76:L76))</f>
        <v/>
      </c>
      <c r="N76" s="77">
        <f>IF(ISNUMBER(D76),M76*D76,"")</f>
        <v/>
      </c>
      <c r="O76" s="78">
        <f>MRP!M507</f>
        <v/>
      </c>
    </row>
    <row r="77">
      <c r="A77" s="73">
        <f>IF(Materiales!$A$76="","",Materiales!$A$76)</f>
        <v/>
      </c>
      <c r="B77" s="60">
        <f>IF(Materiales!$B$76="","",Materiales!$B$76)</f>
        <v/>
      </c>
      <c r="C77" s="73">
        <f>IF(Materiales!$C$76="","",Materiales!$C$76)</f>
        <v/>
      </c>
      <c r="D77" s="74">
        <f>IF(Materiales!$D$76="","",Materiales!$D$76)</f>
        <v/>
      </c>
      <c r="E77" s="75">
        <f>IF($A77="","",MRP!E514)</f>
        <v/>
      </c>
      <c r="F77" s="75">
        <f>IF($A77="","",MRP!F514)</f>
        <v/>
      </c>
      <c r="G77" s="75">
        <f>IF($A77="","",MRP!G514)</f>
        <v/>
      </c>
      <c r="H77" s="75">
        <f>IF($A77="","",MRP!H514)</f>
        <v/>
      </c>
      <c r="I77" s="75">
        <f>IF($A77="","",MRP!I514)</f>
        <v/>
      </c>
      <c r="J77" s="75">
        <f>IF($A77="","",MRP!J514)</f>
        <v/>
      </c>
      <c r="K77" s="75">
        <f>IF($A77="","",MRP!K514)</f>
        <v/>
      </c>
      <c r="L77" s="75">
        <f>IF($A77="","",MRP!L514)</f>
        <v/>
      </c>
      <c r="M77" s="76">
        <f>IF($A77="","",SUM(E77:L77))</f>
        <v/>
      </c>
      <c r="N77" s="77">
        <f>IF(ISNUMBER(D77),M77*D77,"")</f>
        <v/>
      </c>
      <c r="O77" s="78">
        <f>MRP!M514</f>
        <v/>
      </c>
    </row>
    <row r="78">
      <c r="A78" s="73">
        <f>IF(Materiales!$A$77="","",Materiales!$A$77)</f>
        <v/>
      </c>
      <c r="B78" s="60">
        <f>IF(Materiales!$B$77="","",Materiales!$B$77)</f>
        <v/>
      </c>
      <c r="C78" s="73">
        <f>IF(Materiales!$C$77="","",Materiales!$C$77)</f>
        <v/>
      </c>
      <c r="D78" s="74">
        <f>IF(Materiales!$D$77="","",Materiales!$D$77)</f>
        <v/>
      </c>
      <c r="E78" s="75">
        <f>IF($A78="","",MRP!E521)</f>
        <v/>
      </c>
      <c r="F78" s="75">
        <f>IF($A78="","",MRP!F521)</f>
        <v/>
      </c>
      <c r="G78" s="75">
        <f>IF($A78="","",MRP!G521)</f>
        <v/>
      </c>
      <c r="H78" s="75">
        <f>IF($A78="","",MRP!H521)</f>
        <v/>
      </c>
      <c r="I78" s="75">
        <f>IF($A78="","",MRP!I521)</f>
        <v/>
      </c>
      <c r="J78" s="75">
        <f>IF($A78="","",MRP!J521)</f>
        <v/>
      </c>
      <c r="K78" s="75">
        <f>IF($A78="","",MRP!K521)</f>
        <v/>
      </c>
      <c r="L78" s="75">
        <f>IF($A78="","",MRP!L521)</f>
        <v/>
      </c>
      <c r="M78" s="76">
        <f>IF($A78="","",SUM(E78:L78))</f>
        <v/>
      </c>
      <c r="N78" s="77">
        <f>IF(ISNUMBER(D78),M78*D78,"")</f>
        <v/>
      </c>
      <c r="O78" s="78">
        <f>MRP!M521</f>
        <v/>
      </c>
    </row>
    <row r="79">
      <c r="A79" s="73">
        <f>IF(Materiales!$A$78="","",Materiales!$A$78)</f>
        <v/>
      </c>
      <c r="B79" s="60">
        <f>IF(Materiales!$B$78="","",Materiales!$B$78)</f>
        <v/>
      </c>
      <c r="C79" s="73">
        <f>IF(Materiales!$C$78="","",Materiales!$C$78)</f>
        <v/>
      </c>
      <c r="D79" s="74">
        <f>IF(Materiales!$D$78="","",Materiales!$D$78)</f>
        <v/>
      </c>
      <c r="E79" s="75">
        <f>IF($A79="","",MRP!E528)</f>
        <v/>
      </c>
      <c r="F79" s="75">
        <f>IF($A79="","",MRP!F528)</f>
        <v/>
      </c>
      <c r="G79" s="75">
        <f>IF($A79="","",MRP!G528)</f>
        <v/>
      </c>
      <c r="H79" s="75">
        <f>IF($A79="","",MRP!H528)</f>
        <v/>
      </c>
      <c r="I79" s="75">
        <f>IF($A79="","",MRP!I528)</f>
        <v/>
      </c>
      <c r="J79" s="75">
        <f>IF($A79="","",MRP!J528)</f>
        <v/>
      </c>
      <c r="K79" s="75">
        <f>IF($A79="","",MRP!K528)</f>
        <v/>
      </c>
      <c r="L79" s="75">
        <f>IF($A79="","",MRP!L528)</f>
        <v/>
      </c>
      <c r="M79" s="76">
        <f>IF($A79="","",SUM(E79:L79))</f>
        <v/>
      </c>
      <c r="N79" s="77">
        <f>IF(ISNUMBER(D79),M79*D79,"")</f>
        <v/>
      </c>
      <c r="O79" s="78">
        <f>MRP!M528</f>
        <v/>
      </c>
    </row>
    <row r="80">
      <c r="A80" s="73">
        <f>IF(Materiales!$A$79="","",Materiales!$A$79)</f>
        <v/>
      </c>
      <c r="B80" s="60">
        <f>IF(Materiales!$B$79="","",Materiales!$B$79)</f>
        <v/>
      </c>
      <c r="C80" s="73">
        <f>IF(Materiales!$C$79="","",Materiales!$C$79)</f>
        <v/>
      </c>
      <c r="D80" s="74">
        <f>IF(Materiales!$D$79="","",Materiales!$D$79)</f>
        <v/>
      </c>
      <c r="E80" s="75">
        <f>IF($A80="","",MRP!E535)</f>
        <v/>
      </c>
      <c r="F80" s="75">
        <f>IF($A80="","",MRP!F535)</f>
        <v/>
      </c>
      <c r="G80" s="75">
        <f>IF($A80="","",MRP!G535)</f>
        <v/>
      </c>
      <c r="H80" s="75">
        <f>IF($A80="","",MRP!H535)</f>
        <v/>
      </c>
      <c r="I80" s="75">
        <f>IF($A80="","",MRP!I535)</f>
        <v/>
      </c>
      <c r="J80" s="75">
        <f>IF($A80="","",MRP!J535)</f>
        <v/>
      </c>
      <c r="K80" s="75">
        <f>IF($A80="","",MRP!K535)</f>
        <v/>
      </c>
      <c r="L80" s="75">
        <f>IF($A80="","",MRP!L535)</f>
        <v/>
      </c>
      <c r="M80" s="76">
        <f>IF($A80="","",SUM(E80:L80))</f>
        <v/>
      </c>
      <c r="N80" s="77">
        <f>IF(ISNUMBER(D80),M80*D80,"")</f>
        <v/>
      </c>
      <c r="O80" s="78">
        <f>MRP!M535</f>
        <v/>
      </c>
    </row>
    <row r="81">
      <c r="A81" s="73">
        <f>IF(Materiales!$A$80="","",Materiales!$A$80)</f>
        <v/>
      </c>
      <c r="B81" s="60">
        <f>IF(Materiales!$B$80="","",Materiales!$B$80)</f>
        <v/>
      </c>
      <c r="C81" s="73">
        <f>IF(Materiales!$C$80="","",Materiales!$C$80)</f>
        <v/>
      </c>
      <c r="D81" s="74">
        <f>IF(Materiales!$D$80="","",Materiales!$D$80)</f>
        <v/>
      </c>
      <c r="E81" s="75">
        <f>IF($A81="","",MRP!E542)</f>
        <v/>
      </c>
      <c r="F81" s="75">
        <f>IF($A81="","",MRP!F542)</f>
        <v/>
      </c>
      <c r="G81" s="75">
        <f>IF($A81="","",MRP!G542)</f>
        <v/>
      </c>
      <c r="H81" s="75">
        <f>IF($A81="","",MRP!H542)</f>
        <v/>
      </c>
      <c r="I81" s="75">
        <f>IF($A81="","",MRP!I542)</f>
        <v/>
      </c>
      <c r="J81" s="75">
        <f>IF($A81="","",MRP!J542)</f>
        <v/>
      </c>
      <c r="K81" s="75">
        <f>IF($A81="","",MRP!K542)</f>
        <v/>
      </c>
      <c r="L81" s="75">
        <f>IF($A81="","",MRP!L542)</f>
        <v/>
      </c>
      <c r="M81" s="76">
        <f>IF($A81="","",SUM(E81:L81))</f>
        <v/>
      </c>
      <c r="N81" s="77">
        <f>IF(ISNUMBER(D81),M81*D81,"")</f>
        <v/>
      </c>
      <c r="O81" s="78">
        <f>MRP!M542</f>
        <v/>
      </c>
    </row>
    <row r="82">
      <c r="A82" s="73">
        <f>IF(Materiales!$A$81="","",Materiales!$A$81)</f>
        <v/>
      </c>
      <c r="B82" s="60">
        <f>IF(Materiales!$B$81="","",Materiales!$B$81)</f>
        <v/>
      </c>
      <c r="C82" s="73">
        <f>IF(Materiales!$C$81="","",Materiales!$C$81)</f>
        <v/>
      </c>
      <c r="D82" s="74">
        <f>IF(Materiales!$D$81="","",Materiales!$D$81)</f>
        <v/>
      </c>
      <c r="E82" s="75">
        <f>IF($A82="","",MRP!E549)</f>
        <v/>
      </c>
      <c r="F82" s="75">
        <f>IF($A82="","",MRP!F549)</f>
        <v/>
      </c>
      <c r="G82" s="75">
        <f>IF($A82="","",MRP!G549)</f>
        <v/>
      </c>
      <c r="H82" s="75">
        <f>IF($A82="","",MRP!H549)</f>
        <v/>
      </c>
      <c r="I82" s="75">
        <f>IF($A82="","",MRP!I549)</f>
        <v/>
      </c>
      <c r="J82" s="75">
        <f>IF($A82="","",MRP!J549)</f>
        <v/>
      </c>
      <c r="K82" s="75">
        <f>IF($A82="","",MRP!K549)</f>
        <v/>
      </c>
      <c r="L82" s="75">
        <f>IF($A82="","",MRP!L549)</f>
        <v/>
      </c>
      <c r="M82" s="76">
        <f>IF($A82="","",SUM(E82:L82))</f>
        <v/>
      </c>
      <c r="N82" s="77">
        <f>IF(ISNUMBER(D82),M82*D82,"")</f>
        <v/>
      </c>
      <c r="O82" s="78">
        <f>MRP!M549</f>
        <v/>
      </c>
    </row>
    <row r="83">
      <c r="A83" s="73">
        <f>IF(Materiales!$A$82="","",Materiales!$A$82)</f>
        <v/>
      </c>
      <c r="B83" s="60">
        <f>IF(Materiales!$B$82="","",Materiales!$B$82)</f>
        <v/>
      </c>
      <c r="C83" s="73">
        <f>IF(Materiales!$C$82="","",Materiales!$C$82)</f>
        <v/>
      </c>
      <c r="D83" s="74">
        <f>IF(Materiales!$D$82="","",Materiales!$D$82)</f>
        <v/>
      </c>
      <c r="E83" s="75">
        <f>IF($A83="","",MRP!E556)</f>
        <v/>
      </c>
      <c r="F83" s="75">
        <f>IF($A83="","",MRP!F556)</f>
        <v/>
      </c>
      <c r="G83" s="75">
        <f>IF($A83="","",MRP!G556)</f>
        <v/>
      </c>
      <c r="H83" s="75">
        <f>IF($A83="","",MRP!H556)</f>
        <v/>
      </c>
      <c r="I83" s="75">
        <f>IF($A83="","",MRP!I556)</f>
        <v/>
      </c>
      <c r="J83" s="75">
        <f>IF($A83="","",MRP!J556)</f>
        <v/>
      </c>
      <c r="K83" s="75">
        <f>IF($A83="","",MRP!K556)</f>
        <v/>
      </c>
      <c r="L83" s="75">
        <f>IF($A83="","",MRP!L556)</f>
        <v/>
      </c>
      <c r="M83" s="76">
        <f>IF($A83="","",SUM(E83:L83))</f>
        <v/>
      </c>
      <c r="N83" s="77">
        <f>IF(ISNUMBER(D83),M83*D83,"")</f>
        <v/>
      </c>
      <c r="O83" s="78">
        <f>MRP!M556</f>
        <v/>
      </c>
    </row>
    <row r="84">
      <c r="A84" s="73">
        <f>IF(Materiales!$A$83="","",Materiales!$A$83)</f>
        <v/>
      </c>
      <c r="B84" s="60">
        <f>IF(Materiales!$B$83="","",Materiales!$B$83)</f>
        <v/>
      </c>
      <c r="C84" s="73">
        <f>IF(Materiales!$C$83="","",Materiales!$C$83)</f>
        <v/>
      </c>
      <c r="D84" s="74">
        <f>IF(Materiales!$D$83="","",Materiales!$D$83)</f>
        <v/>
      </c>
      <c r="E84" s="75">
        <f>IF($A84="","",MRP!E563)</f>
        <v/>
      </c>
      <c r="F84" s="75">
        <f>IF($A84="","",MRP!F563)</f>
        <v/>
      </c>
      <c r="G84" s="75">
        <f>IF($A84="","",MRP!G563)</f>
        <v/>
      </c>
      <c r="H84" s="75">
        <f>IF($A84="","",MRP!H563)</f>
        <v/>
      </c>
      <c r="I84" s="75">
        <f>IF($A84="","",MRP!I563)</f>
        <v/>
      </c>
      <c r="J84" s="75">
        <f>IF($A84="","",MRP!J563)</f>
        <v/>
      </c>
      <c r="K84" s="75">
        <f>IF($A84="","",MRP!K563)</f>
        <v/>
      </c>
      <c r="L84" s="75">
        <f>IF($A84="","",MRP!L563)</f>
        <v/>
      </c>
      <c r="M84" s="76">
        <f>IF($A84="","",SUM(E84:L84))</f>
        <v/>
      </c>
      <c r="N84" s="77">
        <f>IF(ISNUMBER(D84),M84*D84,"")</f>
        <v/>
      </c>
      <c r="O84" s="78">
        <f>MRP!M563</f>
        <v/>
      </c>
    </row>
    <row r="85">
      <c r="A85" s="73">
        <f>IF(Materiales!$A$84="","",Materiales!$A$84)</f>
        <v/>
      </c>
      <c r="B85" s="60">
        <f>IF(Materiales!$B$84="","",Materiales!$B$84)</f>
        <v/>
      </c>
      <c r="C85" s="73">
        <f>IF(Materiales!$C$84="","",Materiales!$C$84)</f>
        <v/>
      </c>
      <c r="D85" s="74">
        <f>IF(Materiales!$D$84="","",Materiales!$D$84)</f>
        <v/>
      </c>
      <c r="E85" s="75">
        <f>IF($A85="","",MRP!E570)</f>
        <v/>
      </c>
      <c r="F85" s="75">
        <f>IF($A85="","",MRP!F570)</f>
        <v/>
      </c>
      <c r="G85" s="75">
        <f>IF($A85="","",MRP!G570)</f>
        <v/>
      </c>
      <c r="H85" s="75">
        <f>IF($A85="","",MRP!H570)</f>
        <v/>
      </c>
      <c r="I85" s="75">
        <f>IF($A85="","",MRP!I570)</f>
        <v/>
      </c>
      <c r="J85" s="75">
        <f>IF($A85="","",MRP!J570)</f>
        <v/>
      </c>
      <c r="K85" s="75">
        <f>IF($A85="","",MRP!K570)</f>
        <v/>
      </c>
      <c r="L85" s="75">
        <f>IF($A85="","",MRP!L570)</f>
        <v/>
      </c>
      <c r="M85" s="76">
        <f>IF($A85="","",SUM(E85:L85))</f>
        <v/>
      </c>
      <c r="N85" s="77">
        <f>IF(ISNUMBER(D85),M85*D85,"")</f>
        <v/>
      </c>
      <c r="O85" s="78">
        <f>MRP!M570</f>
        <v/>
      </c>
    </row>
    <row r="86">
      <c r="A86" s="73">
        <f>IF(Materiales!$A$85="","",Materiales!$A$85)</f>
        <v/>
      </c>
      <c r="B86" s="60">
        <f>IF(Materiales!$B$85="","",Materiales!$B$85)</f>
        <v/>
      </c>
      <c r="C86" s="73">
        <f>IF(Materiales!$C$85="","",Materiales!$C$85)</f>
        <v/>
      </c>
      <c r="D86" s="74">
        <f>IF(Materiales!$D$85="","",Materiales!$D$85)</f>
        <v/>
      </c>
      <c r="E86" s="75">
        <f>IF($A86="","",MRP!E577)</f>
        <v/>
      </c>
      <c r="F86" s="75">
        <f>IF($A86="","",MRP!F577)</f>
        <v/>
      </c>
      <c r="G86" s="75">
        <f>IF($A86="","",MRP!G577)</f>
        <v/>
      </c>
      <c r="H86" s="75">
        <f>IF($A86="","",MRP!H577)</f>
        <v/>
      </c>
      <c r="I86" s="75">
        <f>IF($A86="","",MRP!I577)</f>
        <v/>
      </c>
      <c r="J86" s="75">
        <f>IF($A86="","",MRP!J577)</f>
        <v/>
      </c>
      <c r="K86" s="75">
        <f>IF($A86="","",MRP!K577)</f>
        <v/>
      </c>
      <c r="L86" s="75">
        <f>IF($A86="","",MRP!L577)</f>
        <v/>
      </c>
      <c r="M86" s="76">
        <f>IF($A86="","",SUM(E86:L86))</f>
        <v/>
      </c>
      <c r="N86" s="77">
        <f>IF(ISNUMBER(D86),M86*D86,"")</f>
        <v/>
      </c>
      <c r="O86" s="78">
        <f>MRP!M577</f>
        <v/>
      </c>
    </row>
    <row r="87">
      <c r="A87" s="73">
        <f>IF(Materiales!$A$86="","",Materiales!$A$86)</f>
        <v/>
      </c>
      <c r="B87" s="60">
        <f>IF(Materiales!$B$86="","",Materiales!$B$86)</f>
        <v/>
      </c>
      <c r="C87" s="73">
        <f>IF(Materiales!$C$86="","",Materiales!$C$86)</f>
        <v/>
      </c>
      <c r="D87" s="74">
        <f>IF(Materiales!$D$86="","",Materiales!$D$86)</f>
        <v/>
      </c>
      <c r="E87" s="75">
        <f>IF($A87="","",MRP!E584)</f>
        <v/>
      </c>
      <c r="F87" s="75">
        <f>IF($A87="","",MRP!F584)</f>
        <v/>
      </c>
      <c r="G87" s="75">
        <f>IF($A87="","",MRP!G584)</f>
        <v/>
      </c>
      <c r="H87" s="75">
        <f>IF($A87="","",MRP!H584)</f>
        <v/>
      </c>
      <c r="I87" s="75">
        <f>IF($A87="","",MRP!I584)</f>
        <v/>
      </c>
      <c r="J87" s="75">
        <f>IF($A87="","",MRP!J584)</f>
        <v/>
      </c>
      <c r="K87" s="75">
        <f>IF($A87="","",MRP!K584)</f>
        <v/>
      </c>
      <c r="L87" s="75">
        <f>IF($A87="","",MRP!L584)</f>
        <v/>
      </c>
      <c r="M87" s="76">
        <f>IF($A87="","",SUM(E87:L87))</f>
        <v/>
      </c>
      <c r="N87" s="77">
        <f>IF(ISNUMBER(D87),M87*D87,"")</f>
        <v/>
      </c>
      <c r="O87" s="78">
        <f>MRP!M584</f>
        <v/>
      </c>
    </row>
    <row r="88">
      <c r="A88" s="73">
        <f>IF(Materiales!$A$87="","",Materiales!$A$87)</f>
        <v/>
      </c>
      <c r="B88" s="60">
        <f>IF(Materiales!$B$87="","",Materiales!$B$87)</f>
        <v/>
      </c>
      <c r="C88" s="73">
        <f>IF(Materiales!$C$87="","",Materiales!$C$87)</f>
        <v/>
      </c>
      <c r="D88" s="74">
        <f>IF(Materiales!$D$87="","",Materiales!$D$87)</f>
        <v/>
      </c>
      <c r="E88" s="75">
        <f>IF($A88="","",MRP!E591)</f>
        <v/>
      </c>
      <c r="F88" s="75">
        <f>IF($A88="","",MRP!F591)</f>
        <v/>
      </c>
      <c r="G88" s="75">
        <f>IF($A88="","",MRP!G591)</f>
        <v/>
      </c>
      <c r="H88" s="75">
        <f>IF($A88="","",MRP!H591)</f>
        <v/>
      </c>
      <c r="I88" s="75">
        <f>IF($A88="","",MRP!I591)</f>
        <v/>
      </c>
      <c r="J88" s="75">
        <f>IF($A88="","",MRP!J591)</f>
        <v/>
      </c>
      <c r="K88" s="75">
        <f>IF($A88="","",MRP!K591)</f>
        <v/>
      </c>
      <c r="L88" s="75">
        <f>IF($A88="","",MRP!L591)</f>
        <v/>
      </c>
      <c r="M88" s="76">
        <f>IF($A88="","",SUM(E88:L88))</f>
        <v/>
      </c>
      <c r="N88" s="77">
        <f>IF(ISNUMBER(D88),M88*D88,"")</f>
        <v/>
      </c>
      <c r="O88" s="78">
        <f>MRP!M591</f>
        <v/>
      </c>
    </row>
    <row r="89">
      <c r="A89" s="73">
        <f>IF(Materiales!$A$88="","",Materiales!$A$88)</f>
        <v/>
      </c>
      <c r="B89" s="60">
        <f>IF(Materiales!$B$88="","",Materiales!$B$88)</f>
        <v/>
      </c>
      <c r="C89" s="73">
        <f>IF(Materiales!$C$88="","",Materiales!$C$88)</f>
        <v/>
      </c>
      <c r="D89" s="74">
        <f>IF(Materiales!$D$88="","",Materiales!$D$88)</f>
        <v/>
      </c>
      <c r="E89" s="75">
        <f>IF($A89="","",MRP!E598)</f>
        <v/>
      </c>
      <c r="F89" s="75">
        <f>IF($A89="","",MRP!F598)</f>
        <v/>
      </c>
      <c r="G89" s="75">
        <f>IF($A89="","",MRP!G598)</f>
        <v/>
      </c>
      <c r="H89" s="75">
        <f>IF($A89="","",MRP!H598)</f>
        <v/>
      </c>
      <c r="I89" s="75">
        <f>IF($A89="","",MRP!I598)</f>
        <v/>
      </c>
      <c r="J89" s="75">
        <f>IF($A89="","",MRP!J598)</f>
        <v/>
      </c>
      <c r="K89" s="75">
        <f>IF($A89="","",MRP!K598)</f>
        <v/>
      </c>
      <c r="L89" s="75">
        <f>IF($A89="","",MRP!L598)</f>
        <v/>
      </c>
      <c r="M89" s="76">
        <f>IF($A89="","",SUM(E89:L89))</f>
        <v/>
      </c>
      <c r="N89" s="77">
        <f>IF(ISNUMBER(D89),M89*D89,"")</f>
        <v/>
      </c>
      <c r="O89" s="78">
        <f>MRP!M598</f>
        <v/>
      </c>
    </row>
    <row r="90">
      <c r="A90" s="73">
        <f>IF(Materiales!$A$89="","",Materiales!$A$89)</f>
        <v/>
      </c>
      <c r="B90" s="60">
        <f>IF(Materiales!$B$89="","",Materiales!$B$89)</f>
        <v/>
      </c>
      <c r="C90" s="73">
        <f>IF(Materiales!$C$89="","",Materiales!$C$89)</f>
        <v/>
      </c>
      <c r="D90" s="74">
        <f>IF(Materiales!$D$89="","",Materiales!$D$89)</f>
        <v/>
      </c>
      <c r="E90" s="75">
        <f>IF($A90="","",MRP!E605)</f>
        <v/>
      </c>
      <c r="F90" s="75">
        <f>IF($A90="","",MRP!F605)</f>
        <v/>
      </c>
      <c r="G90" s="75">
        <f>IF($A90="","",MRP!G605)</f>
        <v/>
      </c>
      <c r="H90" s="75">
        <f>IF($A90="","",MRP!H605)</f>
        <v/>
      </c>
      <c r="I90" s="75">
        <f>IF($A90="","",MRP!I605)</f>
        <v/>
      </c>
      <c r="J90" s="75">
        <f>IF($A90="","",MRP!J605)</f>
        <v/>
      </c>
      <c r="K90" s="75">
        <f>IF($A90="","",MRP!K605)</f>
        <v/>
      </c>
      <c r="L90" s="75">
        <f>IF($A90="","",MRP!L605)</f>
        <v/>
      </c>
      <c r="M90" s="76">
        <f>IF($A90="","",SUM(E90:L90))</f>
        <v/>
      </c>
      <c r="N90" s="77">
        <f>IF(ISNUMBER(D90),M90*D90,"")</f>
        <v/>
      </c>
      <c r="O90" s="78">
        <f>MRP!M605</f>
        <v/>
      </c>
    </row>
    <row r="91">
      <c r="A91" s="73">
        <f>IF(Materiales!$A$90="","",Materiales!$A$90)</f>
        <v/>
      </c>
      <c r="B91" s="60">
        <f>IF(Materiales!$B$90="","",Materiales!$B$90)</f>
        <v/>
      </c>
      <c r="C91" s="73">
        <f>IF(Materiales!$C$90="","",Materiales!$C$90)</f>
        <v/>
      </c>
      <c r="D91" s="74">
        <f>IF(Materiales!$D$90="","",Materiales!$D$90)</f>
        <v/>
      </c>
      <c r="E91" s="75">
        <f>IF($A91="","",MRP!E612)</f>
        <v/>
      </c>
      <c r="F91" s="75">
        <f>IF($A91="","",MRP!F612)</f>
        <v/>
      </c>
      <c r="G91" s="75">
        <f>IF($A91="","",MRP!G612)</f>
        <v/>
      </c>
      <c r="H91" s="75">
        <f>IF($A91="","",MRP!H612)</f>
        <v/>
      </c>
      <c r="I91" s="75">
        <f>IF($A91="","",MRP!I612)</f>
        <v/>
      </c>
      <c r="J91" s="75">
        <f>IF($A91="","",MRP!J612)</f>
        <v/>
      </c>
      <c r="K91" s="75">
        <f>IF($A91="","",MRP!K612)</f>
        <v/>
      </c>
      <c r="L91" s="75">
        <f>IF($A91="","",MRP!L612)</f>
        <v/>
      </c>
      <c r="M91" s="76">
        <f>IF($A91="","",SUM(E91:L91))</f>
        <v/>
      </c>
      <c r="N91" s="77">
        <f>IF(ISNUMBER(D91),M91*D91,"")</f>
        <v/>
      </c>
      <c r="O91" s="78">
        <f>MRP!M612</f>
        <v/>
      </c>
    </row>
    <row r="92">
      <c r="A92" s="73">
        <f>IF(Materiales!$A$91="","",Materiales!$A$91)</f>
        <v/>
      </c>
      <c r="B92" s="60">
        <f>IF(Materiales!$B$91="","",Materiales!$B$91)</f>
        <v/>
      </c>
      <c r="C92" s="73">
        <f>IF(Materiales!$C$91="","",Materiales!$C$91)</f>
        <v/>
      </c>
      <c r="D92" s="74">
        <f>IF(Materiales!$D$91="","",Materiales!$D$91)</f>
        <v/>
      </c>
      <c r="E92" s="75">
        <f>IF($A92="","",MRP!E619)</f>
        <v/>
      </c>
      <c r="F92" s="75">
        <f>IF($A92="","",MRP!F619)</f>
        <v/>
      </c>
      <c r="G92" s="75">
        <f>IF($A92="","",MRP!G619)</f>
        <v/>
      </c>
      <c r="H92" s="75">
        <f>IF($A92="","",MRP!H619)</f>
        <v/>
      </c>
      <c r="I92" s="75">
        <f>IF($A92="","",MRP!I619)</f>
        <v/>
      </c>
      <c r="J92" s="75">
        <f>IF($A92="","",MRP!J619)</f>
        <v/>
      </c>
      <c r="K92" s="75">
        <f>IF($A92="","",MRP!K619)</f>
        <v/>
      </c>
      <c r="L92" s="75">
        <f>IF($A92="","",MRP!L619)</f>
        <v/>
      </c>
      <c r="M92" s="76">
        <f>IF($A92="","",SUM(E92:L92))</f>
        <v/>
      </c>
      <c r="N92" s="77">
        <f>IF(ISNUMBER(D92),M92*D92,"")</f>
        <v/>
      </c>
      <c r="O92" s="78">
        <f>MRP!M619</f>
        <v/>
      </c>
    </row>
    <row r="93">
      <c r="A93" s="73">
        <f>IF(Materiales!$A$92="","",Materiales!$A$92)</f>
        <v/>
      </c>
      <c r="B93" s="60">
        <f>IF(Materiales!$B$92="","",Materiales!$B$92)</f>
        <v/>
      </c>
      <c r="C93" s="73">
        <f>IF(Materiales!$C$92="","",Materiales!$C$92)</f>
        <v/>
      </c>
      <c r="D93" s="74">
        <f>IF(Materiales!$D$92="","",Materiales!$D$92)</f>
        <v/>
      </c>
      <c r="E93" s="75">
        <f>IF($A93="","",MRP!E626)</f>
        <v/>
      </c>
      <c r="F93" s="75">
        <f>IF($A93="","",MRP!F626)</f>
        <v/>
      </c>
      <c r="G93" s="75">
        <f>IF($A93="","",MRP!G626)</f>
        <v/>
      </c>
      <c r="H93" s="75">
        <f>IF($A93="","",MRP!H626)</f>
        <v/>
      </c>
      <c r="I93" s="75">
        <f>IF($A93="","",MRP!I626)</f>
        <v/>
      </c>
      <c r="J93" s="75">
        <f>IF($A93="","",MRP!J626)</f>
        <v/>
      </c>
      <c r="K93" s="75">
        <f>IF($A93="","",MRP!K626)</f>
        <v/>
      </c>
      <c r="L93" s="75">
        <f>IF($A93="","",MRP!L626)</f>
        <v/>
      </c>
      <c r="M93" s="76">
        <f>IF($A93="","",SUM(E93:L93))</f>
        <v/>
      </c>
      <c r="N93" s="77">
        <f>IF(ISNUMBER(D93),M93*D93,"")</f>
        <v/>
      </c>
      <c r="O93" s="78">
        <f>MRP!M626</f>
        <v/>
      </c>
    </row>
    <row r="94">
      <c r="A94" s="73">
        <f>IF(Materiales!$A$93="","",Materiales!$A$93)</f>
        <v/>
      </c>
      <c r="B94" s="60">
        <f>IF(Materiales!$B$93="","",Materiales!$B$93)</f>
        <v/>
      </c>
      <c r="C94" s="73">
        <f>IF(Materiales!$C$93="","",Materiales!$C$93)</f>
        <v/>
      </c>
      <c r="D94" s="74">
        <f>IF(Materiales!$D$93="","",Materiales!$D$93)</f>
        <v/>
      </c>
      <c r="E94" s="75">
        <f>IF($A94="","",MRP!E633)</f>
        <v/>
      </c>
      <c r="F94" s="75">
        <f>IF($A94="","",MRP!F633)</f>
        <v/>
      </c>
      <c r="G94" s="75">
        <f>IF($A94="","",MRP!G633)</f>
        <v/>
      </c>
      <c r="H94" s="75">
        <f>IF($A94="","",MRP!H633)</f>
        <v/>
      </c>
      <c r="I94" s="75">
        <f>IF($A94="","",MRP!I633)</f>
        <v/>
      </c>
      <c r="J94" s="75">
        <f>IF($A94="","",MRP!J633)</f>
        <v/>
      </c>
      <c r="K94" s="75">
        <f>IF($A94="","",MRP!K633)</f>
        <v/>
      </c>
      <c r="L94" s="75">
        <f>IF($A94="","",MRP!L633)</f>
        <v/>
      </c>
      <c r="M94" s="76">
        <f>IF($A94="","",SUM(E94:L94))</f>
        <v/>
      </c>
      <c r="N94" s="77">
        <f>IF(ISNUMBER(D94),M94*D94,"")</f>
        <v/>
      </c>
      <c r="O94" s="78">
        <f>MRP!M633</f>
        <v/>
      </c>
    </row>
    <row r="95">
      <c r="A95" s="73">
        <f>IF(Materiales!$A$94="","",Materiales!$A$94)</f>
        <v/>
      </c>
      <c r="B95" s="60">
        <f>IF(Materiales!$B$94="","",Materiales!$B$94)</f>
        <v/>
      </c>
      <c r="C95" s="73">
        <f>IF(Materiales!$C$94="","",Materiales!$C$94)</f>
        <v/>
      </c>
      <c r="D95" s="74">
        <f>IF(Materiales!$D$94="","",Materiales!$D$94)</f>
        <v/>
      </c>
      <c r="E95" s="75">
        <f>IF($A95="","",MRP!E640)</f>
        <v/>
      </c>
      <c r="F95" s="75">
        <f>IF($A95="","",MRP!F640)</f>
        <v/>
      </c>
      <c r="G95" s="75">
        <f>IF($A95="","",MRP!G640)</f>
        <v/>
      </c>
      <c r="H95" s="75">
        <f>IF($A95="","",MRP!H640)</f>
        <v/>
      </c>
      <c r="I95" s="75">
        <f>IF($A95="","",MRP!I640)</f>
        <v/>
      </c>
      <c r="J95" s="75">
        <f>IF($A95="","",MRP!J640)</f>
        <v/>
      </c>
      <c r="K95" s="75">
        <f>IF($A95="","",MRP!K640)</f>
        <v/>
      </c>
      <c r="L95" s="75">
        <f>IF($A95="","",MRP!L640)</f>
        <v/>
      </c>
      <c r="M95" s="76">
        <f>IF($A95="","",SUM(E95:L95))</f>
        <v/>
      </c>
      <c r="N95" s="77">
        <f>IF(ISNUMBER(D95),M95*D95,"")</f>
        <v/>
      </c>
      <c r="O95" s="78">
        <f>MRP!M640</f>
        <v/>
      </c>
    </row>
    <row r="96">
      <c r="A96" s="73">
        <f>IF(Materiales!$A$95="","",Materiales!$A$95)</f>
        <v/>
      </c>
      <c r="B96" s="60">
        <f>IF(Materiales!$B$95="","",Materiales!$B$95)</f>
        <v/>
      </c>
      <c r="C96" s="73">
        <f>IF(Materiales!$C$95="","",Materiales!$C$95)</f>
        <v/>
      </c>
      <c r="D96" s="74">
        <f>IF(Materiales!$D$95="","",Materiales!$D$95)</f>
        <v/>
      </c>
      <c r="E96" s="75">
        <f>IF($A96="","",MRP!E647)</f>
        <v/>
      </c>
      <c r="F96" s="75">
        <f>IF($A96="","",MRP!F647)</f>
        <v/>
      </c>
      <c r="G96" s="75">
        <f>IF($A96="","",MRP!G647)</f>
        <v/>
      </c>
      <c r="H96" s="75">
        <f>IF($A96="","",MRP!H647)</f>
        <v/>
      </c>
      <c r="I96" s="75">
        <f>IF($A96="","",MRP!I647)</f>
        <v/>
      </c>
      <c r="J96" s="75">
        <f>IF($A96="","",MRP!J647)</f>
        <v/>
      </c>
      <c r="K96" s="75">
        <f>IF($A96="","",MRP!K647)</f>
        <v/>
      </c>
      <c r="L96" s="75">
        <f>IF($A96="","",MRP!L647)</f>
        <v/>
      </c>
      <c r="M96" s="76">
        <f>IF($A96="","",SUM(E96:L96))</f>
        <v/>
      </c>
      <c r="N96" s="77">
        <f>IF(ISNUMBER(D96),M96*D96,"")</f>
        <v/>
      </c>
      <c r="O96" s="78">
        <f>MRP!M647</f>
        <v/>
      </c>
    </row>
    <row r="97">
      <c r="A97" s="73">
        <f>IF(Materiales!$A$96="","",Materiales!$A$96)</f>
        <v/>
      </c>
      <c r="B97" s="60">
        <f>IF(Materiales!$B$96="","",Materiales!$B$96)</f>
        <v/>
      </c>
      <c r="C97" s="73">
        <f>IF(Materiales!$C$96="","",Materiales!$C$96)</f>
        <v/>
      </c>
      <c r="D97" s="74">
        <f>IF(Materiales!$D$96="","",Materiales!$D$96)</f>
        <v/>
      </c>
      <c r="E97" s="75">
        <f>IF($A97="","",MRP!E654)</f>
        <v/>
      </c>
      <c r="F97" s="75">
        <f>IF($A97="","",MRP!F654)</f>
        <v/>
      </c>
      <c r="G97" s="75">
        <f>IF($A97="","",MRP!G654)</f>
        <v/>
      </c>
      <c r="H97" s="75">
        <f>IF($A97="","",MRP!H654)</f>
        <v/>
      </c>
      <c r="I97" s="75">
        <f>IF($A97="","",MRP!I654)</f>
        <v/>
      </c>
      <c r="J97" s="75">
        <f>IF($A97="","",MRP!J654)</f>
        <v/>
      </c>
      <c r="K97" s="75">
        <f>IF($A97="","",MRP!K654)</f>
        <v/>
      </c>
      <c r="L97" s="75">
        <f>IF($A97="","",MRP!L654)</f>
        <v/>
      </c>
      <c r="M97" s="76">
        <f>IF($A97="","",SUM(E97:L97))</f>
        <v/>
      </c>
      <c r="N97" s="77">
        <f>IF(ISNUMBER(D97),M97*D97,"")</f>
        <v/>
      </c>
      <c r="O97" s="78">
        <f>MRP!M654</f>
        <v/>
      </c>
    </row>
    <row r="98">
      <c r="A98" s="73">
        <f>IF(Materiales!$A$97="","",Materiales!$A$97)</f>
        <v/>
      </c>
      <c r="B98" s="60">
        <f>IF(Materiales!$B$97="","",Materiales!$B$97)</f>
        <v/>
      </c>
      <c r="C98" s="73">
        <f>IF(Materiales!$C$97="","",Materiales!$C$97)</f>
        <v/>
      </c>
      <c r="D98" s="74">
        <f>IF(Materiales!$D$97="","",Materiales!$D$97)</f>
        <v/>
      </c>
      <c r="E98" s="75">
        <f>IF($A98="","",MRP!E661)</f>
        <v/>
      </c>
      <c r="F98" s="75">
        <f>IF($A98="","",MRP!F661)</f>
        <v/>
      </c>
      <c r="G98" s="75">
        <f>IF($A98="","",MRP!G661)</f>
        <v/>
      </c>
      <c r="H98" s="75">
        <f>IF($A98="","",MRP!H661)</f>
        <v/>
      </c>
      <c r="I98" s="75">
        <f>IF($A98="","",MRP!I661)</f>
        <v/>
      </c>
      <c r="J98" s="75">
        <f>IF($A98="","",MRP!J661)</f>
        <v/>
      </c>
      <c r="K98" s="75">
        <f>IF($A98="","",MRP!K661)</f>
        <v/>
      </c>
      <c r="L98" s="75">
        <f>IF($A98="","",MRP!L661)</f>
        <v/>
      </c>
      <c r="M98" s="76">
        <f>IF($A98="","",SUM(E98:L98))</f>
        <v/>
      </c>
      <c r="N98" s="77">
        <f>IF(ISNUMBER(D98),M98*D98,"")</f>
        <v/>
      </c>
      <c r="O98" s="78">
        <f>MRP!M661</f>
        <v/>
      </c>
    </row>
    <row r="99">
      <c r="A99" s="73">
        <f>IF(Materiales!$A$98="","",Materiales!$A$98)</f>
        <v/>
      </c>
      <c r="B99" s="60">
        <f>IF(Materiales!$B$98="","",Materiales!$B$98)</f>
        <v/>
      </c>
      <c r="C99" s="73">
        <f>IF(Materiales!$C$98="","",Materiales!$C$98)</f>
        <v/>
      </c>
      <c r="D99" s="74">
        <f>IF(Materiales!$D$98="","",Materiales!$D$98)</f>
        <v/>
      </c>
      <c r="E99" s="75">
        <f>IF($A99="","",MRP!E668)</f>
        <v/>
      </c>
      <c r="F99" s="75">
        <f>IF($A99="","",MRP!F668)</f>
        <v/>
      </c>
      <c r="G99" s="75">
        <f>IF($A99="","",MRP!G668)</f>
        <v/>
      </c>
      <c r="H99" s="75">
        <f>IF($A99="","",MRP!H668)</f>
        <v/>
      </c>
      <c r="I99" s="75">
        <f>IF($A99="","",MRP!I668)</f>
        <v/>
      </c>
      <c r="J99" s="75">
        <f>IF($A99="","",MRP!J668)</f>
        <v/>
      </c>
      <c r="K99" s="75">
        <f>IF($A99="","",MRP!K668)</f>
        <v/>
      </c>
      <c r="L99" s="75">
        <f>IF($A99="","",MRP!L668)</f>
        <v/>
      </c>
      <c r="M99" s="76">
        <f>IF($A99="","",SUM(E99:L99))</f>
        <v/>
      </c>
      <c r="N99" s="77">
        <f>IF(ISNUMBER(D99),M99*D99,"")</f>
        <v/>
      </c>
      <c r="O99" s="78">
        <f>MRP!M668</f>
        <v/>
      </c>
    </row>
    <row r="100">
      <c r="A100" s="73">
        <f>IF(Materiales!$A$99="","",Materiales!$A$99)</f>
        <v/>
      </c>
      <c r="B100" s="60">
        <f>IF(Materiales!$B$99="","",Materiales!$B$99)</f>
        <v/>
      </c>
      <c r="C100" s="73">
        <f>IF(Materiales!$C$99="","",Materiales!$C$99)</f>
        <v/>
      </c>
      <c r="D100" s="74">
        <f>IF(Materiales!$D$99="","",Materiales!$D$99)</f>
        <v/>
      </c>
      <c r="E100" s="75">
        <f>IF($A100="","",MRP!E675)</f>
        <v/>
      </c>
      <c r="F100" s="75">
        <f>IF($A100="","",MRP!F675)</f>
        <v/>
      </c>
      <c r="G100" s="75">
        <f>IF($A100="","",MRP!G675)</f>
        <v/>
      </c>
      <c r="H100" s="75">
        <f>IF($A100="","",MRP!H675)</f>
        <v/>
      </c>
      <c r="I100" s="75">
        <f>IF($A100="","",MRP!I675)</f>
        <v/>
      </c>
      <c r="J100" s="75">
        <f>IF($A100="","",MRP!J675)</f>
        <v/>
      </c>
      <c r="K100" s="75">
        <f>IF($A100="","",MRP!K675)</f>
        <v/>
      </c>
      <c r="L100" s="75">
        <f>IF($A100="","",MRP!L675)</f>
        <v/>
      </c>
      <c r="M100" s="76">
        <f>IF($A100="","",SUM(E100:L100))</f>
        <v/>
      </c>
      <c r="N100" s="77">
        <f>IF(ISNUMBER(D100),M100*D100,"")</f>
        <v/>
      </c>
      <c r="O100" s="78">
        <f>MRP!M675</f>
        <v/>
      </c>
    </row>
    <row r="101">
      <c r="A101" s="73">
        <f>IF(Materiales!$A$100="","",Materiales!$A$100)</f>
        <v/>
      </c>
      <c r="B101" s="60">
        <f>IF(Materiales!$B$100="","",Materiales!$B$100)</f>
        <v/>
      </c>
      <c r="C101" s="73">
        <f>IF(Materiales!$C$100="","",Materiales!$C$100)</f>
        <v/>
      </c>
      <c r="D101" s="74">
        <f>IF(Materiales!$D$100="","",Materiales!$D$100)</f>
        <v/>
      </c>
      <c r="E101" s="75">
        <f>IF($A101="","",MRP!E682)</f>
        <v/>
      </c>
      <c r="F101" s="75">
        <f>IF($A101="","",MRP!F682)</f>
        <v/>
      </c>
      <c r="G101" s="75">
        <f>IF($A101="","",MRP!G682)</f>
        <v/>
      </c>
      <c r="H101" s="75">
        <f>IF($A101="","",MRP!H682)</f>
        <v/>
      </c>
      <c r="I101" s="75">
        <f>IF($A101="","",MRP!I682)</f>
        <v/>
      </c>
      <c r="J101" s="75">
        <f>IF($A101="","",MRP!J682)</f>
        <v/>
      </c>
      <c r="K101" s="75">
        <f>IF($A101="","",MRP!K682)</f>
        <v/>
      </c>
      <c r="L101" s="75">
        <f>IF($A101="","",MRP!L682)</f>
        <v/>
      </c>
      <c r="M101" s="76">
        <f>IF($A101="","",SUM(E101:L101))</f>
        <v/>
      </c>
      <c r="N101" s="77">
        <f>IF(ISNUMBER(D101),M101*D101,"")</f>
        <v/>
      </c>
      <c r="O101" s="78">
        <f>MRP!M682</f>
        <v/>
      </c>
    </row>
    <row r="102">
      <c r="A102" s="73">
        <f>IF(Materiales!$A$101="","",Materiales!$A$101)</f>
        <v/>
      </c>
      <c r="B102" s="60">
        <f>IF(Materiales!$B$101="","",Materiales!$B$101)</f>
        <v/>
      </c>
      <c r="C102" s="73">
        <f>IF(Materiales!$C$101="","",Materiales!$C$101)</f>
        <v/>
      </c>
      <c r="D102" s="74">
        <f>IF(Materiales!$D$101="","",Materiales!$D$101)</f>
        <v/>
      </c>
      <c r="E102" s="75">
        <f>IF($A102="","",MRP!E689)</f>
        <v/>
      </c>
      <c r="F102" s="75">
        <f>IF($A102="","",MRP!F689)</f>
        <v/>
      </c>
      <c r="G102" s="75">
        <f>IF($A102="","",MRP!G689)</f>
        <v/>
      </c>
      <c r="H102" s="75">
        <f>IF($A102="","",MRP!H689)</f>
        <v/>
      </c>
      <c r="I102" s="75">
        <f>IF($A102="","",MRP!I689)</f>
        <v/>
      </c>
      <c r="J102" s="75">
        <f>IF($A102="","",MRP!J689)</f>
        <v/>
      </c>
      <c r="K102" s="75">
        <f>IF($A102="","",MRP!K689)</f>
        <v/>
      </c>
      <c r="L102" s="75">
        <f>IF($A102="","",MRP!L689)</f>
        <v/>
      </c>
      <c r="M102" s="76">
        <f>IF($A102="","",SUM(E102:L102))</f>
        <v/>
      </c>
      <c r="N102" s="77">
        <f>IF(ISNUMBER(D102),M102*D102,"")</f>
        <v/>
      </c>
      <c r="O102" s="78">
        <f>MRP!M689</f>
        <v/>
      </c>
    </row>
    <row r="103">
      <c r="A103" s="73">
        <f>IF(Materiales!$A$102="","",Materiales!$A$102)</f>
        <v/>
      </c>
      <c r="B103" s="60">
        <f>IF(Materiales!$B$102="","",Materiales!$B$102)</f>
        <v/>
      </c>
      <c r="C103" s="73">
        <f>IF(Materiales!$C$102="","",Materiales!$C$102)</f>
        <v/>
      </c>
      <c r="D103" s="74">
        <f>IF(Materiales!$D$102="","",Materiales!$D$102)</f>
        <v/>
      </c>
      <c r="E103" s="75">
        <f>IF($A103="","",MRP!E696)</f>
        <v/>
      </c>
      <c r="F103" s="75">
        <f>IF($A103="","",MRP!F696)</f>
        <v/>
      </c>
      <c r="G103" s="75">
        <f>IF($A103="","",MRP!G696)</f>
        <v/>
      </c>
      <c r="H103" s="75">
        <f>IF($A103="","",MRP!H696)</f>
        <v/>
      </c>
      <c r="I103" s="75">
        <f>IF($A103="","",MRP!I696)</f>
        <v/>
      </c>
      <c r="J103" s="75">
        <f>IF($A103="","",MRP!J696)</f>
        <v/>
      </c>
      <c r="K103" s="75">
        <f>IF($A103="","",MRP!K696)</f>
        <v/>
      </c>
      <c r="L103" s="75">
        <f>IF($A103="","",MRP!L696)</f>
        <v/>
      </c>
      <c r="M103" s="76">
        <f>IF($A103="","",SUM(E103:L103))</f>
        <v/>
      </c>
      <c r="N103" s="77">
        <f>IF(ISNUMBER(D103),M103*D103,"")</f>
        <v/>
      </c>
      <c r="O103" s="78">
        <f>MRP!M696</f>
        <v/>
      </c>
    </row>
    <row r="104">
      <c r="A104" s="73">
        <f>IF(Materiales!$A$103="","",Materiales!$A$103)</f>
        <v/>
      </c>
      <c r="B104" s="60">
        <f>IF(Materiales!$B$103="","",Materiales!$B$103)</f>
        <v/>
      </c>
      <c r="C104" s="73">
        <f>IF(Materiales!$C$103="","",Materiales!$C$103)</f>
        <v/>
      </c>
      <c r="D104" s="74">
        <f>IF(Materiales!$D$103="","",Materiales!$D$103)</f>
        <v/>
      </c>
      <c r="E104" s="75">
        <f>IF($A104="","",MRP!E703)</f>
        <v/>
      </c>
      <c r="F104" s="75">
        <f>IF($A104="","",MRP!F703)</f>
        <v/>
      </c>
      <c r="G104" s="75">
        <f>IF($A104="","",MRP!G703)</f>
        <v/>
      </c>
      <c r="H104" s="75">
        <f>IF($A104="","",MRP!H703)</f>
        <v/>
      </c>
      <c r="I104" s="75">
        <f>IF($A104="","",MRP!I703)</f>
        <v/>
      </c>
      <c r="J104" s="75">
        <f>IF($A104="","",MRP!J703)</f>
        <v/>
      </c>
      <c r="K104" s="75">
        <f>IF($A104="","",MRP!K703)</f>
        <v/>
      </c>
      <c r="L104" s="75">
        <f>IF($A104="","",MRP!L703)</f>
        <v/>
      </c>
      <c r="M104" s="76">
        <f>IF($A104="","",SUM(E104:L104))</f>
        <v/>
      </c>
      <c r="N104" s="77">
        <f>IF(ISNUMBER(D104),M104*D104,"")</f>
        <v/>
      </c>
      <c r="O104" s="78">
        <f>MRP!M703</f>
        <v/>
      </c>
    </row>
    <row r="105">
      <c r="A105" s="73">
        <f>IF(Materiales!$A$104="","",Materiales!$A$104)</f>
        <v/>
      </c>
      <c r="B105" s="60">
        <f>IF(Materiales!$B$104="","",Materiales!$B$104)</f>
        <v/>
      </c>
      <c r="C105" s="73">
        <f>IF(Materiales!$C$104="","",Materiales!$C$104)</f>
        <v/>
      </c>
      <c r="D105" s="74">
        <f>IF(Materiales!$D$104="","",Materiales!$D$104)</f>
        <v/>
      </c>
      <c r="E105" s="75">
        <f>IF($A105="","",MRP!E710)</f>
        <v/>
      </c>
      <c r="F105" s="75">
        <f>IF($A105="","",MRP!F710)</f>
        <v/>
      </c>
      <c r="G105" s="75">
        <f>IF($A105="","",MRP!G710)</f>
        <v/>
      </c>
      <c r="H105" s="75">
        <f>IF($A105="","",MRP!H710)</f>
        <v/>
      </c>
      <c r="I105" s="75">
        <f>IF($A105="","",MRP!I710)</f>
        <v/>
      </c>
      <c r="J105" s="75">
        <f>IF($A105="","",MRP!J710)</f>
        <v/>
      </c>
      <c r="K105" s="75">
        <f>IF($A105="","",MRP!K710)</f>
        <v/>
      </c>
      <c r="L105" s="75">
        <f>IF($A105="","",MRP!L710)</f>
        <v/>
      </c>
      <c r="M105" s="76">
        <f>IF($A105="","",SUM(E105:L105))</f>
        <v/>
      </c>
      <c r="N105" s="77">
        <f>IF(ISNUMBER(D105),M105*D105,"")</f>
        <v/>
      </c>
      <c r="O105" s="78">
        <f>MRP!M710</f>
        <v/>
      </c>
    </row>
    <row r="106">
      <c r="A106" s="73">
        <f>IF(Materiales!$A$105="","",Materiales!$A$105)</f>
        <v/>
      </c>
      <c r="B106" s="60">
        <f>IF(Materiales!$B$105="","",Materiales!$B$105)</f>
        <v/>
      </c>
      <c r="C106" s="73">
        <f>IF(Materiales!$C$105="","",Materiales!$C$105)</f>
        <v/>
      </c>
      <c r="D106" s="74">
        <f>IF(Materiales!$D$105="","",Materiales!$D$105)</f>
        <v/>
      </c>
      <c r="E106" s="75">
        <f>IF($A106="","",MRP!E717)</f>
        <v/>
      </c>
      <c r="F106" s="75">
        <f>IF($A106="","",MRP!F717)</f>
        <v/>
      </c>
      <c r="G106" s="75">
        <f>IF($A106="","",MRP!G717)</f>
        <v/>
      </c>
      <c r="H106" s="75">
        <f>IF($A106="","",MRP!H717)</f>
        <v/>
      </c>
      <c r="I106" s="75">
        <f>IF($A106="","",MRP!I717)</f>
        <v/>
      </c>
      <c r="J106" s="75">
        <f>IF($A106="","",MRP!J717)</f>
        <v/>
      </c>
      <c r="K106" s="75">
        <f>IF($A106="","",MRP!K717)</f>
        <v/>
      </c>
      <c r="L106" s="75">
        <f>IF($A106="","",MRP!L717)</f>
        <v/>
      </c>
      <c r="M106" s="76">
        <f>IF($A106="","",SUM(E106:L106))</f>
        <v/>
      </c>
      <c r="N106" s="77">
        <f>IF(ISNUMBER(D106),M106*D106,"")</f>
        <v/>
      </c>
      <c r="O106" s="78">
        <f>MRP!M717</f>
        <v/>
      </c>
    </row>
    <row r="107">
      <c r="A107" s="73">
        <f>IF(Materiales!$A$106="","",Materiales!$A$106)</f>
        <v/>
      </c>
      <c r="B107" s="60">
        <f>IF(Materiales!$B$106="","",Materiales!$B$106)</f>
        <v/>
      </c>
      <c r="C107" s="73">
        <f>IF(Materiales!$C$106="","",Materiales!$C$106)</f>
        <v/>
      </c>
      <c r="D107" s="74">
        <f>IF(Materiales!$D$106="","",Materiales!$D$106)</f>
        <v/>
      </c>
      <c r="E107" s="75">
        <f>IF($A107="","",MRP!E724)</f>
        <v/>
      </c>
      <c r="F107" s="75">
        <f>IF($A107="","",MRP!F724)</f>
        <v/>
      </c>
      <c r="G107" s="75">
        <f>IF($A107="","",MRP!G724)</f>
        <v/>
      </c>
      <c r="H107" s="75">
        <f>IF($A107="","",MRP!H724)</f>
        <v/>
      </c>
      <c r="I107" s="75">
        <f>IF($A107="","",MRP!I724)</f>
        <v/>
      </c>
      <c r="J107" s="75">
        <f>IF($A107="","",MRP!J724)</f>
        <v/>
      </c>
      <c r="K107" s="75">
        <f>IF($A107="","",MRP!K724)</f>
        <v/>
      </c>
      <c r="L107" s="75">
        <f>IF($A107="","",MRP!L724)</f>
        <v/>
      </c>
      <c r="M107" s="76">
        <f>IF($A107="","",SUM(E107:L107))</f>
        <v/>
      </c>
      <c r="N107" s="77">
        <f>IF(ISNUMBER(D107),M107*D107,"")</f>
        <v/>
      </c>
      <c r="O107" s="78">
        <f>MRP!M724</f>
        <v/>
      </c>
    </row>
    <row r="108">
      <c r="A108" s="73">
        <f>IF(Materiales!$A$107="","",Materiales!$A$107)</f>
        <v/>
      </c>
      <c r="B108" s="60">
        <f>IF(Materiales!$B$107="","",Materiales!$B$107)</f>
        <v/>
      </c>
      <c r="C108" s="73">
        <f>IF(Materiales!$C$107="","",Materiales!$C$107)</f>
        <v/>
      </c>
      <c r="D108" s="74">
        <f>IF(Materiales!$D$107="","",Materiales!$D$107)</f>
        <v/>
      </c>
      <c r="E108" s="75">
        <f>IF($A108="","",MRP!E731)</f>
        <v/>
      </c>
      <c r="F108" s="75">
        <f>IF($A108="","",MRP!F731)</f>
        <v/>
      </c>
      <c r="G108" s="75">
        <f>IF($A108="","",MRP!G731)</f>
        <v/>
      </c>
      <c r="H108" s="75">
        <f>IF($A108="","",MRP!H731)</f>
        <v/>
      </c>
      <c r="I108" s="75">
        <f>IF($A108="","",MRP!I731)</f>
        <v/>
      </c>
      <c r="J108" s="75">
        <f>IF($A108="","",MRP!J731)</f>
        <v/>
      </c>
      <c r="K108" s="75">
        <f>IF($A108="","",MRP!K731)</f>
        <v/>
      </c>
      <c r="L108" s="75">
        <f>IF($A108="","",MRP!L731)</f>
        <v/>
      </c>
      <c r="M108" s="76">
        <f>IF($A108="","",SUM(E108:L108))</f>
        <v/>
      </c>
      <c r="N108" s="77">
        <f>IF(ISNUMBER(D108),M108*D108,"")</f>
        <v/>
      </c>
      <c r="O108" s="78">
        <f>MRP!M731</f>
        <v/>
      </c>
    </row>
    <row r="109">
      <c r="A109" s="73">
        <f>IF(Materiales!$A$108="","",Materiales!$A$108)</f>
        <v/>
      </c>
      <c r="B109" s="60">
        <f>IF(Materiales!$B$108="","",Materiales!$B$108)</f>
        <v/>
      </c>
      <c r="C109" s="73">
        <f>IF(Materiales!$C$108="","",Materiales!$C$108)</f>
        <v/>
      </c>
      <c r="D109" s="74">
        <f>IF(Materiales!$D$108="","",Materiales!$D$108)</f>
        <v/>
      </c>
      <c r="E109" s="75">
        <f>IF($A109="","",MRP!E738)</f>
        <v/>
      </c>
      <c r="F109" s="75">
        <f>IF($A109="","",MRP!F738)</f>
        <v/>
      </c>
      <c r="G109" s="75">
        <f>IF($A109="","",MRP!G738)</f>
        <v/>
      </c>
      <c r="H109" s="75">
        <f>IF($A109="","",MRP!H738)</f>
        <v/>
      </c>
      <c r="I109" s="75">
        <f>IF($A109="","",MRP!I738)</f>
        <v/>
      </c>
      <c r="J109" s="75">
        <f>IF($A109="","",MRP!J738)</f>
        <v/>
      </c>
      <c r="K109" s="75">
        <f>IF($A109="","",MRP!K738)</f>
        <v/>
      </c>
      <c r="L109" s="75">
        <f>IF($A109="","",MRP!L738)</f>
        <v/>
      </c>
      <c r="M109" s="76">
        <f>IF($A109="","",SUM(E109:L109))</f>
        <v/>
      </c>
      <c r="N109" s="77">
        <f>IF(ISNUMBER(D109),M109*D109,"")</f>
        <v/>
      </c>
      <c r="O109" s="78">
        <f>MRP!M738</f>
        <v/>
      </c>
    </row>
    <row r="110">
      <c r="A110" s="73">
        <f>IF(Materiales!$A$109="","",Materiales!$A$109)</f>
        <v/>
      </c>
      <c r="B110" s="60">
        <f>IF(Materiales!$B$109="","",Materiales!$B$109)</f>
        <v/>
      </c>
      <c r="C110" s="73">
        <f>IF(Materiales!$C$109="","",Materiales!$C$109)</f>
        <v/>
      </c>
      <c r="D110" s="74">
        <f>IF(Materiales!$D$109="","",Materiales!$D$109)</f>
        <v/>
      </c>
      <c r="E110" s="75">
        <f>IF($A110="","",MRP!E745)</f>
        <v/>
      </c>
      <c r="F110" s="75">
        <f>IF($A110="","",MRP!F745)</f>
        <v/>
      </c>
      <c r="G110" s="75">
        <f>IF($A110="","",MRP!G745)</f>
        <v/>
      </c>
      <c r="H110" s="75">
        <f>IF($A110="","",MRP!H745)</f>
        <v/>
      </c>
      <c r="I110" s="75">
        <f>IF($A110="","",MRP!I745)</f>
        <v/>
      </c>
      <c r="J110" s="75">
        <f>IF($A110="","",MRP!J745)</f>
        <v/>
      </c>
      <c r="K110" s="75">
        <f>IF($A110="","",MRP!K745)</f>
        <v/>
      </c>
      <c r="L110" s="75">
        <f>IF($A110="","",MRP!L745)</f>
        <v/>
      </c>
      <c r="M110" s="76">
        <f>IF($A110="","",SUM(E110:L110))</f>
        <v/>
      </c>
      <c r="N110" s="77">
        <f>IF(ISNUMBER(D110),M110*D110,"")</f>
        <v/>
      </c>
      <c r="O110" s="78">
        <f>MRP!M745</f>
        <v/>
      </c>
    </row>
    <row r="111">
      <c r="A111" s="73">
        <f>IF(Materiales!$A$110="","",Materiales!$A$110)</f>
        <v/>
      </c>
      <c r="B111" s="60">
        <f>IF(Materiales!$B$110="","",Materiales!$B$110)</f>
        <v/>
      </c>
      <c r="C111" s="73">
        <f>IF(Materiales!$C$110="","",Materiales!$C$110)</f>
        <v/>
      </c>
      <c r="D111" s="74">
        <f>IF(Materiales!$D$110="","",Materiales!$D$110)</f>
        <v/>
      </c>
      <c r="E111" s="75">
        <f>IF($A111="","",MRP!E752)</f>
        <v/>
      </c>
      <c r="F111" s="75">
        <f>IF($A111="","",MRP!F752)</f>
        <v/>
      </c>
      <c r="G111" s="75">
        <f>IF($A111="","",MRP!G752)</f>
        <v/>
      </c>
      <c r="H111" s="75">
        <f>IF($A111="","",MRP!H752)</f>
        <v/>
      </c>
      <c r="I111" s="75">
        <f>IF($A111="","",MRP!I752)</f>
        <v/>
      </c>
      <c r="J111" s="75">
        <f>IF($A111="","",MRP!J752)</f>
        <v/>
      </c>
      <c r="K111" s="75">
        <f>IF($A111="","",MRP!K752)</f>
        <v/>
      </c>
      <c r="L111" s="75">
        <f>IF($A111="","",MRP!L752)</f>
        <v/>
      </c>
      <c r="M111" s="76">
        <f>IF($A111="","",SUM(E111:L111))</f>
        <v/>
      </c>
      <c r="N111" s="77">
        <f>IF(ISNUMBER(D111),M111*D111,"")</f>
        <v/>
      </c>
      <c r="O111" s="78">
        <f>MRP!M752</f>
        <v/>
      </c>
    </row>
    <row r="112">
      <c r="A112" s="73">
        <f>IF(Materiales!$A$111="","",Materiales!$A$111)</f>
        <v/>
      </c>
      <c r="B112" s="60">
        <f>IF(Materiales!$B$111="","",Materiales!$B$111)</f>
        <v/>
      </c>
      <c r="C112" s="73">
        <f>IF(Materiales!$C$111="","",Materiales!$C$111)</f>
        <v/>
      </c>
      <c r="D112" s="74">
        <f>IF(Materiales!$D$111="","",Materiales!$D$111)</f>
        <v/>
      </c>
      <c r="E112" s="75">
        <f>IF($A112="","",MRP!E759)</f>
        <v/>
      </c>
      <c r="F112" s="75">
        <f>IF($A112="","",MRP!F759)</f>
        <v/>
      </c>
      <c r="G112" s="75">
        <f>IF($A112="","",MRP!G759)</f>
        <v/>
      </c>
      <c r="H112" s="75">
        <f>IF($A112="","",MRP!H759)</f>
        <v/>
      </c>
      <c r="I112" s="75">
        <f>IF($A112="","",MRP!I759)</f>
        <v/>
      </c>
      <c r="J112" s="75">
        <f>IF($A112="","",MRP!J759)</f>
        <v/>
      </c>
      <c r="K112" s="75">
        <f>IF($A112="","",MRP!K759)</f>
        <v/>
      </c>
      <c r="L112" s="75">
        <f>IF($A112="","",MRP!L759)</f>
        <v/>
      </c>
      <c r="M112" s="76">
        <f>IF($A112="","",SUM(E112:L112))</f>
        <v/>
      </c>
      <c r="N112" s="77">
        <f>IF(ISNUMBER(D112),M112*D112,"")</f>
        <v/>
      </c>
      <c r="O112" s="78">
        <f>MRP!M759</f>
        <v/>
      </c>
    </row>
    <row r="113">
      <c r="A113" s="73">
        <f>IF(Materiales!$A$112="","",Materiales!$A$112)</f>
        <v/>
      </c>
      <c r="B113" s="60">
        <f>IF(Materiales!$B$112="","",Materiales!$B$112)</f>
        <v/>
      </c>
      <c r="C113" s="73">
        <f>IF(Materiales!$C$112="","",Materiales!$C$112)</f>
        <v/>
      </c>
      <c r="D113" s="74">
        <f>IF(Materiales!$D$112="","",Materiales!$D$112)</f>
        <v/>
      </c>
      <c r="E113" s="75">
        <f>IF($A113="","",MRP!E766)</f>
        <v/>
      </c>
      <c r="F113" s="75">
        <f>IF($A113="","",MRP!F766)</f>
        <v/>
      </c>
      <c r="G113" s="75">
        <f>IF($A113="","",MRP!G766)</f>
        <v/>
      </c>
      <c r="H113" s="75">
        <f>IF($A113="","",MRP!H766)</f>
        <v/>
      </c>
      <c r="I113" s="75">
        <f>IF($A113="","",MRP!I766)</f>
        <v/>
      </c>
      <c r="J113" s="75">
        <f>IF($A113="","",MRP!J766)</f>
        <v/>
      </c>
      <c r="K113" s="75">
        <f>IF($A113="","",MRP!K766)</f>
        <v/>
      </c>
      <c r="L113" s="75">
        <f>IF($A113="","",MRP!L766)</f>
        <v/>
      </c>
      <c r="M113" s="76">
        <f>IF($A113="","",SUM(E113:L113))</f>
        <v/>
      </c>
      <c r="N113" s="77">
        <f>IF(ISNUMBER(D113),M113*D113,"")</f>
        <v/>
      </c>
      <c r="O113" s="78">
        <f>MRP!M766</f>
        <v/>
      </c>
    </row>
    <row r="114">
      <c r="A114" s="73">
        <f>IF(Materiales!$A$113="","",Materiales!$A$113)</f>
        <v/>
      </c>
      <c r="B114" s="60">
        <f>IF(Materiales!$B$113="","",Materiales!$B$113)</f>
        <v/>
      </c>
      <c r="C114" s="73">
        <f>IF(Materiales!$C$113="","",Materiales!$C$113)</f>
        <v/>
      </c>
      <c r="D114" s="74">
        <f>IF(Materiales!$D$113="","",Materiales!$D$113)</f>
        <v/>
      </c>
      <c r="E114" s="75">
        <f>IF($A114="","",MRP!E773)</f>
        <v/>
      </c>
      <c r="F114" s="75">
        <f>IF($A114="","",MRP!F773)</f>
        <v/>
      </c>
      <c r="G114" s="75">
        <f>IF($A114="","",MRP!G773)</f>
        <v/>
      </c>
      <c r="H114" s="75">
        <f>IF($A114="","",MRP!H773)</f>
        <v/>
      </c>
      <c r="I114" s="75">
        <f>IF($A114="","",MRP!I773)</f>
        <v/>
      </c>
      <c r="J114" s="75">
        <f>IF($A114="","",MRP!J773)</f>
        <v/>
      </c>
      <c r="K114" s="75">
        <f>IF($A114="","",MRP!K773)</f>
        <v/>
      </c>
      <c r="L114" s="75">
        <f>IF($A114="","",MRP!L773)</f>
        <v/>
      </c>
      <c r="M114" s="76">
        <f>IF($A114="","",SUM(E114:L114))</f>
        <v/>
      </c>
      <c r="N114" s="77">
        <f>IF(ISNUMBER(D114),M114*D114,"")</f>
        <v/>
      </c>
      <c r="O114" s="78">
        <f>MRP!M773</f>
        <v/>
      </c>
    </row>
    <row r="115">
      <c r="A115" s="73">
        <f>IF(Materiales!$A$114="","",Materiales!$A$114)</f>
        <v/>
      </c>
      <c r="B115" s="60">
        <f>IF(Materiales!$B$114="","",Materiales!$B$114)</f>
        <v/>
      </c>
      <c r="C115" s="73">
        <f>IF(Materiales!$C$114="","",Materiales!$C$114)</f>
        <v/>
      </c>
      <c r="D115" s="74">
        <f>IF(Materiales!$D$114="","",Materiales!$D$114)</f>
        <v/>
      </c>
      <c r="E115" s="75">
        <f>IF($A115="","",MRP!E780)</f>
        <v/>
      </c>
      <c r="F115" s="75">
        <f>IF($A115="","",MRP!F780)</f>
        <v/>
      </c>
      <c r="G115" s="75">
        <f>IF($A115="","",MRP!G780)</f>
        <v/>
      </c>
      <c r="H115" s="75">
        <f>IF($A115="","",MRP!H780)</f>
        <v/>
      </c>
      <c r="I115" s="75">
        <f>IF($A115="","",MRP!I780)</f>
        <v/>
      </c>
      <c r="J115" s="75">
        <f>IF($A115="","",MRP!J780)</f>
        <v/>
      </c>
      <c r="K115" s="75">
        <f>IF($A115="","",MRP!K780)</f>
        <v/>
      </c>
      <c r="L115" s="75">
        <f>IF($A115="","",MRP!L780)</f>
        <v/>
      </c>
      <c r="M115" s="76">
        <f>IF($A115="","",SUM(E115:L115))</f>
        <v/>
      </c>
      <c r="N115" s="77">
        <f>IF(ISNUMBER(D115),M115*D115,"")</f>
        <v/>
      </c>
      <c r="O115" s="78">
        <f>MRP!M780</f>
        <v/>
      </c>
    </row>
    <row r="116">
      <c r="A116" s="73">
        <f>IF(Materiales!$A$115="","",Materiales!$A$115)</f>
        <v/>
      </c>
      <c r="B116" s="60">
        <f>IF(Materiales!$B$115="","",Materiales!$B$115)</f>
        <v/>
      </c>
      <c r="C116" s="73">
        <f>IF(Materiales!$C$115="","",Materiales!$C$115)</f>
        <v/>
      </c>
      <c r="D116" s="74">
        <f>IF(Materiales!$D$115="","",Materiales!$D$115)</f>
        <v/>
      </c>
      <c r="E116" s="75">
        <f>IF($A116="","",MRP!E787)</f>
        <v/>
      </c>
      <c r="F116" s="75">
        <f>IF($A116="","",MRP!F787)</f>
        <v/>
      </c>
      <c r="G116" s="75">
        <f>IF($A116="","",MRP!G787)</f>
        <v/>
      </c>
      <c r="H116" s="75">
        <f>IF($A116="","",MRP!H787)</f>
        <v/>
      </c>
      <c r="I116" s="75">
        <f>IF($A116="","",MRP!I787)</f>
        <v/>
      </c>
      <c r="J116" s="75">
        <f>IF($A116="","",MRP!J787)</f>
        <v/>
      </c>
      <c r="K116" s="75">
        <f>IF($A116="","",MRP!K787)</f>
        <v/>
      </c>
      <c r="L116" s="75">
        <f>IF($A116="","",MRP!L787)</f>
        <v/>
      </c>
      <c r="M116" s="76">
        <f>IF($A116="","",SUM(E116:L116))</f>
        <v/>
      </c>
      <c r="N116" s="77">
        <f>IF(ISNUMBER(D116),M116*D116,"")</f>
        <v/>
      </c>
      <c r="O116" s="78">
        <f>MRP!M787</f>
        <v/>
      </c>
    </row>
    <row r="117">
      <c r="A117" s="73">
        <f>IF(Materiales!$A$116="","",Materiales!$A$116)</f>
        <v/>
      </c>
      <c r="B117" s="60">
        <f>IF(Materiales!$B$116="","",Materiales!$B$116)</f>
        <v/>
      </c>
      <c r="C117" s="73">
        <f>IF(Materiales!$C$116="","",Materiales!$C$116)</f>
        <v/>
      </c>
      <c r="D117" s="74">
        <f>IF(Materiales!$D$116="","",Materiales!$D$116)</f>
        <v/>
      </c>
      <c r="E117" s="75">
        <f>IF($A117="","",MRP!E794)</f>
        <v/>
      </c>
      <c r="F117" s="75">
        <f>IF($A117="","",MRP!F794)</f>
        <v/>
      </c>
      <c r="G117" s="75">
        <f>IF($A117="","",MRP!G794)</f>
        <v/>
      </c>
      <c r="H117" s="75">
        <f>IF($A117="","",MRP!H794)</f>
        <v/>
      </c>
      <c r="I117" s="75">
        <f>IF($A117="","",MRP!I794)</f>
        <v/>
      </c>
      <c r="J117" s="75">
        <f>IF($A117="","",MRP!J794)</f>
        <v/>
      </c>
      <c r="K117" s="75">
        <f>IF($A117="","",MRP!K794)</f>
        <v/>
      </c>
      <c r="L117" s="75">
        <f>IF($A117="","",MRP!L794)</f>
        <v/>
      </c>
      <c r="M117" s="76">
        <f>IF($A117="","",SUM(E117:L117))</f>
        <v/>
      </c>
      <c r="N117" s="77">
        <f>IF(ISNUMBER(D117),M117*D117,"")</f>
        <v/>
      </c>
      <c r="O117" s="78">
        <f>MRP!M794</f>
        <v/>
      </c>
    </row>
    <row r="118">
      <c r="A118" s="73">
        <f>IF(Materiales!$A$117="","",Materiales!$A$117)</f>
        <v/>
      </c>
      <c r="B118" s="60">
        <f>IF(Materiales!$B$117="","",Materiales!$B$117)</f>
        <v/>
      </c>
      <c r="C118" s="73">
        <f>IF(Materiales!$C$117="","",Materiales!$C$117)</f>
        <v/>
      </c>
      <c r="D118" s="74">
        <f>IF(Materiales!$D$117="","",Materiales!$D$117)</f>
        <v/>
      </c>
      <c r="E118" s="75">
        <f>IF($A118="","",MRP!E801)</f>
        <v/>
      </c>
      <c r="F118" s="75">
        <f>IF($A118="","",MRP!F801)</f>
        <v/>
      </c>
      <c r="G118" s="75">
        <f>IF($A118="","",MRP!G801)</f>
        <v/>
      </c>
      <c r="H118" s="75">
        <f>IF($A118="","",MRP!H801)</f>
        <v/>
      </c>
      <c r="I118" s="75">
        <f>IF($A118="","",MRP!I801)</f>
        <v/>
      </c>
      <c r="J118" s="75">
        <f>IF($A118="","",MRP!J801)</f>
        <v/>
      </c>
      <c r="K118" s="75">
        <f>IF($A118="","",MRP!K801)</f>
        <v/>
      </c>
      <c r="L118" s="75">
        <f>IF($A118="","",MRP!L801)</f>
        <v/>
      </c>
      <c r="M118" s="76">
        <f>IF($A118="","",SUM(E118:L118))</f>
        <v/>
      </c>
      <c r="N118" s="77">
        <f>IF(ISNUMBER(D118),M118*D118,"")</f>
        <v/>
      </c>
      <c r="O118" s="78">
        <f>MRP!M801</f>
        <v/>
      </c>
    </row>
    <row r="119">
      <c r="A119" s="73">
        <f>IF(Materiales!$A$118="","",Materiales!$A$118)</f>
        <v/>
      </c>
      <c r="B119" s="60">
        <f>IF(Materiales!$B$118="","",Materiales!$B$118)</f>
        <v/>
      </c>
      <c r="C119" s="73">
        <f>IF(Materiales!$C$118="","",Materiales!$C$118)</f>
        <v/>
      </c>
      <c r="D119" s="74">
        <f>IF(Materiales!$D$118="","",Materiales!$D$118)</f>
        <v/>
      </c>
      <c r="E119" s="75">
        <f>IF($A119="","",MRP!E808)</f>
        <v/>
      </c>
      <c r="F119" s="75">
        <f>IF($A119="","",MRP!F808)</f>
        <v/>
      </c>
      <c r="G119" s="75">
        <f>IF($A119="","",MRP!G808)</f>
        <v/>
      </c>
      <c r="H119" s="75">
        <f>IF($A119="","",MRP!H808)</f>
        <v/>
      </c>
      <c r="I119" s="75">
        <f>IF($A119="","",MRP!I808)</f>
        <v/>
      </c>
      <c r="J119" s="75">
        <f>IF($A119="","",MRP!J808)</f>
        <v/>
      </c>
      <c r="K119" s="75">
        <f>IF($A119="","",MRP!K808)</f>
        <v/>
      </c>
      <c r="L119" s="75">
        <f>IF($A119="","",MRP!L808)</f>
        <v/>
      </c>
      <c r="M119" s="76">
        <f>IF($A119="","",SUM(E119:L119))</f>
        <v/>
      </c>
      <c r="N119" s="77">
        <f>IF(ISNUMBER(D119),M119*D119,"")</f>
        <v/>
      </c>
      <c r="O119" s="78">
        <f>MRP!M808</f>
        <v/>
      </c>
    </row>
    <row r="120">
      <c r="A120" s="73">
        <f>IF(Materiales!$A$119="","",Materiales!$A$119)</f>
        <v/>
      </c>
      <c r="B120" s="60">
        <f>IF(Materiales!$B$119="","",Materiales!$B$119)</f>
        <v/>
      </c>
      <c r="C120" s="73">
        <f>IF(Materiales!$C$119="","",Materiales!$C$119)</f>
        <v/>
      </c>
      <c r="D120" s="74">
        <f>IF(Materiales!$D$119="","",Materiales!$D$119)</f>
        <v/>
      </c>
      <c r="E120" s="75">
        <f>IF($A120="","",MRP!E815)</f>
        <v/>
      </c>
      <c r="F120" s="75">
        <f>IF($A120="","",MRP!F815)</f>
        <v/>
      </c>
      <c r="G120" s="75">
        <f>IF($A120="","",MRP!G815)</f>
        <v/>
      </c>
      <c r="H120" s="75">
        <f>IF($A120="","",MRP!H815)</f>
        <v/>
      </c>
      <c r="I120" s="75">
        <f>IF($A120="","",MRP!I815)</f>
        <v/>
      </c>
      <c r="J120" s="75">
        <f>IF($A120="","",MRP!J815)</f>
        <v/>
      </c>
      <c r="K120" s="75">
        <f>IF($A120="","",MRP!K815)</f>
        <v/>
      </c>
      <c r="L120" s="75">
        <f>IF($A120="","",MRP!L815)</f>
        <v/>
      </c>
      <c r="M120" s="76">
        <f>IF($A120="","",SUM(E120:L120))</f>
        <v/>
      </c>
      <c r="N120" s="77">
        <f>IF(ISNUMBER(D120),M120*D120,"")</f>
        <v/>
      </c>
      <c r="O120" s="78">
        <f>MRP!M815</f>
        <v/>
      </c>
    </row>
    <row r="121">
      <c r="A121" s="73">
        <f>IF(Materiales!$A$120="","",Materiales!$A$120)</f>
        <v/>
      </c>
      <c r="B121" s="60">
        <f>IF(Materiales!$B$120="","",Materiales!$B$120)</f>
        <v/>
      </c>
      <c r="C121" s="73">
        <f>IF(Materiales!$C$120="","",Materiales!$C$120)</f>
        <v/>
      </c>
      <c r="D121" s="74">
        <f>IF(Materiales!$D$120="","",Materiales!$D$120)</f>
        <v/>
      </c>
      <c r="E121" s="75">
        <f>IF($A121="","",MRP!E822)</f>
        <v/>
      </c>
      <c r="F121" s="75">
        <f>IF($A121="","",MRP!F822)</f>
        <v/>
      </c>
      <c r="G121" s="75">
        <f>IF($A121="","",MRP!G822)</f>
        <v/>
      </c>
      <c r="H121" s="75">
        <f>IF($A121="","",MRP!H822)</f>
        <v/>
      </c>
      <c r="I121" s="75">
        <f>IF($A121="","",MRP!I822)</f>
        <v/>
      </c>
      <c r="J121" s="75">
        <f>IF($A121="","",MRP!J822)</f>
        <v/>
      </c>
      <c r="K121" s="75">
        <f>IF($A121="","",MRP!K822)</f>
        <v/>
      </c>
      <c r="L121" s="75">
        <f>IF($A121="","",MRP!L822)</f>
        <v/>
      </c>
      <c r="M121" s="76">
        <f>IF($A121="","",SUM(E121:L121))</f>
        <v/>
      </c>
      <c r="N121" s="77">
        <f>IF(ISNUMBER(D121),M121*D121,"")</f>
        <v/>
      </c>
      <c r="O121" s="78">
        <f>MRP!M822</f>
        <v/>
      </c>
    </row>
    <row r="122">
      <c r="A122" s="73">
        <f>IF(Materiales!$A$121="","",Materiales!$A$121)</f>
        <v/>
      </c>
      <c r="B122" s="60">
        <f>IF(Materiales!$B$121="","",Materiales!$B$121)</f>
        <v/>
      </c>
      <c r="C122" s="73">
        <f>IF(Materiales!$C$121="","",Materiales!$C$121)</f>
        <v/>
      </c>
      <c r="D122" s="74">
        <f>IF(Materiales!$D$121="","",Materiales!$D$121)</f>
        <v/>
      </c>
      <c r="E122" s="75">
        <f>IF($A122="","",MRP!E829)</f>
        <v/>
      </c>
      <c r="F122" s="75">
        <f>IF($A122="","",MRP!F829)</f>
        <v/>
      </c>
      <c r="G122" s="75">
        <f>IF($A122="","",MRP!G829)</f>
        <v/>
      </c>
      <c r="H122" s="75">
        <f>IF($A122="","",MRP!H829)</f>
        <v/>
      </c>
      <c r="I122" s="75">
        <f>IF($A122="","",MRP!I829)</f>
        <v/>
      </c>
      <c r="J122" s="75">
        <f>IF($A122="","",MRP!J829)</f>
        <v/>
      </c>
      <c r="K122" s="75">
        <f>IF($A122="","",MRP!K829)</f>
        <v/>
      </c>
      <c r="L122" s="75">
        <f>IF($A122="","",MRP!L829)</f>
        <v/>
      </c>
      <c r="M122" s="76">
        <f>IF($A122="","",SUM(E122:L122))</f>
        <v/>
      </c>
      <c r="N122" s="77">
        <f>IF(ISNUMBER(D122),M122*D122,"")</f>
        <v/>
      </c>
      <c r="O122" s="78">
        <f>MRP!M829</f>
        <v/>
      </c>
    </row>
    <row r="123">
      <c r="A123" s="73">
        <f>IF(Materiales!$A$122="","",Materiales!$A$122)</f>
        <v/>
      </c>
      <c r="B123" s="60">
        <f>IF(Materiales!$B$122="","",Materiales!$B$122)</f>
        <v/>
      </c>
      <c r="C123" s="73">
        <f>IF(Materiales!$C$122="","",Materiales!$C$122)</f>
        <v/>
      </c>
      <c r="D123" s="74">
        <f>IF(Materiales!$D$122="","",Materiales!$D$122)</f>
        <v/>
      </c>
      <c r="E123" s="75">
        <f>IF($A123="","",MRP!E836)</f>
        <v/>
      </c>
      <c r="F123" s="75">
        <f>IF($A123="","",MRP!F836)</f>
        <v/>
      </c>
      <c r="G123" s="75">
        <f>IF($A123="","",MRP!G836)</f>
        <v/>
      </c>
      <c r="H123" s="75">
        <f>IF($A123="","",MRP!H836)</f>
        <v/>
      </c>
      <c r="I123" s="75">
        <f>IF($A123="","",MRP!I836)</f>
        <v/>
      </c>
      <c r="J123" s="75">
        <f>IF($A123="","",MRP!J836)</f>
        <v/>
      </c>
      <c r="K123" s="75">
        <f>IF($A123="","",MRP!K836)</f>
        <v/>
      </c>
      <c r="L123" s="75">
        <f>IF($A123="","",MRP!L836)</f>
        <v/>
      </c>
      <c r="M123" s="76">
        <f>IF($A123="","",SUM(E123:L123))</f>
        <v/>
      </c>
      <c r="N123" s="77">
        <f>IF(ISNUMBER(D123),M123*D123,"")</f>
        <v/>
      </c>
      <c r="O123" s="78">
        <f>MRP!M836</f>
        <v/>
      </c>
    </row>
    <row r="124">
      <c r="A124" s="73">
        <f>IF(Materiales!$A$123="","",Materiales!$A$123)</f>
        <v/>
      </c>
      <c r="B124" s="60">
        <f>IF(Materiales!$B$123="","",Materiales!$B$123)</f>
        <v/>
      </c>
      <c r="C124" s="73">
        <f>IF(Materiales!$C$123="","",Materiales!$C$123)</f>
        <v/>
      </c>
      <c r="D124" s="74">
        <f>IF(Materiales!$D$123="","",Materiales!$D$123)</f>
        <v/>
      </c>
      <c r="E124" s="75">
        <f>IF($A124="","",MRP!E843)</f>
        <v/>
      </c>
      <c r="F124" s="75">
        <f>IF($A124="","",MRP!F843)</f>
        <v/>
      </c>
      <c r="G124" s="75">
        <f>IF($A124="","",MRP!G843)</f>
        <v/>
      </c>
      <c r="H124" s="75">
        <f>IF($A124="","",MRP!H843)</f>
        <v/>
      </c>
      <c r="I124" s="75">
        <f>IF($A124="","",MRP!I843)</f>
        <v/>
      </c>
      <c r="J124" s="75">
        <f>IF($A124="","",MRP!J843)</f>
        <v/>
      </c>
      <c r="K124" s="75">
        <f>IF($A124="","",MRP!K843)</f>
        <v/>
      </c>
      <c r="L124" s="75">
        <f>IF($A124="","",MRP!L843)</f>
        <v/>
      </c>
      <c r="M124" s="76">
        <f>IF($A124="","",SUM(E124:L124))</f>
        <v/>
      </c>
      <c r="N124" s="77">
        <f>IF(ISNUMBER(D124),M124*D124,"")</f>
        <v/>
      </c>
      <c r="O124" s="78">
        <f>MRP!M843</f>
        <v/>
      </c>
    </row>
    <row r="125">
      <c r="A125" s="73">
        <f>IF(Materiales!$A$124="","",Materiales!$A$124)</f>
        <v/>
      </c>
      <c r="B125" s="60">
        <f>IF(Materiales!$B$124="","",Materiales!$B$124)</f>
        <v/>
      </c>
      <c r="C125" s="73">
        <f>IF(Materiales!$C$124="","",Materiales!$C$124)</f>
        <v/>
      </c>
      <c r="D125" s="74">
        <f>IF(Materiales!$D$124="","",Materiales!$D$124)</f>
        <v/>
      </c>
      <c r="E125" s="75">
        <f>IF($A125="","",MRP!E850)</f>
        <v/>
      </c>
      <c r="F125" s="75">
        <f>IF($A125="","",MRP!F850)</f>
        <v/>
      </c>
      <c r="G125" s="75">
        <f>IF($A125="","",MRP!G850)</f>
        <v/>
      </c>
      <c r="H125" s="75">
        <f>IF($A125="","",MRP!H850)</f>
        <v/>
      </c>
      <c r="I125" s="75">
        <f>IF($A125="","",MRP!I850)</f>
        <v/>
      </c>
      <c r="J125" s="75">
        <f>IF($A125="","",MRP!J850)</f>
        <v/>
      </c>
      <c r="K125" s="75">
        <f>IF($A125="","",MRP!K850)</f>
        <v/>
      </c>
      <c r="L125" s="75">
        <f>IF($A125="","",MRP!L850)</f>
        <v/>
      </c>
      <c r="M125" s="76">
        <f>IF($A125="","",SUM(E125:L125))</f>
        <v/>
      </c>
      <c r="N125" s="77">
        <f>IF(ISNUMBER(D125),M125*D125,"")</f>
        <v/>
      </c>
      <c r="O125" s="78">
        <f>MRP!M850</f>
        <v/>
      </c>
    </row>
    <row r="126">
      <c r="A126" s="73">
        <f>IF(Materiales!$A$125="","",Materiales!$A$125)</f>
        <v/>
      </c>
      <c r="B126" s="60">
        <f>IF(Materiales!$B$125="","",Materiales!$B$125)</f>
        <v/>
      </c>
      <c r="C126" s="73">
        <f>IF(Materiales!$C$125="","",Materiales!$C$125)</f>
        <v/>
      </c>
      <c r="D126" s="74">
        <f>IF(Materiales!$D$125="","",Materiales!$D$125)</f>
        <v/>
      </c>
      <c r="E126" s="75">
        <f>IF($A126="","",MRP!E857)</f>
        <v/>
      </c>
      <c r="F126" s="75">
        <f>IF($A126="","",MRP!F857)</f>
        <v/>
      </c>
      <c r="G126" s="75">
        <f>IF($A126="","",MRP!G857)</f>
        <v/>
      </c>
      <c r="H126" s="75">
        <f>IF($A126="","",MRP!H857)</f>
        <v/>
      </c>
      <c r="I126" s="75">
        <f>IF($A126="","",MRP!I857)</f>
        <v/>
      </c>
      <c r="J126" s="75">
        <f>IF($A126="","",MRP!J857)</f>
        <v/>
      </c>
      <c r="K126" s="75">
        <f>IF($A126="","",MRP!K857)</f>
        <v/>
      </c>
      <c r="L126" s="75">
        <f>IF($A126="","",MRP!L857)</f>
        <v/>
      </c>
      <c r="M126" s="76">
        <f>IF($A126="","",SUM(E126:L126))</f>
        <v/>
      </c>
      <c r="N126" s="77">
        <f>IF(ISNUMBER(D126),M126*D126,"")</f>
        <v/>
      </c>
      <c r="O126" s="78">
        <f>MRP!M857</f>
        <v/>
      </c>
    </row>
    <row r="127">
      <c r="A127" s="73">
        <f>IF(Materiales!$A$126="","",Materiales!$A$126)</f>
        <v/>
      </c>
      <c r="B127" s="60">
        <f>IF(Materiales!$B$126="","",Materiales!$B$126)</f>
        <v/>
      </c>
      <c r="C127" s="73">
        <f>IF(Materiales!$C$126="","",Materiales!$C$126)</f>
        <v/>
      </c>
      <c r="D127" s="74">
        <f>IF(Materiales!$D$126="","",Materiales!$D$126)</f>
        <v/>
      </c>
      <c r="E127" s="75">
        <f>IF($A127="","",MRP!E864)</f>
        <v/>
      </c>
      <c r="F127" s="75">
        <f>IF($A127="","",MRP!F864)</f>
        <v/>
      </c>
      <c r="G127" s="75">
        <f>IF($A127="","",MRP!G864)</f>
        <v/>
      </c>
      <c r="H127" s="75">
        <f>IF($A127="","",MRP!H864)</f>
        <v/>
      </c>
      <c r="I127" s="75">
        <f>IF($A127="","",MRP!I864)</f>
        <v/>
      </c>
      <c r="J127" s="75">
        <f>IF($A127="","",MRP!J864)</f>
        <v/>
      </c>
      <c r="K127" s="75">
        <f>IF($A127="","",MRP!K864)</f>
        <v/>
      </c>
      <c r="L127" s="75">
        <f>IF($A127="","",MRP!L864)</f>
        <v/>
      </c>
      <c r="M127" s="76">
        <f>IF($A127="","",SUM(E127:L127))</f>
        <v/>
      </c>
      <c r="N127" s="77">
        <f>IF(ISNUMBER(D127),M127*D127,"")</f>
        <v/>
      </c>
      <c r="O127" s="78">
        <f>MRP!M864</f>
        <v/>
      </c>
    </row>
    <row r="128">
      <c r="A128" s="73">
        <f>IF(Materiales!$A$127="","",Materiales!$A$127)</f>
        <v/>
      </c>
      <c r="B128" s="60">
        <f>IF(Materiales!$B$127="","",Materiales!$B$127)</f>
        <v/>
      </c>
      <c r="C128" s="73">
        <f>IF(Materiales!$C$127="","",Materiales!$C$127)</f>
        <v/>
      </c>
      <c r="D128" s="74">
        <f>IF(Materiales!$D$127="","",Materiales!$D$127)</f>
        <v/>
      </c>
      <c r="E128" s="75">
        <f>IF($A128="","",MRP!E871)</f>
        <v/>
      </c>
      <c r="F128" s="75">
        <f>IF($A128="","",MRP!F871)</f>
        <v/>
      </c>
      <c r="G128" s="75">
        <f>IF($A128="","",MRP!G871)</f>
        <v/>
      </c>
      <c r="H128" s="75">
        <f>IF($A128="","",MRP!H871)</f>
        <v/>
      </c>
      <c r="I128" s="75">
        <f>IF($A128="","",MRP!I871)</f>
        <v/>
      </c>
      <c r="J128" s="75">
        <f>IF($A128="","",MRP!J871)</f>
        <v/>
      </c>
      <c r="K128" s="75">
        <f>IF($A128="","",MRP!K871)</f>
        <v/>
      </c>
      <c r="L128" s="75">
        <f>IF($A128="","",MRP!L871)</f>
        <v/>
      </c>
      <c r="M128" s="76">
        <f>IF($A128="","",SUM(E128:L128))</f>
        <v/>
      </c>
      <c r="N128" s="77">
        <f>IF(ISNUMBER(D128),M128*D128,"")</f>
        <v/>
      </c>
      <c r="O128" s="78">
        <f>MRP!M871</f>
        <v/>
      </c>
    </row>
    <row r="129">
      <c r="A129" s="73">
        <f>IF(Materiales!$A$128="","",Materiales!$A$128)</f>
        <v/>
      </c>
      <c r="B129" s="60">
        <f>IF(Materiales!$B$128="","",Materiales!$B$128)</f>
        <v/>
      </c>
      <c r="C129" s="73">
        <f>IF(Materiales!$C$128="","",Materiales!$C$128)</f>
        <v/>
      </c>
      <c r="D129" s="74">
        <f>IF(Materiales!$D$128="","",Materiales!$D$128)</f>
        <v/>
      </c>
      <c r="E129" s="75">
        <f>IF($A129="","",MRP!E878)</f>
        <v/>
      </c>
      <c r="F129" s="75">
        <f>IF($A129="","",MRP!F878)</f>
        <v/>
      </c>
      <c r="G129" s="75">
        <f>IF($A129="","",MRP!G878)</f>
        <v/>
      </c>
      <c r="H129" s="75">
        <f>IF($A129="","",MRP!H878)</f>
        <v/>
      </c>
      <c r="I129" s="75">
        <f>IF($A129="","",MRP!I878)</f>
        <v/>
      </c>
      <c r="J129" s="75">
        <f>IF($A129="","",MRP!J878)</f>
        <v/>
      </c>
      <c r="K129" s="75">
        <f>IF($A129="","",MRP!K878)</f>
        <v/>
      </c>
      <c r="L129" s="75">
        <f>IF($A129="","",MRP!L878)</f>
        <v/>
      </c>
      <c r="M129" s="76">
        <f>IF($A129="","",SUM(E129:L129))</f>
        <v/>
      </c>
      <c r="N129" s="77">
        <f>IF(ISNUMBER(D129),M129*D129,"")</f>
        <v/>
      </c>
      <c r="O129" s="78">
        <f>MRP!M878</f>
        <v/>
      </c>
    </row>
    <row r="130">
      <c r="A130" s="73">
        <f>IF(Materiales!$A$129="","",Materiales!$A$129)</f>
        <v/>
      </c>
      <c r="B130" s="60">
        <f>IF(Materiales!$B$129="","",Materiales!$B$129)</f>
        <v/>
      </c>
      <c r="C130" s="73">
        <f>IF(Materiales!$C$129="","",Materiales!$C$129)</f>
        <v/>
      </c>
      <c r="D130" s="74">
        <f>IF(Materiales!$D$129="","",Materiales!$D$129)</f>
        <v/>
      </c>
      <c r="E130" s="75">
        <f>IF($A130="","",MRP!E885)</f>
        <v/>
      </c>
      <c r="F130" s="75">
        <f>IF($A130="","",MRP!F885)</f>
        <v/>
      </c>
      <c r="G130" s="75">
        <f>IF($A130="","",MRP!G885)</f>
        <v/>
      </c>
      <c r="H130" s="75">
        <f>IF($A130="","",MRP!H885)</f>
        <v/>
      </c>
      <c r="I130" s="75">
        <f>IF($A130="","",MRP!I885)</f>
        <v/>
      </c>
      <c r="J130" s="75">
        <f>IF($A130="","",MRP!J885)</f>
        <v/>
      </c>
      <c r="K130" s="75">
        <f>IF($A130="","",MRP!K885)</f>
        <v/>
      </c>
      <c r="L130" s="75">
        <f>IF($A130="","",MRP!L885)</f>
        <v/>
      </c>
      <c r="M130" s="76">
        <f>IF($A130="","",SUM(E130:L130))</f>
        <v/>
      </c>
      <c r="N130" s="77">
        <f>IF(ISNUMBER(D130),M130*D130,"")</f>
        <v/>
      </c>
      <c r="O130" s="78">
        <f>MRP!M885</f>
        <v/>
      </c>
    </row>
    <row r="131">
      <c r="A131" s="73">
        <f>IF(Materiales!$A$130="","",Materiales!$A$130)</f>
        <v/>
      </c>
      <c r="B131" s="60">
        <f>IF(Materiales!$B$130="","",Materiales!$B$130)</f>
        <v/>
      </c>
      <c r="C131" s="73">
        <f>IF(Materiales!$C$130="","",Materiales!$C$130)</f>
        <v/>
      </c>
      <c r="D131" s="74">
        <f>IF(Materiales!$D$130="","",Materiales!$D$130)</f>
        <v/>
      </c>
      <c r="E131" s="75">
        <f>IF($A131="","",MRP!E892)</f>
        <v/>
      </c>
      <c r="F131" s="75">
        <f>IF($A131="","",MRP!F892)</f>
        <v/>
      </c>
      <c r="G131" s="75">
        <f>IF($A131="","",MRP!G892)</f>
        <v/>
      </c>
      <c r="H131" s="75">
        <f>IF($A131="","",MRP!H892)</f>
        <v/>
      </c>
      <c r="I131" s="75">
        <f>IF($A131="","",MRP!I892)</f>
        <v/>
      </c>
      <c r="J131" s="75">
        <f>IF($A131="","",MRP!J892)</f>
        <v/>
      </c>
      <c r="K131" s="75">
        <f>IF($A131="","",MRP!K892)</f>
        <v/>
      </c>
      <c r="L131" s="75">
        <f>IF($A131="","",MRP!L892)</f>
        <v/>
      </c>
      <c r="M131" s="76">
        <f>IF($A131="","",SUM(E131:L131))</f>
        <v/>
      </c>
      <c r="N131" s="77">
        <f>IF(ISNUMBER(D131),M131*D131,"")</f>
        <v/>
      </c>
      <c r="O131" s="78">
        <f>MRP!M892</f>
        <v/>
      </c>
    </row>
    <row r="132">
      <c r="A132" s="73">
        <f>IF(Materiales!$A$131="","",Materiales!$A$131)</f>
        <v/>
      </c>
      <c r="B132" s="60">
        <f>IF(Materiales!$B$131="","",Materiales!$B$131)</f>
        <v/>
      </c>
      <c r="C132" s="73">
        <f>IF(Materiales!$C$131="","",Materiales!$C$131)</f>
        <v/>
      </c>
      <c r="D132" s="74">
        <f>IF(Materiales!$D$131="","",Materiales!$D$131)</f>
        <v/>
      </c>
      <c r="E132" s="75">
        <f>IF($A132="","",MRP!E899)</f>
        <v/>
      </c>
      <c r="F132" s="75">
        <f>IF($A132="","",MRP!F899)</f>
        <v/>
      </c>
      <c r="G132" s="75">
        <f>IF($A132="","",MRP!G899)</f>
        <v/>
      </c>
      <c r="H132" s="75">
        <f>IF($A132="","",MRP!H899)</f>
        <v/>
      </c>
      <c r="I132" s="75">
        <f>IF($A132="","",MRP!I899)</f>
        <v/>
      </c>
      <c r="J132" s="75">
        <f>IF($A132="","",MRP!J899)</f>
        <v/>
      </c>
      <c r="K132" s="75">
        <f>IF($A132="","",MRP!K899)</f>
        <v/>
      </c>
      <c r="L132" s="75">
        <f>IF($A132="","",MRP!L899)</f>
        <v/>
      </c>
      <c r="M132" s="76">
        <f>IF($A132="","",SUM(E132:L132))</f>
        <v/>
      </c>
      <c r="N132" s="77">
        <f>IF(ISNUMBER(D132),M132*D132,"")</f>
        <v/>
      </c>
      <c r="O132" s="78">
        <f>MRP!M899</f>
        <v/>
      </c>
    </row>
    <row r="133">
      <c r="A133" s="73">
        <f>IF(Materiales!$A$132="","",Materiales!$A$132)</f>
        <v/>
      </c>
      <c r="B133" s="60">
        <f>IF(Materiales!$B$132="","",Materiales!$B$132)</f>
        <v/>
      </c>
      <c r="C133" s="73">
        <f>IF(Materiales!$C$132="","",Materiales!$C$132)</f>
        <v/>
      </c>
      <c r="D133" s="74">
        <f>IF(Materiales!$D$132="","",Materiales!$D$132)</f>
        <v/>
      </c>
      <c r="E133" s="75">
        <f>IF($A133="","",MRP!E906)</f>
        <v/>
      </c>
      <c r="F133" s="75">
        <f>IF($A133="","",MRP!F906)</f>
        <v/>
      </c>
      <c r="G133" s="75">
        <f>IF($A133="","",MRP!G906)</f>
        <v/>
      </c>
      <c r="H133" s="75">
        <f>IF($A133="","",MRP!H906)</f>
        <v/>
      </c>
      <c r="I133" s="75">
        <f>IF($A133="","",MRP!I906)</f>
        <v/>
      </c>
      <c r="J133" s="75">
        <f>IF($A133="","",MRP!J906)</f>
        <v/>
      </c>
      <c r="K133" s="75">
        <f>IF($A133="","",MRP!K906)</f>
        <v/>
      </c>
      <c r="L133" s="75">
        <f>IF($A133="","",MRP!L906)</f>
        <v/>
      </c>
      <c r="M133" s="76">
        <f>IF($A133="","",SUM(E133:L133))</f>
        <v/>
      </c>
      <c r="N133" s="77">
        <f>IF(ISNUMBER(D133),M133*D133,"")</f>
        <v/>
      </c>
      <c r="O133" s="78">
        <f>MRP!M906</f>
        <v/>
      </c>
    </row>
    <row r="134">
      <c r="A134" s="73">
        <f>IF(Materiales!$A$133="","",Materiales!$A$133)</f>
        <v/>
      </c>
      <c r="B134" s="60">
        <f>IF(Materiales!$B$133="","",Materiales!$B$133)</f>
        <v/>
      </c>
      <c r="C134" s="73">
        <f>IF(Materiales!$C$133="","",Materiales!$C$133)</f>
        <v/>
      </c>
      <c r="D134" s="74">
        <f>IF(Materiales!$D$133="","",Materiales!$D$133)</f>
        <v/>
      </c>
      <c r="E134" s="75">
        <f>IF($A134="","",MRP!E913)</f>
        <v/>
      </c>
      <c r="F134" s="75">
        <f>IF($A134="","",MRP!F913)</f>
        <v/>
      </c>
      <c r="G134" s="75">
        <f>IF($A134="","",MRP!G913)</f>
        <v/>
      </c>
      <c r="H134" s="75">
        <f>IF($A134="","",MRP!H913)</f>
        <v/>
      </c>
      <c r="I134" s="75">
        <f>IF($A134="","",MRP!I913)</f>
        <v/>
      </c>
      <c r="J134" s="75">
        <f>IF($A134="","",MRP!J913)</f>
        <v/>
      </c>
      <c r="K134" s="75">
        <f>IF($A134="","",MRP!K913)</f>
        <v/>
      </c>
      <c r="L134" s="75">
        <f>IF($A134="","",MRP!L913)</f>
        <v/>
      </c>
      <c r="M134" s="76">
        <f>IF($A134="","",SUM(E134:L134))</f>
        <v/>
      </c>
      <c r="N134" s="77">
        <f>IF(ISNUMBER(D134),M134*D134,"")</f>
        <v/>
      </c>
      <c r="O134" s="78">
        <f>MRP!M913</f>
        <v/>
      </c>
    </row>
    <row r="135">
      <c r="A135" s="73">
        <f>IF(Materiales!$A$134="","",Materiales!$A$134)</f>
        <v/>
      </c>
      <c r="B135" s="60">
        <f>IF(Materiales!$B$134="","",Materiales!$B$134)</f>
        <v/>
      </c>
      <c r="C135" s="73">
        <f>IF(Materiales!$C$134="","",Materiales!$C$134)</f>
        <v/>
      </c>
      <c r="D135" s="74">
        <f>IF(Materiales!$D$134="","",Materiales!$D$134)</f>
        <v/>
      </c>
      <c r="E135" s="75">
        <f>IF($A135="","",MRP!E920)</f>
        <v/>
      </c>
      <c r="F135" s="75">
        <f>IF($A135="","",MRP!F920)</f>
        <v/>
      </c>
      <c r="G135" s="75">
        <f>IF($A135="","",MRP!G920)</f>
        <v/>
      </c>
      <c r="H135" s="75">
        <f>IF($A135="","",MRP!H920)</f>
        <v/>
      </c>
      <c r="I135" s="75">
        <f>IF($A135="","",MRP!I920)</f>
        <v/>
      </c>
      <c r="J135" s="75">
        <f>IF($A135="","",MRP!J920)</f>
        <v/>
      </c>
      <c r="K135" s="75">
        <f>IF($A135="","",MRP!K920)</f>
        <v/>
      </c>
      <c r="L135" s="75">
        <f>IF($A135="","",MRP!L920)</f>
        <v/>
      </c>
      <c r="M135" s="76">
        <f>IF($A135="","",SUM(E135:L135))</f>
        <v/>
      </c>
      <c r="N135" s="77">
        <f>IF(ISNUMBER(D135),M135*D135,"")</f>
        <v/>
      </c>
      <c r="O135" s="78">
        <f>MRP!M920</f>
        <v/>
      </c>
    </row>
    <row r="136">
      <c r="A136" s="73">
        <f>IF(Materiales!$A$135="","",Materiales!$A$135)</f>
        <v/>
      </c>
      <c r="B136" s="60">
        <f>IF(Materiales!$B$135="","",Materiales!$B$135)</f>
        <v/>
      </c>
      <c r="C136" s="73">
        <f>IF(Materiales!$C$135="","",Materiales!$C$135)</f>
        <v/>
      </c>
      <c r="D136" s="74">
        <f>IF(Materiales!$D$135="","",Materiales!$D$135)</f>
        <v/>
      </c>
      <c r="E136" s="75">
        <f>IF($A136="","",MRP!E927)</f>
        <v/>
      </c>
      <c r="F136" s="75">
        <f>IF($A136="","",MRP!F927)</f>
        <v/>
      </c>
      <c r="G136" s="75">
        <f>IF($A136="","",MRP!G927)</f>
        <v/>
      </c>
      <c r="H136" s="75">
        <f>IF($A136="","",MRP!H927)</f>
        <v/>
      </c>
      <c r="I136" s="75">
        <f>IF($A136="","",MRP!I927)</f>
        <v/>
      </c>
      <c r="J136" s="75">
        <f>IF($A136="","",MRP!J927)</f>
        <v/>
      </c>
      <c r="K136" s="75">
        <f>IF($A136="","",MRP!K927)</f>
        <v/>
      </c>
      <c r="L136" s="75">
        <f>IF($A136="","",MRP!L927)</f>
        <v/>
      </c>
      <c r="M136" s="76">
        <f>IF($A136="","",SUM(E136:L136))</f>
        <v/>
      </c>
      <c r="N136" s="77">
        <f>IF(ISNUMBER(D136),M136*D136,"")</f>
        <v/>
      </c>
      <c r="O136" s="78">
        <f>MRP!M927</f>
        <v/>
      </c>
    </row>
    <row r="137">
      <c r="A137" s="73">
        <f>IF(Materiales!$A$136="","",Materiales!$A$136)</f>
        <v/>
      </c>
      <c r="B137" s="60">
        <f>IF(Materiales!$B$136="","",Materiales!$B$136)</f>
        <v/>
      </c>
      <c r="C137" s="73">
        <f>IF(Materiales!$C$136="","",Materiales!$C$136)</f>
        <v/>
      </c>
      <c r="D137" s="74">
        <f>IF(Materiales!$D$136="","",Materiales!$D$136)</f>
        <v/>
      </c>
      <c r="E137" s="75">
        <f>IF($A137="","",MRP!E934)</f>
        <v/>
      </c>
      <c r="F137" s="75">
        <f>IF($A137="","",MRP!F934)</f>
        <v/>
      </c>
      <c r="G137" s="75">
        <f>IF($A137="","",MRP!G934)</f>
        <v/>
      </c>
      <c r="H137" s="75">
        <f>IF($A137="","",MRP!H934)</f>
        <v/>
      </c>
      <c r="I137" s="75">
        <f>IF($A137="","",MRP!I934)</f>
        <v/>
      </c>
      <c r="J137" s="75">
        <f>IF($A137="","",MRP!J934)</f>
        <v/>
      </c>
      <c r="K137" s="75">
        <f>IF($A137="","",MRP!K934)</f>
        <v/>
      </c>
      <c r="L137" s="75">
        <f>IF($A137="","",MRP!L934)</f>
        <v/>
      </c>
      <c r="M137" s="76">
        <f>IF($A137="","",SUM(E137:L137))</f>
        <v/>
      </c>
      <c r="N137" s="77">
        <f>IF(ISNUMBER(D137),M137*D137,"")</f>
        <v/>
      </c>
      <c r="O137" s="78">
        <f>MRP!M934</f>
        <v/>
      </c>
    </row>
    <row r="138">
      <c r="A138" s="73">
        <f>IF(Materiales!$A$137="","",Materiales!$A$137)</f>
        <v/>
      </c>
      <c r="B138" s="60">
        <f>IF(Materiales!$B$137="","",Materiales!$B$137)</f>
        <v/>
      </c>
      <c r="C138" s="73">
        <f>IF(Materiales!$C$137="","",Materiales!$C$137)</f>
        <v/>
      </c>
      <c r="D138" s="74">
        <f>IF(Materiales!$D$137="","",Materiales!$D$137)</f>
        <v/>
      </c>
      <c r="E138" s="75">
        <f>IF($A138="","",MRP!E941)</f>
        <v/>
      </c>
      <c r="F138" s="75">
        <f>IF($A138="","",MRP!F941)</f>
        <v/>
      </c>
      <c r="G138" s="75">
        <f>IF($A138="","",MRP!G941)</f>
        <v/>
      </c>
      <c r="H138" s="75">
        <f>IF($A138="","",MRP!H941)</f>
        <v/>
      </c>
      <c r="I138" s="75">
        <f>IF($A138="","",MRP!I941)</f>
        <v/>
      </c>
      <c r="J138" s="75">
        <f>IF($A138="","",MRP!J941)</f>
        <v/>
      </c>
      <c r="K138" s="75">
        <f>IF($A138="","",MRP!K941)</f>
        <v/>
      </c>
      <c r="L138" s="75">
        <f>IF($A138="","",MRP!L941)</f>
        <v/>
      </c>
      <c r="M138" s="76">
        <f>IF($A138="","",SUM(E138:L138))</f>
        <v/>
      </c>
      <c r="N138" s="77">
        <f>IF(ISNUMBER(D138),M138*D138,"")</f>
        <v/>
      </c>
      <c r="O138" s="78">
        <f>MRP!M941</f>
        <v/>
      </c>
    </row>
    <row r="139">
      <c r="A139" s="73">
        <f>IF(Materiales!$A$138="","",Materiales!$A$138)</f>
        <v/>
      </c>
      <c r="B139" s="60">
        <f>IF(Materiales!$B$138="","",Materiales!$B$138)</f>
        <v/>
      </c>
      <c r="C139" s="73">
        <f>IF(Materiales!$C$138="","",Materiales!$C$138)</f>
        <v/>
      </c>
      <c r="D139" s="74">
        <f>IF(Materiales!$D$138="","",Materiales!$D$138)</f>
        <v/>
      </c>
      <c r="E139" s="75">
        <f>IF($A139="","",MRP!E948)</f>
        <v/>
      </c>
      <c r="F139" s="75">
        <f>IF($A139="","",MRP!F948)</f>
        <v/>
      </c>
      <c r="G139" s="75">
        <f>IF($A139="","",MRP!G948)</f>
        <v/>
      </c>
      <c r="H139" s="75">
        <f>IF($A139="","",MRP!H948)</f>
        <v/>
      </c>
      <c r="I139" s="75">
        <f>IF($A139="","",MRP!I948)</f>
        <v/>
      </c>
      <c r="J139" s="75">
        <f>IF($A139="","",MRP!J948)</f>
        <v/>
      </c>
      <c r="K139" s="75">
        <f>IF($A139="","",MRP!K948)</f>
        <v/>
      </c>
      <c r="L139" s="75">
        <f>IF($A139="","",MRP!L948)</f>
        <v/>
      </c>
      <c r="M139" s="76">
        <f>IF($A139="","",SUM(E139:L139))</f>
        <v/>
      </c>
      <c r="N139" s="77">
        <f>IF(ISNUMBER(D139),M139*D139,"")</f>
        <v/>
      </c>
      <c r="O139" s="78">
        <f>MRP!M948</f>
        <v/>
      </c>
    </row>
    <row r="140">
      <c r="A140" s="73">
        <f>IF(Materiales!$A$139="","",Materiales!$A$139)</f>
        <v/>
      </c>
      <c r="B140" s="60">
        <f>IF(Materiales!$B$139="","",Materiales!$B$139)</f>
        <v/>
      </c>
      <c r="C140" s="73">
        <f>IF(Materiales!$C$139="","",Materiales!$C$139)</f>
        <v/>
      </c>
      <c r="D140" s="74">
        <f>IF(Materiales!$D$139="","",Materiales!$D$139)</f>
        <v/>
      </c>
      <c r="E140" s="75">
        <f>IF($A140="","",MRP!E955)</f>
        <v/>
      </c>
      <c r="F140" s="75">
        <f>IF($A140="","",MRP!F955)</f>
        <v/>
      </c>
      <c r="G140" s="75">
        <f>IF($A140="","",MRP!G955)</f>
        <v/>
      </c>
      <c r="H140" s="75">
        <f>IF($A140="","",MRP!H955)</f>
        <v/>
      </c>
      <c r="I140" s="75">
        <f>IF($A140="","",MRP!I955)</f>
        <v/>
      </c>
      <c r="J140" s="75">
        <f>IF($A140="","",MRP!J955)</f>
        <v/>
      </c>
      <c r="K140" s="75">
        <f>IF($A140="","",MRP!K955)</f>
        <v/>
      </c>
      <c r="L140" s="75">
        <f>IF($A140="","",MRP!L955)</f>
        <v/>
      </c>
      <c r="M140" s="76">
        <f>IF($A140="","",SUM(E140:L140))</f>
        <v/>
      </c>
      <c r="N140" s="77">
        <f>IF(ISNUMBER(D140),M140*D140,"")</f>
        <v/>
      </c>
      <c r="O140" s="78">
        <f>MRP!M955</f>
        <v/>
      </c>
    </row>
    <row r="141">
      <c r="A141" s="73">
        <f>IF(Materiales!$A$140="","",Materiales!$A$140)</f>
        <v/>
      </c>
      <c r="B141" s="60">
        <f>IF(Materiales!$B$140="","",Materiales!$B$140)</f>
        <v/>
      </c>
      <c r="C141" s="73">
        <f>IF(Materiales!$C$140="","",Materiales!$C$140)</f>
        <v/>
      </c>
      <c r="D141" s="74">
        <f>IF(Materiales!$D$140="","",Materiales!$D$140)</f>
        <v/>
      </c>
      <c r="E141" s="75">
        <f>IF($A141="","",MRP!E962)</f>
        <v/>
      </c>
      <c r="F141" s="75">
        <f>IF($A141="","",MRP!F962)</f>
        <v/>
      </c>
      <c r="G141" s="75">
        <f>IF($A141="","",MRP!G962)</f>
        <v/>
      </c>
      <c r="H141" s="75">
        <f>IF($A141="","",MRP!H962)</f>
        <v/>
      </c>
      <c r="I141" s="75">
        <f>IF($A141="","",MRP!I962)</f>
        <v/>
      </c>
      <c r="J141" s="75">
        <f>IF($A141="","",MRP!J962)</f>
        <v/>
      </c>
      <c r="K141" s="75">
        <f>IF($A141="","",MRP!K962)</f>
        <v/>
      </c>
      <c r="L141" s="75">
        <f>IF($A141="","",MRP!L962)</f>
        <v/>
      </c>
      <c r="M141" s="76">
        <f>IF($A141="","",SUM(E141:L141))</f>
        <v/>
      </c>
      <c r="N141" s="77">
        <f>IF(ISNUMBER(D141),M141*D141,"")</f>
        <v/>
      </c>
      <c r="O141" s="78">
        <f>MRP!M962</f>
        <v/>
      </c>
    </row>
    <row r="142">
      <c r="A142" s="73">
        <f>IF(Materiales!$A$141="","",Materiales!$A$141)</f>
        <v/>
      </c>
      <c r="B142" s="60">
        <f>IF(Materiales!$B$141="","",Materiales!$B$141)</f>
        <v/>
      </c>
      <c r="C142" s="73">
        <f>IF(Materiales!$C$141="","",Materiales!$C$141)</f>
        <v/>
      </c>
      <c r="D142" s="74">
        <f>IF(Materiales!$D$141="","",Materiales!$D$141)</f>
        <v/>
      </c>
      <c r="E142" s="75">
        <f>IF($A142="","",MRP!E969)</f>
        <v/>
      </c>
      <c r="F142" s="75">
        <f>IF($A142="","",MRP!F969)</f>
        <v/>
      </c>
      <c r="G142" s="75">
        <f>IF($A142="","",MRP!G969)</f>
        <v/>
      </c>
      <c r="H142" s="75">
        <f>IF($A142="","",MRP!H969)</f>
        <v/>
      </c>
      <c r="I142" s="75">
        <f>IF($A142="","",MRP!I969)</f>
        <v/>
      </c>
      <c r="J142" s="75">
        <f>IF($A142="","",MRP!J969)</f>
        <v/>
      </c>
      <c r="K142" s="75">
        <f>IF($A142="","",MRP!K969)</f>
        <v/>
      </c>
      <c r="L142" s="75">
        <f>IF($A142="","",MRP!L969)</f>
        <v/>
      </c>
      <c r="M142" s="76">
        <f>IF($A142="","",SUM(E142:L142))</f>
        <v/>
      </c>
      <c r="N142" s="77">
        <f>IF(ISNUMBER(D142),M142*D142,"")</f>
        <v/>
      </c>
      <c r="O142" s="78">
        <f>MRP!M969</f>
        <v/>
      </c>
    </row>
    <row r="143">
      <c r="A143" s="73">
        <f>IF(Materiales!$A$142="","",Materiales!$A$142)</f>
        <v/>
      </c>
      <c r="B143" s="60">
        <f>IF(Materiales!$B$142="","",Materiales!$B$142)</f>
        <v/>
      </c>
      <c r="C143" s="73">
        <f>IF(Materiales!$C$142="","",Materiales!$C$142)</f>
        <v/>
      </c>
      <c r="D143" s="74">
        <f>IF(Materiales!$D$142="","",Materiales!$D$142)</f>
        <v/>
      </c>
      <c r="E143" s="75">
        <f>IF($A143="","",MRP!E976)</f>
        <v/>
      </c>
      <c r="F143" s="75">
        <f>IF($A143="","",MRP!F976)</f>
        <v/>
      </c>
      <c r="G143" s="75">
        <f>IF($A143="","",MRP!G976)</f>
        <v/>
      </c>
      <c r="H143" s="75">
        <f>IF($A143="","",MRP!H976)</f>
        <v/>
      </c>
      <c r="I143" s="75">
        <f>IF($A143="","",MRP!I976)</f>
        <v/>
      </c>
      <c r="J143" s="75">
        <f>IF($A143="","",MRP!J976)</f>
        <v/>
      </c>
      <c r="K143" s="75">
        <f>IF($A143="","",MRP!K976)</f>
        <v/>
      </c>
      <c r="L143" s="75">
        <f>IF($A143="","",MRP!L976)</f>
        <v/>
      </c>
      <c r="M143" s="76">
        <f>IF($A143="","",SUM(E143:L143))</f>
        <v/>
      </c>
      <c r="N143" s="77">
        <f>IF(ISNUMBER(D143),M143*D143,"")</f>
        <v/>
      </c>
      <c r="O143" s="78">
        <f>MRP!M976</f>
        <v/>
      </c>
    </row>
    <row r="144">
      <c r="A144" s="73">
        <f>IF(Materiales!$A$143="","",Materiales!$A$143)</f>
        <v/>
      </c>
      <c r="B144" s="60">
        <f>IF(Materiales!$B$143="","",Materiales!$B$143)</f>
        <v/>
      </c>
      <c r="C144" s="73">
        <f>IF(Materiales!$C$143="","",Materiales!$C$143)</f>
        <v/>
      </c>
      <c r="D144" s="74">
        <f>IF(Materiales!$D$143="","",Materiales!$D$143)</f>
        <v/>
      </c>
      <c r="E144" s="75">
        <f>IF($A144="","",MRP!E983)</f>
        <v/>
      </c>
      <c r="F144" s="75">
        <f>IF($A144="","",MRP!F983)</f>
        <v/>
      </c>
      <c r="G144" s="75">
        <f>IF($A144="","",MRP!G983)</f>
        <v/>
      </c>
      <c r="H144" s="75">
        <f>IF($A144="","",MRP!H983)</f>
        <v/>
      </c>
      <c r="I144" s="75">
        <f>IF($A144="","",MRP!I983)</f>
        <v/>
      </c>
      <c r="J144" s="75">
        <f>IF($A144="","",MRP!J983)</f>
        <v/>
      </c>
      <c r="K144" s="75">
        <f>IF($A144="","",MRP!K983)</f>
        <v/>
      </c>
      <c r="L144" s="75">
        <f>IF($A144="","",MRP!L983)</f>
        <v/>
      </c>
      <c r="M144" s="76">
        <f>IF($A144="","",SUM(E144:L144))</f>
        <v/>
      </c>
      <c r="N144" s="77">
        <f>IF(ISNUMBER(D144),M144*D144,"")</f>
        <v/>
      </c>
      <c r="O144" s="78">
        <f>MRP!M983</f>
        <v/>
      </c>
    </row>
    <row r="145">
      <c r="A145" s="73">
        <f>IF(Materiales!$A$144="","",Materiales!$A$144)</f>
        <v/>
      </c>
      <c r="B145" s="60">
        <f>IF(Materiales!$B$144="","",Materiales!$B$144)</f>
        <v/>
      </c>
      <c r="C145" s="73">
        <f>IF(Materiales!$C$144="","",Materiales!$C$144)</f>
        <v/>
      </c>
      <c r="D145" s="74">
        <f>IF(Materiales!$D$144="","",Materiales!$D$144)</f>
        <v/>
      </c>
      <c r="E145" s="75">
        <f>IF($A145="","",MRP!E990)</f>
        <v/>
      </c>
      <c r="F145" s="75">
        <f>IF($A145="","",MRP!F990)</f>
        <v/>
      </c>
      <c r="G145" s="75">
        <f>IF($A145="","",MRP!G990)</f>
        <v/>
      </c>
      <c r="H145" s="75">
        <f>IF($A145="","",MRP!H990)</f>
        <v/>
      </c>
      <c r="I145" s="75">
        <f>IF($A145="","",MRP!I990)</f>
        <v/>
      </c>
      <c r="J145" s="75">
        <f>IF($A145="","",MRP!J990)</f>
        <v/>
      </c>
      <c r="K145" s="75">
        <f>IF($A145="","",MRP!K990)</f>
        <v/>
      </c>
      <c r="L145" s="75">
        <f>IF($A145="","",MRP!L990)</f>
        <v/>
      </c>
      <c r="M145" s="76">
        <f>IF($A145="","",SUM(E145:L145))</f>
        <v/>
      </c>
      <c r="N145" s="77">
        <f>IF(ISNUMBER(D145),M145*D145,"")</f>
        <v/>
      </c>
      <c r="O145" s="78">
        <f>MRP!M990</f>
        <v/>
      </c>
    </row>
    <row r="146">
      <c r="A146" s="73">
        <f>IF(Materiales!$A$145="","",Materiales!$A$145)</f>
        <v/>
      </c>
      <c r="B146" s="60">
        <f>IF(Materiales!$B$145="","",Materiales!$B$145)</f>
        <v/>
      </c>
      <c r="C146" s="73">
        <f>IF(Materiales!$C$145="","",Materiales!$C$145)</f>
        <v/>
      </c>
      <c r="D146" s="74">
        <f>IF(Materiales!$D$145="","",Materiales!$D$145)</f>
        <v/>
      </c>
      <c r="E146" s="75">
        <f>IF($A146="","",MRP!E997)</f>
        <v/>
      </c>
      <c r="F146" s="75">
        <f>IF($A146="","",MRP!F997)</f>
        <v/>
      </c>
      <c r="G146" s="75">
        <f>IF($A146="","",MRP!G997)</f>
        <v/>
      </c>
      <c r="H146" s="75">
        <f>IF($A146="","",MRP!H997)</f>
        <v/>
      </c>
      <c r="I146" s="75">
        <f>IF($A146="","",MRP!I997)</f>
        <v/>
      </c>
      <c r="J146" s="75">
        <f>IF($A146="","",MRP!J997)</f>
        <v/>
      </c>
      <c r="K146" s="75">
        <f>IF($A146="","",MRP!K997)</f>
        <v/>
      </c>
      <c r="L146" s="75">
        <f>IF($A146="","",MRP!L997)</f>
        <v/>
      </c>
      <c r="M146" s="76">
        <f>IF($A146="","",SUM(E146:L146))</f>
        <v/>
      </c>
      <c r="N146" s="77">
        <f>IF(ISNUMBER(D146),M146*D146,"")</f>
        <v/>
      </c>
      <c r="O146" s="78">
        <f>MRP!M997</f>
        <v/>
      </c>
    </row>
    <row r="147">
      <c r="A147" s="73">
        <f>IF(Materiales!$A$146="","",Materiales!$A$146)</f>
        <v/>
      </c>
      <c r="B147" s="60">
        <f>IF(Materiales!$B$146="","",Materiales!$B$146)</f>
        <v/>
      </c>
      <c r="C147" s="73">
        <f>IF(Materiales!$C$146="","",Materiales!$C$146)</f>
        <v/>
      </c>
      <c r="D147" s="74">
        <f>IF(Materiales!$D$146="","",Materiales!$D$146)</f>
        <v/>
      </c>
      <c r="E147" s="75">
        <f>IF($A147="","",MRP!E1004)</f>
        <v/>
      </c>
      <c r="F147" s="75">
        <f>IF($A147="","",MRP!F1004)</f>
        <v/>
      </c>
      <c r="G147" s="75">
        <f>IF($A147="","",MRP!G1004)</f>
        <v/>
      </c>
      <c r="H147" s="75">
        <f>IF($A147="","",MRP!H1004)</f>
        <v/>
      </c>
      <c r="I147" s="75">
        <f>IF($A147="","",MRP!I1004)</f>
        <v/>
      </c>
      <c r="J147" s="75">
        <f>IF($A147="","",MRP!J1004)</f>
        <v/>
      </c>
      <c r="K147" s="75">
        <f>IF($A147="","",MRP!K1004)</f>
        <v/>
      </c>
      <c r="L147" s="75">
        <f>IF($A147="","",MRP!L1004)</f>
        <v/>
      </c>
      <c r="M147" s="76">
        <f>IF($A147="","",SUM(E147:L147))</f>
        <v/>
      </c>
      <c r="N147" s="77">
        <f>IF(ISNUMBER(D147),M147*D147,"")</f>
        <v/>
      </c>
      <c r="O147" s="78">
        <f>MRP!M1004</f>
        <v/>
      </c>
    </row>
    <row r="148">
      <c r="A148" s="73">
        <f>IF(Materiales!$A$147="","",Materiales!$A$147)</f>
        <v/>
      </c>
      <c r="B148" s="60">
        <f>IF(Materiales!$B$147="","",Materiales!$B$147)</f>
        <v/>
      </c>
      <c r="C148" s="73">
        <f>IF(Materiales!$C$147="","",Materiales!$C$147)</f>
        <v/>
      </c>
      <c r="D148" s="74">
        <f>IF(Materiales!$D$147="","",Materiales!$D$147)</f>
        <v/>
      </c>
      <c r="E148" s="75">
        <f>IF($A148="","",MRP!E1011)</f>
        <v/>
      </c>
      <c r="F148" s="75">
        <f>IF($A148="","",MRP!F1011)</f>
        <v/>
      </c>
      <c r="G148" s="75">
        <f>IF($A148="","",MRP!G1011)</f>
        <v/>
      </c>
      <c r="H148" s="75">
        <f>IF($A148="","",MRP!H1011)</f>
        <v/>
      </c>
      <c r="I148" s="75">
        <f>IF($A148="","",MRP!I1011)</f>
        <v/>
      </c>
      <c r="J148" s="75">
        <f>IF($A148="","",MRP!J1011)</f>
        <v/>
      </c>
      <c r="K148" s="75">
        <f>IF($A148="","",MRP!K1011)</f>
        <v/>
      </c>
      <c r="L148" s="75">
        <f>IF($A148="","",MRP!L1011)</f>
        <v/>
      </c>
      <c r="M148" s="76">
        <f>IF($A148="","",SUM(E148:L148))</f>
        <v/>
      </c>
      <c r="N148" s="77">
        <f>IF(ISNUMBER(D148),M148*D148,"")</f>
        <v/>
      </c>
      <c r="O148" s="78">
        <f>MRP!M1011</f>
        <v/>
      </c>
    </row>
    <row r="149">
      <c r="A149" s="73">
        <f>IF(Materiales!$A$148="","",Materiales!$A$148)</f>
        <v/>
      </c>
      <c r="B149" s="60">
        <f>IF(Materiales!$B$148="","",Materiales!$B$148)</f>
        <v/>
      </c>
      <c r="C149" s="73">
        <f>IF(Materiales!$C$148="","",Materiales!$C$148)</f>
        <v/>
      </c>
      <c r="D149" s="74">
        <f>IF(Materiales!$D$148="","",Materiales!$D$148)</f>
        <v/>
      </c>
      <c r="E149" s="75">
        <f>IF($A149="","",MRP!E1018)</f>
        <v/>
      </c>
      <c r="F149" s="75">
        <f>IF($A149="","",MRP!F1018)</f>
        <v/>
      </c>
      <c r="G149" s="75">
        <f>IF($A149="","",MRP!G1018)</f>
        <v/>
      </c>
      <c r="H149" s="75">
        <f>IF($A149="","",MRP!H1018)</f>
        <v/>
      </c>
      <c r="I149" s="75">
        <f>IF($A149="","",MRP!I1018)</f>
        <v/>
      </c>
      <c r="J149" s="75">
        <f>IF($A149="","",MRP!J1018)</f>
        <v/>
      </c>
      <c r="K149" s="75">
        <f>IF($A149="","",MRP!K1018)</f>
        <v/>
      </c>
      <c r="L149" s="75">
        <f>IF($A149="","",MRP!L1018)</f>
        <v/>
      </c>
      <c r="M149" s="76">
        <f>IF($A149="","",SUM(E149:L149))</f>
        <v/>
      </c>
      <c r="N149" s="77">
        <f>IF(ISNUMBER(D149),M149*D149,"")</f>
        <v/>
      </c>
      <c r="O149" s="78">
        <f>MRP!M1018</f>
        <v/>
      </c>
    </row>
    <row r="150">
      <c r="A150" s="73">
        <f>IF(Materiales!$A$149="","",Materiales!$A$149)</f>
        <v/>
      </c>
      <c r="B150" s="60">
        <f>IF(Materiales!$B$149="","",Materiales!$B$149)</f>
        <v/>
      </c>
      <c r="C150" s="73">
        <f>IF(Materiales!$C$149="","",Materiales!$C$149)</f>
        <v/>
      </c>
      <c r="D150" s="74">
        <f>IF(Materiales!$D$149="","",Materiales!$D$149)</f>
        <v/>
      </c>
      <c r="E150" s="75">
        <f>IF($A150="","",MRP!E1025)</f>
        <v/>
      </c>
      <c r="F150" s="75">
        <f>IF($A150="","",MRP!F1025)</f>
        <v/>
      </c>
      <c r="G150" s="75">
        <f>IF($A150="","",MRP!G1025)</f>
        <v/>
      </c>
      <c r="H150" s="75">
        <f>IF($A150="","",MRP!H1025)</f>
        <v/>
      </c>
      <c r="I150" s="75">
        <f>IF($A150="","",MRP!I1025)</f>
        <v/>
      </c>
      <c r="J150" s="75">
        <f>IF($A150="","",MRP!J1025)</f>
        <v/>
      </c>
      <c r="K150" s="75">
        <f>IF($A150="","",MRP!K1025)</f>
        <v/>
      </c>
      <c r="L150" s="75">
        <f>IF($A150="","",MRP!L1025)</f>
        <v/>
      </c>
      <c r="M150" s="76">
        <f>IF($A150="","",SUM(E150:L150))</f>
        <v/>
      </c>
      <c r="N150" s="77">
        <f>IF(ISNUMBER(D150),M150*D150,"")</f>
        <v/>
      </c>
      <c r="O150" s="78">
        <f>MRP!M1025</f>
        <v/>
      </c>
    </row>
    <row r="151">
      <c r="A151" s="73">
        <f>IF(Materiales!$A$150="","",Materiales!$A$150)</f>
        <v/>
      </c>
      <c r="B151" s="60">
        <f>IF(Materiales!$B$150="","",Materiales!$B$150)</f>
        <v/>
      </c>
      <c r="C151" s="73">
        <f>IF(Materiales!$C$150="","",Materiales!$C$150)</f>
        <v/>
      </c>
      <c r="D151" s="74">
        <f>IF(Materiales!$D$150="","",Materiales!$D$150)</f>
        <v/>
      </c>
      <c r="E151" s="75">
        <f>IF($A151="","",MRP!E1032)</f>
        <v/>
      </c>
      <c r="F151" s="75">
        <f>IF($A151="","",MRP!F1032)</f>
        <v/>
      </c>
      <c r="G151" s="75">
        <f>IF($A151="","",MRP!G1032)</f>
        <v/>
      </c>
      <c r="H151" s="75">
        <f>IF($A151="","",MRP!H1032)</f>
        <v/>
      </c>
      <c r="I151" s="75">
        <f>IF($A151="","",MRP!I1032)</f>
        <v/>
      </c>
      <c r="J151" s="75">
        <f>IF($A151="","",MRP!J1032)</f>
        <v/>
      </c>
      <c r="K151" s="75">
        <f>IF($A151="","",MRP!K1032)</f>
        <v/>
      </c>
      <c r="L151" s="75">
        <f>IF($A151="","",MRP!L1032)</f>
        <v/>
      </c>
      <c r="M151" s="76">
        <f>IF($A151="","",SUM(E151:L151))</f>
        <v/>
      </c>
      <c r="N151" s="77">
        <f>IF(ISNUMBER(D151),M151*D151,"")</f>
        <v/>
      </c>
      <c r="O151" s="78">
        <f>MRP!M1032</f>
        <v/>
      </c>
    </row>
    <row r="152">
      <c r="A152" s="73">
        <f>IF(Materiales!$A$151="","",Materiales!$A$151)</f>
        <v/>
      </c>
      <c r="B152" s="60">
        <f>IF(Materiales!$B$151="","",Materiales!$B$151)</f>
        <v/>
      </c>
      <c r="C152" s="73">
        <f>IF(Materiales!$C$151="","",Materiales!$C$151)</f>
        <v/>
      </c>
      <c r="D152" s="74">
        <f>IF(Materiales!$D$151="","",Materiales!$D$151)</f>
        <v/>
      </c>
      <c r="E152" s="75">
        <f>IF($A152="","",MRP!E1039)</f>
        <v/>
      </c>
      <c r="F152" s="75">
        <f>IF($A152="","",MRP!F1039)</f>
        <v/>
      </c>
      <c r="G152" s="75">
        <f>IF($A152="","",MRP!G1039)</f>
        <v/>
      </c>
      <c r="H152" s="75">
        <f>IF($A152="","",MRP!H1039)</f>
        <v/>
      </c>
      <c r="I152" s="75">
        <f>IF($A152="","",MRP!I1039)</f>
        <v/>
      </c>
      <c r="J152" s="75">
        <f>IF($A152="","",MRP!J1039)</f>
        <v/>
      </c>
      <c r="K152" s="75">
        <f>IF($A152="","",MRP!K1039)</f>
        <v/>
      </c>
      <c r="L152" s="75">
        <f>IF($A152="","",MRP!L1039)</f>
        <v/>
      </c>
      <c r="M152" s="76">
        <f>IF($A152="","",SUM(E152:L152))</f>
        <v/>
      </c>
      <c r="N152" s="77">
        <f>IF(ISNUMBER(D152),M152*D152,"")</f>
        <v/>
      </c>
      <c r="O152" s="78">
        <f>MRP!M1039</f>
        <v/>
      </c>
    </row>
    <row r="153">
      <c r="A153" s="73">
        <f>IF(Materiales!$A$152="","",Materiales!$A$152)</f>
        <v/>
      </c>
      <c r="B153" s="60">
        <f>IF(Materiales!$B$152="","",Materiales!$B$152)</f>
        <v/>
      </c>
      <c r="C153" s="73">
        <f>IF(Materiales!$C$152="","",Materiales!$C$152)</f>
        <v/>
      </c>
      <c r="D153" s="74">
        <f>IF(Materiales!$D$152="","",Materiales!$D$152)</f>
        <v/>
      </c>
      <c r="E153" s="75">
        <f>IF($A153="","",MRP!E1046)</f>
        <v/>
      </c>
      <c r="F153" s="75">
        <f>IF($A153="","",MRP!F1046)</f>
        <v/>
      </c>
      <c r="G153" s="75">
        <f>IF($A153="","",MRP!G1046)</f>
        <v/>
      </c>
      <c r="H153" s="75">
        <f>IF($A153="","",MRP!H1046)</f>
        <v/>
      </c>
      <c r="I153" s="75">
        <f>IF($A153="","",MRP!I1046)</f>
        <v/>
      </c>
      <c r="J153" s="75">
        <f>IF($A153="","",MRP!J1046)</f>
        <v/>
      </c>
      <c r="K153" s="75">
        <f>IF($A153="","",MRP!K1046)</f>
        <v/>
      </c>
      <c r="L153" s="75">
        <f>IF($A153="","",MRP!L1046)</f>
        <v/>
      </c>
      <c r="M153" s="76">
        <f>IF($A153="","",SUM(E153:L153))</f>
        <v/>
      </c>
      <c r="N153" s="77">
        <f>IF(ISNUMBER(D153),M153*D153,"")</f>
        <v/>
      </c>
      <c r="O153" s="78">
        <f>MRP!M1046</f>
        <v/>
      </c>
    </row>
    <row r="154">
      <c r="A154" s="73">
        <f>IF(Materiales!$A$153="","",Materiales!$A$153)</f>
        <v/>
      </c>
      <c r="B154" s="60">
        <f>IF(Materiales!$B$153="","",Materiales!$B$153)</f>
        <v/>
      </c>
      <c r="C154" s="73">
        <f>IF(Materiales!$C$153="","",Materiales!$C$153)</f>
        <v/>
      </c>
      <c r="D154" s="74">
        <f>IF(Materiales!$D$153="","",Materiales!$D$153)</f>
        <v/>
      </c>
      <c r="E154" s="75">
        <f>IF($A154="","",MRP!E1053)</f>
        <v/>
      </c>
      <c r="F154" s="75">
        <f>IF($A154="","",MRP!F1053)</f>
        <v/>
      </c>
      <c r="G154" s="75">
        <f>IF($A154="","",MRP!G1053)</f>
        <v/>
      </c>
      <c r="H154" s="75">
        <f>IF($A154="","",MRP!H1053)</f>
        <v/>
      </c>
      <c r="I154" s="75">
        <f>IF($A154="","",MRP!I1053)</f>
        <v/>
      </c>
      <c r="J154" s="75">
        <f>IF($A154="","",MRP!J1053)</f>
        <v/>
      </c>
      <c r="K154" s="75">
        <f>IF($A154="","",MRP!K1053)</f>
        <v/>
      </c>
      <c r="L154" s="75">
        <f>IF($A154="","",MRP!L1053)</f>
        <v/>
      </c>
      <c r="M154" s="76">
        <f>IF($A154="","",SUM(E154:L154))</f>
        <v/>
      </c>
      <c r="N154" s="77">
        <f>IF(ISNUMBER(D154),M154*D154,"")</f>
        <v/>
      </c>
      <c r="O154" s="78">
        <f>MRP!M1053</f>
        <v/>
      </c>
    </row>
    <row r="155">
      <c r="A155" s="73">
        <f>IF(Materiales!$A$154="","",Materiales!$A$154)</f>
        <v/>
      </c>
      <c r="B155" s="60">
        <f>IF(Materiales!$B$154="","",Materiales!$B$154)</f>
        <v/>
      </c>
      <c r="C155" s="73">
        <f>IF(Materiales!$C$154="","",Materiales!$C$154)</f>
        <v/>
      </c>
      <c r="D155" s="74">
        <f>IF(Materiales!$D$154="","",Materiales!$D$154)</f>
        <v/>
      </c>
      <c r="E155" s="75">
        <f>IF($A155="","",MRP!E1060)</f>
        <v/>
      </c>
      <c r="F155" s="75">
        <f>IF($A155="","",MRP!F1060)</f>
        <v/>
      </c>
      <c r="G155" s="75">
        <f>IF($A155="","",MRP!G1060)</f>
        <v/>
      </c>
      <c r="H155" s="75">
        <f>IF($A155="","",MRP!H1060)</f>
        <v/>
      </c>
      <c r="I155" s="75">
        <f>IF($A155="","",MRP!I1060)</f>
        <v/>
      </c>
      <c r="J155" s="75">
        <f>IF($A155="","",MRP!J1060)</f>
        <v/>
      </c>
      <c r="K155" s="75">
        <f>IF($A155="","",MRP!K1060)</f>
        <v/>
      </c>
      <c r="L155" s="75">
        <f>IF($A155="","",MRP!L1060)</f>
        <v/>
      </c>
      <c r="M155" s="76">
        <f>IF($A155="","",SUM(E155:L155))</f>
        <v/>
      </c>
      <c r="N155" s="77">
        <f>IF(ISNUMBER(D155),M155*D155,"")</f>
        <v/>
      </c>
      <c r="O155" s="78">
        <f>MRP!M1060</f>
        <v/>
      </c>
    </row>
    <row r="156">
      <c r="A156" s="73">
        <f>IF(Materiales!$A$155="","",Materiales!$A$155)</f>
        <v/>
      </c>
      <c r="B156" s="60">
        <f>IF(Materiales!$B$155="","",Materiales!$B$155)</f>
        <v/>
      </c>
      <c r="C156" s="73">
        <f>IF(Materiales!$C$155="","",Materiales!$C$155)</f>
        <v/>
      </c>
      <c r="D156" s="74">
        <f>IF(Materiales!$D$155="","",Materiales!$D$155)</f>
        <v/>
      </c>
      <c r="E156" s="75">
        <f>IF($A156="","",MRP!E1067)</f>
        <v/>
      </c>
      <c r="F156" s="75">
        <f>IF($A156="","",MRP!F1067)</f>
        <v/>
      </c>
      <c r="G156" s="75">
        <f>IF($A156="","",MRP!G1067)</f>
        <v/>
      </c>
      <c r="H156" s="75">
        <f>IF($A156="","",MRP!H1067)</f>
        <v/>
      </c>
      <c r="I156" s="75">
        <f>IF($A156="","",MRP!I1067)</f>
        <v/>
      </c>
      <c r="J156" s="75">
        <f>IF($A156="","",MRP!J1067)</f>
        <v/>
      </c>
      <c r="K156" s="75">
        <f>IF($A156="","",MRP!K1067)</f>
        <v/>
      </c>
      <c r="L156" s="75">
        <f>IF($A156="","",MRP!L1067)</f>
        <v/>
      </c>
      <c r="M156" s="76">
        <f>IF($A156="","",SUM(E156:L156))</f>
        <v/>
      </c>
      <c r="N156" s="77">
        <f>IF(ISNUMBER(D156),M156*D156,"")</f>
        <v/>
      </c>
      <c r="O156" s="78">
        <f>MRP!M1067</f>
        <v/>
      </c>
    </row>
    <row r="157">
      <c r="A157" s="73">
        <f>IF(Materiales!$A$156="","",Materiales!$A$156)</f>
        <v/>
      </c>
      <c r="B157" s="60">
        <f>IF(Materiales!$B$156="","",Materiales!$B$156)</f>
        <v/>
      </c>
      <c r="C157" s="73">
        <f>IF(Materiales!$C$156="","",Materiales!$C$156)</f>
        <v/>
      </c>
      <c r="D157" s="74">
        <f>IF(Materiales!$D$156="","",Materiales!$D$156)</f>
        <v/>
      </c>
      <c r="E157" s="75">
        <f>IF($A157="","",MRP!E1074)</f>
        <v/>
      </c>
      <c r="F157" s="75">
        <f>IF($A157="","",MRP!F1074)</f>
        <v/>
      </c>
      <c r="G157" s="75">
        <f>IF($A157="","",MRP!G1074)</f>
        <v/>
      </c>
      <c r="H157" s="75">
        <f>IF($A157="","",MRP!H1074)</f>
        <v/>
      </c>
      <c r="I157" s="75">
        <f>IF($A157="","",MRP!I1074)</f>
        <v/>
      </c>
      <c r="J157" s="75">
        <f>IF($A157="","",MRP!J1074)</f>
        <v/>
      </c>
      <c r="K157" s="75">
        <f>IF($A157="","",MRP!K1074)</f>
        <v/>
      </c>
      <c r="L157" s="75">
        <f>IF($A157="","",MRP!L1074)</f>
        <v/>
      </c>
      <c r="M157" s="76">
        <f>IF($A157="","",SUM(E157:L157))</f>
        <v/>
      </c>
      <c r="N157" s="77">
        <f>IF(ISNUMBER(D157),M157*D157,"")</f>
        <v/>
      </c>
      <c r="O157" s="78">
        <f>MRP!M1074</f>
        <v/>
      </c>
    </row>
    <row r="158">
      <c r="A158" s="73">
        <f>IF(Materiales!$A$157="","",Materiales!$A$157)</f>
        <v/>
      </c>
      <c r="B158" s="60">
        <f>IF(Materiales!$B$157="","",Materiales!$B$157)</f>
        <v/>
      </c>
      <c r="C158" s="73">
        <f>IF(Materiales!$C$157="","",Materiales!$C$157)</f>
        <v/>
      </c>
      <c r="D158" s="74">
        <f>IF(Materiales!$D$157="","",Materiales!$D$157)</f>
        <v/>
      </c>
      <c r="E158" s="75">
        <f>IF($A158="","",MRP!E1081)</f>
        <v/>
      </c>
      <c r="F158" s="75">
        <f>IF($A158="","",MRP!F1081)</f>
        <v/>
      </c>
      <c r="G158" s="75">
        <f>IF($A158="","",MRP!G1081)</f>
        <v/>
      </c>
      <c r="H158" s="75">
        <f>IF($A158="","",MRP!H1081)</f>
        <v/>
      </c>
      <c r="I158" s="75">
        <f>IF($A158="","",MRP!I1081)</f>
        <v/>
      </c>
      <c r="J158" s="75">
        <f>IF($A158="","",MRP!J1081)</f>
        <v/>
      </c>
      <c r="K158" s="75">
        <f>IF($A158="","",MRP!K1081)</f>
        <v/>
      </c>
      <c r="L158" s="75">
        <f>IF($A158="","",MRP!L1081)</f>
        <v/>
      </c>
      <c r="M158" s="76">
        <f>IF($A158="","",SUM(E158:L158))</f>
        <v/>
      </c>
      <c r="N158" s="77">
        <f>IF(ISNUMBER(D158),M158*D158,"")</f>
        <v/>
      </c>
      <c r="O158" s="78">
        <f>MRP!M1081</f>
        <v/>
      </c>
    </row>
    <row r="159">
      <c r="A159" s="73">
        <f>IF(Materiales!$A$158="","",Materiales!$A$158)</f>
        <v/>
      </c>
      <c r="B159" s="60">
        <f>IF(Materiales!$B$158="","",Materiales!$B$158)</f>
        <v/>
      </c>
      <c r="C159" s="73">
        <f>IF(Materiales!$C$158="","",Materiales!$C$158)</f>
        <v/>
      </c>
      <c r="D159" s="74">
        <f>IF(Materiales!$D$158="","",Materiales!$D$158)</f>
        <v/>
      </c>
      <c r="E159" s="75">
        <f>IF($A159="","",MRP!E1088)</f>
        <v/>
      </c>
      <c r="F159" s="75">
        <f>IF($A159="","",MRP!F1088)</f>
        <v/>
      </c>
      <c r="G159" s="75">
        <f>IF($A159="","",MRP!G1088)</f>
        <v/>
      </c>
      <c r="H159" s="75">
        <f>IF($A159="","",MRP!H1088)</f>
        <v/>
      </c>
      <c r="I159" s="75">
        <f>IF($A159="","",MRP!I1088)</f>
        <v/>
      </c>
      <c r="J159" s="75">
        <f>IF($A159="","",MRP!J1088)</f>
        <v/>
      </c>
      <c r="K159" s="75">
        <f>IF($A159="","",MRP!K1088)</f>
        <v/>
      </c>
      <c r="L159" s="75">
        <f>IF($A159="","",MRP!L1088)</f>
        <v/>
      </c>
      <c r="M159" s="76">
        <f>IF($A159="","",SUM(E159:L159))</f>
        <v/>
      </c>
      <c r="N159" s="77">
        <f>IF(ISNUMBER(D159),M159*D159,"")</f>
        <v/>
      </c>
      <c r="O159" s="78">
        <f>MRP!M1088</f>
        <v/>
      </c>
    </row>
    <row r="160">
      <c r="A160" s="73">
        <f>IF(Materiales!$A$159="","",Materiales!$A$159)</f>
        <v/>
      </c>
      <c r="B160" s="60">
        <f>IF(Materiales!$B$159="","",Materiales!$B$159)</f>
        <v/>
      </c>
      <c r="C160" s="73">
        <f>IF(Materiales!$C$159="","",Materiales!$C$159)</f>
        <v/>
      </c>
      <c r="D160" s="74">
        <f>IF(Materiales!$D$159="","",Materiales!$D$159)</f>
        <v/>
      </c>
      <c r="E160" s="75">
        <f>IF($A160="","",MRP!E1095)</f>
        <v/>
      </c>
      <c r="F160" s="75">
        <f>IF($A160="","",MRP!F1095)</f>
        <v/>
      </c>
      <c r="G160" s="75">
        <f>IF($A160="","",MRP!G1095)</f>
        <v/>
      </c>
      <c r="H160" s="75">
        <f>IF($A160="","",MRP!H1095)</f>
        <v/>
      </c>
      <c r="I160" s="75">
        <f>IF($A160="","",MRP!I1095)</f>
        <v/>
      </c>
      <c r="J160" s="75">
        <f>IF($A160="","",MRP!J1095)</f>
        <v/>
      </c>
      <c r="K160" s="75">
        <f>IF($A160="","",MRP!K1095)</f>
        <v/>
      </c>
      <c r="L160" s="75">
        <f>IF($A160="","",MRP!L1095)</f>
        <v/>
      </c>
      <c r="M160" s="76">
        <f>IF($A160="","",SUM(E160:L160))</f>
        <v/>
      </c>
      <c r="N160" s="77">
        <f>IF(ISNUMBER(D160),M160*D160,"")</f>
        <v/>
      </c>
      <c r="O160" s="78">
        <f>MRP!M1095</f>
        <v/>
      </c>
    </row>
    <row r="161">
      <c r="A161" s="73">
        <f>IF(Materiales!$A$160="","",Materiales!$A$160)</f>
        <v/>
      </c>
      <c r="B161" s="60">
        <f>IF(Materiales!$B$160="","",Materiales!$B$160)</f>
        <v/>
      </c>
      <c r="C161" s="73">
        <f>IF(Materiales!$C$160="","",Materiales!$C$160)</f>
        <v/>
      </c>
      <c r="D161" s="74">
        <f>IF(Materiales!$D$160="","",Materiales!$D$160)</f>
        <v/>
      </c>
      <c r="E161" s="75">
        <f>IF($A161="","",MRP!E1102)</f>
        <v/>
      </c>
      <c r="F161" s="75">
        <f>IF($A161="","",MRP!F1102)</f>
        <v/>
      </c>
      <c r="G161" s="75">
        <f>IF($A161="","",MRP!G1102)</f>
        <v/>
      </c>
      <c r="H161" s="75">
        <f>IF($A161="","",MRP!H1102)</f>
        <v/>
      </c>
      <c r="I161" s="75">
        <f>IF($A161="","",MRP!I1102)</f>
        <v/>
      </c>
      <c r="J161" s="75">
        <f>IF($A161="","",MRP!J1102)</f>
        <v/>
      </c>
      <c r="K161" s="75">
        <f>IF($A161="","",MRP!K1102)</f>
        <v/>
      </c>
      <c r="L161" s="75">
        <f>IF($A161="","",MRP!L1102)</f>
        <v/>
      </c>
      <c r="M161" s="76">
        <f>IF($A161="","",SUM(E161:L161))</f>
        <v/>
      </c>
      <c r="N161" s="77">
        <f>IF(ISNUMBER(D161),M161*D161,"")</f>
        <v/>
      </c>
      <c r="O161" s="78">
        <f>MRP!M1102</f>
        <v/>
      </c>
    </row>
    <row r="162">
      <c r="A162" s="73">
        <f>IF(Materiales!$A$161="","",Materiales!$A$161)</f>
        <v/>
      </c>
      <c r="B162" s="60">
        <f>IF(Materiales!$B$161="","",Materiales!$B$161)</f>
        <v/>
      </c>
      <c r="C162" s="73">
        <f>IF(Materiales!$C$161="","",Materiales!$C$161)</f>
        <v/>
      </c>
      <c r="D162" s="74">
        <f>IF(Materiales!$D$161="","",Materiales!$D$161)</f>
        <v/>
      </c>
      <c r="E162" s="75">
        <f>IF($A162="","",MRP!E1109)</f>
        <v/>
      </c>
      <c r="F162" s="75">
        <f>IF($A162="","",MRP!F1109)</f>
        <v/>
      </c>
      <c r="G162" s="75">
        <f>IF($A162="","",MRP!G1109)</f>
        <v/>
      </c>
      <c r="H162" s="75">
        <f>IF($A162="","",MRP!H1109)</f>
        <v/>
      </c>
      <c r="I162" s="75">
        <f>IF($A162="","",MRP!I1109)</f>
        <v/>
      </c>
      <c r="J162" s="75">
        <f>IF($A162="","",MRP!J1109)</f>
        <v/>
      </c>
      <c r="K162" s="75">
        <f>IF($A162="","",MRP!K1109)</f>
        <v/>
      </c>
      <c r="L162" s="75">
        <f>IF($A162="","",MRP!L1109)</f>
        <v/>
      </c>
      <c r="M162" s="76">
        <f>IF($A162="","",SUM(E162:L162))</f>
        <v/>
      </c>
      <c r="N162" s="77">
        <f>IF(ISNUMBER(D162),M162*D162,"")</f>
        <v/>
      </c>
      <c r="O162" s="78">
        <f>MRP!M1109</f>
        <v/>
      </c>
    </row>
    <row r="163">
      <c r="A163" s="73">
        <f>IF(Materiales!$A$162="","",Materiales!$A$162)</f>
        <v/>
      </c>
      <c r="B163" s="60">
        <f>IF(Materiales!$B$162="","",Materiales!$B$162)</f>
        <v/>
      </c>
      <c r="C163" s="73">
        <f>IF(Materiales!$C$162="","",Materiales!$C$162)</f>
        <v/>
      </c>
      <c r="D163" s="74">
        <f>IF(Materiales!$D$162="","",Materiales!$D$162)</f>
        <v/>
      </c>
      <c r="E163" s="75">
        <f>IF($A163="","",MRP!E1116)</f>
        <v/>
      </c>
      <c r="F163" s="75">
        <f>IF($A163="","",MRP!F1116)</f>
        <v/>
      </c>
      <c r="G163" s="75">
        <f>IF($A163="","",MRP!G1116)</f>
        <v/>
      </c>
      <c r="H163" s="75">
        <f>IF($A163="","",MRP!H1116)</f>
        <v/>
      </c>
      <c r="I163" s="75">
        <f>IF($A163="","",MRP!I1116)</f>
        <v/>
      </c>
      <c r="J163" s="75">
        <f>IF($A163="","",MRP!J1116)</f>
        <v/>
      </c>
      <c r="K163" s="75">
        <f>IF($A163="","",MRP!K1116)</f>
        <v/>
      </c>
      <c r="L163" s="75">
        <f>IF($A163="","",MRP!L1116)</f>
        <v/>
      </c>
      <c r="M163" s="76">
        <f>IF($A163="","",SUM(E163:L163))</f>
        <v/>
      </c>
      <c r="N163" s="77">
        <f>IF(ISNUMBER(D163),M163*D163,"")</f>
        <v/>
      </c>
      <c r="O163" s="78">
        <f>MRP!M1116</f>
        <v/>
      </c>
    </row>
    <row r="164">
      <c r="A164" s="73">
        <f>IF(Materiales!$A$163="","",Materiales!$A$163)</f>
        <v/>
      </c>
      <c r="B164" s="60">
        <f>IF(Materiales!$B$163="","",Materiales!$B$163)</f>
        <v/>
      </c>
      <c r="C164" s="73">
        <f>IF(Materiales!$C$163="","",Materiales!$C$163)</f>
        <v/>
      </c>
      <c r="D164" s="74">
        <f>IF(Materiales!$D$163="","",Materiales!$D$163)</f>
        <v/>
      </c>
      <c r="E164" s="75">
        <f>IF($A164="","",MRP!E1123)</f>
        <v/>
      </c>
      <c r="F164" s="75">
        <f>IF($A164="","",MRP!F1123)</f>
        <v/>
      </c>
      <c r="G164" s="75">
        <f>IF($A164="","",MRP!G1123)</f>
        <v/>
      </c>
      <c r="H164" s="75">
        <f>IF($A164="","",MRP!H1123)</f>
        <v/>
      </c>
      <c r="I164" s="75">
        <f>IF($A164="","",MRP!I1123)</f>
        <v/>
      </c>
      <c r="J164" s="75">
        <f>IF($A164="","",MRP!J1123)</f>
        <v/>
      </c>
      <c r="K164" s="75">
        <f>IF($A164="","",MRP!K1123)</f>
        <v/>
      </c>
      <c r="L164" s="75">
        <f>IF($A164="","",MRP!L1123)</f>
        <v/>
      </c>
      <c r="M164" s="76">
        <f>IF($A164="","",SUM(E164:L164))</f>
        <v/>
      </c>
      <c r="N164" s="77">
        <f>IF(ISNUMBER(D164),M164*D164,"")</f>
        <v/>
      </c>
      <c r="O164" s="78">
        <f>MRP!M1123</f>
        <v/>
      </c>
    </row>
    <row r="165">
      <c r="A165" s="73">
        <f>IF(Materiales!$A$164="","",Materiales!$A$164)</f>
        <v/>
      </c>
      <c r="B165" s="60">
        <f>IF(Materiales!$B$164="","",Materiales!$B$164)</f>
        <v/>
      </c>
      <c r="C165" s="73">
        <f>IF(Materiales!$C$164="","",Materiales!$C$164)</f>
        <v/>
      </c>
      <c r="D165" s="74">
        <f>IF(Materiales!$D$164="","",Materiales!$D$164)</f>
        <v/>
      </c>
      <c r="E165" s="75">
        <f>IF($A165="","",MRP!E1130)</f>
        <v/>
      </c>
      <c r="F165" s="75">
        <f>IF($A165="","",MRP!F1130)</f>
        <v/>
      </c>
      <c r="G165" s="75">
        <f>IF($A165="","",MRP!G1130)</f>
        <v/>
      </c>
      <c r="H165" s="75">
        <f>IF($A165="","",MRP!H1130)</f>
        <v/>
      </c>
      <c r="I165" s="75">
        <f>IF($A165="","",MRP!I1130)</f>
        <v/>
      </c>
      <c r="J165" s="75">
        <f>IF($A165="","",MRP!J1130)</f>
        <v/>
      </c>
      <c r="K165" s="75">
        <f>IF($A165="","",MRP!K1130)</f>
        <v/>
      </c>
      <c r="L165" s="75">
        <f>IF($A165="","",MRP!L1130)</f>
        <v/>
      </c>
      <c r="M165" s="76">
        <f>IF($A165="","",SUM(E165:L165))</f>
        <v/>
      </c>
      <c r="N165" s="77">
        <f>IF(ISNUMBER(D165),M165*D165,"")</f>
        <v/>
      </c>
      <c r="O165" s="78">
        <f>MRP!M1130</f>
        <v/>
      </c>
    </row>
    <row r="166">
      <c r="A166" s="73">
        <f>IF(Materiales!$A$165="","",Materiales!$A$165)</f>
        <v/>
      </c>
      <c r="B166" s="60">
        <f>IF(Materiales!$B$165="","",Materiales!$B$165)</f>
        <v/>
      </c>
      <c r="C166" s="73">
        <f>IF(Materiales!$C$165="","",Materiales!$C$165)</f>
        <v/>
      </c>
      <c r="D166" s="74">
        <f>IF(Materiales!$D$165="","",Materiales!$D$165)</f>
        <v/>
      </c>
      <c r="E166" s="75">
        <f>IF($A166="","",MRP!E1137)</f>
        <v/>
      </c>
      <c r="F166" s="75">
        <f>IF($A166="","",MRP!F1137)</f>
        <v/>
      </c>
      <c r="G166" s="75">
        <f>IF($A166="","",MRP!G1137)</f>
        <v/>
      </c>
      <c r="H166" s="75">
        <f>IF($A166="","",MRP!H1137)</f>
        <v/>
      </c>
      <c r="I166" s="75">
        <f>IF($A166="","",MRP!I1137)</f>
        <v/>
      </c>
      <c r="J166" s="75">
        <f>IF($A166="","",MRP!J1137)</f>
        <v/>
      </c>
      <c r="K166" s="75">
        <f>IF($A166="","",MRP!K1137)</f>
        <v/>
      </c>
      <c r="L166" s="75">
        <f>IF($A166="","",MRP!L1137)</f>
        <v/>
      </c>
      <c r="M166" s="76">
        <f>IF($A166="","",SUM(E166:L166))</f>
        <v/>
      </c>
      <c r="N166" s="77">
        <f>IF(ISNUMBER(D166),M166*D166,"")</f>
        <v/>
      </c>
      <c r="O166" s="78">
        <f>MRP!M1137</f>
        <v/>
      </c>
    </row>
    <row r="167">
      <c r="A167" s="73">
        <f>IF(Materiales!$A$166="","",Materiales!$A$166)</f>
        <v/>
      </c>
      <c r="B167" s="60">
        <f>IF(Materiales!$B$166="","",Materiales!$B$166)</f>
        <v/>
      </c>
      <c r="C167" s="73">
        <f>IF(Materiales!$C$166="","",Materiales!$C$166)</f>
        <v/>
      </c>
      <c r="D167" s="74">
        <f>IF(Materiales!$D$166="","",Materiales!$D$166)</f>
        <v/>
      </c>
      <c r="E167" s="75">
        <f>IF($A167="","",MRP!E1144)</f>
        <v/>
      </c>
      <c r="F167" s="75">
        <f>IF($A167="","",MRP!F1144)</f>
        <v/>
      </c>
      <c r="G167" s="75">
        <f>IF($A167="","",MRP!G1144)</f>
        <v/>
      </c>
      <c r="H167" s="75">
        <f>IF($A167="","",MRP!H1144)</f>
        <v/>
      </c>
      <c r="I167" s="75">
        <f>IF($A167="","",MRP!I1144)</f>
        <v/>
      </c>
      <c r="J167" s="75">
        <f>IF($A167="","",MRP!J1144)</f>
        <v/>
      </c>
      <c r="K167" s="75">
        <f>IF($A167="","",MRP!K1144)</f>
        <v/>
      </c>
      <c r="L167" s="75">
        <f>IF($A167="","",MRP!L1144)</f>
        <v/>
      </c>
      <c r="M167" s="76">
        <f>IF($A167="","",SUM(E167:L167))</f>
        <v/>
      </c>
      <c r="N167" s="77">
        <f>IF(ISNUMBER(D167),M167*D167,"")</f>
        <v/>
      </c>
      <c r="O167" s="78">
        <f>MRP!M1144</f>
        <v/>
      </c>
    </row>
    <row r="168">
      <c r="A168" s="73">
        <f>IF(Materiales!$A$167="","",Materiales!$A$167)</f>
        <v/>
      </c>
      <c r="B168" s="60">
        <f>IF(Materiales!$B$167="","",Materiales!$B$167)</f>
        <v/>
      </c>
      <c r="C168" s="73">
        <f>IF(Materiales!$C$167="","",Materiales!$C$167)</f>
        <v/>
      </c>
      <c r="D168" s="74">
        <f>IF(Materiales!$D$167="","",Materiales!$D$167)</f>
        <v/>
      </c>
      <c r="E168" s="75">
        <f>IF($A168="","",MRP!E1151)</f>
        <v/>
      </c>
      <c r="F168" s="75">
        <f>IF($A168="","",MRP!F1151)</f>
        <v/>
      </c>
      <c r="G168" s="75">
        <f>IF($A168="","",MRP!G1151)</f>
        <v/>
      </c>
      <c r="H168" s="75">
        <f>IF($A168="","",MRP!H1151)</f>
        <v/>
      </c>
      <c r="I168" s="75">
        <f>IF($A168="","",MRP!I1151)</f>
        <v/>
      </c>
      <c r="J168" s="75">
        <f>IF($A168="","",MRP!J1151)</f>
        <v/>
      </c>
      <c r="K168" s="75">
        <f>IF($A168="","",MRP!K1151)</f>
        <v/>
      </c>
      <c r="L168" s="75">
        <f>IF($A168="","",MRP!L1151)</f>
        <v/>
      </c>
      <c r="M168" s="76">
        <f>IF($A168="","",SUM(E168:L168))</f>
        <v/>
      </c>
      <c r="N168" s="77">
        <f>IF(ISNUMBER(D168),M168*D168,"")</f>
        <v/>
      </c>
      <c r="O168" s="78">
        <f>MRP!M1151</f>
        <v/>
      </c>
    </row>
    <row r="169">
      <c r="A169" s="73">
        <f>IF(Materiales!$A$168="","",Materiales!$A$168)</f>
        <v/>
      </c>
      <c r="B169" s="60">
        <f>IF(Materiales!$B$168="","",Materiales!$B$168)</f>
        <v/>
      </c>
      <c r="C169" s="73">
        <f>IF(Materiales!$C$168="","",Materiales!$C$168)</f>
        <v/>
      </c>
      <c r="D169" s="74">
        <f>IF(Materiales!$D$168="","",Materiales!$D$168)</f>
        <v/>
      </c>
      <c r="E169" s="75">
        <f>IF($A169="","",MRP!E1158)</f>
        <v/>
      </c>
      <c r="F169" s="75">
        <f>IF($A169="","",MRP!F1158)</f>
        <v/>
      </c>
      <c r="G169" s="75">
        <f>IF($A169="","",MRP!G1158)</f>
        <v/>
      </c>
      <c r="H169" s="75">
        <f>IF($A169="","",MRP!H1158)</f>
        <v/>
      </c>
      <c r="I169" s="75">
        <f>IF($A169="","",MRP!I1158)</f>
        <v/>
      </c>
      <c r="J169" s="75">
        <f>IF($A169="","",MRP!J1158)</f>
        <v/>
      </c>
      <c r="K169" s="75">
        <f>IF($A169="","",MRP!K1158)</f>
        <v/>
      </c>
      <c r="L169" s="75">
        <f>IF($A169="","",MRP!L1158)</f>
        <v/>
      </c>
      <c r="M169" s="76">
        <f>IF($A169="","",SUM(E169:L169))</f>
        <v/>
      </c>
      <c r="N169" s="77">
        <f>IF(ISNUMBER(D169),M169*D169,"")</f>
        <v/>
      </c>
      <c r="O169" s="78">
        <f>MRP!M1158</f>
        <v/>
      </c>
    </row>
    <row r="170">
      <c r="A170" s="73">
        <f>IF(Materiales!$A$169="","",Materiales!$A$169)</f>
        <v/>
      </c>
      <c r="B170" s="60">
        <f>IF(Materiales!$B$169="","",Materiales!$B$169)</f>
        <v/>
      </c>
      <c r="C170" s="73">
        <f>IF(Materiales!$C$169="","",Materiales!$C$169)</f>
        <v/>
      </c>
      <c r="D170" s="74">
        <f>IF(Materiales!$D$169="","",Materiales!$D$169)</f>
        <v/>
      </c>
      <c r="E170" s="75">
        <f>IF($A170="","",MRP!E1165)</f>
        <v/>
      </c>
      <c r="F170" s="75">
        <f>IF($A170="","",MRP!F1165)</f>
        <v/>
      </c>
      <c r="G170" s="75">
        <f>IF($A170="","",MRP!G1165)</f>
        <v/>
      </c>
      <c r="H170" s="75">
        <f>IF($A170="","",MRP!H1165)</f>
        <v/>
      </c>
      <c r="I170" s="75">
        <f>IF($A170="","",MRP!I1165)</f>
        <v/>
      </c>
      <c r="J170" s="75">
        <f>IF($A170="","",MRP!J1165)</f>
        <v/>
      </c>
      <c r="K170" s="75">
        <f>IF($A170="","",MRP!K1165)</f>
        <v/>
      </c>
      <c r="L170" s="75">
        <f>IF($A170="","",MRP!L1165)</f>
        <v/>
      </c>
      <c r="M170" s="76">
        <f>IF($A170="","",SUM(E170:L170))</f>
        <v/>
      </c>
      <c r="N170" s="77">
        <f>IF(ISNUMBER(D170),M170*D170,"")</f>
        <v/>
      </c>
      <c r="O170" s="78">
        <f>MRP!M1165</f>
        <v/>
      </c>
    </row>
    <row r="171">
      <c r="A171" s="73">
        <f>IF(Materiales!$A$170="","",Materiales!$A$170)</f>
        <v/>
      </c>
      <c r="B171" s="60">
        <f>IF(Materiales!$B$170="","",Materiales!$B$170)</f>
        <v/>
      </c>
      <c r="C171" s="73">
        <f>IF(Materiales!$C$170="","",Materiales!$C$170)</f>
        <v/>
      </c>
      <c r="D171" s="74">
        <f>IF(Materiales!$D$170="","",Materiales!$D$170)</f>
        <v/>
      </c>
      <c r="E171" s="75">
        <f>IF($A171="","",MRP!E1172)</f>
        <v/>
      </c>
      <c r="F171" s="75">
        <f>IF($A171="","",MRP!F1172)</f>
        <v/>
      </c>
      <c r="G171" s="75">
        <f>IF($A171="","",MRP!G1172)</f>
        <v/>
      </c>
      <c r="H171" s="75">
        <f>IF($A171="","",MRP!H1172)</f>
        <v/>
      </c>
      <c r="I171" s="75">
        <f>IF($A171="","",MRP!I1172)</f>
        <v/>
      </c>
      <c r="J171" s="75">
        <f>IF($A171="","",MRP!J1172)</f>
        <v/>
      </c>
      <c r="K171" s="75">
        <f>IF($A171="","",MRP!K1172)</f>
        <v/>
      </c>
      <c r="L171" s="75">
        <f>IF($A171="","",MRP!L1172)</f>
        <v/>
      </c>
      <c r="M171" s="76">
        <f>IF($A171="","",SUM(E171:L171))</f>
        <v/>
      </c>
      <c r="N171" s="77">
        <f>IF(ISNUMBER(D171),M171*D171,"")</f>
        <v/>
      </c>
      <c r="O171" s="78">
        <f>MRP!M1172</f>
        <v/>
      </c>
    </row>
    <row r="172">
      <c r="A172" s="73">
        <f>IF(Materiales!$A$171="","",Materiales!$A$171)</f>
        <v/>
      </c>
      <c r="B172" s="60">
        <f>IF(Materiales!$B$171="","",Materiales!$B$171)</f>
        <v/>
      </c>
      <c r="C172" s="73">
        <f>IF(Materiales!$C$171="","",Materiales!$C$171)</f>
        <v/>
      </c>
      <c r="D172" s="74">
        <f>IF(Materiales!$D$171="","",Materiales!$D$171)</f>
        <v/>
      </c>
      <c r="E172" s="75">
        <f>IF($A172="","",MRP!E1179)</f>
        <v/>
      </c>
      <c r="F172" s="75">
        <f>IF($A172="","",MRP!F1179)</f>
        <v/>
      </c>
      <c r="G172" s="75">
        <f>IF($A172="","",MRP!G1179)</f>
        <v/>
      </c>
      <c r="H172" s="75">
        <f>IF($A172="","",MRP!H1179)</f>
        <v/>
      </c>
      <c r="I172" s="75">
        <f>IF($A172="","",MRP!I1179)</f>
        <v/>
      </c>
      <c r="J172" s="75">
        <f>IF($A172="","",MRP!J1179)</f>
        <v/>
      </c>
      <c r="K172" s="75">
        <f>IF($A172="","",MRP!K1179)</f>
        <v/>
      </c>
      <c r="L172" s="75">
        <f>IF($A172="","",MRP!L1179)</f>
        <v/>
      </c>
      <c r="M172" s="76">
        <f>IF($A172="","",SUM(E172:L172))</f>
        <v/>
      </c>
      <c r="N172" s="77">
        <f>IF(ISNUMBER(D172),M172*D172,"")</f>
        <v/>
      </c>
      <c r="O172" s="78">
        <f>MRP!M1179</f>
        <v/>
      </c>
    </row>
    <row r="173">
      <c r="A173" s="73">
        <f>IF(Materiales!$A$172="","",Materiales!$A$172)</f>
        <v/>
      </c>
      <c r="B173" s="60">
        <f>IF(Materiales!$B$172="","",Materiales!$B$172)</f>
        <v/>
      </c>
      <c r="C173" s="73">
        <f>IF(Materiales!$C$172="","",Materiales!$C$172)</f>
        <v/>
      </c>
      <c r="D173" s="74">
        <f>IF(Materiales!$D$172="","",Materiales!$D$172)</f>
        <v/>
      </c>
      <c r="E173" s="75">
        <f>IF($A173="","",MRP!E1186)</f>
        <v/>
      </c>
      <c r="F173" s="75">
        <f>IF($A173="","",MRP!F1186)</f>
        <v/>
      </c>
      <c r="G173" s="75">
        <f>IF($A173="","",MRP!G1186)</f>
        <v/>
      </c>
      <c r="H173" s="75">
        <f>IF($A173="","",MRP!H1186)</f>
        <v/>
      </c>
      <c r="I173" s="75">
        <f>IF($A173="","",MRP!I1186)</f>
        <v/>
      </c>
      <c r="J173" s="75">
        <f>IF($A173="","",MRP!J1186)</f>
        <v/>
      </c>
      <c r="K173" s="75">
        <f>IF($A173="","",MRP!K1186)</f>
        <v/>
      </c>
      <c r="L173" s="75">
        <f>IF($A173="","",MRP!L1186)</f>
        <v/>
      </c>
      <c r="M173" s="76">
        <f>IF($A173="","",SUM(E173:L173))</f>
        <v/>
      </c>
      <c r="N173" s="77">
        <f>IF(ISNUMBER(D173),M173*D173,"")</f>
        <v/>
      </c>
      <c r="O173" s="78">
        <f>MRP!M1186</f>
        <v/>
      </c>
    </row>
    <row r="174">
      <c r="A174" s="73">
        <f>IF(Materiales!$A$173="","",Materiales!$A$173)</f>
        <v/>
      </c>
      <c r="B174" s="60">
        <f>IF(Materiales!$B$173="","",Materiales!$B$173)</f>
        <v/>
      </c>
      <c r="C174" s="73">
        <f>IF(Materiales!$C$173="","",Materiales!$C$173)</f>
        <v/>
      </c>
      <c r="D174" s="74">
        <f>IF(Materiales!$D$173="","",Materiales!$D$173)</f>
        <v/>
      </c>
      <c r="E174" s="75">
        <f>IF($A174="","",MRP!E1193)</f>
        <v/>
      </c>
      <c r="F174" s="75">
        <f>IF($A174="","",MRP!F1193)</f>
        <v/>
      </c>
      <c r="G174" s="75">
        <f>IF($A174="","",MRP!G1193)</f>
        <v/>
      </c>
      <c r="H174" s="75">
        <f>IF($A174="","",MRP!H1193)</f>
        <v/>
      </c>
      <c r="I174" s="75">
        <f>IF($A174="","",MRP!I1193)</f>
        <v/>
      </c>
      <c r="J174" s="75">
        <f>IF($A174="","",MRP!J1193)</f>
        <v/>
      </c>
      <c r="K174" s="75">
        <f>IF($A174="","",MRP!K1193)</f>
        <v/>
      </c>
      <c r="L174" s="75">
        <f>IF($A174="","",MRP!L1193)</f>
        <v/>
      </c>
      <c r="M174" s="76">
        <f>IF($A174="","",SUM(E174:L174))</f>
        <v/>
      </c>
      <c r="N174" s="77">
        <f>IF(ISNUMBER(D174),M174*D174,"")</f>
        <v/>
      </c>
      <c r="O174" s="78">
        <f>MRP!M1193</f>
        <v/>
      </c>
    </row>
    <row r="175">
      <c r="A175" s="73">
        <f>IF(Materiales!$A$174="","",Materiales!$A$174)</f>
        <v/>
      </c>
      <c r="B175" s="60">
        <f>IF(Materiales!$B$174="","",Materiales!$B$174)</f>
        <v/>
      </c>
      <c r="C175" s="73">
        <f>IF(Materiales!$C$174="","",Materiales!$C$174)</f>
        <v/>
      </c>
      <c r="D175" s="74">
        <f>IF(Materiales!$D$174="","",Materiales!$D$174)</f>
        <v/>
      </c>
      <c r="E175" s="75">
        <f>IF($A175="","",MRP!E1200)</f>
        <v/>
      </c>
      <c r="F175" s="75">
        <f>IF($A175="","",MRP!F1200)</f>
        <v/>
      </c>
      <c r="G175" s="75">
        <f>IF($A175="","",MRP!G1200)</f>
        <v/>
      </c>
      <c r="H175" s="75">
        <f>IF($A175="","",MRP!H1200)</f>
        <v/>
      </c>
      <c r="I175" s="75">
        <f>IF($A175="","",MRP!I1200)</f>
        <v/>
      </c>
      <c r="J175" s="75">
        <f>IF($A175="","",MRP!J1200)</f>
        <v/>
      </c>
      <c r="K175" s="75">
        <f>IF($A175="","",MRP!K1200)</f>
        <v/>
      </c>
      <c r="L175" s="75">
        <f>IF($A175="","",MRP!L1200)</f>
        <v/>
      </c>
      <c r="M175" s="76">
        <f>IF($A175="","",SUM(E175:L175))</f>
        <v/>
      </c>
      <c r="N175" s="77">
        <f>IF(ISNUMBER(D175),M175*D175,"")</f>
        <v/>
      </c>
      <c r="O175" s="78">
        <f>MRP!M1200</f>
        <v/>
      </c>
    </row>
    <row r="176">
      <c r="A176" s="73">
        <f>IF(Materiales!$A$175="","",Materiales!$A$175)</f>
        <v/>
      </c>
      <c r="B176" s="60">
        <f>IF(Materiales!$B$175="","",Materiales!$B$175)</f>
        <v/>
      </c>
      <c r="C176" s="73">
        <f>IF(Materiales!$C$175="","",Materiales!$C$175)</f>
        <v/>
      </c>
      <c r="D176" s="74">
        <f>IF(Materiales!$D$175="","",Materiales!$D$175)</f>
        <v/>
      </c>
      <c r="E176" s="75">
        <f>IF($A176="","",MRP!E1207)</f>
        <v/>
      </c>
      <c r="F176" s="75">
        <f>IF($A176="","",MRP!F1207)</f>
        <v/>
      </c>
      <c r="G176" s="75">
        <f>IF($A176="","",MRP!G1207)</f>
        <v/>
      </c>
      <c r="H176" s="75">
        <f>IF($A176="","",MRP!H1207)</f>
        <v/>
      </c>
      <c r="I176" s="75">
        <f>IF($A176="","",MRP!I1207)</f>
        <v/>
      </c>
      <c r="J176" s="75">
        <f>IF($A176="","",MRP!J1207)</f>
        <v/>
      </c>
      <c r="K176" s="75">
        <f>IF($A176="","",MRP!K1207)</f>
        <v/>
      </c>
      <c r="L176" s="75">
        <f>IF($A176="","",MRP!L1207)</f>
        <v/>
      </c>
      <c r="M176" s="76">
        <f>IF($A176="","",SUM(E176:L176))</f>
        <v/>
      </c>
      <c r="N176" s="77">
        <f>IF(ISNUMBER(D176),M176*D176,"")</f>
        <v/>
      </c>
      <c r="O176" s="78">
        <f>MRP!M1207</f>
        <v/>
      </c>
    </row>
    <row r="177">
      <c r="A177" s="73">
        <f>IF(Materiales!$A$176="","",Materiales!$A$176)</f>
        <v/>
      </c>
      <c r="B177" s="60">
        <f>IF(Materiales!$B$176="","",Materiales!$B$176)</f>
        <v/>
      </c>
      <c r="C177" s="73">
        <f>IF(Materiales!$C$176="","",Materiales!$C$176)</f>
        <v/>
      </c>
      <c r="D177" s="74">
        <f>IF(Materiales!$D$176="","",Materiales!$D$176)</f>
        <v/>
      </c>
      <c r="E177" s="75">
        <f>IF($A177="","",MRP!E1214)</f>
        <v/>
      </c>
      <c r="F177" s="75">
        <f>IF($A177="","",MRP!F1214)</f>
        <v/>
      </c>
      <c r="G177" s="75">
        <f>IF($A177="","",MRP!G1214)</f>
        <v/>
      </c>
      <c r="H177" s="75">
        <f>IF($A177="","",MRP!H1214)</f>
        <v/>
      </c>
      <c r="I177" s="75">
        <f>IF($A177="","",MRP!I1214)</f>
        <v/>
      </c>
      <c r="J177" s="75">
        <f>IF($A177="","",MRP!J1214)</f>
        <v/>
      </c>
      <c r="K177" s="75">
        <f>IF($A177="","",MRP!K1214)</f>
        <v/>
      </c>
      <c r="L177" s="75">
        <f>IF($A177="","",MRP!L1214)</f>
        <v/>
      </c>
      <c r="M177" s="76">
        <f>IF($A177="","",SUM(E177:L177))</f>
        <v/>
      </c>
      <c r="N177" s="77">
        <f>IF(ISNUMBER(D177),M177*D177,"")</f>
        <v/>
      </c>
      <c r="O177" s="78">
        <f>MRP!M1214</f>
        <v/>
      </c>
    </row>
    <row r="178">
      <c r="A178" s="73">
        <f>IF(Materiales!$A$177="","",Materiales!$A$177)</f>
        <v/>
      </c>
      <c r="B178" s="60">
        <f>IF(Materiales!$B$177="","",Materiales!$B$177)</f>
        <v/>
      </c>
      <c r="C178" s="73">
        <f>IF(Materiales!$C$177="","",Materiales!$C$177)</f>
        <v/>
      </c>
      <c r="D178" s="74">
        <f>IF(Materiales!$D$177="","",Materiales!$D$177)</f>
        <v/>
      </c>
      <c r="E178" s="75">
        <f>IF($A178="","",MRP!E1221)</f>
        <v/>
      </c>
      <c r="F178" s="75">
        <f>IF($A178="","",MRP!F1221)</f>
        <v/>
      </c>
      <c r="G178" s="75">
        <f>IF($A178="","",MRP!G1221)</f>
        <v/>
      </c>
      <c r="H178" s="75">
        <f>IF($A178="","",MRP!H1221)</f>
        <v/>
      </c>
      <c r="I178" s="75">
        <f>IF($A178="","",MRP!I1221)</f>
        <v/>
      </c>
      <c r="J178" s="75">
        <f>IF($A178="","",MRP!J1221)</f>
        <v/>
      </c>
      <c r="K178" s="75">
        <f>IF($A178="","",MRP!K1221)</f>
        <v/>
      </c>
      <c r="L178" s="75">
        <f>IF($A178="","",MRP!L1221)</f>
        <v/>
      </c>
      <c r="M178" s="76">
        <f>IF($A178="","",SUM(E178:L178))</f>
        <v/>
      </c>
      <c r="N178" s="77">
        <f>IF(ISNUMBER(D178),M178*D178,"")</f>
        <v/>
      </c>
      <c r="O178" s="78">
        <f>MRP!M1221</f>
        <v/>
      </c>
    </row>
    <row r="179">
      <c r="A179" s="73">
        <f>IF(Materiales!$A$178="","",Materiales!$A$178)</f>
        <v/>
      </c>
      <c r="B179" s="60">
        <f>IF(Materiales!$B$178="","",Materiales!$B$178)</f>
        <v/>
      </c>
      <c r="C179" s="73">
        <f>IF(Materiales!$C$178="","",Materiales!$C$178)</f>
        <v/>
      </c>
      <c r="D179" s="74">
        <f>IF(Materiales!$D$178="","",Materiales!$D$178)</f>
        <v/>
      </c>
      <c r="E179" s="75">
        <f>IF($A179="","",MRP!E1228)</f>
        <v/>
      </c>
      <c r="F179" s="75">
        <f>IF($A179="","",MRP!F1228)</f>
        <v/>
      </c>
      <c r="G179" s="75">
        <f>IF($A179="","",MRP!G1228)</f>
        <v/>
      </c>
      <c r="H179" s="75">
        <f>IF($A179="","",MRP!H1228)</f>
        <v/>
      </c>
      <c r="I179" s="75">
        <f>IF($A179="","",MRP!I1228)</f>
        <v/>
      </c>
      <c r="J179" s="75">
        <f>IF($A179="","",MRP!J1228)</f>
        <v/>
      </c>
      <c r="K179" s="75">
        <f>IF($A179="","",MRP!K1228)</f>
        <v/>
      </c>
      <c r="L179" s="75">
        <f>IF($A179="","",MRP!L1228)</f>
        <v/>
      </c>
      <c r="M179" s="76">
        <f>IF($A179="","",SUM(E179:L179))</f>
        <v/>
      </c>
      <c r="N179" s="77">
        <f>IF(ISNUMBER(D179),M179*D179,"")</f>
        <v/>
      </c>
      <c r="O179" s="78">
        <f>MRP!M1228</f>
        <v/>
      </c>
    </row>
    <row r="180">
      <c r="A180" s="73">
        <f>IF(Materiales!$A$179="","",Materiales!$A$179)</f>
        <v/>
      </c>
      <c r="B180" s="60">
        <f>IF(Materiales!$B$179="","",Materiales!$B$179)</f>
        <v/>
      </c>
      <c r="C180" s="73">
        <f>IF(Materiales!$C$179="","",Materiales!$C$179)</f>
        <v/>
      </c>
      <c r="D180" s="74">
        <f>IF(Materiales!$D$179="","",Materiales!$D$179)</f>
        <v/>
      </c>
      <c r="E180" s="75">
        <f>IF($A180="","",MRP!E1235)</f>
        <v/>
      </c>
      <c r="F180" s="75">
        <f>IF($A180="","",MRP!F1235)</f>
        <v/>
      </c>
      <c r="G180" s="75">
        <f>IF($A180="","",MRP!G1235)</f>
        <v/>
      </c>
      <c r="H180" s="75">
        <f>IF($A180="","",MRP!H1235)</f>
        <v/>
      </c>
      <c r="I180" s="75">
        <f>IF($A180="","",MRP!I1235)</f>
        <v/>
      </c>
      <c r="J180" s="75">
        <f>IF($A180="","",MRP!J1235)</f>
        <v/>
      </c>
      <c r="K180" s="75">
        <f>IF($A180="","",MRP!K1235)</f>
        <v/>
      </c>
      <c r="L180" s="75">
        <f>IF($A180="","",MRP!L1235)</f>
        <v/>
      </c>
      <c r="M180" s="76">
        <f>IF($A180="","",SUM(E180:L180))</f>
        <v/>
      </c>
      <c r="N180" s="77">
        <f>IF(ISNUMBER(D180),M180*D180,"")</f>
        <v/>
      </c>
      <c r="O180" s="78">
        <f>MRP!M1235</f>
        <v/>
      </c>
    </row>
    <row r="181">
      <c r="A181" s="73">
        <f>IF(Materiales!$A$180="","",Materiales!$A$180)</f>
        <v/>
      </c>
      <c r="B181" s="60">
        <f>IF(Materiales!$B$180="","",Materiales!$B$180)</f>
        <v/>
      </c>
      <c r="C181" s="73">
        <f>IF(Materiales!$C$180="","",Materiales!$C$180)</f>
        <v/>
      </c>
      <c r="D181" s="74">
        <f>IF(Materiales!$D$180="","",Materiales!$D$180)</f>
        <v/>
      </c>
      <c r="E181" s="75">
        <f>IF($A181="","",MRP!E1242)</f>
        <v/>
      </c>
      <c r="F181" s="75">
        <f>IF($A181="","",MRP!F1242)</f>
        <v/>
      </c>
      <c r="G181" s="75">
        <f>IF($A181="","",MRP!G1242)</f>
        <v/>
      </c>
      <c r="H181" s="75">
        <f>IF($A181="","",MRP!H1242)</f>
        <v/>
      </c>
      <c r="I181" s="75">
        <f>IF($A181="","",MRP!I1242)</f>
        <v/>
      </c>
      <c r="J181" s="75">
        <f>IF($A181="","",MRP!J1242)</f>
        <v/>
      </c>
      <c r="K181" s="75">
        <f>IF($A181="","",MRP!K1242)</f>
        <v/>
      </c>
      <c r="L181" s="75">
        <f>IF($A181="","",MRP!L1242)</f>
        <v/>
      </c>
      <c r="M181" s="76">
        <f>IF($A181="","",SUM(E181:L181))</f>
        <v/>
      </c>
      <c r="N181" s="77">
        <f>IF(ISNUMBER(D181),M181*D181,"")</f>
        <v/>
      </c>
      <c r="O181" s="78">
        <f>MRP!M1242</f>
        <v/>
      </c>
    </row>
    <row r="182">
      <c r="A182" s="73">
        <f>IF(Materiales!$A$181="","",Materiales!$A$181)</f>
        <v/>
      </c>
      <c r="B182" s="60">
        <f>IF(Materiales!$B$181="","",Materiales!$B$181)</f>
        <v/>
      </c>
      <c r="C182" s="73">
        <f>IF(Materiales!$C$181="","",Materiales!$C$181)</f>
        <v/>
      </c>
      <c r="D182" s="74">
        <f>IF(Materiales!$D$181="","",Materiales!$D$181)</f>
        <v/>
      </c>
      <c r="E182" s="75">
        <f>IF($A182="","",MRP!E1249)</f>
        <v/>
      </c>
      <c r="F182" s="75">
        <f>IF($A182="","",MRP!F1249)</f>
        <v/>
      </c>
      <c r="G182" s="75">
        <f>IF($A182="","",MRP!G1249)</f>
        <v/>
      </c>
      <c r="H182" s="75">
        <f>IF($A182="","",MRP!H1249)</f>
        <v/>
      </c>
      <c r="I182" s="75">
        <f>IF($A182="","",MRP!I1249)</f>
        <v/>
      </c>
      <c r="J182" s="75">
        <f>IF($A182="","",MRP!J1249)</f>
        <v/>
      </c>
      <c r="K182" s="75">
        <f>IF($A182="","",MRP!K1249)</f>
        <v/>
      </c>
      <c r="L182" s="75">
        <f>IF($A182="","",MRP!L1249)</f>
        <v/>
      </c>
      <c r="M182" s="76">
        <f>IF($A182="","",SUM(E182:L182))</f>
        <v/>
      </c>
      <c r="N182" s="77">
        <f>IF(ISNUMBER(D182),M182*D182,"")</f>
        <v/>
      </c>
      <c r="O182" s="78">
        <f>MRP!M1249</f>
        <v/>
      </c>
    </row>
    <row r="183">
      <c r="A183" s="73">
        <f>IF(Materiales!$A$182="","",Materiales!$A$182)</f>
        <v/>
      </c>
      <c r="B183" s="60">
        <f>IF(Materiales!$B$182="","",Materiales!$B$182)</f>
        <v/>
      </c>
      <c r="C183" s="73">
        <f>IF(Materiales!$C$182="","",Materiales!$C$182)</f>
        <v/>
      </c>
      <c r="D183" s="74">
        <f>IF(Materiales!$D$182="","",Materiales!$D$182)</f>
        <v/>
      </c>
      <c r="E183" s="75">
        <f>IF($A183="","",MRP!E1256)</f>
        <v/>
      </c>
      <c r="F183" s="75">
        <f>IF($A183="","",MRP!F1256)</f>
        <v/>
      </c>
      <c r="G183" s="75">
        <f>IF($A183="","",MRP!G1256)</f>
        <v/>
      </c>
      <c r="H183" s="75">
        <f>IF($A183="","",MRP!H1256)</f>
        <v/>
      </c>
      <c r="I183" s="75">
        <f>IF($A183="","",MRP!I1256)</f>
        <v/>
      </c>
      <c r="J183" s="75">
        <f>IF($A183="","",MRP!J1256)</f>
        <v/>
      </c>
      <c r="K183" s="75">
        <f>IF($A183="","",MRP!K1256)</f>
        <v/>
      </c>
      <c r="L183" s="75">
        <f>IF($A183="","",MRP!L1256)</f>
        <v/>
      </c>
      <c r="M183" s="76">
        <f>IF($A183="","",SUM(E183:L183))</f>
        <v/>
      </c>
      <c r="N183" s="77">
        <f>IF(ISNUMBER(D183),M183*D183,"")</f>
        <v/>
      </c>
      <c r="O183" s="78">
        <f>MRP!M1256</f>
        <v/>
      </c>
    </row>
    <row r="184">
      <c r="A184" s="73">
        <f>IF(Materiales!$A$183="","",Materiales!$A$183)</f>
        <v/>
      </c>
      <c r="B184" s="60">
        <f>IF(Materiales!$B$183="","",Materiales!$B$183)</f>
        <v/>
      </c>
      <c r="C184" s="73">
        <f>IF(Materiales!$C$183="","",Materiales!$C$183)</f>
        <v/>
      </c>
      <c r="D184" s="74">
        <f>IF(Materiales!$D$183="","",Materiales!$D$183)</f>
        <v/>
      </c>
      <c r="E184" s="75">
        <f>IF($A184="","",MRP!E1263)</f>
        <v/>
      </c>
      <c r="F184" s="75">
        <f>IF($A184="","",MRP!F1263)</f>
        <v/>
      </c>
      <c r="G184" s="75">
        <f>IF($A184="","",MRP!G1263)</f>
        <v/>
      </c>
      <c r="H184" s="75">
        <f>IF($A184="","",MRP!H1263)</f>
        <v/>
      </c>
      <c r="I184" s="75">
        <f>IF($A184="","",MRP!I1263)</f>
        <v/>
      </c>
      <c r="J184" s="75">
        <f>IF($A184="","",MRP!J1263)</f>
        <v/>
      </c>
      <c r="K184" s="75">
        <f>IF($A184="","",MRP!K1263)</f>
        <v/>
      </c>
      <c r="L184" s="75">
        <f>IF($A184="","",MRP!L1263)</f>
        <v/>
      </c>
      <c r="M184" s="76">
        <f>IF($A184="","",SUM(E184:L184))</f>
        <v/>
      </c>
      <c r="N184" s="77">
        <f>IF(ISNUMBER(D184),M184*D184,"")</f>
        <v/>
      </c>
      <c r="O184" s="78">
        <f>MRP!M1263</f>
        <v/>
      </c>
    </row>
    <row r="185">
      <c r="A185" s="73">
        <f>IF(Materiales!$A$184="","",Materiales!$A$184)</f>
        <v/>
      </c>
      <c r="B185" s="60">
        <f>IF(Materiales!$B$184="","",Materiales!$B$184)</f>
        <v/>
      </c>
      <c r="C185" s="73">
        <f>IF(Materiales!$C$184="","",Materiales!$C$184)</f>
        <v/>
      </c>
      <c r="D185" s="74">
        <f>IF(Materiales!$D$184="","",Materiales!$D$184)</f>
        <v/>
      </c>
      <c r="E185" s="75">
        <f>IF($A185="","",MRP!E1270)</f>
        <v/>
      </c>
      <c r="F185" s="75">
        <f>IF($A185="","",MRP!F1270)</f>
        <v/>
      </c>
      <c r="G185" s="75">
        <f>IF($A185="","",MRP!G1270)</f>
        <v/>
      </c>
      <c r="H185" s="75">
        <f>IF($A185="","",MRP!H1270)</f>
        <v/>
      </c>
      <c r="I185" s="75">
        <f>IF($A185="","",MRP!I1270)</f>
        <v/>
      </c>
      <c r="J185" s="75">
        <f>IF($A185="","",MRP!J1270)</f>
        <v/>
      </c>
      <c r="K185" s="75">
        <f>IF($A185="","",MRP!K1270)</f>
        <v/>
      </c>
      <c r="L185" s="75">
        <f>IF($A185="","",MRP!L1270)</f>
        <v/>
      </c>
      <c r="M185" s="76">
        <f>IF($A185="","",SUM(E185:L185))</f>
        <v/>
      </c>
      <c r="N185" s="77">
        <f>IF(ISNUMBER(D185),M185*D185,"")</f>
        <v/>
      </c>
      <c r="O185" s="78">
        <f>MRP!M1270</f>
        <v/>
      </c>
    </row>
    <row r="186">
      <c r="A186" s="73">
        <f>IF(Materiales!$A$185="","",Materiales!$A$185)</f>
        <v/>
      </c>
      <c r="B186" s="60">
        <f>IF(Materiales!$B$185="","",Materiales!$B$185)</f>
        <v/>
      </c>
      <c r="C186" s="73">
        <f>IF(Materiales!$C$185="","",Materiales!$C$185)</f>
        <v/>
      </c>
      <c r="D186" s="74">
        <f>IF(Materiales!$D$185="","",Materiales!$D$185)</f>
        <v/>
      </c>
      <c r="E186" s="75">
        <f>IF($A186="","",MRP!E1277)</f>
        <v/>
      </c>
      <c r="F186" s="75">
        <f>IF($A186="","",MRP!F1277)</f>
        <v/>
      </c>
      <c r="G186" s="75">
        <f>IF($A186="","",MRP!G1277)</f>
        <v/>
      </c>
      <c r="H186" s="75">
        <f>IF($A186="","",MRP!H1277)</f>
        <v/>
      </c>
      <c r="I186" s="75">
        <f>IF($A186="","",MRP!I1277)</f>
        <v/>
      </c>
      <c r="J186" s="75">
        <f>IF($A186="","",MRP!J1277)</f>
        <v/>
      </c>
      <c r="K186" s="75">
        <f>IF($A186="","",MRP!K1277)</f>
        <v/>
      </c>
      <c r="L186" s="75">
        <f>IF($A186="","",MRP!L1277)</f>
        <v/>
      </c>
      <c r="M186" s="76">
        <f>IF($A186="","",SUM(E186:L186))</f>
        <v/>
      </c>
      <c r="N186" s="77">
        <f>IF(ISNUMBER(D186),M186*D186,"")</f>
        <v/>
      </c>
      <c r="O186" s="78">
        <f>MRP!M1277</f>
        <v/>
      </c>
    </row>
    <row r="187">
      <c r="A187" s="73">
        <f>IF(Materiales!$A$186="","",Materiales!$A$186)</f>
        <v/>
      </c>
      <c r="B187" s="60">
        <f>IF(Materiales!$B$186="","",Materiales!$B$186)</f>
        <v/>
      </c>
      <c r="C187" s="73">
        <f>IF(Materiales!$C$186="","",Materiales!$C$186)</f>
        <v/>
      </c>
      <c r="D187" s="74">
        <f>IF(Materiales!$D$186="","",Materiales!$D$186)</f>
        <v/>
      </c>
      <c r="E187" s="75">
        <f>IF($A187="","",MRP!E1284)</f>
        <v/>
      </c>
      <c r="F187" s="75">
        <f>IF($A187="","",MRP!F1284)</f>
        <v/>
      </c>
      <c r="G187" s="75">
        <f>IF($A187="","",MRP!G1284)</f>
        <v/>
      </c>
      <c r="H187" s="75">
        <f>IF($A187="","",MRP!H1284)</f>
        <v/>
      </c>
      <c r="I187" s="75">
        <f>IF($A187="","",MRP!I1284)</f>
        <v/>
      </c>
      <c r="J187" s="75">
        <f>IF($A187="","",MRP!J1284)</f>
        <v/>
      </c>
      <c r="K187" s="75">
        <f>IF($A187="","",MRP!K1284)</f>
        <v/>
      </c>
      <c r="L187" s="75">
        <f>IF($A187="","",MRP!L1284)</f>
        <v/>
      </c>
      <c r="M187" s="76">
        <f>IF($A187="","",SUM(E187:L187))</f>
        <v/>
      </c>
      <c r="N187" s="77">
        <f>IF(ISNUMBER(D187),M187*D187,"")</f>
        <v/>
      </c>
      <c r="O187" s="78">
        <f>MRP!M1284</f>
        <v/>
      </c>
    </row>
    <row r="188">
      <c r="A188" s="73">
        <f>IF(Materiales!$A$187="","",Materiales!$A$187)</f>
        <v/>
      </c>
      <c r="B188" s="60">
        <f>IF(Materiales!$B$187="","",Materiales!$B$187)</f>
        <v/>
      </c>
      <c r="C188" s="73">
        <f>IF(Materiales!$C$187="","",Materiales!$C$187)</f>
        <v/>
      </c>
      <c r="D188" s="74">
        <f>IF(Materiales!$D$187="","",Materiales!$D$187)</f>
        <v/>
      </c>
      <c r="E188" s="75">
        <f>IF($A188="","",MRP!E1291)</f>
        <v/>
      </c>
      <c r="F188" s="75">
        <f>IF($A188="","",MRP!F1291)</f>
        <v/>
      </c>
      <c r="G188" s="75">
        <f>IF($A188="","",MRP!G1291)</f>
        <v/>
      </c>
      <c r="H188" s="75">
        <f>IF($A188="","",MRP!H1291)</f>
        <v/>
      </c>
      <c r="I188" s="75">
        <f>IF($A188="","",MRP!I1291)</f>
        <v/>
      </c>
      <c r="J188" s="75">
        <f>IF($A188="","",MRP!J1291)</f>
        <v/>
      </c>
      <c r="K188" s="75">
        <f>IF($A188="","",MRP!K1291)</f>
        <v/>
      </c>
      <c r="L188" s="75">
        <f>IF($A188="","",MRP!L1291)</f>
        <v/>
      </c>
      <c r="M188" s="76">
        <f>IF($A188="","",SUM(E188:L188))</f>
        <v/>
      </c>
      <c r="N188" s="77">
        <f>IF(ISNUMBER(D188),M188*D188,"")</f>
        <v/>
      </c>
      <c r="O188" s="78">
        <f>MRP!M1291</f>
        <v/>
      </c>
    </row>
    <row r="189">
      <c r="A189" s="73">
        <f>IF(Materiales!$A$188="","",Materiales!$A$188)</f>
        <v/>
      </c>
      <c r="B189" s="60">
        <f>IF(Materiales!$B$188="","",Materiales!$B$188)</f>
        <v/>
      </c>
      <c r="C189" s="73">
        <f>IF(Materiales!$C$188="","",Materiales!$C$188)</f>
        <v/>
      </c>
      <c r="D189" s="74">
        <f>IF(Materiales!$D$188="","",Materiales!$D$188)</f>
        <v/>
      </c>
      <c r="E189" s="75">
        <f>IF($A189="","",MRP!E1298)</f>
        <v/>
      </c>
      <c r="F189" s="75">
        <f>IF($A189="","",MRP!F1298)</f>
        <v/>
      </c>
      <c r="G189" s="75">
        <f>IF($A189="","",MRP!G1298)</f>
        <v/>
      </c>
      <c r="H189" s="75">
        <f>IF($A189="","",MRP!H1298)</f>
        <v/>
      </c>
      <c r="I189" s="75">
        <f>IF($A189="","",MRP!I1298)</f>
        <v/>
      </c>
      <c r="J189" s="75">
        <f>IF($A189="","",MRP!J1298)</f>
        <v/>
      </c>
      <c r="K189" s="75">
        <f>IF($A189="","",MRP!K1298)</f>
        <v/>
      </c>
      <c r="L189" s="75">
        <f>IF($A189="","",MRP!L1298)</f>
        <v/>
      </c>
      <c r="M189" s="76">
        <f>IF($A189="","",SUM(E189:L189))</f>
        <v/>
      </c>
      <c r="N189" s="77">
        <f>IF(ISNUMBER(D189),M189*D189,"")</f>
        <v/>
      </c>
      <c r="O189" s="78">
        <f>MRP!M1298</f>
        <v/>
      </c>
    </row>
    <row r="190">
      <c r="A190" s="73">
        <f>IF(Materiales!$A$189="","",Materiales!$A$189)</f>
        <v/>
      </c>
      <c r="B190" s="60">
        <f>IF(Materiales!$B$189="","",Materiales!$B$189)</f>
        <v/>
      </c>
      <c r="C190" s="73">
        <f>IF(Materiales!$C$189="","",Materiales!$C$189)</f>
        <v/>
      </c>
      <c r="D190" s="74">
        <f>IF(Materiales!$D$189="","",Materiales!$D$189)</f>
        <v/>
      </c>
      <c r="E190" s="75">
        <f>IF($A190="","",MRP!E1305)</f>
        <v/>
      </c>
      <c r="F190" s="75">
        <f>IF($A190="","",MRP!F1305)</f>
        <v/>
      </c>
      <c r="G190" s="75">
        <f>IF($A190="","",MRP!G1305)</f>
        <v/>
      </c>
      <c r="H190" s="75">
        <f>IF($A190="","",MRP!H1305)</f>
        <v/>
      </c>
      <c r="I190" s="75">
        <f>IF($A190="","",MRP!I1305)</f>
        <v/>
      </c>
      <c r="J190" s="75">
        <f>IF($A190="","",MRP!J1305)</f>
        <v/>
      </c>
      <c r="K190" s="75">
        <f>IF($A190="","",MRP!K1305)</f>
        <v/>
      </c>
      <c r="L190" s="75">
        <f>IF($A190="","",MRP!L1305)</f>
        <v/>
      </c>
      <c r="M190" s="76">
        <f>IF($A190="","",SUM(E190:L190))</f>
        <v/>
      </c>
      <c r="N190" s="77">
        <f>IF(ISNUMBER(D190),M190*D190,"")</f>
        <v/>
      </c>
      <c r="O190" s="78">
        <f>MRP!M1305</f>
        <v/>
      </c>
    </row>
    <row r="191">
      <c r="A191" s="73">
        <f>IF(Materiales!$A$190="","",Materiales!$A$190)</f>
        <v/>
      </c>
      <c r="B191" s="60">
        <f>IF(Materiales!$B$190="","",Materiales!$B$190)</f>
        <v/>
      </c>
      <c r="C191" s="73">
        <f>IF(Materiales!$C$190="","",Materiales!$C$190)</f>
        <v/>
      </c>
      <c r="D191" s="74">
        <f>IF(Materiales!$D$190="","",Materiales!$D$190)</f>
        <v/>
      </c>
      <c r="E191" s="75">
        <f>IF($A191="","",MRP!E1312)</f>
        <v/>
      </c>
      <c r="F191" s="75">
        <f>IF($A191="","",MRP!F1312)</f>
        <v/>
      </c>
      <c r="G191" s="75">
        <f>IF($A191="","",MRP!G1312)</f>
        <v/>
      </c>
      <c r="H191" s="75">
        <f>IF($A191="","",MRP!H1312)</f>
        <v/>
      </c>
      <c r="I191" s="75">
        <f>IF($A191="","",MRP!I1312)</f>
        <v/>
      </c>
      <c r="J191" s="75">
        <f>IF($A191="","",MRP!J1312)</f>
        <v/>
      </c>
      <c r="K191" s="75">
        <f>IF($A191="","",MRP!K1312)</f>
        <v/>
      </c>
      <c r="L191" s="75">
        <f>IF($A191="","",MRP!L1312)</f>
        <v/>
      </c>
      <c r="M191" s="76">
        <f>IF($A191="","",SUM(E191:L191))</f>
        <v/>
      </c>
      <c r="N191" s="77">
        <f>IF(ISNUMBER(D191),M191*D191,"")</f>
        <v/>
      </c>
      <c r="O191" s="78">
        <f>MRP!M1312</f>
        <v/>
      </c>
    </row>
    <row r="192">
      <c r="A192" s="73">
        <f>IF(Materiales!$A$191="","",Materiales!$A$191)</f>
        <v/>
      </c>
      <c r="B192" s="60">
        <f>IF(Materiales!$B$191="","",Materiales!$B$191)</f>
        <v/>
      </c>
      <c r="C192" s="73">
        <f>IF(Materiales!$C$191="","",Materiales!$C$191)</f>
        <v/>
      </c>
      <c r="D192" s="74">
        <f>IF(Materiales!$D$191="","",Materiales!$D$191)</f>
        <v/>
      </c>
      <c r="E192" s="75">
        <f>IF($A192="","",MRP!E1319)</f>
        <v/>
      </c>
      <c r="F192" s="75">
        <f>IF($A192="","",MRP!F1319)</f>
        <v/>
      </c>
      <c r="G192" s="75">
        <f>IF($A192="","",MRP!G1319)</f>
        <v/>
      </c>
      <c r="H192" s="75">
        <f>IF($A192="","",MRP!H1319)</f>
        <v/>
      </c>
      <c r="I192" s="75">
        <f>IF($A192="","",MRP!I1319)</f>
        <v/>
      </c>
      <c r="J192" s="75">
        <f>IF($A192="","",MRP!J1319)</f>
        <v/>
      </c>
      <c r="K192" s="75">
        <f>IF($A192="","",MRP!K1319)</f>
        <v/>
      </c>
      <c r="L192" s="75">
        <f>IF($A192="","",MRP!L1319)</f>
        <v/>
      </c>
      <c r="M192" s="76">
        <f>IF($A192="","",SUM(E192:L192))</f>
        <v/>
      </c>
      <c r="N192" s="77">
        <f>IF(ISNUMBER(D192),M192*D192,"")</f>
        <v/>
      </c>
      <c r="O192" s="78">
        <f>MRP!M1319</f>
        <v/>
      </c>
    </row>
    <row r="193">
      <c r="A193" s="73">
        <f>IF(Materiales!$A$192="","",Materiales!$A$192)</f>
        <v/>
      </c>
      <c r="B193" s="60">
        <f>IF(Materiales!$B$192="","",Materiales!$B$192)</f>
        <v/>
      </c>
      <c r="C193" s="73">
        <f>IF(Materiales!$C$192="","",Materiales!$C$192)</f>
        <v/>
      </c>
      <c r="D193" s="74">
        <f>IF(Materiales!$D$192="","",Materiales!$D$192)</f>
        <v/>
      </c>
      <c r="E193" s="75">
        <f>IF($A193="","",MRP!E1326)</f>
        <v/>
      </c>
      <c r="F193" s="75">
        <f>IF($A193="","",MRP!F1326)</f>
        <v/>
      </c>
      <c r="G193" s="75">
        <f>IF($A193="","",MRP!G1326)</f>
        <v/>
      </c>
      <c r="H193" s="75">
        <f>IF($A193="","",MRP!H1326)</f>
        <v/>
      </c>
      <c r="I193" s="75">
        <f>IF($A193="","",MRP!I1326)</f>
        <v/>
      </c>
      <c r="J193" s="75">
        <f>IF($A193="","",MRP!J1326)</f>
        <v/>
      </c>
      <c r="K193" s="75">
        <f>IF($A193="","",MRP!K1326)</f>
        <v/>
      </c>
      <c r="L193" s="75">
        <f>IF($A193="","",MRP!L1326)</f>
        <v/>
      </c>
      <c r="M193" s="76">
        <f>IF($A193="","",SUM(E193:L193))</f>
        <v/>
      </c>
      <c r="N193" s="77">
        <f>IF(ISNUMBER(D193),M193*D193,"")</f>
        <v/>
      </c>
      <c r="O193" s="78">
        <f>MRP!M1326</f>
        <v/>
      </c>
    </row>
    <row r="194">
      <c r="A194" s="73">
        <f>IF(Materiales!$A$193="","",Materiales!$A$193)</f>
        <v/>
      </c>
      <c r="B194" s="60">
        <f>IF(Materiales!$B$193="","",Materiales!$B$193)</f>
        <v/>
      </c>
      <c r="C194" s="73">
        <f>IF(Materiales!$C$193="","",Materiales!$C$193)</f>
        <v/>
      </c>
      <c r="D194" s="74">
        <f>IF(Materiales!$D$193="","",Materiales!$D$193)</f>
        <v/>
      </c>
      <c r="E194" s="75">
        <f>IF($A194="","",MRP!E1333)</f>
        <v/>
      </c>
      <c r="F194" s="75">
        <f>IF($A194="","",MRP!F1333)</f>
        <v/>
      </c>
      <c r="G194" s="75">
        <f>IF($A194="","",MRP!G1333)</f>
        <v/>
      </c>
      <c r="H194" s="75">
        <f>IF($A194="","",MRP!H1333)</f>
        <v/>
      </c>
      <c r="I194" s="75">
        <f>IF($A194="","",MRP!I1333)</f>
        <v/>
      </c>
      <c r="J194" s="75">
        <f>IF($A194="","",MRP!J1333)</f>
        <v/>
      </c>
      <c r="K194" s="75">
        <f>IF($A194="","",MRP!K1333)</f>
        <v/>
      </c>
      <c r="L194" s="75">
        <f>IF($A194="","",MRP!L1333)</f>
        <v/>
      </c>
      <c r="M194" s="76">
        <f>IF($A194="","",SUM(E194:L194))</f>
        <v/>
      </c>
      <c r="N194" s="77">
        <f>IF(ISNUMBER(D194),M194*D194,"")</f>
        <v/>
      </c>
      <c r="O194" s="78">
        <f>MRP!M1333</f>
        <v/>
      </c>
    </row>
    <row r="195">
      <c r="A195" s="73">
        <f>IF(Materiales!$A$194="","",Materiales!$A$194)</f>
        <v/>
      </c>
      <c r="B195" s="60">
        <f>IF(Materiales!$B$194="","",Materiales!$B$194)</f>
        <v/>
      </c>
      <c r="C195" s="73">
        <f>IF(Materiales!$C$194="","",Materiales!$C$194)</f>
        <v/>
      </c>
      <c r="D195" s="74">
        <f>IF(Materiales!$D$194="","",Materiales!$D$194)</f>
        <v/>
      </c>
      <c r="E195" s="75">
        <f>IF($A195="","",MRP!E1340)</f>
        <v/>
      </c>
      <c r="F195" s="75">
        <f>IF($A195="","",MRP!F1340)</f>
        <v/>
      </c>
      <c r="G195" s="75">
        <f>IF($A195="","",MRP!G1340)</f>
        <v/>
      </c>
      <c r="H195" s="75">
        <f>IF($A195="","",MRP!H1340)</f>
        <v/>
      </c>
      <c r="I195" s="75">
        <f>IF($A195="","",MRP!I1340)</f>
        <v/>
      </c>
      <c r="J195" s="75">
        <f>IF($A195="","",MRP!J1340)</f>
        <v/>
      </c>
      <c r="K195" s="75">
        <f>IF($A195="","",MRP!K1340)</f>
        <v/>
      </c>
      <c r="L195" s="75">
        <f>IF($A195="","",MRP!L1340)</f>
        <v/>
      </c>
      <c r="M195" s="76">
        <f>IF($A195="","",SUM(E195:L195))</f>
        <v/>
      </c>
      <c r="N195" s="77">
        <f>IF(ISNUMBER(D195),M195*D195,"")</f>
        <v/>
      </c>
      <c r="O195" s="78">
        <f>MRP!M1340</f>
        <v/>
      </c>
    </row>
    <row r="196">
      <c r="A196" s="73">
        <f>IF(Materiales!$A$195="","",Materiales!$A$195)</f>
        <v/>
      </c>
      <c r="B196" s="60">
        <f>IF(Materiales!$B$195="","",Materiales!$B$195)</f>
        <v/>
      </c>
      <c r="C196" s="73">
        <f>IF(Materiales!$C$195="","",Materiales!$C$195)</f>
        <v/>
      </c>
      <c r="D196" s="74">
        <f>IF(Materiales!$D$195="","",Materiales!$D$195)</f>
        <v/>
      </c>
      <c r="E196" s="75">
        <f>IF($A196="","",MRP!E1347)</f>
        <v/>
      </c>
      <c r="F196" s="75">
        <f>IF($A196="","",MRP!F1347)</f>
        <v/>
      </c>
      <c r="G196" s="75">
        <f>IF($A196="","",MRP!G1347)</f>
        <v/>
      </c>
      <c r="H196" s="75">
        <f>IF($A196="","",MRP!H1347)</f>
        <v/>
      </c>
      <c r="I196" s="75">
        <f>IF($A196="","",MRP!I1347)</f>
        <v/>
      </c>
      <c r="J196" s="75">
        <f>IF($A196="","",MRP!J1347)</f>
        <v/>
      </c>
      <c r="K196" s="75">
        <f>IF($A196="","",MRP!K1347)</f>
        <v/>
      </c>
      <c r="L196" s="75">
        <f>IF($A196="","",MRP!L1347)</f>
        <v/>
      </c>
      <c r="M196" s="76">
        <f>IF($A196="","",SUM(E196:L196))</f>
        <v/>
      </c>
      <c r="N196" s="77">
        <f>IF(ISNUMBER(D196),M196*D196,"")</f>
        <v/>
      </c>
      <c r="O196" s="78">
        <f>MRP!M1347</f>
        <v/>
      </c>
    </row>
    <row r="197">
      <c r="A197" s="73">
        <f>IF(Materiales!$A$196="","",Materiales!$A$196)</f>
        <v/>
      </c>
      <c r="B197" s="60">
        <f>IF(Materiales!$B$196="","",Materiales!$B$196)</f>
        <v/>
      </c>
      <c r="C197" s="73">
        <f>IF(Materiales!$C$196="","",Materiales!$C$196)</f>
        <v/>
      </c>
      <c r="D197" s="74">
        <f>IF(Materiales!$D$196="","",Materiales!$D$196)</f>
        <v/>
      </c>
      <c r="E197" s="75">
        <f>IF($A197="","",MRP!E1354)</f>
        <v/>
      </c>
      <c r="F197" s="75">
        <f>IF($A197="","",MRP!F1354)</f>
        <v/>
      </c>
      <c r="G197" s="75">
        <f>IF($A197="","",MRP!G1354)</f>
        <v/>
      </c>
      <c r="H197" s="75">
        <f>IF($A197="","",MRP!H1354)</f>
        <v/>
      </c>
      <c r="I197" s="75">
        <f>IF($A197="","",MRP!I1354)</f>
        <v/>
      </c>
      <c r="J197" s="75">
        <f>IF($A197="","",MRP!J1354)</f>
        <v/>
      </c>
      <c r="K197" s="75">
        <f>IF($A197="","",MRP!K1354)</f>
        <v/>
      </c>
      <c r="L197" s="75">
        <f>IF($A197="","",MRP!L1354)</f>
        <v/>
      </c>
      <c r="M197" s="76">
        <f>IF($A197="","",SUM(E197:L197))</f>
        <v/>
      </c>
      <c r="N197" s="77">
        <f>IF(ISNUMBER(D197),M197*D197,"")</f>
        <v/>
      </c>
      <c r="O197" s="78">
        <f>MRP!M1354</f>
        <v/>
      </c>
    </row>
    <row r="198">
      <c r="A198" s="73">
        <f>IF(Materiales!$A$197="","",Materiales!$A$197)</f>
        <v/>
      </c>
      <c r="B198" s="60">
        <f>IF(Materiales!$B$197="","",Materiales!$B$197)</f>
        <v/>
      </c>
      <c r="C198" s="73">
        <f>IF(Materiales!$C$197="","",Materiales!$C$197)</f>
        <v/>
      </c>
      <c r="D198" s="74">
        <f>IF(Materiales!$D$197="","",Materiales!$D$197)</f>
        <v/>
      </c>
      <c r="E198" s="75">
        <f>IF($A198="","",MRP!E1361)</f>
        <v/>
      </c>
      <c r="F198" s="75">
        <f>IF($A198="","",MRP!F1361)</f>
        <v/>
      </c>
      <c r="G198" s="75">
        <f>IF($A198="","",MRP!G1361)</f>
        <v/>
      </c>
      <c r="H198" s="75">
        <f>IF($A198="","",MRP!H1361)</f>
        <v/>
      </c>
      <c r="I198" s="75">
        <f>IF($A198="","",MRP!I1361)</f>
        <v/>
      </c>
      <c r="J198" s="75">
        <f>IF($A198="","",MRP!J1361)</f>
        <v/>
      </c>
      <c r="K198" s="75">
        <f>IF($A198="","",MRP!K1361)</f>
        <v/>
      </c>
      <c r="L198" s="75">
        <f>IF($A198="","",MRP!L1361)</f>
        <v/>
      </c>
      <c r="M198" s="76">
        <f>IF($A198="","",SUM(E198:L198))</f>
        <v/>
      </c>
      <c r="N198" s="77">
        <f>IF(ISNUMBER(D198),M198*D198,"")</f>
        <v/>
      </c>
      <c r="O198" s="78">
        <f>MRP!M1361</f>
        <v/>
      </c>
    </row>
    <row r="199">
      <c r="A199" s="73">
        <f>IF(Materiales!$A$198="","",Materiales!$A$198)</f>
        <v/>
      </c>
      <c r="B199" s="60">
        <f>IF(Materiales!$B$198="","",Materiales!$B$198)</f>
        <v/>
      </c>
      <c r="C199" s="73">
        <f>IF(Materiales!$C$198="","",Materiales!$C$198)</f>
        <v/>
      </c>
      <c r="D199" s="74">
        <f>IF(Materiales!$D$198="","",Materiales!$D$198)</f>
        <v/>
      </c>
      <c r="E199" s="75">
        <f>IF($A199="","",MRP!E1368)</f>
        <v/>
      </c>
      <c r="F199" s="75">
        <f>IF($A199="","",MRP!F1368)</f>
        <v/>
      </c>
      <c r="G199" s="75">
        <f>IF($A199="","",MRP!G1368)</f>
        <v/>
      </c>
      <c r="H199" s="75">
        <f>IF($A199="","",MRP!H1368)</f>
        <v/>
      </c>
      <c r="I199" s="75">
        <f>IF($A199="","",MRP!I1368)</f>
        <v/>
      </c>
      <c r="J199" s="75">
        <f>IF($A199="","",MRP!J1368)</f>
        <v/>
      </c>
      <c r="K199" s="75">
        <f>IF($A199="","",MRP!K1368)</f>
        <v/>
      </c>
      <c r="L199" s="75">
        <f>IF($A199="","",MRP!L1368)</f>
        <v/>
      </c>
      <c r="M199" s="76">
        <f>IF($A199="","",SUM(E199:L199))</f>
        <v/>
      </c>
      <c r="N199" s="77">
        <f>IF(ISNUMBER(D199),M199*D199,"")</f>
        <v/>
      </c>
      <c r="O199" s="78">
        <f>MRP!M1368</f>
        <v/>
      </c>
    </row>
    <row r="200">
      <c r="A200" s="73">
        <f>IF(Materiales!$A$199="","",Materiales!$A$199)</f>
        <v/>
      </c>
      <c r="B200" s="60">
        <f>IF(Materiales!$B$199="","",Materiales!$B$199)</f>
        <v/>
      </c>
      <c r="C200" s="73">
        <f>IF(Materiales!$C$199="","",Materiales!$C$199)</f>
        <v/>
      </c>
      <c r="D200" s="74">
        <f>IF(Materiales!$D$199="","",Materiales!$D$199)</f>
        <v/>
      </c>
      <c r="E200" s="75">
        <f>IF($A200="","",MRP!E1375)</f>
        <v/>
      </c>
      <c r="F200" s="75">
        <f>IF($A200="","",MRP!F1375)</f>
        <v/>
      </c>
      <c r="G200" s="75">
        <f>IF($A200="","",MRP!G1375)</f>
        <v/>
      </c>
      <c r="H200" s="75">
        <f>IF($A200="","",MRP!H1375)</f>
        <v/>
      </c>
      <c r="I200" s="75">
        <f>IF($A200="","",MRP!I1375)</f>
        <v/>
      </c>
      <c r="J200" s="75">
        <f>IF($A200="","",MRP!J1375)</f>
        <v/>
      </c>
      <c r="K200" s="75">
        <f>IF($A200="","",MRP!K1375)</f>
        <v/>
      </c>
      <c r="L200" s="75">
        <f>IF($A200="","",MRP!L1375)</f>
        <v/>
      </c>
      <c r="M200" s="76">
        <f>IF($A200="","",SUM(E200:L200))</f>
        <v/>
      </c>
      <c r="N200" s="77">
        <f>IF(ISNUMBER(D200),M200*D200,"")</f>
        <v/>
      </c>
      <c r="O200" s="78">
        <f>MRP!M1375</f>
        <v/>
      </c>
    </row>
    <row r="201">
      <c r="A201" s="73">
        <f>IF(Materiales!$A$200="","",Materiales!$A$200)</f>
        <v/>
      </c>
      <c r="B201" s="60">
        <f>IF(Materiales!$B$200="","",Materiales!$B$200)</f>
        <v/>
      </c>
      <c r="C201" s="73">
        <f>IF(Materiales!$C$200="","",Materiales!$C$200)</f>
        <v/>
      </c>
      <c r="D201" s="74">
        <f>IF(Materiales!$D$200="","",Materiales!$D$200)</f>
        <v/>
      </c>
      <c r="E201" s="75">
        <f>IF($A201="","",MRP!E1382)</f>
        <v/>
      </c>
      <c r="F201" s="75">
        <f>IF($A201="","",MRP!F1382)</f>
        <v/>
      </c>
      <c r="G201" s="75">
        <f>IF($A201="","",MRP!G1382)</f>
        <v/>
      </c>
      <c r="H201" s="75">
        <f>IF($A201="","",MRP!H1382)</f>
        <v/>
      </c>
      <c r="I201" s="75">
        <f>IF($A201="","",MRP!I1382)</f>
        <v/>
      </c>
      <c r="J201" s="75">
        <f>IF($A201="","",MRP!J1382)</f>
        <v/>
      </c>
      <c r="K201" s="75">
        <f>IF($A201="","",MRP!K1382)</f>
        <v/>
      </c>
      <c r="L201" s="75">
        <f>IF($A201="","",MRP!L1382)</f>
        <v/>
      </c>
      <c r="M201" s="76">
        <f>IF($A201="","",SUM(E201:L201))</f>
        <v/>
      </c>
      <c r="N201" s="77">
        <f>IF(ISNUMBER(D201),M201*D201,"")</f>
        <v/>
      </c>
      <c r="O201" s="78">
        <f>MRP!M1382</f>
        <v/>
      </c>
    </row>
    <row r="202">
      <c r="A202" s="73">
        <f>IF(Materiales!$A$201="","",Materiales!$A$201)</f>
        <v/>
      </c>
      <c r="B202" s="60">
        <f>IF(Materiales!$B$201="","",Materiales!$B$201)</f>
        <v/>
      </c>
      <c r="C202" s="73">
        <f>IF(Materiales!$C$201="","",Materiales!$C$201)</f>
        <v/>
      </c>
      <c r="D202" s="74">
        <f>IF(Materiales!$D$201="","",Materiales!$D$201)</f>
        <v/>
      </c>
      <c r="E202" s="75">
        <f>IF($A202="","",MRP!E1389)</f>
        <v/>
      </c>
      <c r="F202" s="75">
        <f>IF($A202="","",MRP!F1389)</f>
        <v/>
      </c>
      <c r="G202" s="75">
        <f>IF($A202="","",MRP!G1389)</f>
        <v/>
      </c>
      <c r="H202" s="75">
        <f>IF($A202="","",MRP!H1389)</f>
        <v/>
      </c>
      <c r="I202" s="75">
        <f>IF($A202="","",MRP!I1389)</f>
        <v/>
      </c>
      <c r="J202" s="75">
        <f>IF($A202="","",MRP!J1389)</f>
        <v/>
      </c>
      <c r="K202" s="75">
        <f>IF($A202="","",MRP!K1389)</f>
        <v/>
      </c>
      <c r="L202" s="75">
        <f>IF($A202="","",MRP!L1389)</f>
        <v/>
      </c>
      <c r="M202" s="76">
        <f>IF($A202="","",SUM(E202:L202))</f>
        <v/>
      </c>
      <c r="N202" s="77">
        <f>IF(ISNUMBER(D202),M202*D202,"")</f>
        <v/>
      </c>
      <c r="O202" s="78">
        <f>MRP!M1389</f>
        <v/>
      </c>
    </row>
    <row r="203">
      <c r="A203" s="73">
        <f>IF(Materiales!$A$202="","",Materiales!$A$202)</f>
        <v/>
      </c>
      <c r="B203" s="60">
        <f>IF(Materiales!$B$202="","",Materiales!$B$202)</f>
        <v/>
      </c>
      <c r="C203" s="73">
        <f>IF(Materiales!$C$202="","",Materiales!$C$202)</f>
        <v/>
      </c>
      <c r="D203" s="74">
        <f>IF(Materiales!$D$202="","",Materiales!$D$202)</f>
        <v/>
      </c>
      <c r="E203" s="75">
        <f>IF($A203="","",MRP!E1396)</f>
        <v/>
      </c>
      <c r="F203" s="75">
        <f>IF($A203="","",MRP!F1396)</f>
        <v/>
      </c>
      <c r="G203" s="75">
        <f>IF($A203="","",MRP!G1396)</f>
        <v/>
      </c>
      <c r="H203" s="75">
        <f>IF($A203="","",MRP!H1396)</f>
        <v/>
      </c>
      <c r="I203" s="75">
        <f>IF($A203="","",MRP!I1396)</f>
        <v/>
      </c>
      <c r="J203" s="75">
        <f>IF($A203="","",MRP!J1396)</f>
        <v/>
      </c>
      <c r="K203" s="75">
        <f>IF($A203="","",MRP!K1396)</f>
        <v/>
      </c>
      <c r="L203" s="75">
        <f>IF($A203="","",MRP!L1396)</f>
        <v/>
      </c>
      <c r="M203" s="76">
        <f>IF($A203="","",SUM(E203:L203))</f>
        <v/>
      </c>
      <c r="N203" s="77">
        <f>IF(ISNUMBER(D203),M203*D203,"")</f>
        <v/>
      </c>
      <c r="O203" s="78">
        <f>MRP!M1396</f>
        <v/>
      </c>
    </row>
    <row r="204">
      <c r="A204" s="73">
        <f>IF(Materiales!$A$203="","",Materiales!$A$203)</f>
        <v/>
      </c>
      <c r="B204" s="60">
        <f>IF(Materiales!$B$203="","",Materiales!$B$203)</f>
        <v/>
      </c>
      <c r="C204" s="73">
        <f>IF(Materiales!$C$203="","",Materiales!$C$203)</f>
        <v/>
      </c>
      <c r="D204" s="74">
        <f>IF(Materiales!$D$203="","",Materiales!$D$203)</f>
        <v/>
      </c>
      <c r="E204" s="75">
        <f>IF($A204="","",MRP!E1403)</f>
        <v/>
      </c>
      <c r="F204" s="75">
        <f>IF($A204="","",MRP!F1403)</f>
        <v/>
      </c>
      <c r="G204" s="75">
        <f>IF($A204="","",MRP!G1403)</f>
        <v/>
      </c>
      <c r="H204" s="75">
        <f>IF($A204="","",MRP!H1403)</f>
        <v/>
      </c>
      <c r="I204" s="75">
        <f>IF($A204="","",MRP!I1403)</f>
        <v/>
      </c>
      <c r="J204" s="75">
        <f>IF($A204="","",MRP!J1403)</f>
        <v/>
      </c>
      <c r="K204" s="75">
        <f>IF($A204="","",MRP!K1403)</f>
        <v/>
      </c>
      <c r="L204" s="75">
        <f>IF($A204="","",MRP!L1403)</f>
        <v/>
      </c>
      <c r="M204" s="76">
        <f>IF($A204="","",SUM(E204:L204))</f>
        <v/>
      </c>
      <c r="N204" s="77">
        <f>IF(ISNUMBER(D204),M204*D204,"")</f>
        <v/>
      </c>
      <c r="O204" s="78">
        <f>MRP!M1403</f>
        <v/>
      </c>
    </row>
    <row r="205">
      <c r="A205" s="73">
        <f>IF(Materiales!$A$204="","",Materiales!$A$204)</f>
        <v/>
      </c>
      <c r="B205" s="60">
        <f>IF(Materiales!$B$204="","",Materiales!$B$204)</f>
        <v/>
      </c>
      <c r="C205" s="73">
        <f>IF(Materiales!$C$204="","",Materiales!$C$204)</f>
        <v/>
      </c>
      <c r="D205" s="74">
        <f>IF(Materiales!$D$204="","",Materiales!$D$204)</f>
        <v/>
      </c>
      <c r="E205" s="75">
        <f>IF($A205="","",MRP!E1410)</f>
        <v/>
      </c>
      <c r="F205" s="75">
        <f>IF($A205="","",MRP!F1410)</f>
        <v/>
      </c>
      <c r="G205" s="75">
        <f>IF($A205="","",MRP!G1410)</f>
        <v/>
      </c>
      <c r="H205" s="75">
        <f>IF($A205="","",MRP!H1410)</f>
        <v/>
      </c>
      <c r="I205" s="75">
        <f>IF($A205="","",MRP!I1410)</f>
        <v/>
      </c>
      <c r="J205" s="75">
        <f>IF($A205="","",MRP!J1410)</f>
        <v/>
      </c>
      <c r="K205" s="75">
        <f>IF($A205="","",MRP!K1410)</f>
        <v/>
      </c>
      <c r="L205" s="75">
        <f>IF($A205="","",MRP!L1410)</f>
        <v/>
      </c>
      <c r="M205" s="76">
        <f>IF($A205="","",SUM(E205:L205))</f>
        <v/>
      </c>
      <c r="N205" s="77">
        <f>IF(ISNUMBER(D205),M205*D205,"")</f>
        <v/>
      </c>
      <c r="O205" s="78">
        <f>MRP!M1410</f>
        <v/>
      </c>
    </row>
    <row r="206">
      <c r="A206" s="73">
        <f>IF(Materiales!$A$205="","",Materiales!$A$205)</f>
        <v/>
      </c>
      <c r="B206" s="60">
        <f>IF(Materiales!$B$205="","",Materiales!$B$205)</f>
        <v/>
      </c>
      <c r="C206" s="73">
        <f>IF(Materiales!$C$205="","",Materiales!$C$205)</f>
        <v/>
      </c>
      <c r="D206" s="74">
        <f>IF(Materiales!$D$205="","",Materiales!$D$205)</f>
        <v/>
      </c>
      <c r="E206" s="75">
        <f>IF($A206="","",MRP!E1417)</f>
        <v/>
      </c>
      <c r="F206" s="75">
        <f>IF($A206="","",MRP!F1417)</f>
        <v/>
      </c>
      <c r="G206" s="75">
        <f>IF($A206="","",MRP!G1417)</f>
        <v/>
      </c>
      <c r="H206" s="75">
        <f>IF($A206="","",MRP!H1417)</f>
        <v/>
      </c>
      <c r="I206" s="75">
        <f>IF($A206="","",MRP!I1417)</f>
        <v/>
      </c>
      <c r="J206" s="75">
        <f>IF($A206="","",MRP!J1417)</f>
        <v/>
      </c>
      <c r="K206" s="75">
        <f>IF($A206="","",MRP!K1417)</f>
        <v/>
      </c>
      <c r="L206" s="75">
        <f>IF($A206="","",MRP!L1417)</f>
        <v/>
      </c>
      <c r="M206" s="76">
        <f>IF($A206="","",SUM(E206:L206))</f>
        <v/>
      </c>
      <c r="N206" s="77">
        <f>IF(ISNUMBER(D206),M206*D206,"")</f>
        <v/>
      </c>
      <c r="O206" s="78">
        <f>MRP!M1417</f>
        <v/>
      </c>
    </row>
    <row r="207">
      <c r="A207" s="73">
        <f>IF(Materiales!$A$206="","",Materiales!$A$206)</f>
        <v/>
      </c>
      <c r="B207" s="60">
        <f>IF(Materiales!$B$206="","",Materiales!$B$206)</f>
        <v/>
      </c>
      <c r="C207" s="73">
        <f>IF(Materiales!$C$206="","",Materiales!$C$206)</f>
        <v/>
      </c>
      <c r="D207" s="74">
        <f>IF(Materiales!$D$206="","",Materiales!$D$206)</f>
        <v/>
      </c>
      <c r="E207" s="75">
        <f>IF($A207="","",MRP!E1424)</f>
        <v/>
      </c>
      <c r="F207" s="75">
        <f>IF($A207="","",MRP!F1424)</f>
        <v/>
      </c>
      <c r="G207" s="75">
        <f>IF($A207="","",MRP!G1424)</f>
        <v/>
      </c>
      <c r="H207" s="75">
        <f>IF($A207="","",MRP!H1424)</f>
        <v/>
      </c>
      <c r="I207" s="75">
        <f>IF($A207="","",MRP!I1424)</f>
        <v/>
      </c>
      <c r="J207" s="75">
        <f>IF($A207="","",MRP!J1424)</f>
        <v/>
      </c>
      <c r="K207" s="75">
        <f>IF($A207="","",MRP!K1424)</f>
        <v/>
      </c>
      <c r="L207" s="75">
        <f>IF($A207="","",MRP!L1424)</f>
        <v/>
      </c>
      <c r="M207" s="76">
        <f>IF($A207="","",SUM(E207:L207))</f>
        <v/>
      </c>
      <c r="N207" s="77">
        <f>IF(ISNUMBER(D207),M207*D207,"")</f>
        <v/>
      </c>
      <c r="O207" s="78">
        <f>MRP!M1424</f>
        <v/>
      </c>
    </row>
    <row r="208">
      <c r="A208" s="73">
        <f>IF(Materiales!$A$207="","",Materiales!$A$207)</f>
        <v/>
      </c>
      <c r="B208" s="60">
        <f>IF(Materiales!$B$207="","",Materiales!$B$207)</f>
        <v/>
      </c>
      <c r="C208" s="73">
        <f>IF(Materiales!$C$207="","",Materiales!$C$207)</f>
        <v/>
      </c>
      <c r="D208" s="74">
        <f>IF(Materiales!$D$207="","",Materiales!$D$207)</f>
        <v/>
      </c>
      <c r="E208" s="75">
        <f>IF($A208="","",MRP!E1431)</f>
        <v/>
      </c>
      <c r="F208" s="75">
        <f>IF($A208="","",MRP!F1431)</f>
        <v/>
      </c>
      <c r="G208" s="75">
        <f>IF($A208="","",MRP!G1431)</f>
        <v/>
      </c>
      <c r="H208" s="75">
        <f>IF($A208="","",MRP!H1431)</f>
        <v/>
      </c>
      <c r="I208" s="75">
        <f>IF($A208="","",MRP!I1431)</f>
        <v/>
      </c>
      <c r="J208" s="75">
        <f>IF($A208="","",MRP!J1431)</f>
        <v/>
      </c>
      <c r="K208" s="75">
        <f>IF($A208="","",MRP!K1431)</f>
        <v/>
      </c>
      <c r="L208" s="75">
        <f>IF($A208="","",MRP!L1431)</f>
        <v/>
      </c>
      <c r="M208" s="76">
        <f>IF($A208="","",SUM(E208:L208))</f>
        <v/>
      </c>
      <c r="N208" s="77">
        <f>IF(ISNUMBER(D208),M208*D208,"")</f>
        <v/>
      </c>
      <c r="O208" s="78">
        <f>MRP!M1431</f>
        <v/>
      </c>
    </row>
    <row r="209">
      <c r="A209" s="73">
        <f>IF(Materiales!$A$208="","",Materiales!$A$208)</f>
        <v/>
      </c>
      <c r="B209" s="60">
        <f>IF(Materiales!$B$208="","",Materiales!$B$208)</f>
        <v/>
      </c>
      <c r="C209" s="73">
        <f>IF(Materiales!$C$208="","",Materiales!$C$208)</f>
        <v/>
      </c>
      <c r="D209" s="74">
        <f>IF(Materiales!$D$208="","",Materiales!$D$208)</f>
        <v/>
      </c>
      <c r="E209" s="75">
        <f>IF($A209="","",MRP!E1438)</f>
        <v/>
      </c>
      <c r="F209" s="75">
        <f>IF($A209="","",MRP!F1438)</f>
        <v/>
      </c>
      <c r="G209" s="75">
        <f>IF($A209="","",MRP!G1438)</f>
        <v/>
      </c>
      <c r="H209" s="75">
        <f>IF($A209="","",MRP!H1438)</f>
        <v/>
      </c>
      <c r="I209" s="75">
        <f>IF($A209="","",MRP!I1438)</f>
        <v/>
      </c>
      <c r="J209" s="75">
        <f>IF($A209="","",MRP!J1438)</f>
        <v/>
      </c>
      <c r="K209" s="75">
        <f>IF($A209="","",MRP!K1438)</f>
        <v/>
      </c>
      <c r="L209" s="75">
        <f>IF($A209="","",MRP!L1438)</f>
        <v/>
      </c>
      <c r="M209" s="76">
        <f>IF($A209="","",SUM(E209:L209))</f>
        <v/>
      </c>
      <c r="N209" s="77">
        <f>IF(ISNUMBER(D209),M209*D209,"")</f>
        <v/>
      </c>
      <c r="O209" s="78">
        <f>MRP!M1438</f>
        <v/>
      </c>
    </row>
    <row r="210">
      <c r="A210" s="73">
        <f>IF(Materiales!$A$209="","",Materiales!$A$209)</f>
        <v/>
      </c>
      <c r="B210" s="60">
        <f>IF(Materiales!$B$209="","",Materiales!$B$209)</f>
        <v/>
      </c>
      <c r="C210" s="73">
        <f>IF(Materiales!$C$209="","",Materiales!$C$209)</f>
        <v/>
      </c>
      <c r="D210" s="74">
        <f>IF(Materiales!$D$209="","",Materiales!$D$209)</f>
        <v/>
      </c>
      <c r="E210" s="75">
        <f>IF($A210="","",MRP!E1445)</f>
        <v/>
      </c>
      <c r="F210" s="75">
        <f>IF($A210="","",MRP!F1445)</f>
        <v/>
      </c>
      <c r="G210" s="75">
        <f>IF($A210="","",MRP!G1445)</f>
        <v/>
      </c>
      <c r="H210" s="75">
        <f>IF($A210="","",MRP!H1445)</f>
        <v/>
      </c>
      <c r="I210" s="75">
        <f>IF($A210="","",MRP!I1445)</f>
        <v/>
      </c>
      <c r="J210" s="75">
        <f>IF($A210="","",MRP!J1445)</f>
        <v/>
      </c>
      <c r="K210" s="75">
        <f>IF($A210="","",MRP!K1445)</f>
        <v/>
      </c>
      <c r="L210" s="75">
        <f>IF($A210="","",MRP!L1445)</f>
        <v/>
      </c>
      <c r="M210" s="76">
        <f>IF($A210="","",SUM(E210:L210))</f>
        <v/>
      </c>
      <c r="N210" s="77">
        <f>IF(ISNUMBER(D210),M210*D210,"")</f>
        <v/>
      </c>
      <c r="O210" s="78">
        <f>MRP!M1445</f>
        <v/>
      </c>
    </row>
    <row r="211">
      <c r="A211" s="73">
        <f>IF(Materiales!$A$210="","",Materiales!$A$210)</f>
        <v/>
      </c>
      <c r="B211" s="60">
        <f>IF(Materiales!$B$210="","",Materiales!$B$210)</f>
        <v/>
      </c>
      <c r="C211" s="73">
        <f>IF(Materiales!$C$210="","",Materiales!$C$210)</f>
        <v/>
      </c>
      <c r="D211" s="74">
        <f>IF(Materiales!$D$210="","",Materiales!$D$210)</f>
        <v/>
      </c>
      <c r="E211" s="75">
        <f>IF($A211="","",MRP!E1452)</f>
        <v/>
      </c>
      <c r="F211" s="75">
        <f>IF($A211="","",MRP!F1452)</f>
        <v/>
      </c>
      <c r="G211" s="75">
        <f>IF($A211="","",MRP!G1452)</f>
        <v/>
      </c>
      <c r="H211" s="75">
        <f>IF($A211="","",MRP!H1452)</f>
        <v/>
      </c>
      <c r="I211" s="75">
        <f>IF($A211="","",MRP!I1452)</f>
        <v/>
      </c>
      <c r="J211" s="75">
        <f>IF($A211="","",MRP!J1452)</f>
        <v/>
      </c>
      <c r="K211" s="75">
        <f>IF($A211="","",MRP!K1452)</f>
        <v/>
      </c>
      <c r="L211" s="75">
        <f>IF($A211="","",MRP!L1452)</f>
        <v/>
      </c>
      <c r="M211" s="76">
        <f>IF($A211="","",SUM(E211:L211))</f>
        <v/>
      </c>
      <c r="N211" s="77">
        <f>IF(ISNUMBER(D211),M211*D211,"")</f>
        <v/>
      </c>
      <c r="O211" s="78">
        <f>MRP!M1452</f>
        <v/>
      </c>
    </row>
    <row r="212">
      <c r="A212" s="73">
        <f>IF(Materiales!$A$211="","",Materiales!$A$211)</f>
        <v/>
      </c>
      <c r="B212" s="60">
        <f>IF(Materiales!$B$211="","",Materiales!$B$211)</f>
        <v/>
      </c>
      <c r="C212" s="73">
        <f>IF(Materiales!$C$211="","",Materiales!$C$211)</f>
        <v/>
      </c>
      <c r="D212" s="74">
        <f>IF(Materiales!$D$211="","",Materiales!$D$211)</f>
        <v/>
      </c>
      <c r="E212" s="75">
        <f>IF($A212="","",MRP!E1459)</f>
        <v/>
      </c>
      <c r="F212" s="75">
        <f>IF($A212="","",MRP!F1459)</f>
        <v/>
      </c>
      <c r="G212" s="75">
        <f>IF($A212="","",MRP!G1459)</f>
        <v/>
      </c>
      <c r="H212" s="75">
        <f>IF($A212="","",MRP!H1459)</f>
        <v/>
      </c>
      <c r="I212" s="75">
        <f>IF($A212="","",MRP!I1459)</f>
        <v/>
      </c>
      <c r="J212" s="75">
        <f>IF($A212="","",MRP!J1459)</f>
        <v/>
      </c>
      <c r="K212" s="75">
        <f>IF($A212="","",MRP!K1459)</f>
        <v/>
      </c>
      <c r="L212" s="75">
        <f>IF($A212="","",MRP!L1459)</f>
        <v/>
      </c>
      <c r="M212" s="76">
        <f>IF($A212="","",SUM(E212:L212))</f>
        <v/>
      </c>
      <c r="N212" s="77">
        <f>IF(ISNUMBER(D212),M212*D212,"")</f>
        <v/>
      </c>
      <c r="O212" s="78">
        <f>MRP!M1459</f>
        <v/>
      </c>
    </row>
    <row r="213">
      <c r="A213" s="73">
        <f>IF(Materiales!$A$212="","",Materiales!$A$212)</f>
        <v/>
      </c>
      <c r="B213" s="60">
        <f>IF(Materiales!$B$212="","",Materiales!$B$212)</f>
        <v/>
      </c>
      <c r="C213" s="73">
        <f>IF(Materiales!$C$212="","",Materiales!$C$212)</f>
        <v/>
      </c>
      <c r="D213" s="74">
        <f>IF(Materiales!$D$212="","",Materiales!$D$212)</f>
        <v/>
      </c>
      <c r="E213" s="75">
        <f>IF($A213="","",MRP!E1466)</f>
        <v/>
      </c>
      <c r="F213" s="75">
        <f>IF($A213="","",MRP!F1466)</f>
        <v/>
      </c>
      <c r="G213" s="75">
        <f>IF($A213="","",MRP!G1466)</f>
        <v/>
      </c>
      <c r="H213" s="75">
        <f>IF($A213="","",MRP!H1466)</f>
        <v/>
      </c>
      <c r="I213" s="75">
        <f>IF($A213="","",MRP!I1466)</f>
        <v/>
      </c>
      <c r="J213" s="75">
        <f>IF($A213="","",MRP!J1466)</f>
        <v/>
      </c>
      <c r="K213" s="75">
        <f>IF($A213="","",MRP!K1466)</f>
        <v/>
      </c>
      <c r="L213" s="75">
        <f>IF($A213="","",MRP!L1466)</f>
        <v/>
      </c>
      <c r="M213" s="76">
        <f>IF($A213="","",SUM(E213:L213))</f>
        <v/>
      </c>
      <c r="N213" s="77">
        <f>IF(ISNUMBER(D213),M213*D213,"")</f>
        <v/>
      </c>
      <c r="O213" s="78">
        <f>MRP!M1466</f>
        <v/>
      </c>
    </row>
    <row r="214">
      <c r="A214" s="73">
        <f>IF(Materiales!$A$213="","",Materiales!$A$213)</f>
        <v/>
      </c>
      <c r="B214" s="60">
        <f>IF(Materiales!$B$213="","",Materiales!$B$213)</f>
        <v/>
      </c>
      <c r="C214" s="73">
        <f>IF(Materiales!$C$213="","",Materiales!$C$213)</f>
        <v/>
      </c>
      <c r="D214" s="74">
        <f>IF(Materiales!$D$213="","",Materiales!$D$213)</f>
        <v/>
      </c>
      <c r="E214" s="75">
        <f>IF($A214="","",MRP!E1473)</f>
        <v/>
      </c>
      <c r="F214" s="75">
        <f>IF($A214="","",MRP!F1473)</f>
        <v/>
      </c>
      <c r="G214" s="75">
        <f>IF($A214="","",MRP!G1473)</f>
        <v/>
      </c>
      <c r="H214" s="75">
        <f>IF($A214="","",MRP!H1473)</f>
        <v/>
      </c>
      <c r="I214" s="75">
        <f>IF($A214="","",MRP!I1473)</f>
        <v/>
      </c>
      <c r="J214" s="75">
        <f>IF($A214="","",MRP!J1473)</f>
        <v/>
      </c>
      <c r="K214" s="75">
        <f>IF($A214="","",MRP!K1473)</f>
        <v/>
      </c>
      <c r="L214" s="75">
        <f>IF($A214="","",MRP!L1473)</f>
        <v/>
      </c>
      <c r="M214" s="76">
        <f>IF($A214="","",SUM(E214:L214))</f>
        <v/>
      </c>
      <c r="N214" s="77">
        <f>IF(ISNUMBER(D214),M214*D214,"")</f>
        <v/>
      </c>
      <c r="O214" s="78">
        <f>MRP!M1473</f>
        <v/>
      </c>
    </row>
    <row r="215">
      <c r="A215" s="73">
        <f>IF(Materiales!$A$214="","",Materiales!$A$214)</f>
        <v/>
      </c>
      <c r="B215" s="60">
        <f>IF(Materiales!$B$214="","",Materiales!$B$214)</f>
        <v/>
      </c>
      <c r="C215" s="73">
        <f>IF(Materiales!$C$214="","",Materiales!$C$214)</f>
        <v/>
      </c>
      <c r="D215" s="74">
        <f>IF(Materiales!$D$214="","",Materiales!$D$214)</f>
        <v/>
      </c>
      <c r="E215" s="75">
        <f>IF($A215="","",MRP!E1480)</f>
        <v/>
      </c>
      <c r="F215" s="75">
        <f>IF($A215="","",MRP!F1480)</f>
        <v/>
      </c>
      <c r="G215" s="75">
        <f>IF($A215="","",MRP!G1480)</f>
        <v/>
      </c>
      <c r="H215" s="75">
        <f>IF($A215="","",MRP!H1480)</f>
        <v/>
      </c>
      <c r="I215" s="75">
        <f>IF($A215="","",MRP!I1480)</f>
        <v/>
      </c>
      <c r="J215" s="75">
        <f>IF($A215="","",MRP!J1480)</f>
        <v/>
      </c>
      <c r="K215" s="75">
        <f>IF($A215="","",MRP!K1480)</f>
        <v/>
      </c>
      <c r="L215" s="75">
        <f>IF($A215="","",MRP!L1480)</f>
        <v/>
      </c>
      <c r="M215" s="76">
        <f>IF($A215="","",SUM(E215:L215))</f>
        <v/>
      </c>
      <c r="N215" s="77">
        <f>IF(ISNUMBER(D215),M215*D215,"")</f>
        <v/>
      </c>
      <c r="O215" s="78">
        <f>MRP!M1480</f>
        <v/>
      </c>
    </row>
    <row r="216">
      <c r="A216" s="73">
        <f>IF(Materiales!$A$215="","",Materiales!$A$215)</f>
        <v/>
      </c>
      <c r="B216" s="60">
        <f>IF(Materiales!$B$215="","",Materiales!$B$215)</f>
        <v/>
      </c>
      <c r="C216" s="73">
        <f>IF(Materiales!$C$215="","",Materiales!$C$215)</f>
        <v/>
      </c>
      <c r="D216" s="74">
        <f>IF(Materiales!$D$215="","",Materiales!$D$215)</f>
        <v/>
      </c>
      <c r="E216" s="75">
        <f>IF($A216="","",MRP!E1487)</f>
        <v/>
      </c>
      <c r="F216" s="75">
        <f>IF($A216="","",MRP!F1487)</f>
        <v/>
      </c>
      <c r="G216" s="75">
        <f>IF($A216="","",MRP!G1487)</f>
        <v/>
      </c>
      <c r="H216" s="75">
        <f>IF($A216="","",MRP!H1487)</f>
        <v/>
      </c>
      <c r="I216" s="75">
        <f>IF($A216="","",MRP!I1487)</f>
        <v/>
      </c>
      <c r="J216" s="75">
        <f>IF($A216="","",MRP!J1487)</f>
        <v/>
      </c>
      <c r="K216" s="75">
        <f>IF($A216="","",MRP!K1487)</f>
        <v/>
      </c>
      <c r="L216" s="75">
        <f>IF($A216="","",MRP!L1487)</f>
        <v/>
      </c>
      <c r="M216" s="76">
        <f>IF($A216="","",SUM(E216:L216))</f>
        <v/>
      </c>
      <c r="N216" s="77">
        <f>IF(ISNUMBER(D216),M216*D216,"")</f>
        <v/>
      </c>
      <c r="O216" s="78">
        <f>MRP!M1487</f>
        <v/>
      </c>
    </row>
    <row r="217">
      <c r="A217" s="73">
        <f>IF(Materiales!$A$216="","",Materiales!$A$216)</f>
        <v/>
      </c>
      <c r="B217" s="60">
        <f>IF(Materiales!$B$216="","",Materiales!$B$216)</f>
        <v/>
      </c>
      <c r="C217" s="73">
        <f>IF(Materiales!$C$216="","",Materiales!$C$216)</f>
        <v/>
      </c>
      <c r="D217" s="74">
        <f>IF(Materiales!$D$216="","",Materiales!$D$216)</f>
        <v/>
      </c>
      <c r="E217" s="75">
        <f>IF($A217="","",MRP!E1494)</f>
        <v/>
      </c>
      <c r="F217" s="75">
        <f>IF($A217="","",MRP!F1494)</f>
        <v/>
      </c>
      <c r="G217" s="75">
        <f>IF($A217="","",MRP!G1494)</f>
        <v/>
      </c>
      <c r="H217" s="75">
        <f>IF($A217="","",MRP!H1494)</f>
        <v/>
      </c>
      <c r="I217" s="75">
        <f>IF($A217="","",MRP!I1494)</f>
        <v/>
      </c>
      <c r="J217" s="75">
        <f>IF($A217="","",MRP!J1494)</f>
        <v/>
      </c>
      <c r="K217" s="75">
        <f>IF($A217="","",MRP!K1494)</f>
        <v/>
      </c>
      <c r="L217" s="75">
        <f>IF($A217="","",MRP!L1494)</f>
        <v/>
      </c>
      <c r="M217" s="76">
        <f>IF($A217="","",SUM(E217:L217))</f>
        <v/>
      </c>
      <c r="N217" s="77">
        <f>IF(ISNUMBER(D217),M217*D217,"")</f>
        <v/>
      </c>
      <c r="O217" s="78">
        <f>MRP!M1494</f>
        <v/>
      </c>
    </row>
    <row r="218">
      <c r="A218" s="73">
        <f>IF(Materiales!$A$217="","",Materiales!$A$217)</f>
        <v/>
      </c>
      <c r="B218" s="60">
        <f>IF(Materiales!$B$217="","",Materiales!$B$217)</f>
        <v/>
      </c>
      <c r="C218" s="73">
        <f>IF(Materiales!$C$217="","",Materiales!$C$217)</f>
        <v/>
      </c>
      <c r="D218" s="74">
        <f>IF(Materiales!$D$217="","",Materiales!$D$217)</f>
        <v/>
      </c>
      <c r="E218" s="75">
        <f>IF($A218="","",MRP!E1501)</f>
        <v/>
      </c>
      <c r="F218" s="75">
        <f>IF($A218="","",MRP!F1501)</f>
        <v/>
      </c>
      <c r="G218" s="75">
        <f>IF($A218="","",MRP!G1501)</f>
        <v/>
      </c>
      <c r="H218" s="75">
        <f>IF($A218="","",MRP!H1501)</f>
        <v/>
      </c>
      <c r="I218" s="75">
        <f>IF($A218="","",MRP!I1501)</f>
        <v/>
      </c>
      <c r="J218" s="75">
        <f>IF($A218="","",MRP!J1501)</f>
        <v/>
      </c>
      <c r="K218" s="75">
        <f>IF($A218="","",MRP!K1501)</f>
        <v/>
      </c>
      <c r="L218" s="75">
        <f>IF($A218="","",MRP!L1501)</f>
        <v/>
      </c>
      <c r="M218" s="76">
        <f>IF($A218="","",SUM(E218:L218))</f>
        <v/>
      </c>
      <c r="N218" s="77">
        <f>IF(ISNUMBER(D218),M218*D218,"")</f>
        <v/>
      </c>
      <c r="O218" s="78">
        <f>MRP!M1501</f>
        <v/>
      </c>
    </row>
    <row r="219">
      <c r="A219" s="73">
        <f>IF(Materiales!$A$218="","",Materiales!$A$218)</f>
        <v/>
      </c>
      <c r="B219" s="60">
        <f>IF(Materiales!$B$218="","",Materiales!$B$218)</f>
        <v/>
      </c>
      <c r="C219" s="73">
        <f>IF(Materiales!$C$218="","",Materiales!$C$218)</f>
        <v/>
      </c>
      <c r="D219" s="74">
        <f>IF(Materiales!$D$218="","",Materiales!$D$218)</f>
        <v/>
      </c>
      <c r="E219" s="75">
        <f>IF($A219="","",MRP!E1508)</f>
        <v/>
      </c>
      <c r="F219" s="75">
        <f>IF($A219="","",MRP!F1508)</f>
        <v/>
      </c>
      <c r="G219" s="75">
        <f>IF($A219="","",MRP!G1508)</f>
        <v/>
      </c>
      <c r="H219" s="75">
        <f>IF($A219="","",MRP!H1508)</f>
        <v/>
      </c>
      <c r="I219" s="75">
        <f>IF($A219="","",MRP!I1508)</f>
        <v/>
      </c>
      <c r="J219" s="75">
        <f>IF($A219="","",MRP!J1508)</f>
        <v/>
      </c>
      <c r="K219" s="75">
        <f>IF($A219="","",MRP!K1508)</f>
        <v/>
      </c>
      <c r="L219" s="75">
        <f>IF($A219="","",MRP!L1508)</f>
        <v/>
      </c>
      <c r="M219" s="76">
        <f>IF($A219="","",SUM(E219:L219))</f>
        <v/>
      </c>
      <c r="N219" s="77">
        <f>IF(ISNUMBER(D219),M219*D219,"")</f>
        <v/>
      </c>
      <c r="O219" s="78">
        <f>MRP!M1508</f>
        <v/>
      </c>
    </row>
    <row r="220">
      <c r="A220" s="73">
        <f>IF(Materiales!$A$219="","",Materiales!$A$219)</f>
        <v/>
      </c>
      <c r="B220" s="60">
        <f>IF(Materiales!$B$219="","",Materiales!$B$219)</f>
        <v/>
      </c>
      <c r="C220" s="73">
        <f>IF(Materiales!$C$219="","",Materiales!$C$219)</f>
        <v/>
      </c>
      <c r="D220" s="74">
        <f>IF(Materiales!$D$219="","",Materiales!$D$219)</f>
        <v/>
      </c>
      <c r="E220" s="75">
        <f>IF($A220="","",MRP!E1515)</f>
        <v/>
      </c>
      <c r="F220" s="75">
        <f>IF($A220="","",MRP!F1515)</f>
        <v/>
      </c>
      <c r="G220" s="75">
        <f>IF($A220="","",MRP!G1515)</f>
        <v/>
      </c>
      <c r="H220" s="75">
        <f>IF($A220="","",MRP!H1515)</f>
        <v/>
      </c>
      <c r="I220" s="75">
        <f>IF($A220="","",MRP!I1515)</f>
        <v/>
      </c>
      <c r="J220" s="75">
        <f>IF($A220="","",MRP!J1515)</f>
        <v/>
      </c>
      <c r="K220" s="75">
        <f>IF($A220="","",MRP!K1515)</f>
        <v/>
      </c>
      <c r="L220" s="75">
        <f>IF($A220="","",MRP!L1515)</f>
        <v/>
      </c>
      <c r="M220" s="76">
        <f>IF($A220="","",SUM(E220:L220))</f>
        <v/>
      </c>
      <c r="N220" s="77">
        <f>IF(ISNUMBER(D220),M220*D220,"")</f>
        <v/>
      </c>
      <c r="O220" s="78">
        <f>MRP!M1515</f>
        <v/>
      </c>
    </row>
    <row r="221">
      <c r="A221" s="73">
        <f>IF(Materiales!$A$220="","",Materiales!$A$220)</f>
        <v/>
      </c>
      <c r="B221" s="60">
        <f>IF(Materiales!$B$220="","",Materiales!$B$220)</f>
        <v/>
      </c>
      <c r="C221" s="73">
        <f>IF(Materiales!$C$220="","",Materiales!$C$220)</f>
        <v/>
      </c>
      <c r="D221" s="74">
        <f>IF(Materiales!$D$220="","",Materiales!$D$220)</f>
        <v/>
      </c>
      <c r="E221" s="75">
        <f>IF($A221="","",MRP!E1522)</f>
        <v/>
      </c>
      <c r="F221" s="75">
        <f>IF($A221="","",MRP!F1522)</f>
        <v/>
      </c>
      <c r="G221" s="75">
        <f>IF($A221="","",MRP!G1522)</f>
        <v/>
      </c>
      <c r="H221" s="75">
        <f>IF($A221="","",MRP!H1522)</f>
        <v/>
      </c>
      <c r="I221" s="75">
        <f>IF($A221="","",MRP!I1522)</f>
        <v/>
      </c>
      <c r="J221" s="75">
        <f>IF($A221="","",MRP!J1522)</f>
        <v/>
      </c>
      <c r="K221" s="75">
        <f>IF($A221="","",MRP!K1522)</f>
        <v/>
      </c>
      <c r="L221" s="75">
        <f>IF($A221="","",MRP!L1522)</f>
        <v/>
      </c>
      <c r="M221" s="76">
        <f>IF($A221="","",SUM(E221:L221))</f>
        <v/>
      </c>
      <c r="N221" s="77">
        <f>IF(ISNUMBER(D221),M221*D221,"")</f>
        <v/>
      </c>
      <c r="O221" s="78">
        <f>MRP!M1522</f>
        <v/>
      </c>
    </row>
    <row r="222">
      <c r="A222" s="73">
        <f>IF(Materiales!$A$221="","",Materiales!$A$221)</f>
        <v/>
      </c>
      <c r="B222" s="60">
        <f>IF(Materiales!$B$221="","",Materiales!$B$221)</f>
        <v/>
      </c>
      <c r="C222" s="73">
        <f>IF(Materiales!$C$221="","",Materiales!$C$221)</f>
        <v/>
      </c>
      <c r="D222" s="74">
        <f>IF(Materiales!$D$221="","",Materiales!$D$221)</f>
        <v/>
      </c>
      <c r="E222" s="75">
        <f>IF($A222="","",MRP!E1529)</f>
        <v/>
      </c>
      <c r="F222" s="75">
        <f>IF($A222="","",MRP!F1529)</f>
        <v/>
      </c>
      <c r="G222" s="75">
        <f>IF($A222="","",MRP!G1529)</f>
        <v/>
      </c>
      <c r="H222" s="75">
        <f>IF($A222="","",MRP!H1529)</f>
        <v/>
      </c>
      <c r="I222" s="75">
        <f>IF($A222="","",MRP!I1529)</f>
        <v/>
      </c>
      <c r="J222" s="75">
        <f>IF($A222="","",MRP!J1529)</f>
        <v/>
      </c>
      <c r="K222" s="75">
        <f>IF($A222="","",MRP!K1529)</f>
        <v/>
      </c>
      <c r="L222" s="75">
        <f>IF($A222="","",MRP!L1529)</f>
        <v/>
      </c>
      <c r="M222" s="76">
        <f>IF($A222="","",SUM(E222:L222))</f>
        <v/>
      </c>
      <c r="N222" s="77">
        <f>IF(ISNUMBER(D222),M222*D222,"")</f>
        <v/>
      </c>
      <c r="O222" s="78">
        <f>MRP!M1529</f>
        <v/>
      </c>
    </row>
    <row r="223">
      <c r="A223" s="73">
        <f>IF(Materiales!$A$222="","",Materiales!$A$222)</f>
        <v/>
      </c>
      <c r="B223" s="60">
        <f>IF(Materiales!$B$222="","",Materiales!$B$222)</f>
        <v/>
      </c>
      <c r="C223" s="73">
        <f>IF(Materiales!$C$222="","",Materiales!$C$222)</f>
        <v/>
      </c>
      <c r="D223" s="74">
        <f>IF(Materiales!$D$222="","",Materiales!$D$222)</f>
        <v/>
      </c>
      <c r="E223" s="75">
        <f>IF($A223="","",MRP!E1536)</f>
        <v/>
      </c>
      <c r="F223" s="75">
        <f>IF($A223="","",MRP!F1536)</f>
        <v/>
      </c>
      <c r="G223" s="75">
        <f>IF($A223="","",MRP!G1536)</f>
        <v/>
      </c>
      <c r="H223" s="75">
        <f>IF($A223="","",MRP!H1536)</f>
        <v/>
      </c>
      <c r="I223" s="75">
        <f>IF($A223="","",MRP!I1536)</f>
        <v/>
      </c>
      <c r="J223" s="75">
        <f>IF($A223="","",MRP!J1536)</f>
        <v/>
      </c>
      <c r="K223" s="75">
        <f>IF($A223="","",MRP!K1536)</f>
        <v/>
      </c>
      <c r="L223" s="75">
        <f>IF($A223="","",MRP!L1536)</f>
        <v/>
      </c>
      <c r="M223" s="76">
        <f>IF($A223="","",SUM(E223:L223))</f>
        <v/>
      </c>
      <c r="N223" s="77">
        <f>IF(ISNUMBER(D223),M223*D223,"")</f>
        <v/>
      </c>
      <c r="O223" s="78">
        <f>MRP!M1536</f>
        <v/>
      </c>
    </row>
    <row r="224">
      <c r="A224" s="73">
        <f>IF(Materiales!$A$223="","",Materiales!$A$223)</f>
        <v/>
      </c>
      <c r="B224" s="60">
        <f>IF(Materiales!$B$223="","",Materiales!$B$223)</f>
        <v/>
      </c>
      <c r="C224" s="73">
        <f>IF(Materiales!$C$223="","",Materiales!$C$223)</f>
        <v/>
      </c>
      <c r="D224" s="74">
        <f>IF(Materiales!$D$223="","",Materiales!$D$223)</f>
        <v/>
      </c>
      <c r="E224" s="75">
        <f>IF($A224="","",MRP!E1543)</f>
        <v/>
      </c>
      <c r="F224" s="75">
        <f>IF($A224="","",MRP!F1543)</f>
        <v/>
      </c>
      <c r="G224" s="75">
        <f>IF($A224="","",MRP!G1543)</f>
        <v/>
      </c>
      <c r="H224" s="75">
        <f>IF($A224="","",MRP!H1543)</f>
        <v/>
      </c>
      <c r="I224" s="75">
        <f>IF($A224="","",MRP!I1543)</f>
        <v/>
      </c>
      <c r="J224" s="75">
        <f>IF($A224="","",MRP!J1543)</f>
        <v/>
      </c>
      <c r="K224" s="75">
        <f>IF($A224="","",MRP!K1543)</f>
        <v/>
      </c>
      <c r="L224" s="75">
        <f>IF($A224="","",MRP!L1543)</f>
        <v/>
      </c>
      <c r="M224" s="76">
        <f>IF($A224="","",SUM(E224:L224))</f>
        <v/>
      </c>
      <c r="N224" s="77">
        <f>IF(ISNUMBER(D224),M224*D224,"")</f>
        <v/>
      </c>
      <c r="O224" s="78">
        <f>MRP!M1543</f>
        <v/>
      </c>
    </row>
    <row r="225">
      <c r="A225" s="73">
        <f>IF(Materiales!$A$224="","",Materiales!$A$224)</f>
        <v/>
      </c>
      <c r="B225" s="60">
        <f>IF(Materiales!$B$224="","",Materiales!$B$224)</f>
        <v/>
      </c>
      <c r="C225" s="73">
        <f>IF(Materiales!$C$224="","",Materiales!$C$224)</f>
        <v/>
      </c>
      <c r="D225" s="74">
        <f>IF(Materiales!$D$224="","",Materiales!$D$224)</f>
        <v/>
      </c>
      <c r="E225" s="75">
        <f>IF($A225="","",MRP!E1550)</f>
        <v/>
      </c>
      <c r="F225" s="75">
        <f>IF($A225="","",MRP!F1550)</f>
        <v/>
      </c>
      <c r="G225" s="75">
        <f>IF($A225="","",MRP!G1550)</f>
        <v/>
      </c>
      <c r="H225" s="75">
        <f>IF($A225="","",MRP!H1550)</f>
        <v/>
      </c>
      <c r="I225" s="75">
        <f>IF($A225="","",MRP!I1550)</f>
        <v/>
      </c>
      <c r="J225" s="75">
        <f>IF($A225="","",MRP!J1550)</f>
        <v/>
      </c>
      <c r="K225" s="75">
        <f>IF($A225="","",MRP!K1550)</f>
        <v/>
      </c>
      <c r="L225" s="75">
        <f>IF($A225="","",MRP!L1550)</f>
        <v/>
      </c>
      <c r="M225" s="76">
        <f>IF($A225="","",SUM(E225:L225))</f>
        <v/>
      </c>
      <c r="N225" s="77">
        <f>IF(ISNUMBER(D225),M225*D225,"")</f>
        <v/>
      </c>
      <c r="O225" s="78">
        <f>MRP!M1550</f>
        <v/>
      </c>
    </row>
    <row r="226">
      <c r="A226" s="73">
        <f>IF(Materiales!$A$225="","",Materiales!$A$225)</f>
        <v/>
      </c>
      <c r="B226" s="60">
        <f>IF(Materiales!$B$225="","",Materiales!$B$225)</f>
        <v/>
      </c>
      <c r="C226" s="73">
        <f>IF(Materiales!$C$225="","",Materiales!$C$225)</f>
        <v/>
      </c>
      <c r="D226" s="74">
        <f>IF(Materiales!$D$225="","",Materiales!$D$225)</f>
        <v/>
      </c>
      <c r="E226" s="75">
        <f>IF($A226="","",MRP!E1557)</f>
        <v/>
      </c>
      <c r="F226" s="75">
        <f>IF($A226="","",MRP!F1557)</f>
        <v/>
      </c>
      <c r="G226" s="75">
        <f>IF($A226="","",MRP!G1557)</f>
        <v/>
      </c>
      <c r="H226" s="75">
        <f>IF($A226="","",MRP!H1557)</f>
        <v/>
      </c>
      <c r="I226" s="75">
        <f>IF($A226="","",MRP!I1557)</f>
        <v/>
      </c>
      <c r="J226" s="75">
        <f>IF($A226="","",MRP!J1557)</f>
        <v/>
      </c>
      <c r="K226" s="75">
        <f>IF($A226="","",MRP!K1557)</f>
        <v/>
      </c>
      <c r="L226" s="75">
        <f>IF($A226="","",MRP!L1557)</f>
        <v/>
      </c>
      <c r="M226" s="76">
        <f>IF($A226="","",SUM(E226:L226))</f>
        <v/>
      </c>
      <c r="N226" s="77">
        <f>IF(ISNUMBER(D226),M226*D226,"")</f>
        <v/>
      </c>
      <c r="O226" s="78">
        <f>MRP!M1557</f>
        <v/>
      </c>
    </row>
    <row r="227">
      <c r="A227" s="73">
        <f>IF(Materiales!$A$226="","",Materiales!$A$226)</f>
        <v/>
      </c>
      <c r="B227" s="60">
        <f>IF(Materiales!$B$226="","",Materiales!$B$226)</f>
        <v/>
      </c>
      <c r="C227" s="73">
        <f>IF(Materiales!$C$226="","",Materiales!$C$226)</f>
        <v/>
      </c>
      <c r="D227" s="74">
        <f>IF(Materiales!$D$226="","",Materiales!$D$226)</f>
        <v/>
      </c>
      <c r="E227" s="75">
        <f>IF($A227="","",MRP!E1564)</f>
        <v/>
      </c>
      <c r="F227" s="75">
        <f>IF($A227="","",MRP!F1564)</f>
        <v/>
      </c>
      <c r="G227" s="75">
        <f>IF($A227="","",MRP!G1564)</f>
        <v/>
      </c>
      <c r="H227" s="75">
        <f>IF($A227="","",MRP!H1564)</f>
        <v/>
      </c>
      <c r="I227" s="75">
        <f>IF($A227="","",MRP!I1564)</f>
        <v/>
      </c>
      <c r="J227" s="75">
        <f>IF($A227="","",MRP!J1564)</f>
        <v/>
      </c>
      <c r="K227" s="75">
        <f>IF($A227="","",MRP!K1564)</f>
        <v/>
      </c>
      <c r="L227" s="75">
        <f>IF($A227="","",MRP!L1564)</f>
        <v/>
      </c>
      <c r="M227" s="76">
        <f>IF($A227="","",SUM(E227:L227))</f>
        <v/>
      </c>
      <c r="N227" s="77">
        <f>IF(ISNUMBER(D227),M227*D227,"")</f>
        <v/>
      </c>
      <c r="O227" s="78">
        <f>MRP!M1564</f>
        <v/>
      </c>
    </row>
    <row r="228">
      <c r="A228" s="73">
        <f>IF(Materiales!$A$227="","",Materiales!$A$227)</f>
        <v/>
      </c>
      <c r="B228" s="60">
        <f>IF(Materiales!$B$227="","",Materiales!$B$227)</f>
        <v/>
      </c>
      <c r="C228" s="73">
        <f>IF(Materiales!$C$227="","",Materiales!$C$227)</f>
        <v/>
      </c>
      <c r="D228" s="74">
        <f>IF(Materiales!$D$227="","",Materiales!$D$227)</f>
        <v/>
      </c>
      <c r="E228" s="75">
        <f>IF($A228="","",MRP!E1571)</f>
        <v/>
      </c>
      <c r="F228" s="75">
        <f>IF($A228="","",MRP!F1571)</f>
        <v/>
      </c>
      <c r="G228" s="75">
        <f>IF($A228="","",MRP!G1571)</f>
        <v/>
      </c>
      <c r="H228" s="75">
        <f>IF($A228="","",MRP!H1571)</f>
        <v/>
      </c>
      <c r="I228" s="75">
        <f>IF($A228="","",MRP!I1571)</f>
        <v/>
      </c>
      <c r="J228" s="75">
        <f>IF($A228="","",MRP!J1571)</f>
        <v/>
      </c>
      <c r="K228" s="75">
        <f>IF($A228="","",MRP!K1571)</f>
        <v/>
      </c>
      <c r="L228" s="75">
        <f>IF($A228="","",MRP!L1571)</f>
        <v/>
      </c>
      <c r="M228" s="76">
        <f>IF($A228="","",SUM(E228:L228))</f>
        <v/>
      </c>
      <c r="N228" s="77">
        <f>IF(ISNUMBER(D228),M228*D228,"")</f>
        <v/>
      </c>
      <c r="O228" s="78">
        <f>MRP!M1571</f>
        <v/>
      </c>
    </row>
    <row r="229">
      <c r="A229" s="73">
        <f>IF(Materiales!$A$228="","",Materiales!$A$228)</f>
        <v/>
      </c>
      <c r="B229" s="60">
        <f>IF(Materiales!$B$228="","",Materiales!$B$228)</f>
        <v/>
      </c>
      <c r="C229" s="73">
        <f>IF(Materiales!$C$228="","",Materiales!$C$228)</f>
        <v/>
      </c>
      <c r="D229" s="74">
        <f>IF(Materiales!$D$228="","",Materiales!$D$228)</f>
        <v/>
      </c>
      <c r="E229" s="75">
        <f>IF($A229="","",MRP!E1578)</f>
        <v/>
      </c>
      <c r="F229" s="75">
        <f>IF($A229="","",MRP!F1578)</f>
        <v/>
      </c>
      <c r="G229" s="75">
        <f>IF($A229="","",MRP!G1578)</f>
        <v/>
      </c>
      <c r="H229" s="75">
        <f>IF($A229="","",MRP!H1578)</f>
        <v/>
      </c>
      <c r="I229" s="75">
        <f>IF($A229="","",MRP!I1578)</f>
        <v/>
      </c>
      <c r="J229" s="75">
        <f>IF($A229="","",MRP!J1578)</f>
        <v/>
      </c>
      <c r="K229" s="75">
        <f>IF($A229="","",MRP!K1578)</f>
        <v/>
      </c>
      <c r="L229" s="75">
        <f>IF($A229="","",MRP!L1578)</f>
        <v/>
      </c>
      <c r="M229" s="76">
        <f>IF($A229="","",SUM(E229:L229))</f>
        <v/>
      </c>
      <c r="N229" s="77">
        <f>IF(ISNUMBER(D229),M229*D229,"")</f>
        <v/>
      </c>
      <c r="O229" s="78">
        <f>MRP!M1578</f>
        <v/>
      </c>
    </row>
    <row r="230">
      <c r="A230" s="73">
        <f>IF(Materiales!$A$229="","",Materiales!$A$229)</f>
        <v/>
      </c>
      <c r="B230" s="60">
        <f>IF(Materiales!$B$229="","",Materiales!$B$229)</f>
        <v/>
      </c>
      <c r="C230" s="73">
        <f>IF(Materiales!$C$229="","",Materiales!$C$229)</f>
        <v/>
      </c>
      <c r="D230" s="74">
        <f>IF(Materiales!$D$229="","",Materiales!$D$229)</f>
        <v/>
      </c>
      <c r="E230" s="75">
        <f>IF($A230="","",MRP!E1585)</f>
        <v/>
      </c>
      <c r="F230" s="75">
        <f>IF($A230="","",MRP!F1585)</f>
        <v/>
      </c>
      <c r="G230" s="75">
        <f>IF($A230="","",MRP!G1585)</f>
        <v/>
      </c>
      <c r="H230" s="75">
        <f>IF($A230="","",MRP!H1585)</f>
        <v/>
      </c>
      <c r="I230" s="75">
        <f>IF($A230="","",MRP!I1585)</f>
        <v/>
      </c>
      <c r="J230" s="75">
        <f>IF($A230="","",MRP!J1585)</f>
        <v/>
      </c>
      <c r="K230" s="75">
        <f>IF($A230="","",MRP!K1585)</f>
        <v/>
      </c>
      <c r="L230" s="75">
        <f>IF($A230="","",MRP!L1585)</f>
        <v/>
      </c>
      <c r="M230" s="76">
        <f>IF($A230="","",SUM(E230:L230))</f>
        <v/>
      </c>
      <c r="N230" s="77">
        <f>IF(ISNUMBER(D230),M230*D230,"")</f>
        <v/>
      </c>
      <c r="O230" s="78">
        <f>MRP!M1585</f>
        <v/>
      </c>
    </row>
    <row r="231">
      <c r="A231" s="73">
        <f>IF(Materiales!$A$230="","",Materiales!$A$230)</f>
        <v/>
      </c>
      <c r="B231" s="60">
        <f>IF(Materiales!$B$230="","",Materiales!$B$230)</f>
        <v/>
      </c>
      <c r="C231" s="73">
        <f>IF(Materiales!$C$230="","",Materiales!$C$230)</f>
        <v/>
      </c>
      <c r="D231" s="74">
        <f>IF(Materiales!$D$230="","",Materiales!$D$230)</f>
        <v/>
      </c>
      <c r="E231" s="75">
        <f>IF($A231="","",MRP!E1592)</f>
        <v/>
      </c>
      <c r="F231" s="75">
        <f>IF($A231="","",MRP!F1592)</f>
        <v/>
      </c>
      <c r="G231" s="75">
        <f>IF($A231="","",MRP!G1592)</f>
        <v/>
      </c>
      <c r="H231" s="75">
        <f>IF($A231="","",MRP!H1592)</f>
        <v/>
      </c>
      <c r="I231" s="75">
        <f>IF($A231="","",MRP!I1592)</f>
        <v/>
      </c>
      <c r="J231" s="75">
        <f>IF($A231="","",MRP!J1592)</f>
        <v/>
      </c>
      <c r="K231" s="75">
        <f>IF($A231="","",MRP!K1592)</f>
        <v/>
      </c>
      <c r="L231" s="75">
        <f>IF($A231="","",MRP!L1592)</f>
        <v/>
      </c>
      <c r="M231" s="76">
        <f>IF($A231="","",SUM(E231:L231))</f>
        <v/>
      </c>
      <c r="N231" s="77">
        <f>IF(ISNUMBER(D231),M231*D231,"")</f>
        <v/>
      </c>
      <c r="O231" s="78">
        <f>MRP!M1592</f>
        <v/>
      </c>
    </row>
    <row r="232">
      <c r="A232" s="73">
        <f>IF(Materiales!$A$231="","",Materiales!$A$231)</f>
        <v/>
      </c>
      <c r="B232" s="60">
        <f>IF(Materiales!$B$231="","",Materiales!$B$231)</f>
        <v/>
      </c>
      <c r="C232" s="73">
        <f>IF(Materiales!$C$231="","",Materiales!$C$231)</f>
        <v/>
      </c>
      <c r="D232" s="74">
        <f>IF(Materiales!$D$231="","",Materiales!$D$231)</f>
        <v/>
      </c>
      <c r="E232" s="75">
        <f>IF($A232="","",MRP!E1599)</f>
        <v/>
      </c>
      <c r="F232" s="75">
        <f>IF($A232="","",MRP!F1599)</f>
        <v/>
      </c>
      <c r="G232" s="75">
        <f>IF($A232="","",MRP!G1599)</f>
        <v/>
      </c>
      <c r="H232" s="75">
        <f>IF($A232="","",MRP!H1599)</f>
        <v/>
      </c>
      <c r="I232" s="75">
        <f>IF($A232="","",MRP!I1599)</f>
        <v/>
      </c>
      <c r="J232" s="75">
        <f>IF($A232="","",MRP!J1599)</f>
        <v/>
      </c>
      <c r="K232" s="75">
        <f>IF($A232="","",MRP!K1599)</f>
        <v/>
      </c>
      <c r="L232" s="75">
        <f>IF($A232="","",MRP!L1599)</f>
        <v/>
      </c>
      <c r="M232" s="76">
        <f>IF($A232="","",SUM(E232:L232))</f>
        <v/>
      </c>
      <c r="N232" s="77">
        <f>IF(ISNUMBER(D232),M232*D232,"")</f>
        <v/>
      </c>
      <c r="O232" s="78">
        <f>MRP!M1599</f>
        <v/>
      </c>
    </row>
    <row r="233">
      <c r="A233" s="73">
        <f>IF(Materiales!$A$232="","",Materiales!$A$232)</f>
        <v/>
      </c>
      <c r="B233" s="60">
        <f>IF(Materiales!$B$232="","",Materiales!$B$232)</f>
        <v/>
      </c>
      <c r="C233" s="73">
        <f>IF(Materiales!$C$232="","",Materiales!$C$232)</f>
        <v/>
      </c>
      <c r="D233" s="74">
        <f>IF(Materiales!$D$232="","",Materiales!$D$232)</f>
        <v/>
      </c>
      <c r="E233" s="75">
        <f>IF($A233="","",MRP!E1606)</f>
        <v/>
      </c>
      <c r="F233" s="75">
        <f>IF($A233="","",MRP!F1606)</f>
        <v/>
      </c>
      <c r="G233" s="75">
        <f>IF($A233="","",MRP!G1606)</f>
        <v/>
      </c>
      <c r="H233" s="75">
        <f>IF($A233="","",MRP!H1606)</f>
        <v/>
      </c>
      <c r="I233" s="75">
        <f>IF($A233="","",MRP!I1606)</f>
        <v/>
      </c>
      <c r="J233" s="75">
        <f>IF($A233="","",MRP!J1606)</f>
        <v/>
      </c>
      <c r="K233" s="75">
        <f>IF($A233="","",MRP!K1606)</f>
        <v/>
      </c>
      <c r="L233" s="75">
        <f>IF($A233="","",MRP!L1606)</f>
        <v/>
      </c>
      <c r="M233" s="76">
        <f>IF($A233="","",SUM(E233:L233))</f>
        <v/>
      </c>
      <c r="N233" s="77">
        <f>IF(ISNUMBER(D233),M233*D233,"")</f>
        <v/>
      </c>
      <c r="O233" s="78">
        <f>MRP!M1606</f>
        <v/>
      </c>
    </row>
    <row r="234">
      <c r="A234" s="73">
        <f>IF(Materiales!$A$233="","",Materiales!$A$233)</f>
        <v/>
      </c>
      <c r="B234" s="60">
        <f>IF(Materiales!$B$233="","",Materiales!$B$233)</f>
        <v/>
      </c>
      <c r="C234" s="73">
        <f>IF(Materiales!$C$233="","",Materiales!$C$233)</f>
        <v/>
      </c>
      <c r="D234" s="74">
        <f>IF(Materiales!$D$233="","",Materiales!$D$233)</f>
        <v/>
      </c>
      <c r="E234" s="75">
        <f>IF($A234="","",MRP!E1613)</f>
        <v/>
      </c>
      <c r="F234" s="75">
        <f>IF($A234="","",MRP!F1613)</f>
        <v/>
      </c>
      <c r="G234" s="75">
        <f>IF($A234="","",MRP!G1613)</f>
        <v/>
      </c>
      <c r="H234" s="75">
        <f>IF($A234="","",MRP!H1613)</f>
        <v/>
      </c>
      <c r="I234" s="75">
        <f>IF($A234="","",MRP!I1613)</f>
        <v/>
      </c>
      <c r="J234" s="75">
        <f>IF($A234="","",MRP!J1613)</f>
        <v/>
      </c>
      <c r="K234" s="75">
        <f>IF($A234="","",MRP!K1613)</f>
        <v/>
      </c>
      <c r="L234" s="75">
        <f>IF($A234="","",MRP!L1613)</f>
        <v/>
      </c>
      <c r="M234" s="76">
        <f>IF($A234="","",SUM(E234:L234))</f>
        <v/>
      </c>
      <c r="N234" s="77">
        <f>IF(ISNUMBER(D234),M234*D234,"")</f>
        <v/>
      </c>
      <c r="O234" s="78">
        <f>MRP!M1613</f>
        <v/>
      </c>
    </row>
    <row r="235">
      <c r="A235" s="73">
        <f>IF(Materiales!$A$234="","",Materiales!$A$234)</f>
        <v/>
      </c>
      <c r="B235" s="60">
        <f>IF(Materiales!$B$234="","",Materiales!$B$234)</f>
        <v/>
      </c>
      <c r="C235" s="73">
        <f>IF(Materiales!$C$234="","",Materiales!$C$234)</f>
        <v/>
      </c>
      <c r="D235" s="74">
        <f>IF(Materiales!$D$234="","",Materiales!$D$234)</f>
        <v/>
      </c>
      <c r="E235" s="75">
        <f>IF($A235="","",MRP!E1620)</f>
        <v/>
      </c>
      <c r="F235" s="75">
        <f>IF($A235="","",MRP!F1620)</f>
        <v/>
      </c>
      <c r="G235" s="75">
        <f>IF($A235="","",MRP!G1620)</f>
        <v/>
      </c>
      <c r="H235" s="75">
        <f>IF($A235="","",MRP!H1620)</f>
        <v/>
      </c>
      <c r="I235" s="75">
        <f>IF($A235="","",MRP!I1620)</f>
        <v/>
      </c>
      <c r="J235" s="75">
        <f>IF($A235="","",MRP!J1620)</f>
        <v/>
      </c>
      <c r="K235" s="75">
        <f>IF($A235="","",MRP!K1620)</f>
        <v/>
      </c>
      <c r="L235" s="75">
        <f>IF($A235="","",MRP!L1620)</f>
        <v/>
      </c>
      <c r="M235" s="76">
        <f>IF($A235="","",SUM(E235:L235))</f>
        <v/>
      </c>
      <c r="N235" s="77">
        <f>IF(ISNUMBER(D235),M235*D235,"")</f>
        <v/>
      </c>
      <c r="O235" s="78">
        <f>MRP!M1620</f>
        <v/>
      </c>
    </row>
    <row r="236">
      <c r="A236" s="73">
        <f>IF(Materiales!$A$235="","",Materiales!$A$235)</f>
        <v/>
      </c>
      <c r="B236" s="60">
        <f>IF(Materiales!$B$235="","",Materiales!$B$235)</f>
        <v/>
      </c>
      <c r="C236" s="73">
        <f>IF(Materiales!$C$235="","",Materiales!$C$235)</f>
        <v/>
      </c>
      <c r="D236" s="74">
        <f>IF(Materiales!$D$235="","",Materiales!$D$235)</f>
        <v/>
      </c>
      <c r="E236" s="75">
        <f>IF($A236="","",MRP!E1627)</f>
        <v/>
      </c>
      <c r="F236" s="75">
        <f>IF($A236="","",MRP!F1627)</f>
        <v/>
      </c>
      <c r="G236" s="75">
        <f>IF($A236="","",MRP!G1627)</f>
        <v/>
      </c>
      <c r="H236" s="75">
        <f>IF($A236="","",MRP!H1627)</f>
        <v/>
      </c>
      <c r="I236" s="75">
        <f>IF($A236="","",MRP!I1627)</f>
        <v/>
      </c>
      <c r="J236" s="75">
        <f>IF($A236="","",MRP!J1627)</f>
        <v/>
      </c>
      <c r="K236" s="75">
        <f>IF($A236="","",MRP!K1627)</f>
        <v/>
      </c>
      <c r="L236" s="75">
        <f>IF($A236="","",MRP!L1627)</f>
        <v/>
      </c>
      <c r="M236" s="76">
        <f>IF($A236="","",SUM(E236:L236))</f>
        <v/>
      </c>
      <c r="N236" s="77">
        <f>IF(ISNUMBER(D236),M236*D236,"")</f>
        <v/>
      </c>
      <c r="O236" s="78">
        <f>MRP!M1627</f>
        <v/>
      </c>
    </row>
    <row r="237">
      <c r="A237" s="73">
        <f>IF(Materiales!$A$236="","",Materiales!$A$236)</f>
        <v/>
      </c>
      <c r="B237" s="60">
        <f>IF(Materiales!$B$236="","",Materiales!$B$236)</f>
        <v/>
      </c>
      <c r="C237" s="73">
        <f>IF(Materiales!$C$236="","",Materiales!$C$236)</f>
        <v/>
      </c>
      <c r="D237" s="74">
        <f>IF(Materiales!$D$236="","",Materiales!$D$236)</f>
        <v/>
      </c>
      <c r="E237" s="75">
        <f>IF($A237="","",MRP!E1634)</f>
        <v/>
      </c>
      <c r="F237" s="75">
        <f>IF($A237="","",MRP!F1634)</f>
        <v/>
      </c>
      <c r="G237" s="75">
        <f>IF($A237="","",MRP!G1634)</f>
        <v/>
      </c>
      <c r="H237" s="75">
        <f>IF($A237="","",MRP!H1634)</f>
        <v/>
      </c>
      <c r="I237" s="75">
        <f>IF($A237="","",MRP!I1634)</f>
        <v/>
      </c>
      <c r="J237" s="75">
        <f>IF($A237="","",MRP!J1634)</f>
        <v/>
      </c>
      <c r="K237" s="75">
        <f>IF($A237="","",MRP!K1634)</f>
        <v/>
      </c>
      <c r="L237" s="75">
        <f>IF($A237="","",MRP!L1634)</f>
        <v/>
      </c>
      <c r="M237" s="76">
        <f>IF($A237="","",SUM(E237:L237))</f>
        <v/>
      </c>
      <c r="N237" s="77">
        <f>IF(ISNUMBER(D237),M237*D237,"")</f>
        <v/>
      </c>
      <c r="O237" s="78">
        <f>MRP!M1634</f>
        <v/>
      </c>
    </row>
    <row r="238">
      <c r="A238" s="73">
        <f>IF(Materiales!$A$237="","",Materiales!$A$237)</f>
        <v/>
      </c>
      <c r="B238" s="60">
        <f>IF(Materiales!$B$237="","",Materiales!$B$237)</f>
        <v/>
      </c>
      <c r="C238" s="73">
        <f>IF(Materiales!$C$237="","",Materiales!$C$237)</f>
        <v/>
      </c>
      <c r="D238" s="74">
        <f>IF(Materiales!$D$237="","",Materiales!$D$237)</f>
        <v/>
      </c>
      <c r="E238" s="75">
        <f>IF($A238="","",MRP!E1641)</f>
        <v/>
      </c>
      <c r="F238" s="75">
        <f>IF($A238="","",MRP!F1641)</f>
        <v/>
      </c>
      <c r="G238" s="75">
        <f>IF($A238="","",MRP!G1641)</f>
        <v/>
      </c>
      <c r="H238" s="75">
        <f>IF($A238="","",MRP!H1641)</f>
        <v/>
      </c>
      <c r="I238" s="75">
        <f>IF($A238="","",MRP!I1641)</f>
        <v/>
      </c>
      <c r="J238" s="75">
        <f>IF($A238="","",MRP!J1641)</f>
        <v/>
      </c>
      <c r="K238" s="75">
        <f>IF($A238="","",MRP!K1641)</f>
        <v/>
      </c>
      <c r="L238" s="75">
        <f>IF($A238="","",MRP!L1641)</f>
        <v/>
      </c>
      <c r="M238" s="76">
        <f>IF($A238="","",SUM(E238:L238))</f>
        <v/>
      </c>
      <c r="N238" s="77">
        <f>IF(ISNUMBER(D238),M238*D238,"")</f>
        <v/>
      </c>
      <c r="O238" s="78">
        <f>MRP!M1641</f>
        <v/>
      </c>
    </row>
    <row r="239">
      <c r="A239" s="73">
        <f>IF(Materiales!$A$238="","",Materiales!$A$238)</f>
        <v/>
      </c>
      <c r="B239" s="60">
        <f>IF(Materiales!$B$238="","",Materiales!$B$238)</f>
        <v/>
      </c>
      <c r="C239" s="73">
        <f>IF(Materiales!$C$238="","",Materiales!$C$238)</f>
        <v/>
      </c>
      <c r="D239" s="74">
        <f>IF(Materiales!$D$238="","",Materiales!$D$238)</f>
        <v/>
      </c>
      <c r="E239" s="75">
        <f>IF($A239="","",MRP!E1648)</f>
        <v/>
      </c>
      <c r="F239" s="75">
        <f>IF($A239="","",MRP!F1648)</f>
        <v/>
      </c>
      <c r="G239" s="75">
        <f>IF($A239="","",MRP!G1648)</f>
        <v/>
      </c>
      <c r="H239" s="75">
        <f>IF($A239="","",MRP!H1648)</f>
        <v/>
      </c>
      <c r="I239" s="75">
        <f>IF($A239="","",MRP!I1648)</f>
        <v/>
      </c>
      <c r="J239" s="75">
        <f>IF($A239="","",MRP!J1648)</f>
        <v/>
      </c>
      <c r="K239" s="75">
        <f>IF($A239="","",MRP!K1648)</f>
        <v/>
      </c>
      <c r="L239" s="75">
        <f>IF($A239="","",MRP!L1648)</f>
        <v/>
      </c>
      <c r="M239" s="76">
        <f>IF($A239="","",SUM(E239:L239))</f>
        <v/>
      </c>
      <c r="N239" s="77">
        <f>IF(ISNUMBER(D239),M239*D239,"")</f>
        <v/>
      </c>
      <c r="O239" s="78">
        <f>MRP!M1648</f>
        <v/>
      </c>
    </row>
    <row r="240">
      <c r="A240" s="73">
        <f>IF(Materiales!$A$239="","",Materiales!$A$239)</f>
        <v/>
      </c>
      <c r="B240" s="60">
        <f>IF(Materiales!$B$239="","",Materiales!$B$239)</f>
        <v/>
      </c>
      <c r="C240" s="73">
        <f>IF(Materiales!$C$239="","",Materiales!$C$239)</f>
        <v/>
      </c>
      <c r="D240" s="74">
        <f>IF(Materiales!$D$239="","",Materiales!$D$239)</f>
        <v/>
      </c>
      <c r="E240" s="75">
        <f>IF($A240="","",MRP!E1655)</f>
        <v/>
      </c>
      <c r="F240" s="75">
        <f>IF($A240="","",MRP!F1655)</f>
        <v/>
      </c>
      <c r="G240" s="75">
        <f>IF($A240="","",MRP!G1655)</f>
        <v/>
      </c>
      <c r="H240" s="75">
        <f>IF($A240="","",MRP!H1655)</f>
        <v/>
      </c>
      <c r="I240" s="75">
        <f>IF($A240="","",MRP!I1655)</f>
        <v/>
      </c>
      <c r="J240" s="75">
        <f>IF($A240="","",MRP!J1655)</f>
        <v/>
      </c>
      <c r="K240" s="75">
        <f>IF($A240="","",MRP!K1655)</f>
        <v/>
      </c>
      <c r="L240" s="75">
        <f>IF($A240="","",MRP!L1655)</f>
        <v/>
      </c>
      <c r="M240" s="76">
        <f>IF($A240="","",SUM(E240:L240))</f>
        <v/>
      </c>
      <c r="N240" s="77">
        <f>IF(ISNUMBER(D240),M240*D240,"")</f>
        <v/>
      </c>
      <c r="O240" s="78">
        <f>MRP!M1655</f>
        <v/>
      </c>
    </row>
    <row r="241">
      <c r="A241" s="73">
        <f>IF(Materiales!$A$240="","",Materiales!$A$240)</f>
        <v/>
      </c>
      <c r="B241" s="60">
        <f>IF(Materiales!$B$240="","",Materiales!$B$240)</f>
        <v/>
      </c>
      <c r="C241" s="73">
        <f>IF(Materiales!$C$240="","",Materiales!$C$240)</f>
        <v/>
      </c>
      <c r="D241" s="74">
        <f>IF(Materiales!$D$240="","",Materiales!$D$240)</f>
        <v/>
      </c>
      <c r="E241" s="75">
        <f>IF($A241="","",MRP!E1662)</f>
        <v/>
      </c>
      <c r="F241" s="75">
        <f>IF($A241="","",MRP!F1662)</f>
        <v/>
      </c>
      <c r="G241" s="75">
        <f>IF($A241="","",MRP!G1662)</f>
        <v/>
      </c>
      <c r="H241" s="75">
        <f>IF($A241="","",MRP!H1662)</f>
        <v/>
      </c>
      <c r="I241" s="75">
        <f>IF($A241="","",MRP!I1662)</f>
        <v/>
      </c>
      <c r="J241" s="75">
        <f>IF($A241="","",MRP!J1662)</f>
        <v/>
      </c>
      <c r="K241" s="75">
        <f>IF($A241="","",MRP!K1662)</f>
        <v/>
      </c>
      <c r="L241" s="75">
        <f>IF($A241="","",MRP!L1662)</f>
        <v/>
      </c>
      <c r="M241" s="76">
        <f>IF($A241="","",SUM(E241:L241))</f>
        <v/>
      </c>
      <c r="N241" s="77">
        <f>IF(ISNUMBER(D241),M241*D241,"")</f>
        <v/>
      </c>
      <c r="O241" s="78">
        <f>MRP!M1662</f>
        <v/>
      </c>
    </row>
    <row r="242">
      <c r="A242" s="73">
        <f>IF(Materiales!$A$241="","",Materiales!$A$241)</f>
        <v/>
      </c>
      <c r="B242" s="60">
        <f>IF(Materiales!$B$241="","",Materiales!$B$241)</f>
        <v/>
      </c>
      <c r="C242" s="73">
        <f>IF(Materiales!$C$241="","",Materiales!$C$241)</f>
        <v/>
      </c>
      <c r="D242" s="74">
        <f>IF(Materiales!$D$241="","",Materiales!$D$241)</f>
        <v/>
      </c>
      <c r="E242" s="75">
        <f>IF($A242="","",MRP!E1669)</f>
        <v/>
      </c>
      <c r="F242" s="75">
        <f>IF($A242="","",MRP!F1669)</f>
        <v/>
      </c>
      <c r="G242" s="75">
        <f>IF($A242="","",MRP!G1669)</f>
        <v/>
      </c>
      <c r="H242" s="75">
        <f>IF($A242="","",MRP!H1669)</f>
        <v/>
      </c>
      <c r="I242" s="75">
        <f>IF($A242="","",MRP!I1669)</f>
        <v/>
      </c>
      <c r="J242" s="75">
        <f>IF($A242="","",MRP!J1669)</f>
        <v/>
      </c>
      <c r="K242" s="75">
        <f>IF($A242="","",MRP!K1669)</f>
        <v/>
      </c>
      <c r="L242" s="75">
        <f>IF($A242="","",MRP!L1669)</f>
        <v/>
      </c>
      <c r="M242" s="76">
        <f>IF($A242="","",SUM(E242:L242))</f>
        <v/>
      </c>
      <c r="N242" s="77">
        <f>IF(ISNUMBER(D242),M242*D242,"")</f>
        <v/>
      </c>
      <c r="O242" s="78">
        <f>MRP!M1669</f>
        <v/>
      </c>
    </row>
    <row r="243">
      <c r="A243" s="73">
        <f>IF(Materiales!$A$242="","",Materiales!$A$242)</f>
        <v/>
      </c>
      <c r="B243" s="60">
        <f>IF(Materiales!$B$242="","",Materiales!$B$242)</f>
        <v/>
      </c>
      <c r="C243" s="73">
        <f>IF(Materiales!$C$242="","",Materiales!$C$242)</f>
        <v/>
      </c>
      <c r="D243" s="74">
        <f>IF(Materiales!$D$242="","",Materiales!$D$242)</f>
        <v/>
      </c>
      <c r="E243" s="75">
        <f>IF($A243="","",MRP!E1676)</f>
        <v/>
      </c>
      <c r="F243" s="75">
        <f>IF($A243="","",MRP!F1676)</f>
        <v/>
      </c>
      <c r="G243" s="75">
        <f>IF($A243="","",MRP!G1676)</f>
        <v/>
      </c>
      <c r="H243" s="75">
        <f>IF($A243="","",MRP!H1676)</f>
        <v/>
      </c>
      <c r="I243" s="75">
        <f>IF($A243="","",MRP!I1676)</f>
        <v/>
      </c>
      <c r="J243" s="75">
        <f>IF($A243="","",MRP!J1676)</f>
        <v/>
      </c>
      <c r="K243" s="75">
        <f>IF($A243="","",MRP!K1676)</f>
        <v/>
      </c>
      <c r="L243" s="75">
        <f>IF($A243="","",MRP!L1676)</f>
        <v/>
      </c>
      <c r="M243" s="76">
        <f>IF($A243="","",SUM(E243:L243))</f>
        <v/>
      </c>
      <c r="N243" s="77">
        <f>IF(ISNUMBER(D243),M243*D243,"")</f>
        <v/>
      </c>
      <c r="O243" s="78">
        <f>MRP!M1676</f>
        <v/>
      </c>
    </row>
    <row r="244">
      <c r="A244" s="73">
        <f>IF(Materiales!$A$243="","",Materiales!$A$243)</f>
        <v/>
      </c>
      <c r="B244" s="60">
        <f>IF(Materiales!$B$243="","",Materiales!$B$243)</f>
        <v/>
      </c>
      <c r="C244" s="73">
        <f>IF(Materiales!$C$243="","",Materiales!$C$243)</f>
        <v/>
      </c>
      <c r="D244" s="74">
        <f>IF(Materiales!$D$243="","",Materiales!$D$243)</f>
        <v/>
      </c>
      <c r="E244" s="75">
        <f>IF($A244="","",MRP!E1683)</f>
        <v/>
      </c>
      <c r="F244" s="75">
        <f>IF($A244="","",MRP!F1683)</f>
        <v/>
      </c>
      <c r="G244" s="75">
        <f>IF($A244="","",MRP!G1683)</f>
        <v/>
      </c>
      <c r="H244" s="75">
        <f>IF($A244="","",MRP!H1683)</f>
        <v/>
      </c>
      <c r="I244" s="75">
        <f>IF($A244="","",MRP!I1683)</f>
        <v/>
      </c>
      <c r="J244" s="75">
        <f>IF($A244="","",MRP!J1683)</f>
        <v/>
      </c>
      <c r="K244" s="75">
        <f>IF($A244="","",MRP!K1683)</f>
        <v/>
      </c>
      <c r="L244" s="75">
        <f>IF($A244="","",MRP!L1683)</f>
        <v/>
      </c>
      <c r="M244" s="76">
        <f>IF($A244="","",SUM(E244:L244))</f>
        <v/>
      </c>
      <c r="N244" s="77">
        <f>IF(ISNUMBER(D244),M244*D244,"")</f>
        <v/>
      </c>
      <c r="O244" s="78">
        <f>MRP!M1683</f>
        <v/>
      </c>
    </row>
    <row r="245">
      <c r="A245" s="73">
        <f>IF(Materiales!$A$244="","",Materiales!$A$244)</f>
        <v/>
      </c>
      <c r="B245" s="60">
        <f>IF(Materiales!$B$244="","",Materiales!$B$244)</f>
        <v/>
      </c>
      <c r="C245" s="73">
        <f>IF(Materiales!$C$244="","",Materiales!$C$244)</f>
        <v/>
      </c>
      <c r="D245" s="74">
        <f>IF(Materiales!$D$244="","",Materiales!$D$244)</f>
        <v/>
      </c>
      <c r="E245" s="75">
        <f>IF($A245="","",MRP!E1690)</f>
        <v/>
      </c>
      <c r="F245" s="75">
        <f>IF($A245="","",MRP!F1690)</f>
        <v/>
      </c>
      <c r="G245" s="75">
        <f>IF($A245="","",MRP!G1690)</f>
        <v/>
      </c>
      <c r="H245" s="75">
        <f>IF($A245="","",MRP!H1690)</f>
        <v/>
      </c>
      <c r="I245" s="75">
        <f>IF($A245="","",MRP!I1690)</f>
        <v/>
      </c>
      <c r="J245" s="75">
        <f>IF($A245="","",MRP!J1690)</f>
        <v/>
      </c>
      <c r="K245" s="75">
        <f>IF($A245="","",MRP!K1690)</f>
        <v/>
      </c>
      <c r="L245" s="75">
        <f>IF($A245="","",MRP!L1690)</f>
        <v/>
      </c>
      <c r="M245" s="76">
        <f>IF($A245="","",SUM(E245:L245))</f>
        <v/>
      </c>
      <c r="N245" s="77">
        <f>IF(ISNUMBER(D245),M245*D245,"")</f>
        <v/>
      </c>
      <c r="O245" s="78">
        <f>MRP!M1690</f>
        <v/>
      </c>
    </row>
    <row r="246">
      <c r="A246" s="73">
        <f>IF(Materiales!$A$245="","",Materiales!$A$245)</f>
        <v/>
      </c>
      <c r="B246" s="60">
        <f>IF(Materiales!$B$245="","",Materiales!$B$245)</f>
        <v/>
      </c>
      <c r="C246" s="73">
        <f>IF(Materiales!$C$245="","",Materiales!$C$245)</f>
        <v/>
      </c>
      <c r="D246" s="74">
        <f>IF(Materiales!$D$245="","",Materiales!$D$245)</f>
        <v/>
      </c>
      <c r="E246" s="75">
        <f>IF($A246="","",MRP!E1697)</f>
        <v/>
      </c>
      <c r="F246" s="75">
        <f>IF($A246="","",MRP!F1697)</f>
        <v/>
      </c>
      <c r="G246" s="75">
        <f>IF($A246="","",MRP!G1697)</f>
        <v/>
      </c>
      <c r="H246" s="75">
        <f>IF($A246="","",MRP!H1697)</f>
        <v/>
      </c>
      <c r="I246" s="75">
        <f>IF($A246="","",MRP!I1697)</f>
        <v/>
      </c>
      <c r="J246" s="75">
        <f>IF($A246="","",MRP!J1697)</f>
        <v/>
      </c>
      <c r="K246" s="75">
        <f>IF($A246="","",MRP!K1697)</f>
        <v/>
      </c>
      <c r="L246" s="75">
        <f>IF($A246="","",MRP!L1697)</f>
        <v/>
      </c>
      <c r="M246" s="76">
        <f>IF($A246="","",SUM(E246:L246))</f>
        <v/>
      </c>
      <c r="N246" s="77">
        <f>IF(ISNUMBER(D246),M246*D246,"")</f>
        <v/>
      </c>
      <c r="O246" s="78">
        <f>MRP!M1697</f>
        <v/>
      </c>
    </row>
    <row r="247">
      <c r="A247" s="73">
        <f>IF(Materiales!$A$246="","",Materiales!$A$246)</f>
        <v/>
      </c>
      <c r="B247" s="60">
        <f>IF(Materiales!$B$246="","",Materiales!$B$246)</f>
        <v/>
      </c>
      <c r="C247" s="73">
        <f>IF(Materiales!$C$246="","",Materiales!$C$246)</f>
        <v/>
      </c>
      <c r="D247" s="74">
        <f>IF(Materiales!$D$246="","",Materiales!$D$246)</f>
        <v/>
      </c>
      <c r="E247" s="75">
        <f>IF($A247="","",MRP!E1704)</f>
        <v/>
      </c>
      <c r="F247" s="75">
        <f>IF($A247="","",MRP!F1704)</f>
        <v/>
      </c>
      <c r="G247" s="75">
        <f>IF($A247="","",MRP!G1704)</f>
        <v/>
      </c>
      <c r="H247" s="75">
        <f>IF($A247="","",MRP!H1704)</f>
        <v/>
      </c>
      <c r="I247" s="75">
        <f>IF($A247="","",MRP!I1704)</f>
        <v/>
      </c>
      <c r="J247" s="75">
        <f>IF($A247="","",MRP!J1704)</f>
        <v/>
      </c>
      <c r="K247" s="75">
        <f>IF($A247="","",MRP!K1704)</f>
        <v/>
      </c>
      <c r="L247" s="75">
        <f>IF($A247="","",MRP!L1704)</f>
        <v/>
      </c>
      <c r="M247" s="76">
        <f>IF($A247="","",SUM(E247:L247))</f>
        <v/>
      </c>
      <c r="N247" s="77">
        <f>IF(ISNUMBER(D247),M247*D247,"")</f>
        <v/>
      </c>
      <c r="O247" s="78">
        <f>MRP!M1704</f>
        <v/>
      </c>
    </row>
    <row r="248">
      <c r="A248" s="73">
        <f>IF(Materiales!$A$247="","",Materiales!$A$247)</f>
        <v/>
      </c>
      <c r="B248" s="60">
        <f>IF(Materiales!$B$247="","",Materiales!$B$247)</f>
        <v/>
      </c>
      <c r="C248" s="73">
        <f>IF(Materiales!$C$247="","",Materiales!$C$247)</f>
        <v/>
      </c>
      <c r="D248" s="74">
        <f>IF(Materiales!$D$247="","",Materiales!$D$247)</f>
        <v/>
      </c>
      <c r="E248" s="75">
        <f>IF($A248="","",MRP!E1711)</f>
        <v/>
      </c>
      <c r="F248" s="75">
        <f>IF($A248="","",MRP!F1711)</f>
        <v/>
      </c>
      <c r="G248" s="75">
        <f>IF($A248="","",MRP!G1711)</f>
        <v/>
      </c>
      <c r="H248" s="75">
        <f>IF($A248="","",MRP!H1711)</f>
        <v/>
      </c>
      <c r="I248" s="75">
        <f>IF($A248="","",MRP!I1711)</f>
        <v/>
      </c>
      <c r="J248" s="75">
        <f>IF($A248="","",MRP!J1711)</f>
        <v/>
      </c>
      <c r="K248" s="75">
        <f>IF($A248="","",MRP!K1711)</f>
        <v/>
      </c>
      <c r="L248" s="75">
        <f>IF($A248="","",MRP!L1711)</f>
        <v/>
      </c>
      <c r="M248" s="76">
        <f>IF($A248="","",SUM(E248:L248))</f>
        <v/>
      </c>
      <c r="N248" s="77">
        <f>IF(ISNUMBER(D248),M248*D248,"")</f>
        <v/>
      </c>
      <c r="O248" s="78">
        <f>MRP!M1711</f>
        <v/>
      </c>
    </row>
    <row r="249">
      <c r="A249" s="73">
        <f>IF(Materiales!$A$248="","",Materiales!$A$248)</f>
        <v/>
      </c>
      <c r="B249" s="60">
        <f>IF(Materiales!$B$248="","",Materiales!$B$248)</f>
        <v/>
      </c>
      <c r="C249" s="73">
        <f>IF(Materiales!$C$248="","",Materiales!$C$248)</f>
        <v/>
      </c>
      <c r="D249" s="74">
        <f>IF(Materiales!$D$248="","",Materiales!$D$248)</f>
        <v/>
      </c>
      <c r="E249" s="75">
        <f>IF($A249="","",MRP!E1718)</f>
        <v/>
      </c>
      <c r="F249" s="75">
        <f>IF($A249="","",MRP!F1718)</f>
        <v/>
      </c>
      <c r="G249" s="75">
        <f>IF($A249="","",MRP!G1718)</f>
        <v/>
      </c>
      <c r="H249" s="75">
        <f>IF($A249="","",MRP!H1718)</f>
        <v/>
      </c>
      <c r="I249" s="75">
        <f>IF($A249="","",MRP!I1718)</f>
        <v/>
      </c>
      <c r="J249" s="75">
        <f>IF($A249="","",MRP!J1718)</f>
        <v/>
      </c>
      <c r="K249" s="75">
        <f>IF($A249="","",MRP!K1718)</f>
        <v/>
      </c>
      <c r="L249" s="75">
        <f>IF($A249="","",MRP!L1718)</f>
        <v/>
      </c>
      <c r="M249" s="76">
        <f>IF($A249="","",SUM(E249:L249))</f>
        <v/>
      </c>
      <c r="N249" s="77">
        <f>IF(ISNUMBER(D249),M249*D249,"")</f>
        <v/>
      </c>
      <c r="O249" s="78">
        <f>MRP!M1718</f>
        <v/>
      </c>
    </row>
    <row r="250">
      <c r="A250" s="73">
        <f>IF(Materiales!$A$249="","",Materiales!$A$249)</f>
        <v/>
      </c>
      <c r="B250" s="60">
        <f>IF(Materiales!$B$249="","",Materiales!$B$249)</f>
        <v/>
      </c>
      <c r="C250" s="73">
        <f>IF(Materiales!$C$249="","",Materiales!$C$249)</f>
        <v/>
      </c>
      <c r="D250" s="74">
        <f>IF(Materiales!$D$249="","",Materiales!$D$249)</f>
        <v/>
      </c>
      <c r="E250" s="75">
        <f>IF($A250="","",MRP!E1725)</f>
        <v/>
      </c>
      <c r="F250" s="75">
        <f>IF($A250="","",MRP!F1725)</f>
        <v/>
      </c>
      <c r="G250" s="75">
        <f>IF($A250="","",MRP!G1725)</f>
        <v/>
      </c>
      <c r="H250" s="75">
        <f>IF($A250="","",MRP!H1725)</f>
        <v/>
      </c>
      <c r="I250" s="75">
        <f>IF($A250="","",MRP!I1725)</f>
        <v/>
      </c>
      <c r="J250" s="75">
        <f>IF($A250="","",MRP!J1725)</f>
        <v/>
      </c>
      <c r="K250" s="75">
        <f>IF($A250="","",MRP!K1725)</f>
        <v/>
      </c>
      <c r="L250" s="75">
        <f>IF($A250="","",MRP!L1725)</f>
        <v/>
      </c>
      <c r="M250" s="76">
        <f>IF($A250="","",SUM(E250:L250))</f>
        <v/>
      </c>
      <c r="N250" s="77">
        <f>IF(ISNUMBER(D250),M250*D250,"")</f>
        <v/>
      </c>
      <c r="O250" s="78">
        <f>MRP!M1725</f>
        <v/>
      </c>
    </row>
    <row r="251">
      <c r="A251" s="73">
        <f>IF(Materiales!$A$250="","",Materiales!$A$250)</f>
        <v/>
      </c>
      <c r="B251" s="60">
        <f>IF(Materiales!$B$250="","",Materiales!$B$250)</f>
        <v/>
      </c>
      <c r="C251" s="73">
        <f>IF(Materiales!$C$250="","",Materiales!$C$250)</f>
        <v/>
      </c>
      <c r="D251" s="74">
        <f>IF(Materiales!$D$250="","",Materiales!$D$250)</f>
        <v/>
      </c>
      <c r="E251" s="75">
        <f>IF($A251="","",MRP!E1732)</f>
        <v/>
      </c>
      <c r="F251" s="75">
        <f>IF($A251="","",MRP!F1732)</f>
        <v/>
      </c>
      <c r="G251" s="75">
        <f>IF($A251="","",MRP!G1732)</f>
        <v/>
      </c>
      <c r="H251" s="75">
        <f>IF($A251="","",MRP!H1732)</f>
        <v/>
      </c>
      <c r="I251" s="75">
        <f>IF($A251="","",MRP!I1732)</f>
        <v/>
      </c>
      <c r="J251" s="75">
        <f>IF($A251="","",MRP!J1732)</f>
        <v/>
      </c>
      <c r="K251" s="75">
        <f>IF($A251="","",MRP!K1732)</f>
        <v/>
      </c>
      <c r="L251" s="75">
        <f>IF($A251="","",MRP!L1732)</f>
        <v/>
      </c>
      <c r="M251" s="76">
        <f>IF($A251="","",SUM(E251:L251))</f>
        <v/>
      </c>
      <c r="N251" s="77">
        <f>IF(ISNUMBER(D251),M251*D251,"")</f>
        <v/>
      </c>
      <c r="O251" s="78">
        <f>MRP!M1732</f>
        <v/>
      </c>
    </row>
    <row r="252">
      <c r="A252" s="73">
        <f>IF(Materiales!$A$251="","",Materiales!$A$251)</f>
        <v/>
      </c>
      <c r="B252" s="60">
        <f>IF(Materiales!$B$251="","",Materiales!$B$251)</f>
        <v/>
      </c>
      <c r="C252" s="73">
        <f>IF(Materiales!$C$251="","",Materiales!$C$251)</f>
        <v/>
      </c>
      <c r="D252" s="74">
        <f>IF(Materiales!$D$251="","",Materiales!$D$251)</f>
        <v/>
      </c>
      <c r="E252" s="75">
        <f>IF($A252="","",MRP!E1739)</f>
        <v/>
      </c>
      <c r="F252" s="75">
        <f>IF($A252="","",MRP!F1739)</f>
        <v/>
      </c>
      <c r="G252" s="75">
        <f>IF($A252="","",MRP!G1739)</f>
        <v/>
      </c>
      <c r="H252" s="75">
        <f>IF($A252="","",MRP!H1739)</f>
        <v/>
      </c>
      <c r="I252" s="75">
        <f>IF($A252="","",MRP!I1739)</f>
        <v/>
      </c>
      <c r="J252" s="75">
        <f>IF($A252="","",MRP!J1739)</f>
        <v/>
      </c>
      <c r="K252" s="75">
        <f>IF($A252="","",MRP!K1739)</f>
        <v/>
      </c>
      <c r="L252" s="75">
        <f>IF($A252="","",MRP!L1739)</f>
        <v/>
      </c>
      <c r="M252" s="76">
        <f>IF($A252="","",SUM(E252:L252))</f>
        <v/>
      </c>
      <c r="N252" s="77">
        <f>IF(ISNUMBER(D252),M252*D252,"")</f>
        <v/>
      </c>
      <c r="O252" s="78">
        <f>MRP!M1739</f>
        <v/>
      </c>
    </row>
    <row r="253">
      <c r="A253" s="73">
        <f>IF(Materiales!$A$252="","",Materiales!$A$252)</f>
        <v/>
      </c>
      <c r="B253" s="60">
        <f>IF(Materiales!$B$252="","",Materiales!$B$252)</f>
        <v/>
      </c>
      <c r="C253" s="73">
        <f>IF(Materiales!$C$252="","",Materiales!$C$252)</f>
        <v/>
      </c>
      <c r="D253" s="74">
        <f>IF(Materiales!$D$252="","",Materiales!$D$252)</f>
        <v/>
      </c>
      <c r="E253" s="75">
        <f>IF($A253="","",MRP!E1746)</f>
        <v/>
      </c>
      <c r="F253" s="75">
        <f>IF($A253="","",MRP!F1746)</f>
        <v/>
      </c>
      <c r="G253" s="75">
        <f>IF($A253="","",MRP!G1746)</f>
        <v/>
      </c>
      <c r="H253" s="75">
        <f>IF($A253="","",MRP!H1746)</f>
        <v/>
      </c>
      <c r="I253" s="75">
        <f>IF($A253="","",MRP!I1746)</f>
        <v/>
      </c>
      <c r="J253" s="75">
        <f>IF($A253="","",MRP!J1746)</f>
        <v/>
      </c>
      <c r="K253" s="75">
        <f>IF($A253="","",MRP!K1746)</f>
        <v/>
      </c>
      <c r="L253" s="75">
        <f>IF($A253="","",MRP!L1746)</f>
        <v/>
      </c>
      <c r="M253" s="76">
        <f>IF($A253="","",SUM(E253:L253))</f>
        <v/>
      </c>
      <c r="N253" s="77">
        <f>IF(ISNUMBER(D253),M253*D253,"")</f>
        <v/>
      </c>
      <c r="O253" s="78">
        <f>MRP!M1746</f>
        <v/>
      </c>
    </row>
    <row r="254">
      <c r="A254" s="73">
        <f>IF(Materiales!$A$253="","",Materiales!$A$253)</f>
        <v/>
      </c>
      <c r="B254" s="60">
        <f>IF(Materiales!$B$253="","",Materiales!$B$253)</f>
        <v/>
      </c>
      <c r="C254" s="73">
        <f>IF(Materiales!$C$253="","",Materiales!$C$253)</f>
        <v/>
      </c>
      <c r="D254" s="74">
        <f>IF(Materiales!$D$253="","",Materiales!$D$253)</f>
        <v/>
      </c>
      <c r="E254" s="75">
        <f>IF($A254="","",MRP!E1753)</f>
        <v/>
      </c>
      <c r="F254" s="75">
        <f>IF($A254="","",MRP!F1753)</f>
        <v/>
      </c>
      <c r="G254" s="75">
        <f>IF($A254="","",MRP!G1753)</f>
        <v/>
      </c>
      <c r="H254" s="75">
        <f>IF($A254="","",MRP!H1753)</f>
        <v/>
      </c>
      <c r="I254" s="75">
        <f>IF($A254="","",MRP!I1753)</f>
        <v/>
      </c>
      <c r="J254" s="75">
        <f>IF($A254="","",MRP!J1753)</f>
        <v/>
      </c>
      <c r="K254" s="75">
        <f>IF($A254="","",MRP!K1753)</f>
        <v/>
      </c>
      <c r="L254" s="75">
        <f>IF($A254="","",MRP!L1753)</f>
        <v/>
      </c>
      <c r="M254" s="76">
        <f>IF($A254="","",SUM(E254:L254))</f>
        <v/>
      </c>
      <c r="N254" s="77">
        <f>IF(ISNUMBER(D254),M254*D254,"")</f>
        <v/>
      </c>
      <c r="O254" s="78">
        <f>MRP!M1753</f>
        <v/>
      </c>
    </row>
    <row r="255">
      <c r="A255" s="73">
        <f>IF(Materiales!$A$254="","",Materiales!$A$254)</f>
        <v/>
      </c>
      <c r="B255" s="60">
        <f>IF(Materiales!$B$254="","",Materiales!$B$254)</f>
        <v/>
      </c>
      <c r="C255" s="73">
        <f>IF(Materiales!$C$254="","",Materiales!$C$254)</f>
        <v/>
      </c>
      <c r="D255" s="74">
        <f>IF(Materiales!$D$254="","",Materiales!$D$254)</f>
        <v/>
      </c>
      <c r="E255" s="75">
        <f>IF($A255="","",MRP!E1760)</f>
        <v/>
      </c>
      <c r="F255" s="75">
        <f>IF($A255="","",MRP!F1760)</f>
        <v/>
      </c>
      <c r="G255" s="75">
        <f>IF($A255="","",MRP!G1760)</f>
        <v/>
      </c>
      <c r="H255" s="75">
        <f>IF($A255="","",MRP!H1760)</f>
        <v/>
      </c>
      <c r="I255" s="75">
        <f>IF($A255="","",MRP!I1760)</f>
        <v/>
      </c>
      <c r="J255" s="75">
        <f>IF($A255="","",MRP!J1760)</f>
        <v/>
      </c>
      <c r="K255" s="75">
        <f>IF($A255="","",MRP!K1760)</f>
        <v/>
      </c>
      <c r="L255" s="75">
        <f>IF($A255="","",MRP!L1760)</f>
        <v/>
      </c>
      <c r="M255" s="76">
        <f>IF($A255="","",SUM(E255:L255))</f>
        <v/>
      </c>
      <c r="N255" s="77">
        <f>IF(ISNUMBER(D255),M255*D255,"")</f>
        <v/>
      </c>
      <c r="O255" s="78">
        <f>MRP!M1760</f>
        <v/>
      </c>
    </row>
    <row r="256">
      <c r="A256" s="73">
        <f>IF(Materiales!$A$255="","",Materiales!$A$255)</f>
        <v/>
      </c>
      <c r="B256" s="60">
        <f>IF(Materiales!$B$255="","",Materiales!$B$255)</f>
        <v/>
      </c>
      <c r="C256" s="73">
        <f>IF(Materiales!$C$255="","",Materiales!$C$255)</f>
        <v/>
      </c>
      <c r="D256" s="74">
        <f>IF(Materiales!$D$255="","",Materiales!$D$255)</f>
        <v/>
      </c>
      <c r="E256" s="75">
        <f>IF($A256="","",MRP!E1767)</f>
        <v/>
      </c>
      <c r="F256" s="75">
        <f>IF($A256="","",MRP!F1767)</f>
        <v/>
      </c>
      <c r="G256" s="75">
        <f>IF($A256="","",MRP!G1767)</f>
        <v/>
      </c>
      <c r="H256" s="75">
        <f>IF($A256="","",MRP!H1767)</f>
        <v/>
      </c>
      <c r="I256" s="75">
        <f>IF($A256="","",MRP!I1767)</f>
        <v/>
      </c>
      <c r="J256" s="75">
        <f>IF($A256="","",MRP!J1767)</f>
        <v/>
      </c>
      <c r="K256" s="75">
        <f>IF($A256="","",MRP!K1767)</f>
        <v/>
      </c>
      <c r="L256" s="75">
        <f>IF($A256="","",MRP!L1767)</f>
        <v/>
      </c>
      <c r="M256" s="76">
        <f>IF($A256="","",SUM(E256:L256))</f>
        <v/>
      </c>
      <c r="N256" s="77">
        <f>IF(ISNUMBER(D256),M256*D256,"")</f>
        <v/>
      </c>
      <c r="O256" s="78">
        <f>MRP!M1767</f>
        <v/>
      </c>
    </row>
    <row r="257">
      <c r="A257" s="73">
        <f>IF(Materiales!$A$256="","",Materiales!$A$256)</f>
        <v/>
      </c>
      <c r="B257" s="60">
        <f>IF(Materiales!$B$256="","",Materiales!$B$256)</f>
        <v/>
      </c>
      <c r="C257" s="73">
        <f>IF(Materiales!$C$256="","",Materiales!$C$256)</f>
        <v/>
      </c>
      <c r="D257" s="74">
        <f>IF(Materiales!$D$256="","",Materiales!$D$256)</f>
        <v/>
      </c>
      <c r="E257" s="75">
        <f>IF($A257="","",MRP!E1774)</f>
        <v/>
      </c>
      <c r="F257" s="75">
        <f>IF($A257="","",MRP!F1774)</f>
        <v/>
      </c>
      <c r="G257" s="75">
        <f>IF($A257="","",MRP!G1774)</f>
        <v/>
      </c>
      <c r="H257" s="75">
        <f>IF($A257="","",MRP!H1774)</f>
        <v/>
      </c>
      <c r="I257" s="75">
        <f>IF($A257="","",MRP!I1774)</f>
        <v/>
      </c>
      <c r="J257" s="75">
        <f>IF($A257="","",MRP!J1774)</f>
        <v/>
      </c>
      <c r="K257" s="75">
        <f>IF($A257="","",MRP!K1774)</f>
        <v/>
      </c>
      <c r="L257" s="75">
        <f>IF($A257="","",MRP!L1774)</f>
        <v/>
      </c>
      <c r="M257" s="76">
        <f>IF($A257="","",SUM(E257:L257))</f>
        <v/>
      </c>
      <c r="N257" s="77">
        <f>IF(ISNUMBER(D257),M257*D257,"")</f>
        <v/>
      </c>
      <c r="O257" s="78">
        <f>MRP!M1774</f>
        <v/>
      </c>
    </row>
    <row r="258">
      <c r="A258" s="73">
        <f>IF(Materiales!$A$257="","",Materiales!$A$257)</f>
        <v/>
      </c>
      <c r="B258" s="60">
        <f>IF(Materiales!$B$257="","",Materiales!$B$257)</f>
        <v/>
      </c>
      <c r="C258" s="73">
        <f>IF(Materiales!$C$257="","",Materiales!$C$257)</f>
        <v/>
      </c>
      <c r="D258" s="74">
        <f>IF(Materiales!$D$257="","",Materiales!$D$257)</f>
        <v/>
      </c>
      <c r="E258" s="75">
        <f>IF($A258="","",MRP!E1781)</f>
        <v/>
      </c>
      <c r="F258" s="75">
        <f>IF($A258="","",MRP!F1781)</f>
        <v/>
      </c>
      <c r="G258" s="75">
        <f>IF($A258="","",MRP!G1781)</f>
        <v/>
      </c>
      <c r="H258" s="75">
        <f>IF($A258="","",MRP!H1781)</f>
        <v/>
      </c>
      <c r="I258" s="75">
        <f>IF($A258="","",MRP!I1781)</f>
        <v/>
      </c>
      <c r="J258" s="75">
        <f>IF($A258="","",MRP!J1781)</f>
        <v/>
      </c>
      <c r="K258" s="75">
        <f>IF($A258="","",MRP!K1781)</f>
        <v/>
      </c>
      <c r="L258" s="75">
        <f>IF($A258="","",MRP!L1781)</f>
        <v/>
      </c>
      <c r="M258" s="76">
        <f>IF($A258="","",SUM(E258:L258))</f>
        <v/>
      </c>
      <c r="N258" s="77">
        <f>IF(ISNUMBER(D258),M258*D258,"")</f>
        <v/>
      </c>
      <c r="O258" s="78">
        <f>MRP!M1781</f>
        <v/>
      </c>
    </row>
    <row r="259">
      <c r="A259" s="73">
        <f>IF(Materiales!$A$258="","",Materiales!$A$258)</f>
        <v/>
      </c>
      <c r="B259" s="60">
        <f>IF(Materiales!$B$258="","",Materiales!$B$258)</f>
        <v/>
      </c>
      <c r="C259" s="73">
        <f>IF(Materiales!$C$258="","",Materiales!$C$258)</f>
        <v/>
      </c>
      <c r="D259" s="74">
        <f>IF(Materiales!$D$258="","",Materiales!$D$258)</f>
        <v/>
      </c>
      <c r="E259" s="75">
        <f>IF($A259="","",MRP!E1788)</f>
        <v/>
      </c>
      <c r="F259" s="75">
        <f>IF($A259="","",MRP!F1788)</f>
        <v/>
      </c>
      <c r="G259" s="75">
        <f>IF($A259="","",MRP!G1788)</f>
        <v/>
      </c>
      <c r="H259" s="75">
        <f>IF($A259="","",MRP!H1788)</f>
        <v/>
      </c>
      <c r="I259" s="75">
        <f>IF($A259="","",MRP!I1788)</f>
        <v/>
      </c>
      <c r="J259" s="75">
        <f>IF($A259="","",MRP!J1788)</f>
        <v/>
      </c>
      <c r="K259" s="75">
        <f>IF($A259="","",MRP!K1788)</f>
        <v/>
      </c>
      <c r="L259" s="75">
        <f>IF($A259="","",MRP!L1788)</f>
        <v/>
      </c>
      <c r="M259" s="76">
        <f>IF($A259="","",SUM(E259:L259))</f>
        <v/>
      </c>
      <c r="N259" s="77">
        <f>IF(ISNUMBER(D259),M259*D259,"")</f>
        <v/>
      </c>
      <c r="O259" s="78">
        <f>MRP!M1788</f>
        <v/>
      </c>
    </row>
    <row r="260">
      <c r="A260" s="73">
        <f>IF(Materiales!$A$259="","",Materiales!$A$259)</f>
        <v/>
      </c>
      <c r="B260" s="60">
        <f>IF(Materiales!$B$259="","",Materiales!$B$259)</f>
        <v/>
      </c>
      <c r="C260" s="73">
        <f>IF(Materiales!$C$259="","",Materiales!$C$259)</f>
        <v/>
      </c>
      <c r="D260" s="74">
        <f>IF(Materiales!$D$259="","",Materiales!$D$259)</f>
        <v/>
      </c>
      <c r="E260" s="75">
        <f>IF($A260="","",MRP!E1795)</f>
        <v/>
      </c>
      <c r="F260" s="75">
        <f>IF($A260="","",MRP!F1795)</f>
        <v/>
      </c>
      <c r="G260" s="75">
        <f>IF($A260="","",MRP!G1795)</f>
        <v/>
      </c>
      <c r="H260" s="75">
        <f>IF($A260="","",MRP!H1795)</f>
        <v/>
      </c>
      <c r="I260" s="75">
        <f>IF($A260="","",MRP!I1795)</f>
        <v/>
      </c>
      <c r="J260" s="75">
        <f>IF($A260="","",MRP!J1795)</f>
        <v/>
      </c>
      <c r="K260" s="75">
        <f>IF($A260="","",MRP!K1795)</f>
        <v/>
      </c>
      <c r="L260" s="75">
        <f>IF($A260="","",MRP!L1795)</f>
        <v/>
      </c>
      <c r="M260" s="76">
        <f>IF($A260="","",SUM(E260:L260))</f>
        <v/>
      </c>
      <c r="N260" s="77">
        <f>IF(ISNUMBER(D260),M260*D260,"")</f>
        <v/>
      </c>
      <c r="O260" s="78">
        <f>MRP!M1795</f>
        <v/>
      </c>
    </row>
    <row r="261">
      <c r="A261" s="73">
        <f>IF(Materiales!$A$260="","",Materiales!$A$260)</f>
        <v/>
      </c>
      <c r="B261" s="60">
        <f>IF(Materiales!$B$260="","",Materiales!$B$260)</f>
        <v/>
      </c>
      <c r="C261" s="73">
        <f>IF(Materiales!$C$260="","",Materiales!$C$260)</f>
        <v/>
      </c>
      <c r="D261" s="74">
        <f>IF(Materiales!$D$260="","",Materiales!$D$260)</f>
        <v/>
      </c>
      <c r="E261" s="75">
        <f>IF($A261="","",MRP!E1802)</f>
        <v/>
      </c>
      <c r="F261" s="75">
        <f>IF($A261="","",MRP!F1802)</f>
        <v/>
      </c>
      <c r="G261" s="75">
        <f>IF($A261="","",MRP!G1802)</f>
        <v/>
      </c>
      <c r="H261" s="75">
        <f>IF($A261="","",MRP!H1802)</f>
        <v/>
      </c>
      <c r="I261" s="75">
        <f>IF($A261="","",MRP!I1802)</f>
        <v/>
      </c>
      <c r="J261" s="75">
        <f>IF($A261="","",MRP!J1802)</f>
        <v/>
      </c>
      <c r="K261" s="75">
        <f>IF($A261="","",MRP!K1802)</f>
        <v/>
      </c>
      <c r="L261" s="75">
        <f>IF($A261="","",MRP!L1802)</f>
        <v/>
      </c>
      <c r="M261" s="76">
        <f>IF($A261="","",SUM(E261:L261))</f>
        <v/>
      </c>
      <c r="N261" s="77">
        <f>IF(ISNUMBER(D261),M261*D261,"")</f>
        <v/>
      </c>
      <c r="O261" s="78">
        <f>MRP!M1802</f>
        <v/>
      </c>
    </row>
    <row r="262">
      <c r="A262" s="73">
        <f>IF(Materiales!$A$261="","",Materiales!$A$261)</f>
        <v/>
      </c>
      <c r="B262" s="60">
        <f>IF(Materiales!$B$261="","",Materiales!$B$261)</f>
        <v/>
      </c>
      <c r="C262" s="73">
        <f>IF(Materiales!$C$261="","",Materiales!$C$261)</f>
        <v/>
      </c>
      <c r="D262" s="74">
        <f>IF(Materiales!$D$261="","",Materiales!$D$261)</f>
        <v/>
      </c>
      <c r="E262" s="75">
        <f>IF($A262="","",MRP!E1809)</f>
        <v/>
      </c>
      <c r="F262" s="75">
        <f>IF($A262="","",MRP!F1809)</f>
        <v/>
      </c>
      <c r="G262" s="75">
        <f>IF($A262="","",MRP!G1809)</f>
        <v/>
      </c>
      <c r="H262" s="75">
        <f>IF($A262="","",MRP!H1809)</f>
        <v/>
      </c>
      <c r="I262" s="75">
        <f>IF($A262="","",MRP!I1809)</f>
        <v/>
      </c>
      <c r="J262" s="75">
        <f>IF($A262="","",MRP!J1809)</f>
        <v/>
      </c>
      <c r="K262" s="75">
        <f>IF($A262="","",MRP!K1809)</f>
        <v/>
      </c>
      <c r="L262" s="75">
        <f>IF($A262="","",MRP!L1809)</f>
        <v/>
      </c>
      <c r="M262" s="76">
        <f>IF($A262="","",SUM(E262:L262))</f>
        <v/>
      </c>
      <c r="N262" s="77">
        <f>IF(ISNUMBER(D262),M262*D262,"")</f>
        <v/>
      </c>
      <c r="O262" s="78">
        <f>MRP!M1809</f>
        <v/>
      </c>
    </row>
    <row r="263">
      <c r="A263" s="73">
        <f>IF(Materiales!$A$262="","",Materiales!$A$262)</f>
        <v/>
      </c>
      <c r="B263" s="60">
        <f>IF(Materiales!$B$262="","",Materiales!$B$262)</f>
        <v/>
      </c>
      <c r="C263" s="73">
        <f>IF(Materiales!$C$262="","",Materiales!$C$262)</f>
        <v/>
      </c>
      <c r="D263" s="74">
        <f>IF(Materiales!$D$262="","",Materiales!$D$262)</f>
        <v/>
      </c>
      <c r="E263" s="75">
        <f>IF($A263="","",MRP!E1816)</f>
        <v/>
      </c>
      <c r="F263" s="75">
        <f>IF($A263="","",MRP!F1816)</f>
        <v/>
      </c>
      <c r="G263" s="75">
        <f>IF($A263="","",MRP!G1816)</f>
        <v/>
      </c>
      <c r="H263" s="75">
        <f>IF($A263="","",MRP!H1816)</f>
        <v/>
      </c>
      <c r="I263" s="75">
        <f>IF($A263="","",MRP!I1816)</f>
        <v/>
      </c>
      <c r="J263" s="75">
        <f>IF($A263="","",MRP!J1816)</f>
        <v/>
      </c>
      <c r="K263" s="75">
        <f>IF($A263="","",MRP!K1816)</f>
        <v/>
      </c>
      <c r="L263" s="75">
        <f>IF($A263="","",MRP!L1816)</f>
        <v/>
      </c>
      <c r="M263" s="76">
        <f>IF($A263="","",SUM(E263:L263))</f>
        <v/>
      </c>
      <c r="N263" s="77">
        <f>IF(ISNUMBER(D263),M263*D263,"")</f>
        <v/>
      </c>
      <c r="O263" s="78">
        <f>MRP!M1816</f>
        <v/>
      </c>
    </row>
    <row r="264">
      <c r="A264" s="73">
        <f>IF(Materiales!$A$263="","",Materiales!$A$263)</f>
        <v/>
      </c>
      <c r="B264" s="60">
        <f>IF(Materiales!$B$263="","",Materiales!$B$263)</f>
        <v/>
      </c>
      <c r="C264" s="73">
        <f>IF(Materiales!$C$263="","",Materiales!$C$263)</f>
        <v/>
      </c>
      <c r="D264" s="74">
        <f>IF(Materiales!$D$263="","",Materiales!$D$263)</f>
        <v/>
      </c>
      <c r="E264" s="75">
        <f>IF($A264="","",MRP!E1823)</f>
        <v/>
      </c>
      <c r="F264" s="75">
        <f>IF($A264="","",MRP!F1823)</f>
        <v/>
      </c>
      <c r="G264" s="75">
        <f>IF($A264="","",MRP!G1823)</f>
        <v/>
      </c>
      <c r="H264" s="75">
        <f>IF($A264="","",MRP!H1823)</f>
        <v/>
      </c>
      <c r="I264" s="75">
        <f>IF($A264="","",MRP!I1823)</f>
        <v/>
      </c>
      <c r="J264" s="75">
        <f>IF($A264="","",MRP!J1823)</f>
        <v/>
      </c>
      <c r="K264" s="75">
        <f>IF($A264="","",MRP!K1823)</f>
        <v/>
      </c>
      <c r="L264" s="75">
        <f>IF($A264="","",MRP!L1823)</f>
        <v/>
      </c>
      <c r="M264" s="76">
        <f>IF($A264="","",SUM(E264:L264))</f>
        <v/>
      </c>
      <c r="N264" s="77">
        <f>IF(ISNUMBER(D264),M264*D264,"")</f>
        <v/>
      </c>
      <c r="O264" s="78">
        <f>MRP!M1823</f>
        <v/>
      </c>
    </row>
    <row r="265">
      <c r="A265" s="73">
        <f>IF(Materiales!$A$264="","",Materiales!$A$264)</f>
        <v/>
      </c>
      <c r="B265" s="60">
        <f>IF(Materiales!$B$264="","",Materiales!$B$264)</f>
        <v/>
      </c>
      <c r="C265" s="73">
        <f>IF(Materiales!$C$264="","",Materiales!$C$264)</f>
        <v/>
      </c>
      <c r="D265" s="74">
        <f>IF(Materiales!$D$264="","",Materiales!$D$264)</f>
        <v/>
      </c>
      <c r="E265" s="75">
        <f>IF($A265="","",MRP!E1830)</f>
        <v/>
      </c>
      <c r="F265" s="75">
        <f>IF($A265="","",MRP!F1830)</f>
        <v/>
      </c>
      <c r="G265" s="75">
        <f>IF($A265="","",MRP!G1830)</f>
        <v/>
      </c>
      <c r="H265" s="75">
        <f>IF($A265="","",MRP!H1830)</f>
        <v/>
      </c>
      <c r="I265" s="75">
        <f>IF($A265="","",MRP!I1830)</f>
        <v/>
      </c>
      <c r="J265" s="75">
        <f>IF($A265="","",MRP!J1830)</f>
        <v/>
      </c>
      <c r="K265" s="75">
        <f>IF($A265="","",MRP!K1830)</f>
        <v/>
      </c>
      <c r="L265" s="75">
        <f>IF($A265="","",MRP!L1830)</f>
        <v/>
      </c>
      <c r="M265" s="76">
        <f>IF($A265="","",SUM(E265:L265))</f>
        <v/>
      </c>
      <c r="N265" s="77">
        <f>IF(ISNUMBER(D265),M265*D265,"")</f>
        <v/>
      </c>
      <c r="O265" s="78">
        <f>MRP!M1830</f>
        <v/>
      </c>
    </row>
    <row r="266">
      <c r="A266" s="73">
        <f>IF(Materiales!$A$265="","",Materiales!$A$265)</f>
        <v/>
      </c>
      <c r="B266" s="60">
        <f>IF(Materiales!$B$265="","",Materiales!$B$265)</f>
        <v/>
      </c>
      <c r="C266" s="73">
        <f>IF(Materiales!$C$265="","",Materiales!$C$265)</f>
        <v/>
      </c>
      <c r="D266" s="74">
        <f>IF(Materiales!$D$265="","",Materiales!$D$265)</f>
        <v/>
      </c>
      <c r="E266" s="75">
        <f>IF($A266="","",MRP!E1837)</f>
        <v/>
      </c>
      <c r="F266" s="75">
        <f>IF($A266="","",MRP!F1837)</f>
        <v/>
      </c>
      <c r="G266" s="75">
        <f>IF($A266="","",MRP!G1837)</f>
        <v/>
      </c>
      <c r="H266" s="75">
        <f>IF($A266="","",MRP!H1837)</f>
        <v/>
      </c>
      <c r="I266" s="75">
        <f>IF($A266="","",MRP!I1837)</f>
        <v/>
      </c>
      <c r="J266" s="75">
        <f>IF($A266="","",MRP!J1837)</f>
        <v/>
      </c>
      <c r="K266" s="75">
        <f>IF($A266="","",MRP!K1837)</f>
        <v/>
      </c>
      <c r="L266" s="75">
        <f>IF($A266="","",MRP!L1837)</f>
        <v/>
      </c>
      <c r="M266" s="76">
        <f>IF($A266="","",SUM(E266:L266))</f>
        <v/>
      </c>
      <c r="N266" s="77">
        <f>IF(ISNUMBER(D266),M266*D266,"")</f>
        <v/>
      </c>
      <c r="O266" s="78">
        <f>MRP!M1837</f>
        <v/>
      </c>
    </row>
    <row r="267">
      <c r="A267" s="73">
        <f>IF(Materiales!$A$266="","",Materiales!$A$266)</f>
        <v/>
      </c>
      <c r="B267" s="60">
        <f>IF(Materiales!$B$266="","",Materiales!$B$266)</f>
        <v/>
      </c>
      <c r="C267" s="73">
        <f>IF(Materiales!$C$266="","",Materiales!$C$266)</f>
        <v/>
      </c>
      <c r="D267" s="74">
        <f>IF(Materiales!$D$266="","",Materiales!$D$266)</f>
        <v/>
      </c>
      <c r="E267" s="75">
        <f>IF($A267="","",MRP!E1844)</f>
        <v/>
      </c>
      <c r="F267" s="75">
        <f>IF($A267="","",MRP!F1844)</f>
        <v/>
      </c>
      <c r="G267" s="75">
        <f>IF($A267="","",MRP!G1844)</f>
        <v/>
      </c>
      <c r="H267" s="75">
        <f>IF($A267="","",MRP!H1844)</f>
        <v/>
      </c>
      <c r="I267" s="75">
        <f>IF($A267="","",MRP!I1844)</f>
        <v/>
      </c>
      <c r="J267" s="75">
        <f>IF($A267="","",MRP!J1844)</f>
        <v/>
      </c>
      <c r="K267" s="75">
        <f>IF($A267="","",MRP!K1844)</f>
        <v/>
      </c>
      <c r="L267" s="75">
        <f>IF($A267="","",MRP!L1844)</f>
        <v/>
      </c>
      <c r="M267" s="76">
        <f>IF($A267="","",SUM(E267:L267))</f>
        <v/>
      </c>
      <c r="N267" s="77">
        <f>IF(ISNUMBER(D267),M267*D267,"")</f>
        <v/>
      </c>
      <c r="O267" s="78">
        <f>MRP!M1844</f>
        <v/>
      </c>
    </row>
    <row r="268">
      <c r="A268" s="73">
        <f>IF(Materiales!$A$267="","",Materiales!$A$267)</f>
        <v/>
      </c>
      <c r="B268" s="60">
        <f>IF(Materiales!$B$267="","",Materiales!$B$267)</f>
        <v/>
      </c>
      <c r="C268" s="73">
        <f>IF(Materiales!$C$267="","",Materiales!$C$267)</f>
        <v/>
      </c>
      <c r="D268" s="74">
        <f>IF(Materiales!$D$267="","",Materiales!$D$267)</f>
        <v/>
      </c>
      <c r="E268" s="75">
        <f>IF($A268="","",MRP!E1851)</f>
        <v/>
      </c>
      <c r="F268" s="75">
        <f>IF($A268="","",MRP!F1851)</f>
        <v/>
      </c>
      <c r="G268" s="75">
        <f>IF($A268="","",MRP!G1851)</f>
        <v/>
      </c>
      <c r="H268" s="75">
        <f>IF($A268="","",MRP!H1851)</f>
        <v/>
      </c>
      <c r="I268" s="75">
        <f>IF($A268="","",MRP!I1851)</f>
        <v/>
      </c>
      <c r="J268" s="75">
        <f>IF($A268="","",MRP!J1851)</f>
        <v/>
      </c>
      <c r="K268" s="75">
        <f>IF($A268="","",MRP!K1851)</f>
        <v/>
      </c>
      <c r="L268" s="75">
        <f>IF($A268="","",MRP!L1851)</f>
        <v/>
      </c>
      <c r="M268" s="76">
        <f>IF($A268="","",SUM(E268:L268))</f>
        <v/>
      </c>
      <c r="N268" s="77">
        <f>IF(ISNUMBER(D268),M268*D268,"")</f>
        <v/>
      </c>
      <c r="O268" s="78">
        <f>MRP!M1851</f>
        <v/>
      </c>
    </row>
    <row r="269">
      <c r="A269" s="73">
        <f>IF(Materiales!$A$268="","",Materiales!$A$268)</f>
        <v/>
      </c>
      <c r="B269" s="60">
        <f>IF(Materiales!$B$268="","",Materiales!$B$268)</f>
        <v/>
      </c>
      <c r="C269" s="73">
        <f>IF(Materiales!$C$268="","",Materiales!$C$268)</f>
        <v/>
      </c>
      <c r="D269" s="74">
        <f>IF(Materiales!$D$268="","",Materiales!$D$268)</f>
        <v/>
      </c>
      <c r="E269" s="75">
        <f>IF($A269="","",MRP!E1858)</f>
        <v/>
      </c>
      <c r="F269" s="75">
        <f>IF($A269="","",MRP!F1858)</f>
        <v/>
      </c>
      <c r="G269" s="75">
        <f>IF($A269="","",MRP!G1858)</f>
        <v/>
      </c>
      <c r="H269" s="75">
        <f>IF($A269="","",MRP!H1858)</f>
        <v/>
      </c>
      <c r="I269" s="75">
        <f>IF($A269="","",MRP!I1858)</f>
        <v/>
      </c>
      <c r="J269" s="75">
        <f>IF($A269="","",MRP!J1858)</f>
        <v/>
      </c>
      <c r="K269" s="75">
        <f>IF($A269="","",MRP!K1858)</f>
        <v/>
      </c>
      <c r="L269" s="75">
        <f>IF($A269="","",MRP!L1858)</f>
        <v/>
      </c>
      <c r="M269" s="76">
        <f>IF($A269="","",SUM(E269:L269))</f>
        <v/>
      </c>
      <c r="N269" s="77">
        <f>IF(ISNUMBER(D269),M269*D269,"")</f>
        <v/>
      </c>
      <c r="O269" s="78">
        <f>MRP!M1858</f>
        <v/>
      </c>
    </row>
    <row r="270">
      <c r="A270" s="73">
        <f>IF(Materiales!$A$269="","",Materiales!$A$269)</f>
        <v/>
      </c>
      <c r="B270" s="60">
        <f>IF(Materiales!$B$269="","",Materiales!$B$269)</f>
        <v/>
      </c>
      <c r="C270" s="73">
        <f>IF(Materiales!$C$269="","",Materiales!$C$269)</f>
        <v/>
      </c>
      <c r="D270" s="74">
        <f>IF(Materiales!$D$269="","",Materiales!$D$269)</f>
        <v/>
      </c>
      <c r="E270" s="75">
        <f>IF($A270="","",MRP!E1865)</f>
        <v/>
      </c>
      <c r="F270" s="75">
        <f>IF($A270="","",MRP!F1865)</f>
        <v/>
      </c>
      <c r="G270" s="75">
        <f>IF($A270="","",MRP!G1865)</f>
        <v/>
      </c>
      <c r="H270" s="75">
        <f>IF($A270="","",MRP!H1865)</f>
        <v/>
      </c>
      <c r="I270" s="75">
        <f>IF($A270="","",MRP!I1865)</f>
        <v/>
      </c>
      <c r="J270" s="75">
        <f>IF($A270="","",MRP!J1865)</f>
        <v/>
      </c>
      <c r="K270" s="75">
        <f>IF($A270="","",MRP!K1865)</f>
        <v/>
      </c>
      <c r="L270" s="75">
        <f>IF($A270="","",MRP!L1865)</f>
        <v/>
      </c>
      <c r="M270" s="76">
        <f>IF($A270="","",SUM(E270:L270))</f>
        <v/>
      </c>
      <c r="N270" s="77">
        <f>IF(ISNUMBER(D270),M270*D270,"")</f>
        <v/>
      </c>
      <c r="O270" s="78">
        <f>MRP!M1865</f>
        <v/>
      </c>
    </row>
    <row r="271">
      <c r="A271" s="73">
        <f>IF(Materiales!$A$270="","",Materiales!$A$270)</f>
        <v/>
      </c>
      <c r="B271" s="60">
        <f>IF(Materiales!$B$270="","",Materiales!$B$270)</f>
        <v/>
      </c>
      <c r="C271" s="73">
        <f>IF(Materiales!$C$270="","",Materiales!$C$270)</f>
        <v/>
      </c>
      <c r="D271" s="74">
        <f>IF(Materiales!$D$270="","",Materiales!$D$270)</f>
        <v/>
      </c>
      <c r="E271" s="75">
        <f>IF($A271="","",MRP!E1872)</f>
        <v/>
      </c>
      <c r="F271" s="75">
        <f>IF($A271="","",MRP!F1872)</f>
        <v/>
      </c>
      <c r="G271" s="75">
        <f>IF($A271="","",MRP!G1872)</f>
        <v/>
      </c>
      <c r="H271" s="75">
        <f>IF($A271="","",MRP!H1872)</f>
        <v/>
      </c>
      <c r="I271" s="75">
        <f>IF($A271="","",MRP!I1872)</f>
        <v/>
      </c>
      <c r="J271" s="75">
        <f>IF($A271="","",MRP!J1872)</f>
        <v/>
      </c>
      <c r="K271" s="75">
        <f>IF($A271="","",MRP!K1872)</f>
        <v/>
      </c>
      <c r="L271" s="75">
        <f>IF($A271="","",MRP!L1872)</f>
        <v/>
      </c>
      <c r="M271" s="76">
        <f>IF($A271="","",SUM(E271:L271))</f>
        <v/>
      </c>
      <c r="N271" s="77">
        <f>IF(ISNUMBER(D271),M271*D271,"")</f>
        <v/>
      </c>
      <c r="O271" s="78">
        <f>MRP!M1872</f>
        <v/>
      </c>
    </row>
    <row r="272">
      <c r="A272" s="73">
        <f>IF(Materiales!$A$271="","",Materiales!$A$271)</f>
        <v/>
      </c>
      <c r="B272" s="60">
        <f>IF(Materiales!$B$271="","",Materiales!$B$271)</f>
        <v/>
      </c>
      <c r="C272" s="73">
        <f>IF(Materiales!$C$271="","",Materiales!$C$271)</f>
        <v/>
      </c>
      <c r="D272" s="74">
        <f>IF(Materiales!$D$271="","",Materiales!$D$271)</f>
        <v/>
      </c>
      <c r="E272" s="75">
        <f>IF($A272="","",MRP!E1879)</f>
        <v/>
      </c>
      <c r="F272" s="75">
        <f>IF($A272="","",MRP!F1879)</f>
        <v/>
      </c>
      <c r="G272" s="75">
        <f>IF($A272="","",MRP!G1879)</f>
        <v/>
      </c>
      <c r="H272" s="75">
        <f>IF($A272="","",MRP!H1879)</f>
        <v/>
      </c>
      <c r="I272" s="75">
        <f>IF($A272="","",MRP!I1879)</f>
        <v/>
      </c>
      <c r="J272" s="75">
        <f>IF($A272="","",MRP!J1879)</f>
        <v/>
      </c>
      <c r="K272" s="75">
        <f>IF($A272="","",MRP!K1879)</f>
        <v/>
      </c>
      <c r="L272" s="75">
        <f>IF($A272="","",MRP!L1879)</f>
        <v/>
      </c>
      <c r="M272" s="76">
        <f>IF($A272="","",SUM(E272:L272))</f>
        <v/>
      </c>
      <c r="N272" s="77">
        <f>IF(ISNUMBER(D272),M272*D272,"")</f>
        <v/>
      </c>
      <c r="O272" s="78">
        <f>MRP!M1879</f>
        <v/>
      </c>
    </row>
    <row r="273">
      <c r="A273" s="73">
        <f>IF(Materiales!$A$272="","",Materiales!$A$272)</f>
        <v/>
      </c>
      <c r="B273" s="60">
        <f>IF(Materiales!$B$272="","",Materiales!$B$272)</f>
        <v/>
      </c>
      <c r="C273" s="73">
        <f>IF(Materiales!$C$272="","",Materiales!$C$272)</f>
        <v/>
      </c>
      <c r="D273" s="74">
        <f>IF(Materiales!$D$272="","",Materiales!$D$272)</f>
        <v/>
      </c>
      <c r="E273" s="75">
        <f>IF($A273="","",MRP!E1886)</f>
        <v/>
      </c>
      <c r="F273" s="75">
        <f>IF($A273="","",MRP!F1886)</f>
        <v/>
      </c>
      <c r="G273" s="75">
        <f>IF($A273="","",MRP!G1886)</f>
        <v/>
      </c>
      <c r="H273" s="75">
        <f>IF($A273="","",MRP!H1886)</f>
        <v/>
      </c>
      <c r="I273" s="75">
        <f>IF($A273="","",MRP!I1886)</f>
        <v/>
      </c>
      <c r="J273" s="75">
        <f>IF($A273="","",MRP!J1886)</f>
        <v/>
      </c>
      <c r="K273" s="75">
        <f>IF($A273="","",MRP!K1886)</f>
        <v/>
      </c>
      <c r="L273" s="75">
        <f>IF($A273="","",MRP!L1886)</f>
        <v/>
      </c>
      <c r="M273" s="76">
        <f>IF($A273="","",SUM(E273:L273))</f>
        <v/>
      </c>
      <c r="N273" s="77">
        <f>IF(ISNUMBER(D273),M273*D273,"")</f>
        <v/>
      </c>
      <c r="O273" s="78">
        <f>MRP!M1886</f>
        <v/>
      </c>
    </row>
    <row r="274">
      <c r="A274" s="73">
        <f>IF(Materiales!$A$273="","",Materiales!$A$273)</f>
        <v/>
      </c>
      <c r="B274" s="60">
        <f>IF(Materiales!$B$273="","",Materiales!$B$273)</f>
        <v/>
      </c>
      <c r="C274" s="73">
        <f>IF(Materiales!$C$273="","",Materiales!$C$273)</f>
        <v/>
      </c>
      <c r="D274" s="74">
        <f>IF(Materiales!$D$273="","",Materiales!$D$273)</f>
        <v/>
      </c>
      <c r="E274" s="75">
        <f>IF($A274="","",MRP!E1893)</f>
        <v/>
      </c>
      <c r="F274" s="75">
        <f>IF($A274="","",MRP!F1893)</f>
        <v/>
      </c>
      <c r="G274" s="75">
        <f>IF($A274="","",MRP!G1893)</f>
        <v/>
      </c>
      <c r="H274" s="75">
        <f>IF($A274="","",MRP!H1893)</f>
        <v/>
      </c>
      <c r="I274" s="75">
        <f>IF($A274="","",MRP!I1893)</f>
        <v/>
      </c>
      <c r="J274" s="75">
        <f>IF($A274="","",MRP!J1893)</f>
        <v/>
      </c>
      <c r="K274" s="75">
        <f>IF($A274="","",MRP!K1893)</f>
        <v/>
      </c>
      <c r="L274" s="75">
        <f>IF($A274="","",MRP!L1893)</f>
        <v/>
      </c>
      <c r="M274" s="76">
        <f>IF($A274="","",SUM(E274:L274))</f>
        <v/>
      </c>
      <c r="N274" s="77">
        <f>IF(ISNUMBER(D274),M274*D274,"")</f>
        <v/>
      </c>
      <c r="O274" s="78">
        <f>MRP!M1893</f>
        <v/>
      </c>
    </row>
    <row r="275">
      <c r="A275" s="73">
        <f>IF(Materiales!$A$274="","",Materiales!$A$274)</f>
        <v/>
      </c>
      <c r="B275" s="60">
        <f>IF(Materiales!$B$274="","",Materiales!$B$274)</f>
        <v/>
      </c>
      <c r="C275" s="73">
        <f>IF(Materiales!$C$274="","",Materiales!$C$274)</f>
        <v/>
      </c>
      <c r="D275" s="74">
        <f>IF(Materiales!$D$274="","",Materiales!$D$274)</f>
        <v/>
      </c>
      <c r="E275" s="75">
        <f>IF($A275="","",MRP!E1900)</f>
        <v/>
      </c>
      <c r="F275" s="75">
        <f>IF($A275="","",MRP!F1900)</f>
        <v/>
      </c>
      <c r="G275" s="75">
        <f>IF($A275="","",MRP!G1900)</f>
        <v/>
      </c>
      <c r="H275" s="75">
        <f>IF($A275="","",MRP!H1900)</f>
        <v/>
      </c>
      <c r="I275" s="75">
        <f>IF($A275="","",MRP!I1900)</f>
        <v/>
      </c>
      <c r="J275" s="75">
        <f>IF($A275="","",MRP!J1900)</f>
        <v/>
      </c>
      <c r="K275" s="75">
        <f>IF($A275="","",MRP!K1900)</f>
        <v/>
      </c>
      <c r="L275" s="75">
        <f>IF($A275="","",MRP!L1900)</f>
        <v/>
      </c>
      <c r="M275" s="76">
        <f>IF($A275="","",SUM(E275:L275))</f>
        <v/>
      </c>
      <c r="N275" s="77">
        <f>IF(ISNUMBER(D275),M275*D275,"")</f>
        <v/>
      </c>
      <c r="O275" s="78">
        <f>MRP!M1900</f>
        <v/>
      </c>
    </row>
    <row r="276">
      <c r="A276" s="73">
        <f>IF(Materiales!$A$275="","",Materiales!$A$275)</f>
        <v/>
      </c>
      <c r="B276" s="60">
        <f>IF(Materiales!$B$275="","",Materiales!$B$275)</f>
        <v/>
      </c>
      <c r="C276" s="73">
        <f>IF(Materiales!$C$275="","",Materiales!$C$275)</f>
        <v/>
      </c>
      <c r="D276" s="74">
        <f>IF(Materiales!$D$275="","",Materiales!$D$275)</f>
        <v/>
      </c>
      <c r="E276" s="75">
        <f>IF($A276="","",MRP!E1907)</f>
        <v/>
      </c>
      <c r="F276" s="75">
        <f>IF($A276="","",MRP!F1907)</f>
        <v/>
      </c>
      <c r="G276" s="75">
        <f>IF($A276="","",MRP!G1907)</f>
        <v/>
      </c>
      <c r="H276" s="75">
        <f>IF($A276="","",MRP!H1907)</f>
        <v/>
      </c>
      <c r="I276" s="75">
        <f>IF($A276="","",MRP!I1907)</f>
        <v/>
      </c>
      <c r="J276" s="75">
        <f>IF($A276="","",MRP!J1907)</f>
        <v/>
      </c>
      <c r="K276" s="75">
        <f>IF($A276="","",MRP!K1907)</f>
        <v/>
      </c>
      <c r="L276" s="75">
        <f>IF($A276="","",MRP!L1907)</f>
        <v/>
      </c>
      <c r="M276" s="76">
        <f>IF($A276="","",SUM(E276:L276))</f>
        <v/>
      </c>
      <c r="N276" s="77">
        <f>IF(ISNUMBER(D276),M276*D276,"")</f>
        <v/>
      </c>
      <c r="O276" s="78">
        <f>MRP!M1907</f>
        <v/>
      </c>
    </row>
    <row r="277">
      <c r="A277" s="73">
        <f>IF(Materiales!$A$276="","",Materiales!$A$276)</f>
        <v/>
      </c>
      <c r="B277" s="60">
        <f>IF(Materiales!$B$276="","",Materiales!$B$276)</f>
        <v/>
      </c>
      <c r="C277" s="73">
        <f>IF(Materiales!$C$276="","",Materiales!$C$276)</f>
        <v/>
      </c>
      <c r="D277" s="74">
        <f>IF(Materiales!$D$276="","",Materiales!$D$276)</f>
        <v/>
      </c>
      <c r="E277" s="75">
        <f>IF($A277="","",MRP!E1914)</f>
        <v/>
      </c>
      <c r="F277" s="75">
        <f>IF($A277="","",MRP!F1914)</f>
        <v/>
      </c>
      <c r="G277" s="75">
        <f>IF($A277="","",MRP!G1914)</f>
        <v/>
      </c>
      <c r="H277" s="75">
        <f>IF($A277="","",MRP!H1914)</f>
        <v/>
      </c>
      <c r="I277" s="75">
        <f>IF($A277="","",MRP!I1914)</f>
        <v/>
      </c>
      <c r="J277" s="75">
        <f>IF($A277="","",MRP!J1914)</f>
        <v/>
      </c>
      <c r="K277" s="75">
        <f>IF($A277="","",MRP!K1914)</f>
        <v/>
      </c>
      <c r="L277" s="75">
        <f>IF($A277="","",MRP!L1914)</f>
        <v/>
      </c>
      <c r="M277" s="76">
        <f>IF($A277="","",SUM(E277:L277))</f>
        <v/>
      </c>
      <c r="N277" s="77">
        <f>IF(ISNUMBER(D277),M277*D277,"")</f>
        <v/>
      </c>
      <c r="O277" s="78">
        <f>MRP!M1914</f>
        <v/>
      </c>
    </row>
    <row r="278">
      <c r="A278" s="73">
        <f>IF(Materiales!$A$277="","",Materiales!$A$277)</f>
        <v/>
      </c>
      <c r="B278" s="60">
        <f>IF(Materiales!$B$277="","",Materiales!$B$277)</f>
        <v/>
      </c>
      <c r="C278" s="73">
        <f>IF(Materiales!$C$277="","",Materiales!$C$277)</f>
        <v/>
      </c>
      <c r="D278" s="74">
        <f>IF(Materiales!$D$277="","",Materiales!$D$277)</f>
        <v/>
      </c>
      <c r="E278" s="75">
        <f>IF($A278="","",MRP!E1921)</f>
        <v/>
      </c>
      <c r="F278" s="75">
        <f>IF($A278="","",MRP!F1921)</f>
        <v/>
      </c>
      <c r="G278" s="75">
        <f>IF($A278="","",MRP!G1921)</f>
        <v/>
      </c>
      <c r="H278" s="75">
        <f>IF($A278="","",MRP!H1921)</f>
        <v/>
      </c>
      <c r="I278" s="75">
        <f>IF($A278="","",MRP!I1921)</f>
        <v/>
      </c>
      <c r="J278" s="75">
        <f>IF($A278="","",MRP!J1921)</f>
        <v/>
      </c>
      <c r="K278" s="75">
        <f>IF($A278="","",MRP!K1921)</f>
        <v/>
      </c>
      <c r="L278" s="75">
        <f>IF($A278="","",MRP!L1921)</f>
        <v/>
      </c>
      <c r="M278" s="76">
        <f>IF($A278="","",SUM(E278:L278))</f>
        <v/>
      </c>
      <c r="N278" s="77">
        <f>IF(ISNUMBER(D278),M278*D278,"")</f>
        <v/>
      </c>
      <c r="O278" s="78">
        <f>MRP!M1921</f>
        <v/>
      </c>
    </row>
    <row r="279">
      <c r="A279" s="73">
        <f>IF(Materiales!$A$278="","",Materiales!$A$278)</f>
        <v/>
      </c>
      <c r="B279" s="60">
        <f>IF(Materiales!$B$278="","",Materiales!$B$278)</f>
        <v/>
      </c>
      <c r="C279" s="73">
        <f>IF(Materiales!$C$278="","",Materiales!$C$278)</f>
        <v/>
      </c>
      <c r="D279" s="74">
        <f>IF(Materiales!$D$278="","",Materiales!$D$278)</f>
        <v/>
      </c>
      <c r="E279" s="75">
        <f>IF($A279="","",MRP!E1928)</f>
        <v/>
      </c>
      <c r="F279" s="75">
        <f>IF($A279="","",MRP!F1928)</f>
        <v/>
      </c>
      <c r="G279" s="75">
        <f>IF($A279="","",MRP!G1928)</f>
        <v/>
      </c>
      <c r="H279" s="75">
        <f>IF($A279="","",MRP!H1928)</f>
        <v/>
      </c>
      <c r="I279" s="75">
        <f>IF($A279="","",MRP!I1928)</f>
        <v/>
      </c>
      <c r="J279" s="75">
        <f>IF($A279="","",MRP!J1928)</f>
        <v/>
      </c>
      <c r="K279" s="75">
        <f>IF($A279="","",MRP!K1928)</f>
        <v/>
      </c>
      <c r="L279" s="75">
        <f>IF($A279="","",MRP!L1928)</f>
        <v/>
      </c>
      <c r="M279" s="76">
        <f>IF($A279="","",SUM(E279:L279))</f>
        <v/>
      </c>
      <c r="N279" s="77">
        <f>IF(ISNUMBER(D279),M279*D279,"")</f>
        <v/>
      </c>
      <c r="O279" s="78">
        <f>MRP!M1928</f>
        <v/>
      </c>
    </row>
    <row r="280">
      <c r="A280" s="73">
        <f>IF(Materiales!$A$279="","",Materiales!$A$279)</f>
        <v/>
      </c>
      <c r="B280" s="60">
        <f>IF(Materiales!$B$279="","",Materiales!$B$279)</f>
        <v/>
      </c>
      <c r="C280" s="73">
        <f>IF(Materiales!$C$279="","",Materiales!$C$279)</f>
        <v/>
      </c>
      <c r="D280" s="74">
        <f>IF(Materiales!$D$279="","",Materiales!$D$279)</f>
        <v/>
      </c>
      <c r="E280" s="75">
        <f>IF($A280="","",MRP!E1935)</f>
        <v/>
      </c>
      <c r="F280" s="75">
        <f>IF($A280="","",MRP!F1935)</f>
        <v/>
      </c>
      <c r="G280" s="75">
        <f>IF($A280="","",MRP!G1935)</f>
        <v/>
      </c>
      <c r="H280" s="75">
        <f>IF($A280="","",MRP!H1935)</f>
        <v/>
      </c>
      <c r="I280" s="75">
        <f>IF($A280="","",MRP!I1935)</f>
        <v/>
      </c>
      <c r="J280" s="75">
        <f>IF($A280="","",MRP!J1935)</f>
        <v/>
      </c>
      <c r="K280" s="75">
        <f>IF($A280="","",MRP!K1935)</f>
        <v/>
      </c>
      <c r="L280" s="75">
        <f>IF($A280="","",MRP!L1935)</f>
        <v/>
      </c>
      <c r="M280" s="76">
        <f>IF($A280="","",SUM(E280:L280))</f>
        <v/>
      </c>
      <c r="N280" s="77">
        <f>IF(ISNUMBER(D280),M280*D280,"")</f>
        <v/>
      </c>
      <c r="O280" s="78">
        <f>MRP!M1935</f>
        <v/>
      </c>
    </row>
    <row r="281">
      <c r="A281" s="73">
        <f>IF(Materiales!$A$280="","",Materiales!$A$280)</f>
        <v/>
      </c>
      <c r="B281" s="60">
        <f>IF(Materiales!$B$280="","",Materiales!$B$280)</f>
        <v/>
      </c>
      <c r="C281" s="73">
        <f>IF(Materiales!$C$280="","",Materiales!$C$280)</f>
        <v/>
      </c>
      <c r="D281" s="74">
        <f>IF(Materiales!$D$280="","",Materiales!$D$280)</f>
        <v/>
      </c>
      <c r="E281" s="75">
        <f>IF($A281="","",MRP!E1942)</f>
        <v/>
      </c>
      <c r="F281" s="75">
        <f>IF($A281="","",MRP!F1942)</f>
        <v/>
      </c>
      <c r="G281" s="75">
        <f>IF($A281="","",MRP!G1942)</f>
        <v/>
      </c>
      <c r="H281" s="75">
        <f>IF($A281="","",MRP!H1942)</f>
        <v/>
      </c>
      <c r="I281" s="75">
        <f>IF($A281="","",MRP!I1942)</f>
        <v/>
      </c>
      <c r="J281" s="75">
        <f>IF($A281="","",MRP!J1942)</f>
        <v/>
      </c>
      <c r="K281" s="75">
        <f>IF($A281="","",MRP!K1942)</f>
        <v/>
      </c>
      <c r="L281" s="75">
        <f>IF($A281="","",MRP!L1942)</f>
        <v/>
      </c>
      <c r="M281" s="76">
        <f>IF($A281="","",SUM(E281:L281))</f>
        <v/>
      </c>
      <c r="N281" s="77">
        <f>IF(ISNUMBER(D281),M281*D281,"")</f>
        <v/>
      </c>
      <c r="O281" s="78">
        <f>MRP!M1942</f>
        <v/>
      </c>
    </row>
    <row r="282">
      <c r="A282" s="73">
        <f>IF(Materiales!$A$281="","",Materiales!$A$281)</f>
        <v/>
      </c>
      <c r="B282" s="60">
        <f>IF(Materiales!$B$281="","",Materiales!$B$281)</f>
        <v/>
      </c>
      <c r="C282" s="73">
        <f>IF(Materiales!$C$281="","",Materiales!$C$281)</f>
        <v/>
      </c>
      <c r="D282" s="74">
        <f>IF(Materiales!$D$281="","",Materiales!$D$281)</f>
        <v/>
      </c>
      <c r="E282" s="75">
        <f>IF($A282="","",MRP!E1949)</f>
        <v/>
      </c>
      <c r="F282" s="75">
        <f>IF($A282="","",MRP!F1949)</f>
        <v/>
      </c>
      <c r="G282" s="75">
        <f>IF($A282="","",MRP!G1949)</f>
        <v/>
      </c>
      <c r="H282" s="75">
        <f>IF($A282="","",MRP!H1949)</f>
        <v/>
      </c>
      <c r="I282" s="75">
        <f>IF($A282="","",MRP!I1949)</f>
        <v/>
      </c>
      <c r="J282" s="75">
        <f>IF($A282="","",MRP!J1949)</f>
        <v/>
      </c>
      <c r="K282" s="75">
        <f>IF($A282="","",MRP!K1949)</f>
        <v/>
      </c>
      <c r="L282" s="75">
        <f>IF($A282="","",MRP!L1949)</f>
        <v/>
      </c>
      <c r="M282" s="76">
        <f>IF($A282="","",SUM(E282:L282))</f>
        <v/>
      </c>
      <c r="N282" s="77">
        <f>IF(ISNUMBER(D282),M282*D282,"")</f>
        <v/>
      </c>
      <c r="O282" s="78">
        <f>MRP!M1949</f>
        <v/>
      </c>
    </row>
    <row r="283">
      <c r="A283" s="73">
        <f>IF(Materiales!$A$282="","",Materiales!$A$282)</f>
        <v/>
      </c>
      <c r="B283" s="60">
        <f>IF(Materiales!$B$282="","",Materiales!$B$282)</f>
        <v/>
      </c>
      <c r="C283" s="73">
        <f>IF(Materiales!$C$282="","",Materiales!$C$282)</f>
        <v/>
      </c>
      <c r="D283" s="74">
        <f>IF(Materiales!$D$282="","",Materiales!$D$282)</f>
        <v/>
      </c>
      <c r="E283" s="75">
        <f>IF($A283="","",MRP!E1956)</f>
        <v/>
      </c>
      <c r="F283" s="75">
        <f>IF($A283="","",MRP!F1956)</f>
        <v/>
      </c>
      <c r="G283" s="75">
        <f>IF($A283="","",MRP!G1956)</f>
        <v/>
      </c>
      <c r="H283" s="75">
        <f>IF($A283="","",MRP!H1956)</f>
        <v/>
      </c>
      <c r="I283" s="75">
        <f>IF($A283="","",MRP!I1956)</f>
        <v/>
      </c>
      <c r="J283" s="75">
        <f>IF($A283="","",MRP!J1956)</f>
        <v/>
      </c>
      <c r="K283" s="75">
        <f>IF($A283="","",MRP!K1956)</f>
        <v/>
      </c>
      <c r="L283" s="75">
        <f>IF($A283="","",MRP!L1956)</f>
        <v/>
      </c>
      <c r="M283" s="76">
        <f>IF($A283="","",SUM(E283:L283))</f>
        <v/>
      </c>
      <c r="N283" s="77">
        <f>IF(ISNUMBER(D283),M283*D283,"")</f>
        <v/>
      </c>
      <c r="O283" s="78">
        <f>MRP!M1956</f>
        <v/>
      </c>
    </row>
    <row r="284">
      <c r="A284" s="73">
        <f>IF(Materiales!$A$283="","",Materiales!$A$283)</f>
        <v/>
      </c>
      <c r="B284" s="60">
        <f>IF(Materiales!$B$283="","",Materiales!$B$283)</f>
        <v/>
      </c>
      <c r="C284" s="73">
        <f>IF(Materiales!$C$283="","",Materiales!$C$283)</f>
        <v/>
      </c>
      <c r="D284" s="74">
        <f>IF(Materiales!$D$283="","",Materiales!$D$283)</f>
        <v/>
      </c>
      <c r="E284" s="75">
        <f>IF($A284="","",MRP!E1963)</f>
        <v/>
      </c>
      <c r="F284" s="75">
        <f>IF($A284="","",MRP!F1963)</f>
        <v/>
      </c>
      <c r="G284" s="75">
        <f>IF($A284="","",MRP!G1963)</f>
        <v/>
      </c>
      <c r="H284" s="75">
        <f>IF($A284="","",MRP!H1963)</f>
        <v/>
      </c>
      <c r="I284" s="75">
        <f>IF($A284="","",MRP!I1963)</f>
        <v/>
      </c>
      <c r="J284" s="75">
        <f>IF($A284="","",MRP!J1963)</f>
        <v/>
      </c>
      <c r="K284" s="75">
        <f>IF($A284="","",MRP!K1963)</f>
        <v/>
      </c>
      <c r="L284" s="75">
        <f>IF($A284="","",MRP!L1963)</f>
        <v/>
      </c>
      <c r="M284" s="76">
        <f>IF($A284="","",SUM(E284:L284))</f>
        <v/>
      </c>
      <c r="N284" s="77">
        <f>IF(ISNUMBER(D284),M284*D284,"")</f>
        <v/>
      </c>
      <c r="O284" s="78">
        <f>MRP!M1963</f>
        <v/>
      </c>
    </row>
    <row r="285">
      <c r="A285" s="73">
        <f>IF(Materiales!$A$284="","",Materiales!$A$284)</f>
        <v/>
      </c>
      <c r="B285" s="60">
        <f>IF(Materiales!$B$284="","",Materiales!$B$284)</f>
        <v/>
      </c>
      <c r="C285" s="73">
        <f>IF(Materiales!$C$284="","",Materiales!$C$284)</f>
        <v/>
      </c>
      <c r="D285" s="74">
        <f>IF(Materiales!$D$284="","",Materiales!$D$284)</f>
        <v/>
      </c>
      <c r="E285" s="75">
        <f>IF($A285="","",MRP!E1970)</f>
        <v/>
      </c>
      <c r="F285" s="75">
        <f>IF($A285="","",MRP!F1970)</f>
        <v/>
      </c>
      <c r="G285" s="75">
        <f>IF($A285="","",MRP!G1970)</f>
        <v/>
      </c>
      <c r="H285" s="75">
        <f>IF($A285="","",MRP!H1970)</f>
        <v/>
      </c>
      <c r="I285" s="75">
        <f>IF($A285="","",MRP!I1970)</f>
        <v/>
      </c>
      <c r="J285" s="75">
        <f>IF($A285="","",MRP!J1970)</f>
        <v/>
      </c>
      <c r="K285" s="75">
        <f>IF($A285="","",MRP!K1970)</f>
        <v/>
      </c>
      <c r="L285" s="75">
        <f>IF($A285="","",MRP!L1970)</f>
        <v/>
      </c>
      <c r="M285" s="76">
        <f>IF($A285="","",SUM(E285:L285))</f>
        <v/>
      </c>
      <c r="N285" s="77">
        <f>IF(ISNUMBER(D285),M285*D285,"")</f>
        <v/>
      </c>
      <c r="O285" s="78">
        <f>MRP!M1970</f>
        <v/>
      </c>
    </row>
    <row r="286">
      <c r="A286" s="73">
        <f>IF(Materiales!$A$285="","",Materiales!$A$285)</f>
        <v/>
      </c>
      <c r="B286" s="60">
        <f>IF(Materiales!$B$285="","",Materiales!$B$285)</f>
        <v/>
      </c>
      <c r="C286" s="73">
        <f>IF(Materiales!$C$285="","",Materiales!$C$285)</f>
        <v/>
      </c>
      <c r="D286" s="74">
        <f>IF(Materiales!$D$285="","",Materiales!$D$285)</f>
        <v/>
      </c>
      <c r="E286" s="75">
        <f>IF($A286="","",MRP!E1977)</f>
        <v/>
      </c>
      <c r="F286" s="75">
        <f>IF($A286="","",MRP!F1977)</f>
        <v/>
      </c>
      <c r="G286" s="75">
        <f>IF($A286="","",MRP!G1977)</f>
        <v/>
      </c>
      <c r="H286" s="75">
        <f>IF($A286="","",MRP!H1977)</f>
        <v/>
      </c>
      <c r="I286" s="75">
        <f>IF($A286="","",MRP!I1977)</f>
        <v/>
      </c>
      <c r="J286" s="75">
        <f>IF($A286="","",MRP!J1977)</f>
        <v/>
      </c>
      <c r="K286" s="75">
        <f>IF($A286="","",MRP!K1977)</f>
        <v/>
      </c>
      <c r="L286" s="75">
        <f>IF($A286="","",MRP!L1977)</f>
        <v/>
      </c>
      <c r="M286" s="76">
        <f>IF($A286="","",SUM(E286:L286))</f>
        <v/>
      </c>
      <c r="N286" s="77">
        <f>IF(ISNUMBER(D286),M286*D286,"")</f>
        <v/>
      </c>
      <c r="O286" s="78">
        <f>MRP!M1977</f>
        <v/>
      </c>
    </row>
    <row r="287">
      <c r="A287" s="73">
        <f>IF(Materiales!$A$286="","",Materiales!$A$286)</f>
        <v/>
      </c>
      <c r="B287" s="60">
        <f>IF(Materiales!$B$286="","",Materiales!$B$286)</f>
        <v/>
      </c>
      <c r="C287" s="73">
        <f>IF(Materiales!$C$286="","",Materiales!$C$286)</f>
        <v/>
      </c>
      <c r="D287" s="74">
        <f>IF(Materiales!$D$286="","",Materiales!$D$286)</f>
        <v/>
      </c>
      <c r="E287" s="75">
        <f>IF($A287="","",MRP!E1984)</f>
        <v/>
      </c>
      <c r="F287" s="75">
        <f>IF($A287="","",MRP!F1984)</f>
        <v/>
      </c>
      <c r="G287" s="75">
        <f>IF($A287="","",MRP!G1984)</f>
        <v/>
      </c>
      <c r="H287" s="75">
        <f>IF($A287="","",MRP!H1984)</f>
        <v/>
      </c>
      <c r="I287" s="75">
        <f>IF($A287="","",MRP!I1984)</f>
        <v/>
      </c>
      <c r="J287" s="75">
        <f>IF($A287="","",MRP!J1984)</f>
        <v/>
      </c>
      <c r="K287" s="75">
        <f>IF($A287="","",MRP!K1984)</f>
        <v/>
      </c>
      <c r="L287" s="75">
        <f>IF($A287="","",MRP!L1984)</f>
        <v/>
      </c>
      <c r="M287" s="76">
        <f>IF($A287="","",SUM(E287:L287))</f>
        <v/>
      </c>
      <c r="N287" s="77">
        <f>IF(ISNUMBER(D287),M287*D287,"")</f>
        <v/>
      </c>
      <c r="O287" s="78">
        <f>MRP!M1984</f>
        <v/>
      </c>
    </row>
    <row r="288">
      <c r="A288" s="73">
        <f>IF(Materiales!$A$287="","",Materiales!$A$287)</f>
        <v/>
      </c>
      <c r="B288" s="60">
        <f>IF(Materiales!$B$287="","",Materiales!$B$287)</f>
        <v/>
      </c>
      <c r="C288" s="73">
        <f>IF(Materiales!$C$287="","",Materiales!$C$287)</f>
        <v/>
      </c>
      <c r="D288" s="74">
        <f>IF(Materiales!$D$287="","",Materiales!$D$287)</f>
        <v/>
      </c>
      <c r="E288" s="75">
        <f>IF($A288="","",MRP!E1991)</f>
        <v/>
      </c>
      <c r="F288" s="75">
        <f>IF($A288="","",MRP!F1991)</f>
        <v/>
      </c>
      <c r="G288" s="75">
        <f>IF($A288="","",MRP!G1991)</f>
        <v/>
      </c>
      <c r="H288" s="75">
        <f>IF($A288="","",MRP!H1991)</f>
        <v/>
      </c>
      <c r="I288" s="75">
        <f>IF($A288="","",MRP!I1991)</f>
        <v/>
      </c>
      <c r="J288" s="75">
        <f>IF($A288="","",MRP!J1991)</f>
        <v/>
      </c>
      <c r="K288" s="75">
        <f>IF($A288="","",MRP!K1991)</f>
        <v/>
      </c>
      <c r="L288" s="75">
        <f>IF($A288="","",MRP!L1991)</f>
        <v/>
      </c>
      <c r="M288" s="76">
        <f>IF($A288="","",SUM(E288:L288))</f>
        <v/>
      </c>
      <c r="N288" s="77">
        <f>IF(ISNUMBER(D288),M288*D288,"")</f>
        <v/>
      </c>
      <c r="O288" s="78">
        <f>MRP!M1991</f>
        <v/>
      </c>
    </row>
    <row r="289">
      <c r="A289" s="73">
        <f>IF(Materiales!$A$288="","",Materiales!$A$288)</f>
        <v/>
      </c>
      <c r="B289" s="60">
        <f>IF(Materiales!$B$288="","",Materiales!$B$288)</f>
        <v/>
      </c>
      <c r="C289" s="73">
        <f>IF(Materiales!$C$288="","",Materiales!$C$288)</f>
        <v/>
      </c>
      <c r="D289" s="74">
        <f>IF(Materiales!$D$288="","",Materiales!$D$288)</f>
        <v/>
      </c>
      <c r="E289" s="75">
        <f>IF($A289="","",MRP!E1998)</f>
        <v/>
      </c>
      <c r="F289" s="75">
        <f>IF($A289="","",MRP!F1998)</f>
        <v/>
      </c>
      <c r="G289" s="75">
        <f>IF($A289="","",MRP!G1998)</f>
        <v/>
      </c>
      <c r="H289" s="75">
        <f>IF($A289="","",MRP!H1998)</f>
        <v/>
      </c>
      <c r="I289" s="75">
        <f>IF($A289="","",MRP!I1998)</f>
        <v/>
      </c>
      <c r="J289" s="75">
        <f>IF($A289="","",MRP!J1998)</f>
        <v/>
      </c>
      <c r="K289" s="75">
        <f>IF($A289="","",MRP!K1998)</f>
        <v/>
      </c>
      <c r="L289" s="75">
        <f>IF($A289="","",MRP!L1998)</f>
        <v/>
      </c>
      <c r="M289" s="76">
        <f>IF($A289="","",SUM(E289:L289))</f>
        <v/>
      </c>
      <c r="N289" s="77">
        <f>IF(ISNUMBER(D289),M289*D289,"")</f>
        <v/>
      </c>
      <c r="O289" s="78">
        <f>MRP!M1998</f>
        <v/>
      </c>
    </row>
    <row r="290">
      <c r="A290" s="73">
        <f>IF(Materiales!$A$289="","",Materiales!$A$289)</f>
        <v/>
      </c>
      <c r="B290" s="60">
        <f>IF(Materiales!$B$289="","",Materiales!$B$289)</f>
        <v/>
      </c>
      <c r="C290" s="73">
        <f>IF(Materiales!$C$289="","",Materiales!$C$289)</f>
        <v/>
      </c>
      <c r="D290" s="74">
        <f>IF(Materiales!$D$289="","",Materiales!$D$289)</f>
        <v/>
      </c>
      <c r="E290" s="75">
        <f>IF($A290="","",MRP!E2005)</f>
        <v/>
      </c>
      <c r="F290" s="75">
        <f>IF($A290="","",MRP!F2005)</f>
        <v/>
      </c>
      <c r="G290" s="75">
        <f>IF($A290="","",MRP!G2005)</f>
        <v/>
      </c>
      <c r="H290" s="75">
        <f>IF($A290="","",MRP!H2005)</f>
        <v/>
      </c>
      <c r="I290" s="75">
        <f>IF($A290="","",MRP!I2005)</f>
        <v/>
      </c>
      <c r="J290" s="75">
        <f>IF($A290="","",MRP!J2005)</f>
        <v/>
      </c>
      <c r="K290" s="75">
        <f>IF($A290="","",MRP!K2005)</f>
        <v/>
      </c>
      <c r="L290" s="75">
        <f>IF($A290="","",MRP!L2005)</f>
        <v/>
      </c>
      <c r="M290" s="76">
        <f>IF($A290="","",SUM(E290:L290))</f>
        <v/>
      </c>
      <c r="N290" s="77">
        <f>IF(ISNUMBER(D290),M290*D290,"")</f>
        <v/>
      </c>
      <c r="O290" s="78">
        <f>MRP!M2005</f>
        <v/>
      </c>
    </row>
    <row r="291">
      <c r="A291" s="73">
        <f>IF(Materiales!$A$290="","",Materiales!$A$290)</f>
        <v/>
      </c>
      <c r="B291" s="60">
        <f>IF(Materiales!$B$290="","",Materiales!$B$290)</f>
        <v/>
      </c>
      <c r="C291" s="73">
        <f>IF(Materiales!$C$290="","",Materiales!$C$290)</f>
        <v/>
      </c>
      <c r="D291" s="74">
        <f>IF(Materiales!$D$290="","",Materiales!$D$290)</f>
        <v/>
      </c>
      <c r="E291" s="75">
        <f>IF($A291="","",MRP!E2012)</f>
        <v/>
      </c>
      <c r="F291" s="75">
        <f>IF($A291="","",MRP!F2012)</f>
        <v/>
      </c>
      <c r="G291" s="75">
        <f>IF($A291="","",MRP!G2012)</f>
        <v/>
      </c>
      <c r="H291" s="75">
        <f>IF($A291="","",MRP!H2012)</f>
        <v/>
      </c>
      <c r="I291" s="75">
        <f>IF($A291="","",MRP!I2012)</f>
        <v/>
      </c>
      <c r="J291" s="75">
        <f>IF($A291="","",MRP!J2012)</f>
        <v/>
      </c>
      <c r="K291" s="75">
        <f>IF($A291="","",MRP!K2012)</f>
        <v/>
      </c>
      <c r="L291" s="75">
        <f>IF($A291="","",MRP!L2012)</f>
        <v/>
      </c>
      <c r="M291" s="76">
        <f>IF($A291="","",SUM(E291:L291))</f>
        <v/>
      </c>
      <c r="N291" s="77">
        <f>IF(ISNUMBER(D291),M291*D291,"")</f>
        <v/>
      </c>
      <c r="O291" s="78">
        <f>MRP!M2012</f>
        <v/>
      </c>
    </row>
    <row r="292">
      <c r="A292" s="73">
        <f>IF(Materiales!$A$291="","",Materiales!$A$291)</f>
        <v/>
      </c>
      <c r="B292" s="60">
        <f>IF(Materiales!$B$291="","",Materiales!$B$291)</f>
        <v/>
      </c>
      <c r="C292" s="73">
        <f>IF(Materiales!$C$291="","",Materiales!$C$291)</f>
        <v/>
      </c>
      <c r="D292" s="74">
        <f>IF(Materiales!$D$291="","",Materiales!$D$291)</f>
        <v/>
      </c>
      <c r="E292" s="75">
        <f>IF($A292="","",MRP!E2019)</f>
        <v/>
      </c>
      <c r="F292" s="75">
        <f>IF($A292="","",MRP!F2019)</f>
        <v/>
      </c>
      <c r="G292" s="75">
        <f>IF($A292="","",MRP!G2019)</f>
        <v/>
      </c>
      <c r="H292" s="75">
        <f>IF($A292="","",MRP!H2019)</f>
        <v/>
      </c>
      <c r="I292" s="75">
        <f>IF($A292="","",MRP!I2019)</f>
        <v/>
      </c>
      <c r="J292" s="75">
        <f>IF($A292="","",MRP!J2019)</f>
        <v/>
      </c>
      <c r="K292" s="75">
        <f>IF($A292="","",MRP!K2019)</f>
        <v/>
      </c>
      <c r="L292" s="75">
        <f>IF($A292="","",MRP!L2019)</f>
        <v/>
      </c>
      <c r="M292" s="76">
        <f>IF($A292="","",SUM(E292:L292))</f>
        <v/>
      </c>
      <c r="N292" s="77">
        <f>IF(ISNUMBER(D292),M292*D292,"")</f>
        <v/>
      </c>
      <c r="O292" s="78">
        <f>MRP!M2019</f>
        <v/>
      </c>
    </row>
    <row r="293">
      <c r="A293" s="73">
        <f>IF(Materiales!$A$292="","",Materiales!$A$292)</f>
        <v/>
      </c>
      <c r="B293" s="60">
        <f>IF(Materiales!$B$292="","",Materiales!$B$292)</f>
        <v/>
      </c>
      <c r="C293" s="73">
        <f>IF(Materiales!$C$292="","",Materiales!$C$292)</f>
        <v/>
      </c>
      <c r="D293" s="74">
        <f>IF(Materiales!$D$292="","",Materiales!$D$292)</f>
        <v/>
      </c>
      <c r="E293" s="75">
        <f>IF($A293="","",MRP!E2026)</f>
        <v/>
      </c>
      <c r="F293" s="75">
        <f>IF($A293="","",MRP!F2026)</f>
        <v/>
      </c>
      <c r="G293" s="75">
        <f>IF($A293="","",MRP!G2026)</f>
        <v/>
      </c>
      <c r="H293" s="75">
        <f>IF($A293="","",MRP!H2026)</f>
        <v/>
      </c>
      <c r="I293" s="75">
        <f>IF($A293="","",MRP!I2026)</f>
        <v/>
      </c>
      <c r="J293" s="75">
        <f>IF($A293="","",MRP!J2026)</f>
        <v/>
      </c>
      <c r="K293" s="75">
        <f>IF($A293="","",MRP!K2026)</f>
        <v/>
      </c>
      <c r="L293" s="75">
        <f>IF($A293="","",MRP!L2026)</f>
        <v/>
      </c>
      <c r="M293" s="76">
        <f>IF($A293="","",SUM(E293:L293))</f>
        <v/>
      </c>
      <c r="N293" s="77">
        <f>IF(ISNUMBER(D293),M293*D293,"")</f>
        <v/>
      </c>
      <c r="O293" s="78">
        <f>MRP!M2026</f>
        <v/>
      </c>
    </row>
    <row r="294">
      <c r="A294" s="73">
        <f>IF(Materiales!$A$293="","",Materiales!$A$293)</f>
        <v/>
      </c>
      <c r="B294" s="60">
        <f>IF(Materiales!$B$293="","",Materiales!$B$293)</f>
        <v/>
      </c>
      <c r="C294" s="73">
        <f>IF(Materiales!$C$293="","",Materiales!$C$293)</f>
        <v/>
      </c>
      <c r="D294" s="74">
        <f>IF(Materiales!$D$293="","",Materiales!$D$293)</f>
        <v/>
      </c>
      <c r="E294" s="75">
        <f>IF($A294="","",MRP!E2033)</f>
        <v/>
      </c>
      <c r="F294" s="75">
        <f>IF($A294="","",MRP!F2033)</f>
        <v/>
      </c>
      <c r="G294" s="75">
        <f>IF($A294="","",MRP!G2033)</f>
        <v/>
      </c>
      <c r="H294" s="75">
        <f>IF($A294="","",MRP!H2033)</f>
        <v/>
      </c>
      <c r="I294" s="75">
        <f>IF($A294="","",MRP!I2033)</f>
        <v/>
      </c>
      <c r="J294" s="75">
        <f>IF($A294="","",MRP!J2033)</f>
        <v/>
      </c>
      <c r="K294" s="75">
        <f>IF($A294="","",MRP!K2033)</f>
        <v/>
      </c>
      <c r="L294" s="75">
        <f>IF($A294="","",MRP!L2033)</f>
        <v/>
      </c>
      <c r="M294" s="76">
        <f>IF($A294="","",SUM(E294:L294))</f>
        <v/>
      </c>
      <c r="N294" s="77">
        <f>IF(ISNUMBER(D294),M294*D294,"")</f>
        <v/>
      </c>
      <c r="O294" s="78">
        <f>MRP!M2033</f>
        <v/>
      </c>
    </row>
    <row r="295">
      <c r="A295" s="73">
        <f>IF(Materiales!$A$294="","",Materiales!$A$294)</f>
        <v/>
      </c>
      <c r="B295" s="60">
        <f>IF(Materiales!$B$294="","",Materiales!$B$294)</f>
        <v/>
      </c>
      <c r="C295" s="73">
        <f>IF(Materiales!$C$294="","",Materiales!$C$294)</f>
        <v/>
      </c>
      <c r="D295" s="74">
        <f>IF(Materiales!$D$294="","",Materiales!$D$294)</f>
        <v/>
      </c>
      <c r="E295" s="75">
        <f>IF($A295="","",MRP!E2040)</f>
        <v/>
      </c>
      <c r="F295" s="75">
        <f>IF($A295="","",MRP!F2040)</f>
        <v/>
      </c>
      <c r="G295" s="75">
        <f>IF($A295="","",MRP!G2040)</f>
        <v/>
      </c>
      <c r="H295" s="75">
        <f>IF($A295="","",MRP!H2040)</f>
        <v/>
      </c>
      <c r="I295" s="75">
        <f>IF($A295="","",MRP!I2040)</f>
        <v/>
      </c>
      <c r="J295" s="75">
        <f>IF($A295="","",MRP!J2040)</f>
        <v/>
      </c>
      <c r="K295" s="75">
        <f>IF($A295="","",MRP!K2040)</f>
        <v/>
      </c>
      <c r="L295" s="75">
        <f>IF($A295="","",MRP!L2040)</f>
        <v/>
      </c>
      <c r="M295" s="76">
        <f>IF($A295="","",SUM(E295:L295))</f>
        <v/>
      </c>
      <c r="N295" s="77">
        <f>IF(ISNUMBER(D295),M295*D295,"")</f>
        <v/>
      </c>
      <c r="O295" s="78">
        <f>MRP!M2040</f>
        <v/>
      </c>
    </row>
    <row r="296">
      <c r="A296" s="73">
        <f>IF(Materiales!$A$295="","",Materiales!$A$295)</f>
        <v/>
      </c>
      <c r="B296" s="60">
        <f>IF(Materiales!$B$295="","",Materiales!$B$295)</f>
        <v/>
      </c>
      <c r="C296" s="73">
        <f>IF(Materiales!$C$295="","",Materiales!$C$295)</f>
        <v/>
      </c>
      <c r="D296" s="74">
        <f>IF(Materiales!$D$295="","",Materiales!$D$295)</f>
        <v/>
      </c>
      <c r="E296" s="75">
        <f>IF($A296="","",MRP!E2047)</f>
        <v/>
      </c>
      <c r="F296" s="75">
        <f>IF($A296="","",MRP!F2047)</f>
        <v/>
      </c>
      <c r="G296" s="75">
        <f>IF($A296="","",MRP!G2047)</f>
        <v/>
      </c>
      <c r="H296" s="75">
        <f>IF($A296="","",MRP!H2047)</f>
        <v/>
      </c>
      <c r="I296" s="75">
        <f>IF($A296="","",MRP!I2047)</f>
        <v/>
      </c>
      <c r="J296" s="75">
        <f>IF($A296="","",MRP!J2047)</f>
        <v/>
      </c>
      <c r="K296" s="75">
        <f>IF($A296="","",MRP!K2047)</f>
        <v/>
      </c>
      <c r="L296" s="75">
        <f>IF($A296="","",MRP!L2047)</f>
        <v/>
      </c>
      <c r="M296" s="76">
        <f>IF($A296="","",SUM(E296:L296))</f>
        <v/>
      </c>
      <c r="N296" s="77">
        <f>IF(ISNUMBER(D296),M296*D296,"")</f>
        <v/>
      </c>
      <c r="O296" s="78">
        <f>MRP!M2047</f>
        <v/>
      </c>
    </row>
    <row r="297">
      <c r="A297" s="73">
        <f>IF(Materiales!$A$296="","",Materiales!$A$296)</f>
        <v/>
      </c>
      <c r="B297" s="60">
        <f>IF(Materiales!$B$296="","",Materiales!$B$296)</f>
        <v/>
      </c>
      <c r="C297" s="73">
        <f>IF(Materiales!$C$296="","",Materiales!$C$296)</f>
        <v/>
      </c>
      <c r="D297" s="74">
        <f>IF(Materiales!$D$296="","",Materiales!$D$296)</f>
        <v/>
      </c>
      <c r="E297" s="75">
        <f>IF($A297="","",MRP!E2054)</f>
        <v/>
      </c>
      <c r="F297" s="75">
        <f>IF($A297="","",MRP!F2054)</f>
        <v/>
      </c>
      <c r="G297" s="75">
        <f>IF($A297="","",MRP!G2054)</f>
        <v/>
      </c>
      <c r="H297" s="75">
        <f>IF($A297="","",MRP!H2054)</f>
        <v/>
      </c>
      <c r="I297" s="75">
        <f>IF($A297="","",MRP!I2054)</f>
        <v/>
      </c>
      <c r="J297" s="75">
        <f>IF($A297="","",MRP!J2054)</f>
        <v/>
      </c>
      <c r="K297" s="75">
        <f>IF($A297="","",MRP!K2054)</f>
        <v/>
      </c>
      <c r="L297" s="75">
        <f>IF($A297="","",MRP!L2054)</f>
        <v/>
      </c>
      <c r="M297" s="76">
        <f>IF($A297="","",SUM(E297:L297))</f>
        <v/>
      </c>
      <c r="N297" s="77">
        <f>IF(ISNUMBER(D297),M297*D297,"")</f>
        <v/>
      </c>
      <c r="O297" s="78">
        <f>MRP!M2054</f>
        <v/>
      </c>
    </row>
    <row r="298">
      <c r="A298" s="73">
        <f>IF(Materiales!$A$297="","",Materiales!$A$297)</f>
        <v/>
      </c>
      <c r="B298" s="60">
        <f>IF(Materiales!$B$297="","",Materiales!$B$297)</f>
        <v/>
      </c>
      <c r="C298" s="73">
        <f>IF(Materiales!$C$297="","",Materiales!$C$297)</f>
        <v/>
      </c>
      <c r="D298" s="74">
        <f>IF(Materiales!$D$297="","",Materiales!$D$297)</f>
        <v/>
      </c>
      <c r="E298" s="75">
        <f>IF($A298="","",MRP!E2061)</f>
        <v/>
      </c>
      <c r="F298" s="75">
        <f>IF($A298="","",MRP!F2061)</f>
        <v/>
      </c>
      <c r="G298" s="75">
        <f>IF($A298="","",MRP!G2061)</f>
        <v/>
      </c>
      <c r="H298" s="75">
        <f>IF($A298="","",MRP!H2061)</f>
        <v/>
      </c>
      <c r="I298" s="75">
        <f>IF($A298="","",MRP!I2061)</f>
        <v/>
      </c>
      <c r="J298" s="75">
        <f>IF($A298="","",MRP!J2061)</f>
        <v/>
      </c>
      <c r="K298" s="75">
        <f>IF($A298="","",MRP!K2061)</f>
        <v/>
      </c>
      <c r="L298" s="75">
        <f>IF($A298="","",MRP!L2061)</f>
        <v/>
      </c>
      <c r="M298" s="76">
        <f>IF($A298="","",SUM(E298:L298))</f>
        <v/>
      </c>
      <c r="N298" s="77">
        <f>IF(ISNUMBER(D298),M298*D298,"")</f>
        <v/>
      </c>
      <c r="O298" s="78">
        <f>MRP!M2061</f>
        <v/>
      </c>
    </row>
    <row r="299">
      <c r="A299" s="73">
        <f>IF(Materiales!$A$298="","",Materiales!$A$298)</f>
        <v/>
      </c>
      <c r="B299" s="60">
        <f>IF(Materiales!$B$298="","",Materiales!$B$298)</f>
        <v/>
      </c>
      <c r="C299" s="73">
        <f>IF(Materiales!$C$298="","",Materiales!$C$298)</f>
        <v/>
      </c>
      <c r="D299" s="74">
        <f>IF(Materiales!$D$298="","",Materiales!$D$298)</f>
        <v/>
      </c>
      <c r="E299" s="75">
        <f>IF($A299="","",MRP!E2068)</f>
        <v/>
      </c>
      <c r="F299" s="75">
        <f>IF($A299="","",MRP!F2068)</f>
        <v/>
      </c>
      <c r="G299" s="75">
        <f>IF($A299="","",MRP!G2068)</f>
        <v/>
      </c>
      <c r="H299" s="75">
        <f>IF($A299="","",MRP!H2068)</f>
        <v/>
      </c>
      <c r="I299" s="75">
        <f>IF($A299="","",MRP!I2068)</f>
        <v/>
      </c>
      <c r="J299" s="75">
        <f>IF($A299="","",MRP!J2068)</f>
        <v/>
      </c>
      <c r="K299" s="75">
        <f>IF($A299="","",MRP!K2068)</f>
        <v/>
      </c>
      <c r="L299" s="75">
        <f>IF($A299="","",MRP!L2068)</f>
        <v/>
      </c>
      <c r="M299" s="76">
        <f>IF($A299="","",SUM(E299:L299))</f>
        <v/>
      </c>
      <c r="N299" s="77">
        <f>IF(ISNUMBER(D299),M299*D299,"")</f>
        <v/>
      </c>
      <c r="O299" s="78">
        <f>MRP!M2068</f>
        <v/>
      </c>
    </row>
    <row r="300">
      <c r="A300" s="73">
        <f>IF(Materiales!$A$299="","",Materiales!$A$299)</f>
        <v/>
      </c>
      <c r="B300" s="60">
        <f>IF(Materiales!$B$299="","",Materiales!$B$299)</f>
        <v/>
      </c>
      <c r="C300" s="73">
        <f>IF(Materiales!$C$299="","",Materiales!$C$299)</f>
        <v/>
      </c>
      <c r="D300" s="74">
        <f>IF(Materiales!$D$299="","",Materiales!$D$299)</f>
        <v/>
      </c>
      <c r="E300" s="75">
        <f>IF($A300="","",MRP!E2075)</f>
        <v/>
      </c>
      <c r="F300" s="75">
        <f>IF($A300="","",MRP!F2075)</f>
        <v/>
      </c>
      <c r="G300" s="75">
        <f>IF($A300="","",MRP!G2075)</f>
        <v/>
      </c>
      <c r="H300" s="75">
        <f>IF($A300="","",MRP!H2075)</f>
        <v/>
      </c>
      <c r="I300" s="75">
        <f>IF($A300="","",MRP!I2075)</f>
        <v/>
      </c>
      <c r="J300" s="75">
        <f>IF($A300="","",MRP!J2075)</f>
        <v/>
      </c>
      <c r="K300" s="75">
        <f>IF($A300="","",MRP!K2075)</f>
        <v/>
      </c>
      <c r="L300" s="75">
        <f>IF($A300="","",MRP!L2075)</f>
        <v/>
      </c>
      <c r="M300" s="76">
        <f>IF($A300="","",SUM(E300:L300))</f>
        <v/>
      </c>
      <c r="N300" s="77">
        <f>IF(ISNUMBER(D300),M300*D300,"")</f>
        <v/>
      </c>
      <c r="O300" s="78">
        <f>MRP!M2075</f>
        <v/>
      </c>
    </row>
    <row r="301">
      <c r="A301" s="73">
        <f>IF(Materiales!$A$300="","",Materiales!$A$300)</f>
        <v/>
      </c>
      <c r="B301" s="60">
        <f>IF(Materiales!$B$300="","",Materiales!$B$300)</f>
        <v/>
      </c>
      <c r="C301" s="73">
        <f>IF(Materiales!$C$300="","",Materiales!$C$300)</f>
        <v/>
      </c>
      <c r="D301" s="74">
        <f>IF(Materiales!$D$300="","",Materiales!$D$300)</f>
        <v/>
      </c>
      <c r="E301" s="75">
        <f>IF($A301="","",MRP!E2082)</f>
        <v/>
      </c>
      <c r="F301" s="75">
        <f>IF($A301="","",MRP!F2082)</f>
        <v/>
      </c>
      <c r="G301" s="75">
        <f>IF($A301="","",MRP!G2082)</f>
        <v/>
      </c>
      <c r="H301" s="75">
        <f>IF($A301="","",MRP!H2082)</f>
        <v/>
      </c>
      <c r="I301" s="75">
        <f>IF($A301="","",MRP!I2082)</f>
        <v/>
      </c>
      <c r="J301" s="75">
        <f>IF($A301="","",MRP!J2082)</f>
        <v/>
      </c>
      <c r="K301" s="75">
        <f>IF($A301="","",MRP!K2082)</f>
        <v/>
      </c>
      <c r="L301" s="75">
        <f>IF($A301="","",MRP!L2082)</f>
        <v/>
      </c>
      <c r="M301" s="76">
        <f>IF($A301="","",SUM(E301:L301))</f>
        <v/>
      </c>
      <c r="N301" s="77">
        <f>IF(ISNUMBER(D301),M301*D301,"")</f>
        <v/>
      </c>
      <c r="O301" s="78">
        <f>MRP!M2082</f>
        <v/>
      </c>
    </row>
    <row r="302">
      <c r="A302" s="73">
        <f>IF(Materiales!$A$301="","",Materiales!$A$301)</f>
        <v/>
      </c>
      <c r="B302" s="60">
        <f>IF(Materiales!$B$301="","",Materiales!$B$301)</f>
        <v/>
      </c>
      <c r="C302" s="73">
        <f>IF(Materiales!$C$301="","",Materiales!$C$301)</f>
        <v/>
      </c>
      <c r="D302" s="74">
        <f>IF(Materiales!$D$301="","",Materiales!$D$301)</f>
        <v/>
      </c>
      <c r="E302" s="75">
        <f>IF($A302="","",MRP!E2089)</f>
        <v/>
      </c>
      <c r="F302" s="75">
        <f>IF($A302="","",MRP!F2089)</f>
        <v/>
      </c>
      <c r="G302" s="75">
        <f>IF($A302="","",MRP!G2089)</f>
        <v/>
      </c>
      <c r="H302" s="75">
        <f>IF($A302="","",MRP!H2089)</f>
        <v/>
      </c>
      <c r="I302" s="75">
        <f>IF($A302="","",MRP!I2089)</f>
        <v/>
      </c>
      <c r="J302" s="75">
        <f>IF($A302="","",MRP!J2089)</f>
        <v/>
      </c>
      <c r="K302" s="75">
        <f>IF($A302="","",MRP!K2089)</f>
        <v/>
      </c>
      <c r="L302" s="75">
        <f>IF($A302="","",MRP!L2089)</f>
        <v/>
      </c>
      <c r="M302" s="76">
        <f>IF($A302="","",SUM(E302:L302))</f>
        <v/>
      </c>
      <c r="N302" s="77">
        <f>IF(ISNUMBER(D302),M302*D302,"")</f>
        <v/>
      </c>
      <c r="O302" s="78">
        <f>MRP!M2089</f>
        <v/>
      </c>
    </row>
    <row r="303">
      <c r="A303" s="73">
        <f>IF(Materiales!$A$302="","",Materiales!$A$302)</f>
        <v/>
      </c>
      <c r="B303" s="60">
        <f>IF(Materiales!$B$302="","",Materiales!$B$302)</f>
        <v/>
      </c>
      <c r="C303" s="73">
        <f>IF(Materiales!$C$302="","",Materiales!$C$302)</f>
        <v/>
      </c>
      <c r="D303" s="74">
        <f>IF(Materiales!$D$302="","",Materiales!$D$302)</f>
        <v/>
      </c>
      <c r="E303" s="75">
        <f>IF($A303="","",MRP!E2096)</f>
        <v/>
      </c>
      <c r="F303" s="75">
        <f>IF($A303="","",MRP!F2096)</f>
        <v/>
      </c>
      <c r="G303" s="75">
        <f>IF($A303="","",MRP!G2096)</f>
        <v/>
      </c>
      <c r="H303" s="75">
        <f>IF($A303="","",MRP!H2096)</f>
        <v/>
      </c>
      <c r="I303" s="75">
        <f>IF($A303="","",MRP!I2096)</f>
        <v/>
      </c>
      <c r="J303" s="75">
        <f>IF($A303="","",MRP!J2096)</f>
        <v/>
      </c>
      <c r="K303" s="75">
        <f>IF($A303="","",MRP!K2096)</f>
        <v/>
      </c>
      <c r="L303" s="75">
        <f>IF($A303="","",MRP!L2096)</f>
        <v/>
      </c>
      <c r="M303" s="76">
        <f>IF($A303="","",SUM(E303:L303))</f>
        <v/>
      </c>
      <c r="N303" s="77">
        <f>IF(ISNUMBER(D303),M303*D303,"")</f>
        <v/>
      </c>
      <c r="O303" s="78">
        <f>MRP!M2096</f>
        <v/>
      </c>
    </row>
    <row r="304">
      <c r="A304" s="73">
        <f>IF(Materiales!$A$303="","",Materiales!$A$303)</f>
        <v/>
      </c>
      <c r="B304" s="60">
        <f>IF(Materiales!$B$303="","",Materiales!$B$303)</f>
        <v/>
      </c>
      <c r="C304" s="73">
        <f>IF(Materiales!$C$303="","",Materiales!$C$303)</f>
        <v/>
      </c>
      <c r="D304" s="74">
        <f>IF(Materiales!$D$303="","",Materiales!$D$303)</f>
        <v/>
      </c>
      <c r="E304" s="75">
        <f>IF($A304="","",MRP!E2103)</f>
        <v/>
      </c>
      <c r="F304" s="75">
        <f>IF($A304="","",MRP!F2103)</f>
        <v/>
      </c>
      <c r="G304" s="75">
        <f>IF($A304="","",MRP!G2103)</f>
        <v/>
      </c>
      <c r="H304" s="75">
        <f>IF($A304="","",MRP!H2103)</f>
        <v/>
      </c>
      <c r="I304" s="75">
        <f>IF($A304="","",MRP!I2103)</f>
        <v/>
      </c>
      <c r="J304" s="75">
        <f>IF($A304="","",MRP!J2103)</f>
        <v/>
      </c>
      <c r="K304" s="75">
        <f>IF($A304="","",MRP!K2103)</f>
        <v/>
      </c>
      <c r="L304" s="75">
        <f>IF($A304="","",MRP!L2103)</f>
        <v/>
      </c>
      <c r="M304" s="76">
        <f>IF($A304="","",SUM(E304:L304))</f>
        <v/>
      </c>
      <c r="N304" s="77">
        <f>IF(ISNUMBER(D304),M304*D304,"")</f>
        <v/>
      </c>
      <c r="O304" s="78">
        <f>MRP!M2103</f>
        <v/>
      </c>
    </row>
    <row r="305">
      <c r="A305" s="73">
        <f>IF(Materiales!$A$304="","",Materiales!$A$304)</f>
        <v/>
      </c>
      <c r="B305" s="60">
        <f>IF(Materiales!$B$304="","",Materiales!$B$304)</f>
        <v/>
      </c>
      <c r="C305" s="73">
        <f>IF(Materiales!$C$304="","",Materiales!$C$304)</f>
        <v/>
      </c>
      <c r="D305" s="74">
        <f>IF(Materiales!$D$304="","",Materiales!$D$304)</f>
        <v/>
      </c>
      <c r="E305" s="75">
        <f>IF($A305="","",MRP!E2110)</f>
        <v/>
      </c>
      <c r="F305" s="75">
        <f>IF($A305="","",MRP!F2110)</f>
        <v/>
      </c>
      <c r="G305" s="75">
        <f>IF($A305="","",MRP!G2110)</f>
        <v/>
      </c>
      <c r="H305" s="75">
        <f>IF($A305="","",MRP!H2110)</f>
        <v/>
      </c>
      <c r="I305" s="75">
        <f>IF($A305="","",MRP!I2110)</f>
        <v/>
      </c>
      <c r="J305" s="75">
        <f>IF($A305="","",MRP!J2110)</f>
        <v/>
      </c>
      <c r="K305" s="75">
        <f>IF($A305="","",MRP!K2110)</f>
        <v/>
      </c>
      <c r="L305" s="75">
        <f>IF($A305="","",MRP!L2110)</f>
        <v/>
      </c>
      <c r="M305" s="76">
        <f>IF($A305="","",SUM(E305:L305))</f>
        <v/>
      </c>
      <c r="N305" s="77">
        <f>IF(ISNUMBER(D305),M305*D305,"")</f>
        <v/>
      </c>
      <c r="O305" s="78">
        <f>MRP!M2110</f>
        <v/>
      </c>
    </row>
    <row r="306">
      <c r="A306" s="73">
        <f>IF(Materiales!$A$305="","",Materiales!$A$305)</f>
        <v/>
      </c>
      <c r="B306" s="60">
        <f>IF(Materiales!$B$305="","",Materiales!$B$305)</f>
        <v/>
      </c>
      <c r="C306" s="73">
        <f>IF(Materiales!$C$305="","",Materiales!$C$305)</f>
        <v/>
      </c>
      <c r="D306" s="74">
        <f>IF(Materiales!$D$305="","",Materiales!$D$305)</f>
        <v/>
      </c>
      <c r="E306" s="75">
        <f>IF($A306="","",MRP!E2117)</f>
        <v/>
      </c>
      <c r="F306" s="75">
        <f>IF($A306="","",MRP!F2117)</f>
        <v/>
      </c>
      <c r="G306" s="75">
        <f>IF($A306="","",MRP!G2117)</f>
        <v/>
      </c>
      <c r="H306" s="75">
        <f>IF($A306="","",MRP!H2117)</f>
        <v/>
      </c>
      <c r="I306" s="75">
        <f>IF($A306="","",MRP!I2117)</f>
        <v/>
      </c>
      <c r="J306" s="75">
        <f>IF($A306="","",MRP!J2117)</f>
        <v/>
      </c>
      <c r="K306" s="75">
        <f>IF($A306="","",MRP!K2117)</f>
        <v/>
      </c>
      <c r="L306" s="75">
        <f>IF($A306="","",MRP!L2117)</f>
        <v/>
      </c>
      <c r="M306" s="76">
        <f>IF($A306="","",SUM(E306:L306))</f>
        <v/>
      </c>
      <c r="N306" s="77">
        <f>IF(ISNUMBER(D306),M306*D306,"")</f>
        <v/>
      </c>
      <c r="O306" s="78">
        <f>MRP!M2117</f>
        <v/>
      </c>
    </row>
    <row r="307">
      <c r="A307" s="73">
        <f>IF(Materiales!$A$306="","",Materiales!$A$306)</f>
        <v/>
      </c>
      <c r="B307" s="60">
        <f>IF(Materiales!$B$306="","",Materiales!$B$306)</f>
        <v/>
      </c>
      <c r="C307" s="73">
        <f>IF(Materiales!$C$306="","",Materiales!$C$306)</f>
        <v/>
      </c>
      <c r="D307" s="74">
        <f>IF(Materiales!$D$306="","",Materiales!$D$306)</f>
        <v/>
      </c>
      <c r="E307" s="75">
        <f>IF($A307="","",MRP!E2124)</f>
        <v/>
      </c>
      <c r="F307" s="75">
        <f>IF($A307="","",MRP!F2124)</f>
        <v/>
      </c>
      <c r="G307" s="75">
        <f>IF($A307="","",MRP!G2124)</f>
        <v/>
      </c>
      <c r="H307" s="75">
        <f>IF($A307="","",MRP!H2124)</f>
        <v/>
      </c>
      <c r="I307" s="75">
        <f>IF($A307="","",MRP!I2124)</f>
        <v/>
      </c>
      <c r="J307" s="75">
        <f>IF($A307="","",MRP!J2124)</f>
        <v/>
      </c>
      <c r="K307" s="75">
        <f>IF($A307="","",MRP!K2124)</f>
        <v/>
      </c>
      <c r="L307" s="75">
        <f>IF($A307="","",MRP!L2124)</f>
        <v/>
      </c>
      <c r="M307" s="76">
        <f>IF($A307="","",SUM(E307:L307))</f>
        <v/>
      </c>
      <c r="N307" s="77">
        <f>IF(ISNUMBER(D307),M307*D307,"")</f>
        <v/>
      </c>
      <c r="O307" s="78">
        <f>MRP!M2124</f>
        <v/>
      </c>
    </row>
    <row r="308">
      <c r="A308" s="73">
        <f>IF(Materiales!$A$307="","",Materiales!$A$307)</f>
        <v/>
      </c>
      <c r="B308" s="60">
        <f>IF(Materiales!$B$307="","",Materiales!$B$307)</f>
        <v/>
      </c>
      <c r="C308" s="73">
        <f>IF(Materiales!$C$307="","",Materiales!$C$307)</f>
        <v/>
      </c>
      <c r="D308" s="74">
        <f>IF(Materiales!$D$307="","",Materiales!$D$307)</f>
        <v/>
      </c>
      <c r="E308" s="75">
        <f>IF($A308="","",MRP!E2131)</f>
        <v/>
      </c>
      <c r="F308" s="75">
        <f>IF($A308="","",MRP!F2131)</f>
        <v/>
      </c>
      <c r="G308" s="75">
        <f>IF($A308="","",MRP!G2131)</f>
        <v/>
      </c>
      <c r="H308" s="75">
        <f>IF($A308="","",MRP!H2131)</f>
        <v/>
      </c>
      <c r="I308" s="75">
        <f>IF($A308="","",MRP!I2131)</f>
        <v/>
      </c>
      <c r="J308" s="75">
        <f>IF($A308="","",MRP!J2131)</f>
        <v/>
      </c>
      <c r="K308" s="75">
        <f>IF($A308="","",MRP!K2131)</f>
        <v/>
      </c>
      <c r="L308" s="75">
        <f>IF($A308="","",MRP!L2131)</f>
        <v/>
      </c>
      <c r="M308" s="76">
        <f>IF($A308="","",SUM(E308:L308))</f>
        <v/>
      </c>
      <c r="N308" s="77">
        <f>IF(ISNUMBER(D308),M308*D308,"")</f>
        <v/>
      </c>
      <c r="O308" s="78">
        <f>MRP!M2131</f>
        <v/>
      </c>
    </row>
    <row r="309">
      <c r="A309" s="73">
        <f>IF(Materiales!$A$308="","",Materiales!$A$308)</f>
        <v/>
      </c>
      <c r="B309" s="60">
        <f>IF(Materiales!$B$308="","",Materiales!$B$308)</f>
        <v/>
      </c>
      <c r="C309" s="73">
        <f>IF(Materiales!$C$308="","",Materiales!$C$308)</f>
        <v/>
      </c>
      <c r="D309" s="74">
        <f>IF(Materiales!$D$308="","",Materiales!$D$308)</f>
        <v/>
      </c>
      <c r="E309" s="75">
        <f>IF($A309="","",MRP!E2138)</f>
        <v/>
      </c>
      <c r="F309" s="75">
        <f>IF($A309="","",MRP!F2138)</f>
        <v/>
      </c>
      <c r="G309" s="75">
        <f>IF($A309="","",MRP!G2138)</f>
        <v/>
      </c>
      <c r="H309" s="75">
        <f>IF($A309="","",MRP!H2138)</f>
        <v/>
      </c>
      <c r="I309" s="75">
        <f>IF($A309="","",MRP!I2138)</f>
        <v/>
      </c>
      <c r="J309" s="75">
        <f>IF($A309="","",MRP!J2138)</f>
        <v/>
      </c>
      <c r="K309" s="75">
        <f>IF($A309="","",MRP!K2138)</f>
        <v/>
      </c>
      <c r="L309" s="75">
        <f>IF($A309="","",MRP!L2138)</f>
        <v/>
      </c>
      <c r="M309" s="76">
        <f>IF($A309="","",SUM(E309:L309))</f>
        <v/>
      </c>
      <c r="N309" s="77">
        <f>IF(ISNUMBER(D309),M309*D309,"")</f>
        <v/>
      </c>
      <c r="O309" s="78">
        <f>MRP!M2138</f>
        <v/>
      </c>
    </row>
    <row r="310">
      <c r="A310" s="73">
        <f>IF(Materiales!$A$309="","",Materiales!$A$309)</f>
        <v/>
      </c>
      <c r="B310" s="60">
        <f>IF(Materiales!$B$309="","",Materiales!$B$309)</f>
        <v/>
      </c>
      <c r="C310" s="73">
        <f>IF(Materiales!$C$309="","",Materiales!$C$309)</f>
        <v/>
      </c>
      <c r="D310" s="74">
        <f>IF(Materiales!$D$309="","",Materiales!$D$309)</f>
        <v/>
      </c>
      <c r="E310" s="75">
        <f>IF($A310="","",MRP!E2145)</f>
        <v/>
      </c>
      <c r="F310" s="75">
        <f>IF($A310="","",MRP!F2145)</f>
        <v/>
      </c>
      <c r="G310" s="75">
        <f>IF($A310="","",MRP!G2145)</f>
        <v/>
      </c>
      <c r="H310" s="75">
        <f>IF($A310="","",MRP!H2145)</f>
        <v/>
      </c>
      <c r="I310" s="75">
        <f>IF($A310="","",MRP!I2145)</f>
        <v/>
      </c>
      <c r="J310" s="75">
        <f>IF($A310="","",MRP!J2145)</f>
        <v/>
      </c>
      <c r="K310" s="75">
        <f>IF($A310="","",MRP!K2145)</f>
        <v/>
      </c>
      <c r="L310" s="75">
        <f>IF($A310="","",MRP!L2145)</f>
        <v/>
      </c>
      <c r="M310" s="76">
        <f>IF($A310="","",SUM(E310:L310))</f>
        <v/>
      </c>
      <c r="N310" s="77">
        <f>IF(ISNUMBER(D310),M310*D310,"")</f>
        <v/>
      </c>
      <c r="O310" s="78">
        <f>MRP!M2145</f>
        <v/>
      </c>
    </row>
    <row r="311">
      <c r="A311" s="73">
        <f>IF(Materiales!$A$310="","",Materiales!$A$310)</f>
        <v/>
      </c>
      <c r="B311" s="60">
        <f>IF(Materiales!$B$310="","",Materiales!$B$310)</f>
        <v/>
      </c>
      <c r="C311" s="73">
        <f>IF(Materiales!$C$310="","",Materiales!$C$310)</f>
        <v/>
      </c>
      <c r="D311" s="74">
        <f>IF(Materiales!$D$310="","",Materiales!$D$310)</f>
        <v/>
      </c>
      <c r="E311" s="75">
        <f>IF($A311="","",MRP!E2152)</f>
        <v/>
      </c>
      <c r="F311" s="75">
        <f>IF($A311="","",MRP!F2152)</f>
        <v/>
      </c>
      <c r="G311" s="75">
        <f>IF($A311="","",MRP!G2152)</f>
        <v/>
      </c>
      <c r="H311" s="75">
        <f>IF($A311="","",MRP!H2152)</f>
        <v/>
      </c>
      <c r="I311" s="75">
        <f>IF($A311="","",MRP!I2152)</f>
        <v/>
      </c>
      <c r="J311" s="75">
        <f>IF($A311="","",MRP!J2152)</f>
        <v/>
      </c>
      <c r="K311" s="75">
        <f>IF($A311="","",MRP!K2152)</f>
        <v/>
      </c>
      <c r="L311" s="75">
        <f>IF($A311="","",MRP!L2152)</f>
        <v/>
      </c>
      <c r="M311" s="76">
        <f>IF($A311="","",SUM(E311:L311))</f>
        <v/>
      </c>
      <c r="N311" s="77">
        <f>IF(ISNUMBER(D311),M311*D311,"")</f>
        <v/>
      </c>
      <c r="O311" s="78">
        <f>MRP!M2152</f>
        <v/>
      </c>
    </row>
    <row r="312">
      <c r="A312" s="73">
        <f>IF(Materiales!$A$311="","",Materiales!$A$311)</f>
        <v/>
      </c>
      <c r="B312" s="60">
        <f>IF(Materiales!$B$311="","",Materiales!$B$311)</f>
        <v/>
      </c>
      <c r="C312" s="73">
        <f>IF(Materiales!$C$311="","",Materiales!$C$311)</f>
        <v/>
      </c>
      <c r="D312" s="74">
        <f>IF(Materiales!$D$311="","",Materiales!$D$311)</f>
        <v/>
      </c>
      <c r="E312" s="75">
        <f>IF($A312="","",MRP!E2159)</f>
        <v/>
      </c>
      <c r="F312" s="75">
        <f>IF($A312="","",MRP!F2159)</f>
        <v/>
      </c>
      <c r="G312" s="75">
        <f>IF($A312="","",MRP!G2159)</f>
        <v/>
      </c>
      <c r="H312" s="75">
        <f>IF($A312="","",MRP!H2159)</f>
        <v/>
      </c>
      <c r="I312" s="75">
        <f>IF($A312="","",MRP!I2159)</f>
        <v/>
      </c>
      <c r="J312" s="75">
        <f>IF($A312="","",MRP!J2159)</f>
        <v/>
      </c>
      <c r="K312" s="75">
        <f>IF($A312="","",MRP!K2159)</f>
        <v/>
      </c>
      <c r="L312" s="75">
        <f>IF($A312="","",MRP!L2159)</f>
        <v/>
      </c>
      <c r="M312" s="76">
        <f>IF($A312="","",SUM(E312:L312))</f>
        <v/>
      </c>
      <c r="N312" s="77">
        <f>IF(ISNUMBER(D312),M312*D312,"")</f>
        <v/>
      </c>
      <c r="O312" s="78">
        <f>MRP!M2159</f>
        <v/>
      </c>
    </row>
    <row r="313">
      <c r="A313" s="73">
        <f>IF(Materiales!$A$312="","",Materiales!$A$312)</f>
        <v/>
      </c>
      <c r="B313" s="60">
        <f>IF(Materiales!$B$312="","",Materiales!$B$312)</f>
        <v/>
      </c>
      <c r="C313" s="73">
        <f>IF(Materiales!$C$312="","",Materiales!$C$312)</f>
        <v/>
      </c>
      <c r="D313" s="74">
        <f>IF(Materiales!$D$312="","",Materiales!$D$312)</f>
        <v/>
      </c>
      <c r="E313" s="75">
        <f>IF($A313="","",MRP!E2166)</f>
        <v/>
      </c>
      <c r="F313" s="75">
        <f>IF($A313="","",MRP!F2166)</f>
        <v/>
      </c>
      <c r="G313" s="75">
        <f>IF($A313="","",MRP!G2166)</f>
        <v/>
      </c>
      <c r="H313" s="75">
        <f>IF($A313="","",MRP!H2166)</f>
        <v/>
      </c>
      <c r="I313" s="75">
        <f>IF($A313="","",MRP!I2166)</f>
        <v/>
      </c>
      <c r="J313" s="75">
        <f>IF($A313="","",MRP!J2166)</f>
        <v/>
      </c>
      <c r="K313" s="75">
        <f>IF($A313="","",MRP!K2166)</f>
        <v/>
      </c>
      <c r="L313" s="75">
        <f>IF($A313="","",MRP!L2166)</f>
        <v/>
      </c>
      <c r="M313" s="76">
        <f>IF($A313="","",SUM(E313:L313))</f>
        <v/>
      </c>
      <c r="N313" s="77">
        <f>IF(ISNUMBER(D313),M313*D313,"")</f>
        <v/>
      </c>
      <c r="O313" s="78">
        <f>MRP!M2166</f>
        <v/>
      </c>
    </row>
    <row r="314">
      <c r="A314" s="73">
        <f>IF(Materiales!$A$313="","",Materiales!$A$313)</f>
        <v/>
      </c>
      <c r="B314" s="60">
        <f>IF(Materiales!$B$313="","",Materiales!$B$313)</f>
        <v/>
      </c>
      <c r="C314" s="73">
        <f>IF(Materiales!$C$313="","",Materiales!$C$313)</f>
        <v/>
      </c>
      <c r="D314" s="74">
        <f>IF(Materiales!$D$313="","",Materiales!$D$313)</f>
        <v/>
      </c>
      <c r="E314" s="75">
        <f>IF($A314="","",MRP!E2173)</f>
        <v/>
      </c>
      <c r="F314" s="75">
        <f>IF($A314="","",MRP!F2173)</f>
        <v/>
      </c>
      <c r="G314" s="75">
        <f>IF($A314="","",MRP!G2173)</f>
        <v/>
      </c>
      <c r="H314" s="75">
        <f>IF($A314="","",MRP!H2173)</f>
        <v/>
      </c>
      <c r="I314" s="75">
        <f>IF($A314="","",MRP!I2173)</f>
        <v/>
      </c>
      <c r="J314" s="75">
        <f>IF($A314="","",MRP!J2173)</f>
        <v/>
      </c>
      <c r="K314" s="75">
        <f>IF($A314="","",MRP!K2173)</f>
        <v/>
      </c>
      <c r="L314" s="75">
        <f>IF($A314="","",MRP!L2173)</f>
        <v/>
      </c>
      <c r="M314" s="76">
        <f>IF($A314="","",SUM(E314:L314))</f>
        <v/>
      </c>
      <c r="N314" s="77">
        <f>IF(ISNUMBER(D314),M314*D314,"")</f>
        <v/>
      </c>
      <c r="O314" s="78">
        <f>MRP!M2173</f>
        <v/>
      </c>
    </row>
    <row r="315">
      <c r="A315" s="73">
        <f>IF(Materiales!$A$314="","",Materiales!$A$314)</f>
        <v/>
      </c>
      <c r="B315" s="60">
        <f>IF(Materiales!$B$314="","",Materiales!$B$314)</f>
        <v/>
      </c>
      <c r="C315" s="73">
        <f>IF(Materiales!$C$314="","",Materiales!$C$314)</f>
        <v/>
      </c>
      <c r="D315" s="74">
        <f>IF(Materiales!$D$314="","",Materiales!$D$314)</f>
        <v/>
      </c>
      <c r="E315" s="75">
        <f>IF($A315="","",MRP!E2180)</f>
        <v/>
      </c>
      <c r="F315" s="75">
        <f>IF($A315="","",MRP!F2180)</f>
        <v/>
      </c>
      <c r="G315" s="75">
        <f>IF($A315="","",MRP!G2180)</f>
        <v/>
      </c>
      <c r="H315" s="75">
        <f>IF($A315="","",MRP!H2180)</f>
        <v/>
      </c>
      <c r="I315" s="75">
        <f>IF($A315="","",MRP!I2180)</f>
        <v/>
      </c>
      <c r="J315" s="75">
        <f>IF($A315="","",MRP!J2180)</f>
        <v/>
      </c>
      <c r="K315" s="75">
        <f>IF($A315="","",MRP!K2180)</f>
        <v/>
      </c>
      <c r="L315" s="75">
        <f>IF($A315="","",MRP!L2180)</f>
        <v/>
      </c>
      <c r="M315" s="76">
        <f>IF($A315="","",SUM(E315:L315))</f>
        <v/>
      </c>
      <c r="N315" s="77">
        <f>IF(ISNUMBER(D315),M315*D315,"")</f>
        <v/>
      </c>
      <c r="O315" s="78">
        <f>MRP!M2180</f>
        <v/>
      </c>
    </row>
    <row r="316">
      <c r="A316" s="73">
        <f>IF(Materiales!$A$315="","",Materiales!$A$315)</f>
        <v/>
      </c>
      <c r="B316" s="60">
        <f>IF(Materiales!$B$315="","",Materiales!$B$315)</f>
        <v/>
      </c>
      <c r="C316" s="73">
        <f>IF(Materiales!$C$315="","",Materiales!$C$315)</f>
        <v/>
      </c>
      <c r="D316" s="74">
        <f>IF(Materiales!$D$315="","",Materiales!$D$315)</f>
        <v/>
      </c>
      <c r="E316" s="75">
        <f>IF($A316="","",MRP!E2187)</f>
        <v/>
      </c>
      <c r="F316" s="75">
        <f>IF($A316="","",MRP!F2187)</f>
        <v/>
      </c>
      <c r="G316" s="75">
        <f>IF($A316="","",MRP!G2187)</f>
        <v/>
      </c>
      <c r="H316" s="75">
        <f>IF($A316="","",MRP!H2187)</f>
        <v/>
      </c>
      <c r="I316" s="75">
        <f>IF($A316="","",MRP!I2187)</f>
        <v/>
      </c>
      <c r="J316" s="75">
        <f>IF($A316="","",MRP!J2187)</f>
        <v/>
      </c>
      <c r="K316" s="75">
        <f>IF($A316="","",MRP!K2187)</f>
        <v/>
      </c>
      <c r="L316" s="75">
        <f>IF($A316="","",MRP!L2187)</f>
        <v/>
      </c>
      <c r="M316" s="76">
        <f>IF($A316="","",SUM(E316:L316))</f>
        <v/>
      </c>
      <c r="N316" s="77">
        <f>IF(ISNUMBER(D316),M316*D316,"")</f>
        <v/>
      </c>
      <c r="O316" s="78">
        <f>MRP!M2187</f>
        <v/>
      </c>
    </row>
    <row r="317">
      <c r="A317" s="73">
        <f>IF(Materiales!$A$316="","",Materiales!$A$316)</f>
        <v/>
      </c>
      <c r="B317" s="60">
        <f>IF(Materiales!$B$316="","",Materiales!$B$316)</f>
        <v/>
      </c>
      <c r="C317" s="73">
        <f>IF(Materiales!$C$316="","",Materiales!$C$316)</f>
        <v/>
      </c>
      <c r="D317" s="74">
        <f>IF(Materiales!$D$316="","",Materiales!$D$316)</f>
        <v/>
      </c>
      <c r="E317" s="75">
        <f>IF($A317="","",MRP!E2194)</f>
        <v/>
      </c>
      <c r="F317" s="75">
        <f>IF($A317="","",MRP!F2194)</f>
        <v/>
      </c>
      <c r="G317" s="75">
        <f>IF($A317="","",MRP!G2194)</f>
        <v/>
      </c>
      <c r="H317" s="75">
        <f>IF($A317="","",MRP!H2194)</f>
        <v/>
      </c>
      <c r="I317" s="75">
        <f>IF($A317="","",MRP!I2194)</f>
        <v/>
      </c>
      <c r="J317" s="75">
        <f>IF($A317="","",MRP!J2194)</f>
        <v/>
      </c>
      <c r="K317" s="75">
        <f>IF($A317="","",MRP!K2194)</f>
        <v/>
      </c>
      <c r="L317" s="75">
        <f>IF($A317="","",MRP!L2194)</f>
        <v/>
      </c>
      <c r="M317" s="76">
        <f>IF($A317="","",SUM(E317:L317))</f>
        <v/>
      </c>
      <c r="N317" s="77">
        <f>IF(ISNUMBER(D317),M317*D317,"")</f>
        <v/>
      </c>
      <c r="O317" s="78">
        <f>MRP!M2194</f>
        <v/>
      </c>
    </row>
    <row r="318">
      <c r="A318" s="73">
        <f>IF(Materiales!$A$317="","",Materiales!$A$317)</f>
        <v/>
      </c>
      <c r="B318" s="60">
        <f>IF(Materiales!$B$317="","",Materiales!$B$317)</f>
        <v/>
      </c>
      <c r="C318" s="73">
        <f>IF(Materiales!$C$317="","",Materiales!$C$317)</f>
        <v/>
      </c>
      <c r="D318" s="74">
        <f>IF(Materiales!$D$317="","",Materiales!$D$317)</f>
        <v/>
      </c>
      <c r="E318" s="75">
        <f>IF($A318="","",MRP!E2201)</f>
        <v/>
      </c>
      <c r="F318" s="75">
        <f>IF($A318="","",MRP!F2201)</f>
        <v/>
      </c>
      <c r="G318" s="75">
        <f>IF($A318="","",MRP!G2201)</f>
        <v/>
      </c>
      <c r="H318" s="75">
        <f>IF($A318="","",MRP!H2201)</f>
        <v/>
      </c>
      <c r="I318" s="75">
        <f>IF($A318="","",MRP!I2201)</f>
        <v/>
      </c>
      <c r="J318" s="75">
        <f>IF($A318="","",MRP!J2201)</f>
        <v/>
      </c>
      <c r="K318" s="75">
        <f>IF($A318="","",MRP!K2201)</f>
        <v/>
      </c>
      <c r="L318" s="75">
        <f>IF($A318="","",MRP!L2201)</f>
        <v/>
      </c>
      <c r="M318" s="76">
        <f>IF($A318="","",SUM(E318:L318))</f>
        <v/>
      </c>
      <c r="N318" s="77">
        <f>IF(ISNUMBER(D318),M318*D318,"")</f>
        <v/>
      </c>
      <c r="O318" s="78">
        <f>MRP!M2201</f>
        <v/>
      </c>
    </row>
    <row r="319">
      <c r="A319" s="73">
        <f>IF(Materiales!$A$318="","",Materiales!$A$318)</f>
        <v/>
      </c>
      <c r="B319" s="60">
        <f>IF(Materiales!$B$318="","",Materiales!$B$318)</f>
        <v/>
      </c>
      <c r="C319" s="73">
        <f>IF(Materiales!$C$318="","",Materiales!$C$318)</f>
        <v/>
      </c>
      <c r="D319" s="74">
        <f>IF(Materiales!$D$318="","",Materiales!$D$318)</f>
        <v/>
      </c>
      <c r="E319" s="75">
        <f>IF($A319="","",MRP!E2208)</f>
        <v/>
      </c>
      <c r="F319" s="75">
        <f>IF($A319="","",MRP!F2208)</f>
        <v/>
      </c>
      <c r="G319" s="75">
        <f>IF($A319="","",MRP!G2208)</f>
        <v/>
      </c>
      <c r="H319" s="75">
        <f>IF($A319="","",MRP!H2208)</f>
        <v/>
      </c>
      <c r="I319" s="75">
        <f>IF($A319="","",MRP!I2208)</f>
        <v/>
      </c>
      <c r="J319" s="75">
        <f>IF($A319="","",MRP!J2208)</f>
        <v/>
      </c>
      <c r="K319" s="75">
        <f>IF($A319="","",MRP!K2208)</f>
        <v/>
      </c>
      <c r="L319" s="75">
        <f>IF($A319="","",MRP!L2208)</f>
        <v/>
      </c>
      <c r="M319" s="76">
        <f>IF($A319="","",SUM(E319:L319))</f>
        <v/>
      </c>
      <c r="N319" s="77">
        <f>IF(ISNUMBER(D319),M319*D319,"")</f>
        <v/>
      </c>
      <c r="O319" s="78">
        <f>MRP!M2208</f>
        <v/>
      </c>
    </row>
    <row r="320">
      <c r="A320" s="73">
        <f>IF(Materiales!$A$319="","",Materiales!$A$319)</f>
        <v/>
      </c>
      <c r="B320" s="60">
        <f>IF(Materiales!$B$319="","",Materiales!$B$319)</f>
        <v/>
      </c>
      <c r="C320" s="73">
        <f>IF(Materiales!$C$319="","",Materiales!$C$319)</f>
        <v/>
      </c>
      <c r="D320" s="74">
        <f>IF(Materiales!$D$319="","",Materiales!$D$319)</f>
        <v/>
      </c>
      <c r="E320" s="75">
        <f>IF($A320="","",MRP!E2215)</f>
        <v/>
      </c>
      <c r="F320" s="75">
        <f>IF($A320="","",MRP!F2215)</f>
        <v/>
      </c>
      <c r="G320" s="75">
        <f>IF($A320="","",MRP!G2215)</f>
        <v/>
      </c>
      <c r="H320" s="75">
        <f>IF($A320="","",MRP!H2215)</f>
        <v/>
      </c>
      <c r="I320" s="75">
        <f>IF($A320="","",MRP!I2215)</f>
        <v/>
      </c>
      <c r="J320" s="75">
        <f>IF($A320="","",MRP!J2215)</f>
        <v/>
      </c>
      <c r="K320" s="75">
        <f>IF($A320="","",MRP!K2215)</f>
        <v/>
      </c>
      <c r="L320" s="75">
        <f>IF($A320="","",MRP!L2215)</f>
        <v/>
      </c>
      <c r="M320" s="76">
        <f>IF($A320="","",SUM(E320:L320))</f>
        <v/>
      </c>
      <c r="N320" s="77">
        <f>IF(ISNUMBER(D320),M320*D320,"")</f>
        <v/>
      </c>
      <c r="O320" s="78">
        <f>MRP!M2215</f>
        <v/>
      </c>
    </row>
    <row r="321">
      <c r="A321" s="73">
        <f>IF(Materiales!$A$320="","",Materiales!$A$320)</f>
        <v/>
      </c>
      <c r="B321" s="60">
        <f>IF(Materiales!$B$320="","",Materiales!$B$320)</f>
        <v/>
      </c>
      <c r="C321" s="73">
        <f>IF(Materiales!$C$320="","",Materiales!$C$320)</f>
        <v/>
      </c>
      <c r="D321" s="74">
        <f>IF(Materiales!$D$320="","",Materiales!$D$320)</f>
        <v/>
      </c>
      <c r="E321" s="75">
        <f>IF($A321="","",MRP!E2222)</f>
        <v/>
      </c>
      <c r="F321" s="75">
        <f>IF($A321="","",MRP!F2222)</f>
        <v/>
      </c>
      <c r="G321" s="75">
        <f>IF($A321="","",MRP!G2222)</f>
        <v/>
      </c>
      <c r="H321" s="75">
        <f>IF($A321="","",MRP!H2222)</f>
        <v/>
      </c>
      <c r="I321" s="75">
        <f>IF($A321="","",MRP!I2222)</f>
        <v/>
      </c>
      <c r="J321" s="75">
        <f>IF($A321="","",MRP!J2222)</f>
        <v/>
      </c>
      <c r="K321" s="75">
        <f>IF($A321="","",MRP!K2222)</f>
        <v/>
      </c>
      <c r="L321" s="75">
        <f>IF($A321="","",MRP!L2222)</f>
        <v/>
      </c>
      <c r="M321" s="76">
        <f>IF($A321="","",SUM(E321:L321))</f>
        <v/>
      </c>
      <c r="N321" s="77">
        <f>IF(ISNUMBER(D321),M321*D321,"")</f>
        <v/>
      </c>
      <c r="O321" s="78">
        <f>MRP!M2222</f>
        <v/>
      </c>
    </row>
    <row r="322">
      <c r="A322" s="73">
        <f>IF(Materiales!$A$321="","",Materiales!$A$321)</f>
        <v/>
      </c>
      <c r="B322" s="60">
        <f>IF(Materiales!$B$321="","",Materiales!$B$321)</f>
        <v/>
      </c>
      <c r="C322" s="73">
        <f>IF(Materiales!$C$321="","",Materiales!$C$321)</f>
        <v/>
      </c>
      <c r="D322" s="74">
        <f>IF(Materiales!$D$321="","",Materiales!$D$321)</f>
        <v/>
      </c>
      <c r="E322" s="75">
        <f>IF($A322="","",MRP!E2229)</f>
        <v/>
      </c>
      <c r="F322" s="75">
        <f>IF($A322="","",MRP!F2229)</f>
        <v/>
      </c>
      <c r="G322" s="75">
        <f>IF($A322="","",MRP!G2229)</f>
        <v/>
      </c>
      <c r="H322" s="75">
        <f>IF($A322="","",MRP!H2229)</f>
        <v/>
      </c>
      <c r="I322" s="75">
        <f>IF($A322="","",MRP!I2229)</f>
        <v/>
      </c>
      <c r="J322" s="75">
        <f>IF($A322="","",MRP!J2229)</f>
        <v/>
      </c>
      <c r="K322" s="75">
        <f>IF($A322="","",MRP!K2229)</f>
        <v/>
      </c>
      <c r="L322" s="75">
        <f>IF($A322="","",MRP!L2229)</f>
        <v/>
      </c>
      <c r="M322" s="76">
        <f>IF($A322="","",SUM(E322:L322))</f>
        <v/>
      </c>
      <c r="N322" s="77">
        <f>IF(ISNUMBER(D322),M322*D322,"")</f>
        <v/>
      </c>
      <c r="O322" s="78">
        <f>MRP!M2229</f>
        <v/>
      </c>
    </row>
    <row r="323">
      <c r="A323" s="73">
        <f>IF(Materiales!$A$322="","",Materiales!$A$322)</f>
        <v/>
      </c>
      <c r="B323" s="60">
        <f>IF(Materiales!$B$322="","",Materiales!$B$322)</f>
        <v/>
      </c>
      <c r="C323" s="73">
        <f>IF(Materiales!$C$322="","",Materiales!$C$322)</f>
        <v/>
      </c>
      <c r="D323" s="74">
        <f>IF(Materiales!$D$322="","",Materiales!$D$322)</f>
        <v/>
      </c>
      <c r="E323" s="75">
        <f>IF($A323="","",MRP!E2236)</f>
        <v/>
      </c>
      <c r="F323" s="75">
        <f>IF($A323="","",MRP!F2236)</f>
        <v/>
      </c>
      <c r="G323" s="75">
        <f>IF($A323="","",MRP!G2236)</f>
        <v/>
      </c>
      <c r="H323" s="75">
        <f>IF($A323="","",MRP!H2236)</f>
        <v/>
      </c>
      <c r="I323" s="75">
        <f>IF($A323="","",MRP!I2236)</f>
        <v/>
      </c>
      <c r="J323" s="75">
        <f>IF($A323="","",MRP!J2236)</f>
        <v/>
      </c>
      <c r="K323" s="75">
        <f>IF($A323="","",MRP!K2236)</f>
        <v/>
      </c>
      <c r="L323" s="75">
        <f>IF($A323="","",MRP!L2236)</f>
        <v/>
      </c>
      <c r="M323" s="76">
        <f>IF($A323="","",SUM(E323:L323))</f>
        <v/>
      </c>
      <c r="N323" s="77">
        <f>IF(ISNUMBER(D323),M323*D323,"")</f>
        <v/>
      </c>
      <c r="O323" s="78">
        <f>MRP!M2236</f>
        <v/>
      </c>
    </row>
    <row r="324">
      <c r="A324" s="73">
        <f>IF(Materiales!$A$323="","",Materiales!$A$323)</f>
        <v/>
      </c>
      <c r="B324" s="60">
        <f>IF(Materiales!$B$323="","",Materiales!$B$323)</f>
        <v/>
      </c>
      <c r="C324" s="73">
        <f>IF(Materiales!$C$323="","",Materiales!$C$323)</f>
        <v/>
      </c>
      <c r="D324" s="74">
        <f>IF(Materiales!$D$323="","",Materiales!$D$323)</f>
        <v/>
      </c>
      <c r="E324" s="75">
        <f>IF($A324="","",MRP!E2243)</f>
        <v/>
      </c>
      <c r="F324" s="75">
        <f>IF($A324="","",MRP!F2243)</f>
        <v/>
      </c>
      <c r="G324" s="75">
        <f>IF($A324="","",MRP!G2243)</f>
        <v/>
      </c>
      <c r="H324" s="75">
        <f>IF($A324="","",MRP!H2243)</f>
        <v/>
      </c>
      <c r="I324" s="75">
        <f>IF($A324="","",MRP!I2243)</f>
        <v/>
      </c>
      <c r="J324" s="75">
        <f>IF($A324="","",MRP!J2243)</f>
        <v/>
      </c>
      <c r="K324" s="75">
        <f>IF($A324="","",MRP!K2243)</f>
        <v/>
      </c>
      <c r="L324" s="75">
        <f>IF($A324="","",MRP!L2243)</f>
        <v/>
      </c>
      <c r="M324" s="76">
        <f>IF($A324="","",SUM(E324:L324))</f>
        <v/>
      </c>
      <c r="N324" s="77">
        <f>IF(ISNUMBER(D324),M324*D324,"")</f>
        <v/>
      </c>
      <c r="O324" s="78">
        <f>MRP!M2243</f>
        <v/>
      </c>
    </row>
    <row r="325">
      <c r="A325" s="73">
        <f>IF(Materiales!$A$324="","",Materiales!$A$324)</f>
        <v/>
      </c>
      <c r="B325" s="60">
        <f>IF(Materiales!$B$324="","",Materiales!$B$324)</f>
        <v/>
      </c>
      <c r="C325" s="73">
        <f>IF(Materiales!$C$324="","",Materiales!$C$324)</f>
        <v/>
      </c>
      <c r="D325" s="74">
        <f>IF(Materiales!$D$324="","",Materiales!$D$324)</f>
        <v/>
      </c>
      <c r="E325" s="75">
        <f>IF($A325="","",MRP!E2250)</f>
        <v/>
      </c>
      <c r="F325" s="75">
        <f>IF($A325="","",MRP!F2250)</f>
        <v/>
      </c>
      <c r="G325" s="75">
        <f>IF($A325="","",MRP!G2250)</f>
        <v/>
      </c>
      <c r="H325" s="75">
        <f>IF($A325="","",MRP!H2250)</f>
        <v/>
      </c>
      <c r="I325" s="75">
        <f>IF($A325="","",MRP!I2250)</f>
        <v/>
      </c>
      <c r="J325" s="75">
        <f>IF($A325="","",MRP!J2250)</f>
        <v/>
      </c>
      <c r="K325" s="75">
        <f>IF($A325="","",MRP!K2250)</f>
        <v/>
      </c>
      <c r="L325" s="75">
        <f>IF($A325="","",MRP!L2250)</f>
        <v/>
      </c>
      <c r="M325" s="76">
        <f>IF($A325="","",SUM(E325:L325))</f>
        <v/>
      </c>
      <c r="N325" s="77">
        <f>IF(ISNUMBER(D325),M325*D325,"")</f>
        <v/>
      </c>
      <c r="O325" s="78">
        <f>MRP!M2250</f>
        <v/>
      </c>
    </row>
    <row r="326">
      <c r="A326" s="73">
        <f>IF(Materiales!$A$325="","",Materiales!$A$325)</f>
        <v/>
      </c>
      <c r="B326" s="60">
        <f>IF(Materiales!$B$325="","",Materiales!$B$325)</f>
        <v/>
      </c>
      <c r="C326" s="73">
        <f>IF(Materiales!$C$325="","",Materiales!$C$325)</f>
        <v/>
      </c>
      <c r="D326" s="74">
        <f>IF(Materiales!$D$325="","",Materiales!$D$325)</f>
        <v/>
      </c>
      <c r="E326" s="75">
        <f>IF($A326="","",MRP!E2257)</f>
        <v/>
      </c>
      <c r="F326" s="75">
        <f>IF($A326="","",MRP!F2257)</f>
        <v/>
      </c>
      <c r="G326" s="75">
        <f>IF($A326="","",MRP!G2257)</f>
        <v/>
      </c>
      <c r="H326" s="75">
        <f>IF($A326="","",MRP!H2257)</f>
        <v/>
      </c>
      <c r="I326" s="75">
        <f>IF($A326="","",MRP!I2257)</f>
        <v/>
      </c>
      <c r="J326" s="75">
        <f>IF($A326="","",MRP!J2257)</f>
        <v/>
      </c>
      <c r="K326" s="75">
        <f>IF($A326="","",MRP!K2257)</f>
        <v/>
      </c>
      <c r="L326" s="75">
        <f>IF($A326="","",MRP!L2257)</f>
        <v/>
      </c>
      <c r="M326" s="76">
        <f>IF($A326="","",SUM(E326:L326))</f>
        <v/>
      </c>
      <c r="N326" s="77">
        <f>IF(ISNUMBER(D326),M326*D326,"")</f>
        <v/>
      </c>
      <c r="O326" s="78">
        <f>MRP!M2257</f>
        <v/>
      </c>
    </row>
    <row r="327">
      <c r="A327" s="73">
        <f>IF(Materiales!$A$326="","",Materiales!$A$326)</f>
        <v/>
      </c>
      <c r="B327" s="60">
        <f>IF(Materiales!$B$326="","",Materiales!$B$326)</f>
        <v/>
      </c>
      <c r="C327" s="73">
        <f>IF(Materiales!$C$326="","",Materiales!$C$326)</f>
        <v/>
      </c>
      <c r="D327" s="74">
        <f>IF(Materiales!$D$326="","",Materiales!$D$326)</f>
        <v/>
      </c>
      <c r="E327" s="75">
        <f>IF($A327="","",MRP!E2264)</f>
        <v/>
      </c>
      <c r="F327" s="75">
        <f>IF($A327="","",MRP!F2264)</f>
        <v/>
      </c>
      <c r="G327" s="75">
        <f>IF($A327="","",MRP!G2264)</f>
        <v/>
      </c>
      <c r="H327" s="75">
        <f>IF($A327="","",MRP!H2264)</f>
        <v/>
      </c>
      <c r="I327" s="75">
        <f>IF($A327="","",MRP!I2264)</f>
        <v/>
      </c>
      <c r="J327" s="75">
        <f>IF($A327="","",MRP!J2264)</f>
        <v/>
      </c>
      <c r="K327" s="75">
        <f>IF($A327="","",MRP!K2264)</f>
        <v/>
      </c>
      <c r="L327" s="75">
        <f>IF($A327="","",MRP!L2264)</f>
        <v/>
      </c>
      <c r="M327" s="76">
        <f>IF($A327="","",SUM(E327:L327))</f>
        <v/>
      </c>
      <c r="N327" s="77">
        <f>IF(ISNUMBER(D327),M327*D327,"")</f>
        <v/>
      </c>
      <c r="O327" s="78">
        <f>MRP!M2264</f>
        <v/>
      </c>
    </row>
    <row r="328">
      <c r="A328" s="73">
        <f>IF(Materiales!$A$327="","",Materiales!$A$327)</f>
        <v/>
      </c>
      <c r="B328" s="60">
        <f>IF(Materiales!$B$327="","",Materiales!$B$327)</f>
        <v/>
      </c>
      <c r="C328" s="73">
        <f>IF(Materiales!$C$327="","",Materiales!$C$327)</f>
        <v/>
      </c>
      <c r="D328" s="74">
        <f>IF(Materiales!$D$327="","",Materiales!$D$327)</f>
        <v/>
      </c>
      <c r="E328" s="75">
        <f>IF($A328="","",MRP!E2271)</f>
        <v/>
      </c>
      <c r="F328" s="75">
        <f>IF($A328="","",MRP!F2271)</f>
        <v/>
      </c>
      <c r="G328" s="75">
        <f>IF($A328="","",MRP!G2271)</f>
        <v/>
      </c>
      <c r="H328" s="75">
        <f>IF($A328="","",MRP!H2271)</f>
        <v/>
      </c>
      <c r="I328" s="75">
        <f>IF($A328="","",MRP!I2271)</f>
        <v/>
      </c>
      <c r="J328" s="75">
        <f>IF($A328="","",MRP!J2271)</f>
        <v/>
      </c>
      <c r="K328" s="75">
        <f>IF($A328="","",MRP!K2271)</f>
        <v/>
      </c>
      <c r="L328" s="75">
        <f>IF($A328="","",MRP!L2271)</f>
        <v/>
      </c>
      <c r="M328" s="76">
        <f>IF($A328="","",SUM(E328:L328))</f>
        <v/>
      </c>
      <c r="N328" s="77">
        <f>IF(ISNUMBER(D328),M328*D328,"")</f>
        <v/>
      </c>
      <c r="O328" s="78">
        <f>MRP!M2271</f>
        <v/>
      </c>
    </row>
    <row r="329">
      <c r="A329" s="73">
        <f>IF(Materiales!$A$328="","",Materiales!$A$328)</f>
        <v/>
      </c>
      <c r="B329" s="60">
        <f>IF(Materiales!$B$328="","",Materiales!$B$328)</f>
        <v/>
      </c>
      <c r="C329" s="73">
        <f>IF(Materiales!$C$328="","",Materiales!$C$328)</f>
        <v/>
      </c>
      <c r="D329" s="74">
        <f>IF(Materiales!$D$328="","",Materiales!$D$328)</f>
        <v/>
      </c>
      <c r="E329" s="75">
        <f>IF($A329="","",MRP!E2278)</f>
        <v/>
      </c>
      <c r="F329" s="75">
        <f>IF($A329="","",MRP!F2278)</f>
        <v/>
      </c>
      <c r="G329" s="75">
        <f>IF($A329="","",MRP!G2278)</f>
        <v/>
      </c>
      <c r="H329" s="75">
        <f>IF($A329="","",MRP!H2278)</f>
        <v/>
      </c>
      <c r="I329" s="75">
        <f>IF($A329="","",MRP!I2278)</f>
        <v/>
      </c>
      <c r="J329" s="75">
        <f>IF($A329="","",MRP!J2278)</f>
        <v/>
      </c>
      <c r="K329" s="75">
        <f>IF($A329="","",MRP!K2278)</f>
        <v/>
      </c>
      <c r="L329" s="75">
        <f>IF($A329="","",MRP!L2278)</f>
        <v/>
      </c>
      <c r="M329" s="76">
        <f>IF($A329="","",SUM(E329:L329))</f>
        <v/>
      </c>
      <c r="N329" s="77">
        <f>IF(ISNUMBER(D329),M329*D329,"")</f>
        <v/>
      </c>
      <c r="O329" s="78">
        <f>MRP!M2278</f>
        <v/>
      </c>
    </row>
    <row r="330">
      <c r="A330" s="73">
        <f>IF(Materiales!$A$329="","",Materiales!$A$329)</f>
        <v/>
      </c>
      <c r="B330" s="60">
        <f>IF(Materiales!$B$329="","",Materiales!$B$329)</f>
        <v/>
      </c>
      <c r="C330" s="73">
        <f>IF(Materiales!$C$329="","",Materiales!$C$329)</f>
        <v/>
      </c>
      <c r="D330" s="74">
        <f>IF(Materiales!$D$329="","",Materiales!$D$329)</f>
        <v/>
      </c>
      <c r="E330" s="75">
        <f>IF($A330="","",MRP!E2285)</f>
        <v/>
      </c>
      <c r="F330" s="75">
        <f>IF($A330="","",MRP!F2285)</f>
        <v/>
      </c>
      <c r="G330" s="75">
        <f>IF($A330="","",MRP!G2285)</f>
        <v/>
      </c>
      <c r="H330" s="75">
        <f>IF($A330="","",MRP!H2285)</f>
        <v/>
      </c>
      <c r="I330" s="75">
        <f>IF($A330="","",MRP!I2285)</f>
        <v/>
      </c>
      <c r="J330" s="75">
        <f>IF($A330="","",MRP!J2285)</f>
        <v/>
      </c>
      <c r="K330" s="75">
        <f>IF($A330="","",MRP!K2285)</f>
        <v/>
      </c>
      <c r="L330" s="75">
        <f>IF($A330="","",MRP!L2285)</f>
        <v/>
      </c>
      <c r="M330" s="76">
        <f>IF($A330="","",SUM(E330:L330))</f>
        <v/>
      </c>
      <c r="N330" s="77">
        <f>IF(ISNUMBER(D330),M330*D330,"")</f>
        <v/>
      </c>
      <c r="O330" s="78">
        <f>MRP!M2285</f>
        <v/>
      </c>
    </row>
    <row r="331">
      <c r="A331" s="73">
        <f>IF(Materiales!$A$330="","",Materiales!$A$330)</f>
        <v/>
      </c>
      <c r="B331" s="60">
        <f>IF(Materiales!$B$330="","",Materiales!$B$330)</f>
        <v/>
      </c>
      <c r="C331" s="73">
        <f>IF(Materiales!$C$330="","",Materiales!$C$330)</f>
        <v/>
      </c>
      <c r="D331" s="74">
        <f>IF(Materiales!$D$330="","",Materiales!$D$330)</f>
        <v/>
      </c>
      <c r="E331" s="75">
        <f>IF($A331="","",MRP!E2292)</f>
        <v/>
      </c>
      <c r="F331" s="75">
        <f>IF($A331="","",MRP!F2292)</f>
        <v/>
      </c>
      <c r="G331" s="75">
        <f>IF($A331="","",MRP!G2292)</f>
        <v/>
      </c>
      <c r="H331" s="75">
        <f>IF($A331="","",MRP!H2292)</f>
        <v/>
      </c>
      <c r="I331" s="75">
        <f>IF($A331="","",MRP!I2292)</f>
        <v/>
      </c>
      <c r="J331" s="75">
        <f>IF($A331="","",MRP!J2292)</f>
        <v/>
      </c>
      <c r="K331" s="75">
        <f>IF($A331="","",MRP!K2292)</f>
        <v/>
      </c>
      <c r="L331" s="75">
        <f>IF($A331="","",MRP!L2292)</f>
        <v/>
      </c>
      <c r="M331" s="76">
        <f>IF($A331="","",SUM(E331:L331))</f>
        <v/>
      </c>
      <c r="N331" s="77">
        <f>IF(ISNUMBER(D331),M331*D331,"")</f>
        <v/>
      </c>
      <c r="O331" s="78">
        <f>MRP!M2292</f>
        <v/>
      </c>
    </row>
    <row r="332">
      <c r="A332" s="73">
        <f>IF(Materiales!$A$331="","",Materiales!$A$331)</f>
        <v/>
      </c>
      <c r="B332" s="60">
        <f>IF(Materiales!$B$331="","",Materiales!$B$331)</f>
        <v/>
      </c>
      <c r="C332" s="73">
        <f>IF(Materiales!$C$331="","",Materiales!$C$331)</f>
        <v/>
      </c>
      <c r="D332" s="74">
        <f>IF(Materiales!$D$331="","",Materiales!$D$331)</f>
        <v/>
      </c>
      <c r="E332" s="75">
        <f>IF($A332="","",MRP!E2299)</f>
        <v/>
      </c>
      <c r="F332" s="75">
        <f>IF($A332="","",MRP!F2299)</f>
        <v/>
      </c>
      <c r="G332" s="75">
        <f>IF($A332="","",MRP!G2299)</f>
        <v/>
      </c>
      <c r="H332" s="75">
        <f>IF($A332="","",MRP!H2299)</f>
        <v/>
      </c>
      <c r="I332" s="75">
        <f>IF($A332="","",MRP!I2299)</f>
        <v/>
      </c>
      <c r="J332" s="75">
        <f>IF($A332="","",MRP!J2299)</f>
        <v/>
      </c>
      <c r="K332" s="75">
        <f>IF($A332="","",MRP!K2299)</f>
        <v/>
      </c>
      <c r="L332" s="75">
        <f>IF($A332="","",MRP!L2299)</f>
        <v/>
      </c>
      <c r="M332" s="76">
        <f>IF($A332="","",SUM(E332:L332))</f>
        <v/>
      </c>
      <c r="N332" s="77">
        <f>IF(ISNUMBER(D332),M332*D332,"")</f>
        <v/>
      </c>
      <c r="O332" s="78">
        <f>MRP!M2299</f>
        <v/>
      </c>
    </row>
    <row r="333">
      <c r="A333" s="73">
        <f>IF(Materiales!$A$332="","",Materiales!$A$332)</f>
        <v/>
      </c>
      <c r="B333" s="60">
        <f>IF(Materiales!$B$332="","",Materiales!$B$332)</f>
        <v/>
      </c>
      <c r="C333" s="73">
        <f>IF(Materiales!$C$332="","",Materiales!$C$332)</f>
        <v/>
      </c>
      <c r="D333" s="74">
        <f>IF(Materiales!$D$332="","",Materiales!$D$332)</f>
        <v/>
      </c>
      <c r="E333" s="75">
        <f>IF($A333="","",MRP!E2306)</f>
        <v/>
      </c>
      <c r="F333" s="75">
        <f>IF($A333="","",MRP!F2306)</f>
        <v/>
      </c>
      <c r="G333" s="75">
        <f>IF($A333="","",MRP!G2306)</f>
        <v/>
      </c>
      <c r="H333" s="75">
        <f>IF($A333="","",MRP!H2306)</f>
        <v/>
      </c>
      <c r="I333" s="75">
        <f>IF($A333="","",MRP!I2306)</f>
        <v/>
      </c>
      <c r="J333" s="75">
        <f>IF($A333="","",MRP!J2306)</f>
        <v/>
      </c>
      <c r="K333" s="75">
        <f>IF($A333="","",MRP!K2306)</f>
        <v/>
      </c>
      <c r="L333" s="75">
        <f>IF($A333="","",MRP!L2306)</f>
        <v/>
      </c>
      <c r="M333" s="76">
        <f>IF($A333="","",SUM(E333:L333))</f>
        <v/>
      </c>
      <c r="N333" s="77">
        <f>IF(ISNUMBER(D333),M333*D333,"")</f>
        <v/>
      </c>
      <c r="O333" s="78">
        <f>MRP!M2306</f>
        <v/>
      </c>
    </row>
    <row r="334">
      <c r="A334" s="73">
        <f>IF(Materiales!$A$333="","",Materiales!$A$333)</f>
        <v/>
      </c>
      <c r="B334" s="60">
        <f>IF(Materiales!$B$333="","",Materiales!$B$333)</f>
        <v/>
      </c>
      <c r="C334" s="73">
        <f>IF(Materiales!$C$333="","",Materiales!$C$333)</f>
        <v/>
      </c>
      <c r="D334" s="74">
        <f>IF(Materiales!$D$333="","",Materiales!$D$333)</f>
        <v/>
      </c>
      <c r="E334" s="75">
        <f>IF($A334="","",MRP!E2313)</f>
        <v/>
      </c>
      <c r="F334" s="75">
        <f>IF($A334="","",MRP!F2313)</f>
        <v/>
      </c>
      <c r="G334" s="75">
        <f>IF($A334="","",MRP!G2313)</f>
        <v/>
      </c>
      <c r="H334" s="75">
        <f>IF($A334="","",MRP!H2313)</f>
        <v/>
      </c>
      <c r="I334" s="75">
        <f>IF($A334="","",MRP!I2313)</f>
        <v/>
      </c>
      <c r="J334" s="75">
        <f>IF($A334="","",MRP!J2313)</f>
        <v/>
      </c>
      <c r="K334" s="75">
        <f>IF($A334="","",MRP!K2313)</f>
        <v/>
      </c>
      <c r="L334" s="75">
        <f>IF($A334="","",MRP!L2313)</f>
        <v/>
      </c>
      <c r="M334" s="76">
        <f>IF($A334="","",SUM(E334:L334))</f>
        <v/>
      </c>
      <c r="N334" s="77">
        <f>IF(ISNUMBER(D334),M334*D334,"")</f>
        <v/>
      </c>
      <c r="O334" s="78">
        <f>MRP!M2313</f>
        <v/>
      </c>
    </row>
    <row r="335">
      <c r="A335" s="73">
        <f>IF(Materiales!$A$334="","",Materiales!$A$334)</f>
        <v/>
      </c>
      <c r="B335" s="60">
        <f>IF(Materiales!$B$334="","",Materiales!$B$334)</f>
        <v/>
      </c>
      <c r="C335" s="73">
        <f>IF(Materiales!$C$334="","",Materiales!$C$334)</f>
        <v/>
      </c>
      <c r="D335" s="74">
        <f>IF(Materiales!$D$334="","",Materiales!$D$334)</f>
        <v/>
      </c>
      <c r="E335" s="75">
        <f>IF($A335="","",MRP!E2320)</f>
        <v/>
      </c>
      <c r="F335" s="75">
        <f>IF($A335="","",MRP!F2320)</f>
        <v/>
      </c>
      <c r="G335" s="75">
        <f>IF($A335="","",MRP!G2320)</f>
        <v/>
      </c>
      <c r="H335" s="75">
        <f>IF($A335="","",MRP!H2320)</f>
        <v/>
      </c>
      <c r="I335" s="75">
        <f>IF($A335="","",MRP!I2320)</f>
        <v/>
      </c>
      <c r="J335" s="75">
        <f>IF($A335="","",MRP!J2320)</f>
        <v/>
      </c>
      <c r="K335" s="75">
        <f>IF($A335="","",MRP!K2320)</f>
        <v/>
      </c>
      <c r="L335" s="75">
        <f>IF($A335="","",MRP!L2320)</f>
        <v/>
      </c>
      <c r="M335" s="76">
        <f>IF($A335="","",SUM(E335:L335))</f>
        <v/>
      </c>
      <c r="N335" s="77">
        <f>IF(ISNUMBER(D335),M335*D335,"")</f>
        <v/>
      </c>
      <c r="O335" s="78">
        <f>MRP!M2320</f>
        <v/>
      </c>
    </row>
    <row r="336">
      <c r="A336" s="73">
        <f>IF(Materiales!$A$335="","",Materiales!$A$335)</f>
        <v/>
      </c>
      <c r="B336" s="60">
        <f>IF(Materiales!$B$335="","",Materiales!$B$335)</f>
        <v/>
      </c>
      <c r="C336" s="73">
        <f>IF(Materiales!$C$335="","",Materiales!$C$335)</f>
        <v/>
      </c>
      <c r="D336" s="74">
        <f>IF(Materiales!$D$335="","",Materiales!$D$335)</f>
        <v/>
      </c>
      <c r="E336" s="75">
        <f>IF($A336="","",MRP!E2327)</f>
        <v/>
      </c>
      <c r="F336" s="75">
        <f>IF($A336="","",MRP!F2327)</f>
        <v/>
      </c>
      <c r="G336" s="75">
        <f>IF($A336="","",MRP!G2327)</f>
        <v/>
      </c>
      <c r="H336" s="75">
        <f>IF($A336="","",MRP!H2327)</f>
        <v/>
      </c>
      <c r="I336" s="75">
        <f>IF($A336="","",MRP!I2327)</f>
        <v/>
      </c>
      <c r="J336" s="75">
        <f>IF($A336="","",MRP!J2327)</f>
        <v/>
      </c>
      <c r="K336" s="75">
        <f>IF($A336="","",MRP!K2327)</f>
        <v/>
      </c>
      <c r="L336" s="75">
        <f>IF($A336="","",MRP!L2327)</f>
        <v/>
      </c>
      <c r="M336" s="76">
        <f>IF($A336="","",SUM(E336:L336))</f>
        <v/>
      </c>
      <c r="N336" s="77">
        <f>IF(ISNUMBER(D336),M336*D336,"")</f>
        <v/>
      </c>
      <c r="O336" s="78">
        <f>MRP!M2327</f>
        <v/>
      </c>
    </row>
    <row r="337">
      <c r="A337" s="73">
        <f>IF(Materiales!$A$336="","",Materiales!$A$336)</f>
        <v/>
      </c>
      <c r="B337" s="60">
        <f>IF(Materiales!$B$336="","",Materiales!$B$336)</f>
        <v/>
      </c>
      <c r="C337" s="73">
        <f>IF(Materiales!$C$336="","",Materiales!$C$336)</f>
        <v/>
      </c>
      <c r="D337" s="74">
        <f>IF(Materiales!$D$336="","",Materiales!$D$336)</f>
        <v/>
      </c>
      <c r="E337" s="75">
        <f>IF($A337="","",MRP!E2334)</f>
        <v/>
      </c>
      <c r="F337" s="75">
        <f>IF($A337="","",MRP!F2334)</f>
        <v/>
      </c>
      <c r="G337" s="75">
        <f>IF($A337="","",MRP!G2334)</f>
        <v/>
      </c>
      <c r="H337" s="75">
        <f>IF($A337="","",MRP!H2334)</f>
        <v/>
      </c>
      <c r="I337" s="75">
        <f>IF($A337="","",MRP!I2334)</f>
        <v/>
      </c>
      <c r="J337" s="75">
        <f>IF($A337="","",MRP!J2334)</f>
        <v/>
      </c>
      <c r="K337" s="75">
        <f>IF($A337="","",MRP!K2334)</f>
        <v/>
      </c>
      <c r="L337" s="75">
        <f>IF($A337="","",MRP!L2334)</f>
        <v/>
      </c>
      <c r="M337" s="76">
        <f>IF($A337="","",SUM(E337:L337))</f>
        <v/>
      </c>
      <c r="N337" s="77">
        <f>IF(ISNUMBER(D337),M337*D337,"")</f>
        <v/>
      </c>
      <c r="O337" s="78">
        <f>MRP!M2334</f>
        <v/>
      </c>
    </row>
    <row r="338">
      <c r="A338" s="73">
        <f>IF(Materiales!$A$337="","",Materiales!$A$337)</f>
        <v/>
      </c>
      <c r="B338" s="60">
        <f>IF(Materiales!$B$337="","",Materiales!$B$337)</f>
        <v/>
      </c>
      <c r="C338" s="73">
        <f>IF(Materiales!$C$337="","",Materiales!$C$337)</f>
        <v/>
      </c>
      <c r="D338" s="74">
        <f>IF(Materiales!$D$337="","",Materiales!$D$337)</f>
        <v/>
      </c>
      <c r="E338" s="75">
        <f>IF($A338="","",MRP!E2341)</f>
        <v/>
      </c>
      <c r="F338" s="75">
        <f>IF($A338="","",MRP!F2341)</f>
        <v/>
      </c>
      <c r="G338" s="75">
        <f>IF($A338="","",MRP!G2341)</f>
        <v/>
      </c>
      <c r="H338" s="75">
        <f>IF($A338="","",MRP!H2341)</f>
        <v/>
      </c>
      <c r="I338" s="75">
        <f>IF($A338="","",MRP!I2341)</f>
        <v/>
      </c>
      <c r="J338" s="75">
        <f>IF($A338="","",MRP!J2341)</f>
        <v/>
      </c>
      <c r="K338" s="75">
        <f>IF($A338="","",MRP!K2341)</f>
        <v/>
      </c>
      <c r="L338" s="75">
        <f>IF($A338="","",MRP!L2341)</f>
        <v/>
      </c>
      <c r="M338" s="76">
        <f>IF($A338="","",SUM(E338:L338))</f>
        <v/>
      </c>
      <c r="N338" s="77">
        <f>IF(ISNUMBER(D338),M338*D338,"")</f>
        <v/>
      </c>
      <c r="O338" s="78">
        <f>MRP!M2341</f>
        <v/>
      </c>
    </row>
    <row r="339">
      <c r="A339" s="73">
        <f>IF(Materiales!$A$338="","",Materiales!$A$338)</f>
        <v/>
      </c>
      <c r="B339" s="60">
        <f>IF(Materiales!$B$338="","",Materiales!$B$338)</f>
        <v/>
      </c>
      <c r="C339" s="73">
        <f>IF(Materiales!$C$338="","",Materiales!$C$338)</f>
        <v/>
      </c>
      <c r="D339" s="74">
        <f>IF(Materiales!$D$338="","",Materiales!$D$338)</f>
        <v/>
      </c>
      <c r="E339" s="75">
        <f>IF($A339="","",MRP!E2348)</f>
        <v/>
      </c>
      <c r="F339" s="75">
        <f>IF($A339="","",MRP!F2348)</f>
        <v/>
      </c>
      <c r="G339" s="75">
        <f>IF($A339="","",MRP!G2348)</f>
        <v/>
      </c>
      <c r="H339" s="75">
        <f>IF($A339="","",MRP!H2348)</f>
        <v/>
      </c>
      <c r="I339" s="75">
        <f>IF($A339="","",MRP!I2348)</f>
        <v/>
      </c>
      <c r="J339" s="75">
        <f>IF($A339="","",MRP!J2348)</f>
        <v/>
      </c>
      <c r="K339" s="75">
        <f>IF($A339="","",MRP!K2348)</f>
        <v/>
      </c>
      <c r="L339" s="75">
        <f>IF($A339="","",MRP!L2348)</f>
        <v/>
      </c>
      <c r="M339" s="76">
        <f>IF($A339="","",SUM(E339:L339))</f>
        <v/>
      </c>
      <c r="N339" s="77">
        <f>IF(ISNUMBER(D339),M339*D339,"")</f>
        <v/>
      </c>
      <c r="O339" s="78">
        <f>MRP!M2348</f>
        <v/>
      </c>
    </row>
    <row r="340">
      <c r="A340" s="73">
        <f>IF(Materiales!$A$339="","",Materiales!$A$339)</f>
        <v/>
      </c>
      <c r="B340" s="60">
        <f>IF(Materiales!$B$339="","",Materiales!$B$339)</f>
        <v/>
      </c>
      <c r="C340" s="73">
        <f>IF(Materiales!$C$339="","",Materiales!$C$339)</f>
        <v/>
      </c>
      <c r="D340" s="74">
        <f>IF(Materiales!$D$339="","",Materiales!$D$339)</f>
        <v/>
      </c>
      <c r="E340" s="75">
        <f>IF($A340="","",MRP!E2355)</f>
        <v/>
      </c>
      <c r="F340" s="75">
        <f>IF($A340="","",MRP!F2355)</f>
        <v/>
      </c>
      <c r="G340" s="75">
        <f>IF($A340="","",MRP!G2355)</f>
        <v/>
      </c>
      <c r="H340" s="75">
        <f>IF($A340="","",MRP!H2355)</f>
        <v/>
      </c>
      <c r="I340" s="75">
        <f>IF($A340="","",MRP!I2355)</f>
        <v/>
      </c>
      <c r="J340" s="75">
        <f>IF($A340="","",MRP!J2355)</f>
        <v/>
      </c>
      <c r="K340" s="75">
        <f>IF($A340="","",MRP!K2355)</f>
        <v/>
      </c>
      <c r="L340" s="75">
        <f>IF($A340="","",MRP!L2355)</f>
        <v/>
      </c>
      <c r="M340" s="76">
        <f>IF($A340="","",SUM(E340:L340))</f>
        <v/>
      </c>
      <c r="N340" s="77">
        <f>IF(ISNUMBER(D340),M340*D340,"")</f>
        <v/>
      </c>
      <c r="O340" s="78">
        <f>MRP!M2355</f>
        <v/>
      </c>
    </row>
    <row r="341">
      <c r="A341" s="73">
        <f>IF(Materiales!$A$340="","",Materiales!$A$340)</f>
        <v/>
      </c>
      <c r="B341" s="60">
        <f>IF(Materiales!$B$340="","",Materiales!$B$340)</f>
        <v/>
      </c>
      <c r="C341" s="73">
        <f>IF(Materiales!$C$340="","",Materiales!$C$340)</f>
        <v/>
      </c>
      <c r="D341" s="74">
        <f>IF(Materiales!$D$340="","",Materiales!$D$340)</f>
        <v/>
      </c>
      <c r="E341" s="75">
        <f>IF($A341="","",MRP!E2362)</f>
        <v/>
      </c>
      <c r="F341" s="75">
        <f>IF($A341="","",MRP!F2362)</f>
        <v/>
      </c>
      <c r="G341" s="75">
        <f>IF($A341="","",MRP!G2362)</f>
        <v/>
      </c>
      <c r="H341" s="75">
        <f>IF($A341="","",MRP!H2362)</f>
        <v/>
      </c>
      <c r="I341" s="75">
        <f>IF($A341="","",MRP!I2362)</f>
        <v/>
      </c>
      <c r="J341" s="75">
        <f>IF($A341="","",MRP!J2362)</f>
        <v/>
      </c>
      <c r="K341" s="75">
        <f>IF($A341="","",MRP!K2362)</f>
        <v/>
      </c>
      <c r="L341" s="75">
        <f>IF($A341="","",MRP!L2362)</f>
        <v/>
      </c>
      <c r="M341" s="76">
        <f>IF($A341="","",SUM(E341:L341))</f>
        <v/>
      </c>
      <c r="N341" s="77">
        <f>IF(ISNUMBER(D341),M341*D341,"")</f>
        <v/>
      </c>
      <c r="O341" s="78">
        <f>MRP!M2362</f>
        <v/>
      </c>
    </row>
    <row r="342">
      <c r="A342" s="73">
        <f>IF(Materiales!$A$341="","",Materiales!$A$341)</f>
        <v/>
      </c>
      <c r="B342" s="60">
        <f>IF(Materiales!$B$341="","",Materiales!$B$341)</f>
        <v/>
      </c>
      <c r="C342" s="73">
        <f>IF(Materiales!$C$341="","",Materiales!$C$341)</f>
        <v/>
      </c>
      <c r="D342" s="74">
        <f>IF(Materiales!$D$341="","",Materiales!$D$341)</f>
        <v/>
      </c>
      <c r="E342" s="75">
        <f>IF($A342="","",MRP!E2369)</f>
        <v/>
      </c>
      <c r="F342" s="75">
        <f>IF($A342="","",MRP!F2369)</f>
        <v/>
      </c>
      <c r="G342" s="75">
        <f>IF($A342="","",MRP!G2369)</f>
        <v/>
      </c>
      <c r="H342" s="75">
        <f>IF($A342="","",MRP!H2369)</f>
        <v/>
      </c>
      <c r="I342" s="75">
        <f>IF($A342="","",MRP!I2369)</f>
        <v/>
      </c>
      <c r="J342" s="75">
        <f>IF($A342="","",MRP!J2369)</f>
        <v/>
      </c>
      <c r="K342" s="75">
        <f>IF($A342="","",MRP!K2369)</f>
        <v/>
      </c>
      <c r="L342" s="75">
        <f>IF($A342="","",MRP!L2369)</f>
        <v/>
      </c>
      <c r="M342" s="76">
        <f>IF($A342="","",SUM(E342:L342))</f>
        <v/>
      </c>
      <c r="N342" s="77">
        <f>IF(ISNUMBER(D342),M342*D342,"")</f>
        <v/>
      </c>
      <c r="O342" s="78">
        <f>MRP!M2369</f>
        <v/>
      </c>
    </row>
    <row r="343">
      <c r="A343" s="73">
        <f>IF(Materiales!$A$342="","",Materiales!$A$342)</f>
        <v/>
      </c>
      <c r="B343" s="60">
        <f>IF(Materiales!$B$342="","",Materiales!$B$342)</f>
        <v/>
      </c>
      <c r="C343" s="73">
        <f>IF(Materiales!$C$342="","",Materiales!$C$342)</f>
        <v/>
      </c>
      <c r="D343" s="74">
        <f>IF(Materiales!$D$342="","",Materiales!$D$342)</f>
        <v/>
      </c>
      <c r="E343" s="75">
        <f>IF($A343="","",MRP!E2376)</f>
        <v/>
      </c>
      <c r="F343" s="75">
        <f>IF($A343="","",MRP!F2376)</f>
        <v/>
      </c>
      <c r="G343" s="75">
        <f>IF($A343="","",MRP!G2376)</f>
        <v/>
      </c>
      <c r="H343" s="75">
        <f>IF($A343="","",MRP!H2376)</f>
        <v/>
      </c>
      <c r="I343" s="75">
        <f>IF($A343="","",MRP!I2376)</f>
        <v/>
      </c>
      <c r="J343" s="75">
        <f>IF($A343="","",MRP!J2376)</f>
        <v/>
      </c>
      <c r="K343" s="75">
        <f>IF($A343="","",MRP!K2376)</f>
        <v/>
      </c>
      <c r="L343" s="75">
        <f>IF($A343="","",MRP!L2376)</f>
        <v/>
      </c>
      <c r="M343" s="76">
        <f>IF($A343="","",SUM(E343:L343))</f>
        <v/>
      </c>
      <c r="N343" s="77">
        <f>IF(ISNUMBER(D343),M343*D343,"")</f>
        <v/>
      </c>
      <c r="O343" s="78">
        <f>MRP!M2376</f>
        <v/>
      </c>
    </row>
    <row r="344">
      <c r="A344" s="73">
        <f>IF(Materiales!$A$343="","",Materiales!$A$343)</f>
        <v/>
      </c>
      <c r="B344" s="60">
        <f>IF(Materiales!$B$343="","",Materiales!$B$343)</f>
        <v/>
      </c>
      <c r="C344" s="73">
        <f>IF(Materiales!$C$343="","",Materiales!$C$343)</f>
        <v/>
      </c>
      <c r="D344" s="74">
        <f>IF(Materiales!$D$343="","",Materiales!$D$343)</f>
        <v/>
      </c>
      <c r="E344" s="75">
        <f>IF($A344="","",MRP!E2383)</f>
        <v/>
      </c>
      <c r="F344" s="75">
        <f>IF($A344="","",MRP!F2383)</f>
        <v/>
      </c>
      <c r="G344" s="75">
        <f>IF($A344="","",MRP!G2383)</f>
        <v/>
      </c>
      <c r="H344" s="75">
        <f>IF($A344="","",MRP!H2383)</f>
        <v/>
      </c>
      <c r="I344" s="75">
        <f>IF($A344="","",MRP!I2383)</f>
        <v/>
      </c>
      <c r="J344" s="75">
        <f>IF($A344="","",MRP!J2383)</f>
        <v/>
      </c>
      <c r="K344" s="75">
        <f>IF($A344="","",MRP!K2383)</f>
        <v/>
      </c>
      <c r="L344" s="75">
        <f>IF($A344="","",MRP!L2383)</f>
        <v/>
      </c>
      <c r="M344" s="76">
        <f>IF($A344="","",SUM(E344:L344))</f>
        <v/>
      </c>
      <c r="N344" s="77">
        <f>IF(ISNUMBER(D344),M344*D344,"")</f>
        <v/>
      </c>
      <c r="O344" s="78">
        <f>MRP!M2383</f>
        <v/>
      </c>
    </row>
    <row r="345">
      <c r="A345" s="73">
        <f>IF(Materiales!$A$344="","",Materiales!$A$344)</f>
        <v/>
      </c>
      <c r="B345" s="60">
        <f>IF(Materiales!$B$344="","",Materiales!$B$344)</f>
        <v/>
      </c>
      <c r="C345" s="73">
        <f>IF(Materiales!$C$344="","",Materiales!$C$344)</f>
        <v/>
      </c>
      <c r="D345" s="74">
        <f>IF(Materiales!$D$344="","",Materiales!$D$344)</f>
        <v/>
      </c>
      <c r="E345" s="75">
        <f>IF($A345="","",MRP!E2390)</f>
        <v/>
      </c>
      <c r="F345" s="75">
        <f>IF($A345="","",MRP!F2390)</f>
        <v/>
      </c>
      <c r="G345" s="75">
        <f>IF($A345="","",MRP!G2390)</f>
        <v/>
      </c>
      <c r="H345" s="75">
        <f>IF($A345="","",MRP!H2390)</f>
        <v/>
      </c>
      <c r="I345" s="75">
        <f>IF($A345="","",MRP!I2390)</f>
        <v/>
      </c>
      <c r="J345" s="75">
        <f>IF($A345="","",MRP!J2390)</f>
        <v/>
      </c>
      <c r="K345" s="75">
        <f>IF($A345="","",MRP!K2390)</f>
        <v/>
      </c>
      <c r="L345" s="75">
        <f>IF($A345="","",MRP!L2390)</f>
        <v/>
      </c>
      <c r="M345" s="76">
        <f>IF($A345="","",SUM(E345:L345))</f>
        <v/>
      </c>
      <c r="N345" s="77">
        <f>IF(ISNUMBER(D345),M345*D345,"")</f>
        <v/>
      </c>
      <c r="O345" s="78">
        <f>MRP!M2390</f>
        <v/>
      </c>
    </row>
    <row r="346">
      <c r="A346" s="73">
        <f>IF(Materiales!$A$345="","",Materiales!$A$345)</f>
        <v/>
      </c>
      <c r="B346" s="60">
        <f>IF(Materiales!$B$345="","",Materiales!$B$345)</f>
        <v/>
      </c>
      <c r="C346" s="73">
        <f>IF(Materiales!$C$345="","",Materiales!$C$345)</f>
        <v/>
      </c>
      <c r="D346" s="74">
        <f>IF(Materiales!$D$345="","",Materiales!$D$345)</f>
        <v/>
      </c>
      <c r="E346" s="75">
        <f>IF($A346="","",MRP!E2397)</f>
        <v/>
      </c>
      <c r="F346" s="75">
        <f>IF($A346="","",MRP!F2397)</f>
        <v/>
      </c>
      <c r="G346" s="75">
        <f>IF($A346="","",MRP!G2397)</f>
        <v/>
      </c>
      <c r="H346" s="75">
        <f>IF($A346="","",MRP!H2397)</f>
        <v/>
      </c>
      <c r="I346" s="75">
        <f>IF($A346="","",MRP!I2397)</f>
        <v/>
      </c>
      <c r="J346" s="75">
        <f>IF($A346="","",MRP!J2397)</f>
        <v/>
      </c>
      <c r="K346" s="75">
        <f>IF($A346="","",MRP!K2397)</f>
        <v/>
      </c>
      <c r="L346" s="75">
        <f>IF($A346="","",MRP!L2397)</f>
        <v/>
      </c>
      <c r="M346" s="76">
        <f>IF($A346="","",SUM(E346:L346))</f>
        <v/>
      </c>
      <c r="N346" s="77">
        <f>IF(ISNUMBER(D346),M346*D346,"")</f>
        <v/>
      </c>
      <c r="O346" s="78">
        <f>MRP!M2397</f>
        <v/>
      </c>
    </row>
    <row r="347">
      <c r="A347" s="73">
        <f>IF(Materiales!$A$346="","",Materiales!$A$346)</f>
        <v/>
      </c>
      <c r="B347" s="60">
        <f>IF(Materiales!$B$346="","",Materiales!$B$346)</f>
        <v/>
      </c>
      <c r="C347" s="73">
        <f>IF(Materiales!$C$346="","",Materiales!$C$346)</f>
        <v/>
      </c>
      <c r="D347" s="74">
        <f>IF(Materiales!$D$346="","",Materiales!$D$346)</f>
        <v/>
      </c>
      <c r="E347" s="75">
        <f>IF($A347="","",MRP!E2404)</f>
        <v/>
      </c>
      <c r="F347" s="75">
        <f>IF($A347="","",MRP!F2404)</f>
        <v/>
      </c>
      <c r="G347" s="75">
        <f>IF($A347="","",MRP!G2404)</f>
        <v/>
      </c>
      <c r="H347" s="75">
        <f>IF($A347="","",MRP!H2404)</f>
        <v/>
      </c>
      <c r="I347" s="75">
        <f>IF($A347="","",MRP!I2404)</f>
        <v/>
      </c>
      <c r="J347" s="75">
        <f>IF($A347="","",MRP!J2404)</f>
        <v/>
      </c>
      <c r="K347" s="75">
        <f>IF($A347="","",MRP!K2404)</f>
        <v/>
      </c>
      <c r="L347" s="75">
        <f>IF($A347="","",MRP!L2404)</f>
        <v/>
      </c>
      <c r="M347" s="76">
        <f>IF($A347="","",SUM(E347:L347))</f>
        <v/>
      </c>
      <c r="N347" s="77">
        <f>IF(ISNUMBER(D347),M347*D347,"")</f>
        <v/>
      </c>
      <c r="O347" s="78">
        <f>MRP!M2404</f>
        <v/>
      </c>
    </row>
    <row r="348">
      <c r="A348" s="73">
        <f>IF(Materiales!$A$347="","",Materiales!$A$347)</f>
        <v/>
      </c>
      <c r="B348" s="60">
        <f>IF(Materiales!$B$347="","",Materiales!$B$347)</f>
        <v/>
      </c>
      <c r="C348" s="73">
        <f>IF(Materiales!$C$347="","",Materiales!$C$347)</f>
        <v/>
      </c>
      <c r="D348" s="74">
        <f>IF(Materiales!$D$347="","",Materiales!$D$347)</f>
        <v/>
      </c>
      <c r="E348" s="75">
        <f>IF($A348="","",MRP!E2411)</f>
        <v/>
      </c>
      <c r="F348" s="75">
        <f>IF($A348="","",MRP!F2411)</f>
        <v/>
      </c>
      <c r="G348" s="75">
        <f>IF($A348="","",MRP!G2411)</f>
        <v/>
      </c>
      <c r="H348" s="75">
        <f>IF($A348="","",MRP!H2411)</f>
        <v/>
      </c>
      <c r="I348" s="75">
        <f>IF($A348="","",MRP!I2411)</f>
        <v/>
      </c>
      <c r="J348" s="75">
        <f>IF($A348="","",MRP!J2411)</f>
        <v/>
      </c>
      <c r="K348" s="75">
        <f>IF($A348="","",MRP!K2411)</f>
        <v/>
      </c>
      <c r="L348" s="75">
        <f>IF($A348="","",MRP!L2411)</f>
        <v/>
      </c>
      <c r="M348" s="76">
        <f>IF($A348="","",SUM(E348:L348))</f>
        <v/>
      </c>
      <c r="N348" s="77">
        <f>IF(ISNUMBER(D348),M348*D348,"")</f>
        <v/>
      </c>
      <c r="O348" s="78">
        <f>MRP!M2411</f>
        <v/>
      </c>
    </row>
    <row r="349">
      <c r="A349" s="73">
        <f>IF(Materiales!$A$348="","",Materiales!$A$348)</f>
        <v/>
      </c>
      <c r="B349" s="60">
        <f>IF(Materiales!$B$348="","",Materiales!$B$348)</f>
        <v/>
      </c>
      <c r="C349" s="73">
        <f>IF(Materiales!$C$348="","",Materiales!$C$348)</f>
        <v/>
      </c>
      <c r="D349" s="74">
        <f>IF(Materiales!$D$348="","",Materiales!$D$348)</f>
        <v/>
      </c>
      <c r="E349" s="75">
        <f>IF($A349="","",MRP!E2418)</f>
        <v/>
      </c>
      <c r="F349" s="75">
        <f>IF($A349="","",MRP!F2418)</f>
        <v/>
      </c>
      <c r="G349" s="75">
        <f>IF($A349="","",MRP!G2418)</f>
        <v/>
      </c>
      <c r="H349" s="75">
        <f>IF($A349="","",MRP!H2418)</f>
        <v/>
      </c>
      <c r="I349" s="75">
        <f>IF($A349="","",MRP!I2418)</f>
        <v/>
      </c>
      <c r="J349" s="75">
        <f>IF($A349="","",MRP!J2418)</f>
        <v/>
      </c>
      <c r="K349" s="75">
        <f>IF($A349="","",MRP!K2418)</f>
        <v/>
      </c>
      <c r="L349" s="75">
        <f>IF($A349="","",MRP!L2418)</f>
        <v/>
      </c>
      <c r="M349" s="76">
        <f>IF($A349="","",SUM(E349:L349))</f>
        <v/>
      </c>
      <c r="N349" s="77">
        <f>IF(ISNUMBER(D349),M349*D349,"")</f>
        <v/>
      </c>
      <c r="O349" s="78">
        <f>MRP!M2418</f>
        <v/>
      </c>
    </row>
    <row r="350">
      <c r="A350" s="73">
        <f>IF(Materiales!$A$349="","",Materiales!$A$349)</f>
        <v/>
      </c>
      <c r="B350" s="60">
        <f>IF(Materiales!$B$349="","",Materiales!$B$349)</f>
        <v/>
      </c>
      <c r="C350" s="73">
        <f>IF(Materiales!$C$349="","",Materiales!$C$349)</f>
        <v/>
      </c>
      <c r="D350" s="74">
        <f>IF(Materiales!$D$349="","",Materiales!$D$349)</f>
        <v/>
      </c>
      <c r="E350" s="75">
        <f>IF($A350="","",MRP!E2425)</f>
        <v/>
      </c>
      <c r="F350" s="75">
        <f>IF($A350="","",MRP!F2425)</f>
        <v/>
      </c>
      <c r="G350" s="75">
        <f>IF($A350="","",MRP!G2425)</f>
        <v/>
      </c>
      <c r="H350" s="75">
        <f>IF($A350="","",MRP!H2425)</f>
        <v/>
      </c>
      <c r="I350" s="75">
        <f>IF($A350="","",MRP!I2425)</f>
        <v/>
      </c>
      <c r="J350" s="75">
        <f>IF($A350="","",MRP!J2425)</f>
        <v/>
      </c>
      <c r="K350" s="75">
        <f>IF($A350="","",MRP!K2425)</f>
        <v/>
      </c>
      <c r="L350" s="75">
        <f>IF($A350="","",MRP!L2425)</f>
        <v/>
      </c>
      <c r="M350" s="76">
        <f>IF($A350="","",SUM(E350:L350))</f>
        <v/>
      </c>
      <c r="N350" s="77">
        <f>IF(ISNUMBER(D350),M350*D350,"")</f>
        <v/>
      </c>
      <c r="O350" s="78">
        <f>MRP!M2425</f>
        <v/>
      </c>
    </row>
    <row r="351">
      <c r="A351" s="73">
        <f>IF(Materiales!$A$350="","",Materiales!$A$350)</f>
        <v/>
      </c>
      <c r="B351" s="60">
        <f>IF(Materiales!$B$350="","",Materiales!$B$350)</f>
        <v/>
      </c>
      <c r="C351" s="73">
        <f>IF(Materiales!$C$350="","",Materiales!$C$350)</f>
        <v/>
      </c>
      <c r="D351" s="74">
        <f>IF(Materiales!$D$350="","",Materiales!$D$350)</f>
        <v/>
      </c>
      <c r="E351" s="75">
        <f>IF($A351="","",MRP!E2432)</f>
        <v/>
      </c>
      <c r="F351" s="75">
        <f>IF($A351="","",MRP!F2432)</f>
        <v/>
      </c>
      <c r="G351" s="75">
        <f>IF($A351="","",MRP!G2432)</f>
        <v/>
      </c>
      <c r="H351" s="75">
        <f>IF($A351="","",MRP!H2432)</f>
        <v/>
      </c>
      <c r="I351" s="75">
        <f>IF($A351="","",MRP!I2432)</f>
        <v/>
      </c>
      <c r="J351" s="75">
        <f>IF($A351="","",MRP!J2432)</f>
        <v/>
      </c>
      <c r="K351" s="75">
        <f>IF($A351="","",MRP!K2432)</f>
        <v/>
      </c>
      <c r="L351" s="75">
        <f>IF($A351="","",MRP!L2432)</f>
        <v/>
      </c>
      <c r="M351" s="76">
        <f>IF($A351="","",SUM(E351:L351))</f>
        <v/>
      </c>
      <c r="N351" s="77">
        <f>IF(ISNUMBER(D351),M351*D351,"")</f>
        <v/>
      </c>
      <c r="O351" s="78">
        <f>MRP!M2432</f>
        <v/>
      </c>
    </row>
    <row r="352">
      <c r="A352" s="73">
        <f>IF(Materiales!$A$351="","",Materiales!$A$351)</f>
        <v/>
      </c>
      <c r="B352" s="60">
        <f>IF(Materiales!$B$351="","",Materiales!$B$351)</f>
        <v/>
      </c>
      <c r="C352" s="73">
        <f>IF(Materiales!$C$351="","",Materiales!$C$351)</f>
        <v/>
      </c>
      <c r="D352" s="74">
        <f>IF(Materiales!$D$351="","",Materiales!$D$351)</f>
        <v/>
      </c>
      <c r="E352" s="75">
        <f>IF($A352="","",MRP!E2439)</f>
        <v/>
      </c>
      <c r="F352" s="75">
        <f>IF($A352="","",MRP!F2439)</f>
        <v/>
      </c>
      <c r="G352" s="75">
        <f>IF($A352="","",MRP!G2439)</f>
        <v/>
      </c>
      <c r="H352" s="75">
        <f>IF($A352="","",MRP!H2439)</f>
        <v/>
      </c>
      <c r="I352" s="75">
        <f>IF($A352="","",MRP!I2439)</f>
        <v/>
      </c>
      <c r="J352" s="75">
        <f>IF($A352="","",MRP!J2439)</f>
        <v/>
      </c>
      <c r="K352" s="75">
        <f>IF($A352="","",MRP!K2439)</f>
        <v/>
      </c>
      <c r="L352" s="75">
        <f>IF($A352="","",MRP!L2439)</f>
        <v/>
      </c>
      <c r="M352" s="76">
        <f>IF($A352="","",SUM(E352:L352))</f>
        <v/>
      </c>
      <c r="N352" s="77">
        <f>IF(ISNUMBER(D352),M352*D352,"")</f>
        <v/>
      </c>
      <c r="O352" s="78">
        <f>MRP!M2439</f>
        <v/>
      </c>
    </row>
    <row r="353">
      <c r="A353" s="73">
        <f>IF(Materiales!$A$352="","",Materiales!$A$352)</f>
        <v/>
      </c>
      <c r="B353" s="60">
        <f>IF(Materiales!$B$352="","",Materiales!$B$352)</f>
        <v/>
      </c>
      <c r="C353" s="73">
        <f>IF(Materiales!$C$352="","",Materiales!$C$352)</f>
        <v/>
      </c>
      <c r="D353" s="74">
        <f>IF(Materiales!$D$352="","",Materiales!$D$352)</f>
        <v/>
      </c>
      <c r="E353" s="75">
        <f>IF($A353="","",MRP!E2446)</f>
        <v/>
      </c>
      <c r="F353" s="75">
        <f>IF($A353="","",MRP!F2446)</f>
        <v/>
      </c>
      <c r="G353" s="75">
        <f>IF($A353="","",MRP!G2446)</f>
        <v/>
      </c>
      <c r="H353" s="75">
        <f>IF($A353="","",MRP!H2446)</f>
        <v/>
      </c>
      <c r="I353" s="75">
        <f>IF($A353="","",MRP!I2446)</f>
        <v/>
      </c>
      <c r="J353" s="75">
        <f>IF($A353="","",MRP!J2446)</f>
        <v/>
      </c>
      <c r="K353" s="75">
        <f>IF($A353="","",MRP!K2446)</f>
        <v/>
      </c>
      <c r="L353" s="75">
        <f>IF($A353="","",MRP!L2446)</f>
        <v/>
      </c>
      <c r="M353" s="76">
        <f>IF($A353="","",SUM(E353:L353))</f>
        <v/>
      </c>
      <c r="N353" s="77">
        <f>IF(ISNUMBER(D353),M353*D353,"")</f>
        <v/>
      </c>
      <c r="O353" s="78">
        <f>MRP!M2446</f>
        <v/>
      </c>
    </row>
    <row r="354">
      <c r="A354" s="73">
        <f>IF(Materiales!$A$353="","",Materiales!$A$353)</f>
        <v/>
      </c>
      <c r="B354" s="60">
        <f>IF(Materiales!$B$353="","",Materiales!$B$353)</f>
        <v/>
      </c>
      <c r="C354" s="73">
        <f>IF(Materiales!$C$353="","",Materiales!$C$353)</f>
        <v/>
      </c>
      <c r="D354" s="74">
        <f>IF(Materiales!$D$353="","",Materiales!$D$353)</f>
        <v/>
      </c>
      <c r="E354" s="75">
        <f>IF($A354="","",MRP!E2453)</f>
        <v/>
      </c>
      <c r="F354" s="75">
        <f>IF($A354="","",MRP!F2453)</f>
        <v/>
      </c>
      <c r="G354" s="75">
        <f>IF($A354="","",MRP!G2453)</f>
        <v/>
      </c>
      <c r="H354" s="75">
        <f>IF($A354="","",MRP!H2453)</f>
        <v/>
      </c>
      <c r="I354" s="75">
        <f>IF($A354="","",MRP!I2453)</f>
        <v/>
      </c>
      <c r="J354" s="75">
        <f>IF($A354="","",MRP!J2453)</f>
        <v/>
      </c>
      <c r="K354" s="75">
        <f>IF($A354="","",MRP!K2453)</f>
        <v/>
      </c>
      <c r="L354" s="75">
        <f>IF($A354="","",MRP!L2453)</f>
        <v/>
      </c>
      <c r="M354" s="76">
        <f>IF($A354="","",SUM(E354:L354))</f>
        <v/>
      </c>
      <c r="N354" s="77">
        <f>IF(ISNUMBER(D354),M354*D354,"")</f>
        <v/>
      </c>
      <c r="O354" s="78">
        <f>MRP!M2453</f>
        <v/>
      </c>
    </row>
    <row r="355">
      <c r="A355" s="73">
        <f>IF(Materiales!$A$354="","",Materiales!$A$354)</f>
        <v/>
      </c>
      <c r="B355" s="60">
        <f>IF(Materiales!$B$354="","",Materiales!$B$354)</f>
        <v/>
      </c>
      <c r="C355" s="73">
        <f>IF(Materiales!$C$354="","",Materiales!$C$354)</f>
        <v/>
      </c>
      <c r="D355" s="74">
        <f>IF(Materiales!$D$354="","",Materiales!$D$354)</f>
        <v/>
      </c>
      <c r="E355" s="75">
        <f>IF($A355="","",MRP!E2460)</f>
        <v/>
      </c>
      <c r="F355" s="75">
        <f>IF($A355="","",MRP!F2460)</f>
        <v/>
      </c>
      <c r="G355" s="75">
        <f>IF($A355="","",MRP!G2460)</f>
        <v/>
      </c>
      <c r="H355" s="75">
        <f>IF($A355="","",MRP!H2460)</f>
        <v/>
      </c>
      <c r="I355" s="75">
        <f>IF($A355="","",MRP!I2460)</f>
        <v/>
      </c>
      <c r="J355" s="75">
        <f>IF($A355="","",MRP!J2460)</f>
        <v/>
      </c>
      <c r="K355" s="75">
        <f>IF($A355="","",MRP!K2460)</f>
        <v/>
      </c>
      <c r="L355" s="75">
        <f>IF($A355="","",MRP!L2460)</f>
        <v/>
      </c>
      <c r="M355" s="76">
        <f>IF($A355="","",SUM(E355:L355))</f>
        <v/>
      </c>
      <c r="N355" s="77">
        <f>IF(ISNUMBER(D355),M355*D355,"")</f>
        <v/>
      </c>
      <c r="O355" s="78">
        <f>MRP!M2460</f>
        <v/>
      </c>
    </row>
    <row r="356">
      <c r="A356" s="73">
        <f>IF(Materiales!$A$355="","",Materiales!$A$355)</f>
        <v/>
      </c>
      <c r="B356" s="60">
        <f>IF(Materiales!$B$355="","",Materiales!$B$355)</f>
        <v/>
      </c>
      <c r="C356" s="73">
        <f>IF(Materiales!$C$355="","",Materiales!$C$355)</f>
        <v/>
      </c>
      <c r="D356" s="74">
        <f>IF(Materiales!$D$355="","",Materiales!$D$355)</f>
        <v/>
      </c>
      <c r="E356" s="75">
        <f>IF($A356="","",MRP!E2467)</f>
        <v/>
      </c>
      <c r="F356" s="75">
        <f>IF($A356="","",MRP!F2467)</f>
        <v/>
      </c>
      <c r="G356" s="75">
        <f>IF($A356="","",MRP!G2467)</f>
        <v/>
      </c>
      <c r="H356" s="75">
        <f>IF($A356="","",MRP!H2467)</f>
        <v/>
      </c>
      <c r="I356" s="75">
        <f>IF($A356="","",MRP!I2467)</f>
        <v/>
      </c>
      <c r="J356" s="75">
        <f>IF($A356="","",MRP!J2467)</f>
        <v/>
      </c>
      <c r="K356" s="75">
        <f>IF($A356="","",MRP!K2467)</f>
        <v/>
      </c>
      <c r="L356" s="75">
        <f>IF($A356="","",MRP!L2467)</f>
        <v/>
      </c>
      <c r="M356" s="76">
        <f>IF($A356="","",SUM(E356:L356))</f>
        <v/>
      </c>
      <c r="N356" s="77">
        <f>IF(ISNUMBER(D356),M356*D356,"")</f>
        <v/>
      </c>
      <c r="O356" s="78">
        <f>MRP!M2467</f>
        <v/>
      </c>
    </row>
    <row r="357">
      <c r="A357" s="73">
        <f>IF(Materiales!$A$356="","",Materiales!$A$356)</f>
        <v/>
      </c>
      <c r="B357" s="60">
        <f>IF(Materiales!$B$356="","",Materiales!$B$356)</f>
        <v/>
      </c>
      <c r="C357" s="73">
        <f>IF(Materiales!$C$356="","",Materiales!$C$356)</f>
        <v/>
      </c>
      <c r="D357" s="74">
        <f>IF(Materiales!$D$356="","",Materiales!$D$356)</f>
        <v/>
      </c>
      <c r="E357" s="75">
        <f>IF($A357="","",MRP!E2474)</f>
        <v/>
      </c>
      <c r="F357" s="75">
        <f>IF($A357="","",MRP!F2474)</f>
        <v/>
      </c>
      <c r="G357" s="75">
        <f>IF($A357="","",MRP!G2474)</f>
        <v/>
      </c>
      <c r="H357" s="75">
        <f>IF($A357="","",MRP!H2474)</f>
        <v/>
      </c>
      <c r="I357" s="75">
        <f>IF($A357="","",MRP!I2474)</f>
        <v/>
      </c>
      <c r="J357" s="75">
        <f>IF($A357="","",MRP!J2474)</f>
        <v/>
      </c>
      <c r="K357" s="75">
        <f>IF($A357="","",MRP!K2474)</f>
        <v/>
      </c>
      <c r="L357" s="75">
        <f>IF($A357="","",MRP!L2474)</f>
        <v/>
      </c>
      <c r="M357" s="76">
        <f>IF($A357="","",SUM(E357:L357))</f>
        <v/>
      </c>
      <c r="N357" s="77">
        <f>IF(ISNUMBER(D357),M357*D357,"")</f>
        <v/>
      </c>
      <c r="O357" s="78">
        <f>MRP!M2474</f>
        <v/>
      </c>
    </row>
    <row r="358">
      <c r="A358" s="73">
        <f>IF(Materiales!$A$357="","",Materiales!$A$357)</f>
        <v/>
      </c>
      <c r="B358" s="60">
        <f>IF(Materiales!$B$357="","",Materiales!$B$357)</f>
        <v/>
      </c>
      <c r="C358" s="73">
        <f>IF(Materiales!$C$357="","",Materiales!$C$357)</f>
        <v/>
      </c>
      <c r="D358" s="74">
        <f>IF(Materiales!$D$357="","",Materiales!$D$357)</f>
        <v/>
      </c>
      <c r="E358" s="75">
        <f>IF($A358="","",MRP!E2481)</f>
        <v/>
      </c>
      <c r="F358" s="75">
        <f>IF($A358="","",MRP!F2481)</f>
        <v/>
      </c>
      <c r="G358" s="75">
        <f>IF($A358="","",MRP!G2481)</f>
        <v/>
      </c>
      <c r="H358" s="75">
        <f>IF($A358="","",MRP!H2481)</f>
        <v/>
      </c>
      <c r="I358" s="75">
        <f>IF($A358="","",MRP!I2481)</f>
        <v/>
      </c>
      <c r="J358" s="75">
        <f>IF($A358="","",MRP!J2481)</f>
        <v/>
      </c>
      <c r="K358" s="75">
        <f>IF($A358="","",MRP!K2481)</f>
        <v/>
      </c>
      <c r="L358" s="75">
        <f>IF($A358="","",MRP!L2481)</f>
        <v/>
      </c>
      <c r="M358" s="76">
        <f>IF($A358="","",SUM(E358:L358))</f>
        <v/>
      </c>
      <c r="N358" s="77">
        <f>IF(ISNUMBER(D358),M358*D358,"")</f>
        <v/>
      </c>
      <c r="O358" s="78">
        <f>MRP!M2481</f>
        <v/>
      </c>
    </row>
    <row r="359">
      <c r="A359" s="73">
        <f>IF(Materiales!$A$358="","",Materiales!$A$358)</f>
        <v/>
      </c>
      <c r="B359" s="60">
        <f>IF(Materiales!$B$358="","",Materiales!$B$358)</f>
        <v/>
      </c>
      <c r="C359" s="73">
        <f>IF(Materiales!$C$358="","",Materiales!$C$358)</f>
        <v/>
      </c>
      <c r="D359" s="74">
        <f>IF(Materiales!$D$358="","",Materiales!$D$358)</f>
        <v/>
      </c>
      <c r="E359" s="75">
        <f>IF($A359="","",MRP!E2488)</f>
        <v/>
      </c>
      <c r="F359" s="75">
        <f>IF($A359="","",MRP!F2488)</f>
        <v/>
      </c>
      <c r="G359" s="75">
        <f>IF($A359="","",MRP!G2488)</f>
        <v/>
      </c>
      <c r="H359" s="75">
        <f>IF($A359="","",MRP!H2488)</f>
        <v/>
      </c>
      <c r="I359" s="75">
        <f>IF($A359="","",MRP!I2488)</f>
        <v/>
      </c>
      <c r="J359" s="75">
        <f>IF($A359="","",MRP!J2488)</f>
        <v/>
      </c>
      <c r="K359" s="75">
        <f>IF($A359="","",MRP!K2488)</f>
        <v/>
      </c>
      <c r="L359" s="75">
        <f>IF($A359="","",MRP!L2488)</f>
        <v/>
      </c>
      <c r="M359" s="76">
        <f>IF($A359="","",SUM(E359:L359))</f>
        <v/>
      </c>
      <c r="N359" s="77">
        <f>IF(ISNUMBER(D359),M359*D359,"")</f>
        <v/>
      </c>
      <c r="O359" s="78">
        <f>MRP!M2488</f>
        <v/>
      </c>
    </row>
    <row r="360">
      <c r="A360" s="73">
        <f>IF(Materiales!$A$359="","",Materiales!$A$359)</f>
        <v/>
      </c>
      <c r="B360" s="60">
        <f>IF(Materiales!$B$359="","",Materiales!$B$359)</f>
        <v/>
      </c>
      <c r="C360" s="73">
        <f>IF(Materiales!$C$359="","",Materiales!$C$359)</f>
        <v/>
      </c>
      <c r="D360" s="74">
        <f>IF(Materiales!$D$359="","",Materiales!$D$359)</f>
        <v/>
      </c>
      <c r="E360" s="75">
        <f>IF($A360="","",MRP!E2495)</f>
        <v/>
      </c>
      <c r="F360" s="75">
        <f>IF($A360="","",MRP!F2495)</f>
        <v/>
      </c>
      <c r="G360" s="75">
        <f>IF($A360="","",MRP!G2495)</f>
        <v/>
      </c>
      <c r="H360" s="75">
        <f>IF($A360="","",MRP!H2495)</f>
        <v/>
      </c>
      <c r="I360" s="75">
        <f>IF($A360="","",MRP!I2495)</f>
        <v/>
      </c>
      <c r="J360" s="75">
        <f>IF($A360="","",MRP!J2495)</f>
        <v/>
      </c>
      <c r="K360" s="75">
        <f>IF($A360="","",MRP!K2495)</f>
        <v/>
      </c>
      <c r="L360" s="75">
        <f>IF($A360="","",MRP!L2495)</f>
        <v/>
      </c>
      <c r="M360" s="76">
        <f>IF($A360="","",SUM(E360:L360))</f>
        <v/>
      </c>
      <c r="N360" s="77">
        <f>IF(ISNUMBER(D360),M360*D360,"")</f>
        <v/>
      </c>
      <c r="O360" s="78">
        <f>MRP!M2495</f>
        <v/>
      </c>
    </row>
    <row r="361">
      <c r="A361" s="73">
        <f>IF(Materiales!$A$360="","",Materiales!$A$360)</f>
        <v/>
      </c>
      <c r="B361" s="60">
        <f>IF(Materiales!$B$360="","",Materiales!$B$360)</f>
        <v/>
      </c>
      <c r="C361" s="73">
        <f>IF(Materiales!$C$360="","",Materiales!$C$360)</f>
        <v/>
      </c>
      <c r="D361" s="74">
        <f>IF(Materiales!$D$360="","",Materiales!$D$360)</f>
        <v/>
      </c>
      <c r="E361" s="75">
        <f>IF($A361="","",MRP!E2502)</f>
        <v/>
      </c>
      <c r="F361" s="75">
        <f>IF($A361="","",MRP!F2502)</f>
        <v/>
      </c>
      <c r="G361" s="75">
        <f>IF($A361="","",MRP!G2502)</f>
        <v/>
      </c>
      <c r="H361" s="75">
        <f>IF($A361="","",MRP!H2502)</f>
        <v/>
      </c>
      <c r="I361" s="75">
        <f>IF($A361="","",MRP!I2502)</f>
        <v/>
      </c>
      <c r="J361" s="75">
        <f>IF($A361="","",MRP!J2502)</f>
        <v/>
      </c>
      <c r="K361" s="75">
        <f>IF($A361="","",MRP!K2502)</f>
        <v/>
      </c>
      <c r="L361" s="75">
        <f>IF($A361="","",MRP!L2502)</f>
        <v/>
      </c>
      <c r="M361" s="76">
        <f>IF($A361="","",SUM(E361:L361))</f>
        <v/>
      </c>
      <c r="N361" s="77">
        <f>IF(ISNUMBER(D361),M361*D361,"")</f>
        <v/>
      </c>
      <c r="O361" s="78">
        <f>MRP!M2502</f>
        <v/>
      </c>
    </row>
    <row r="362">
      <c r="A362" s="73">
        <f>IF(Materiales!$A$361="","",Materiales!$A$361)</f>
        <v/>
      </c>
      <c r="B362" s="60">
        <f>IF(Materiales!$B$361="","",Materiales!$B$361)</f>
        <v/>
      </c>
      <c r="C362" s="73">
        <f>IF(Materiales!$C$361="","",Materiales!$C$361)</f>
        <v/>
      </c>
      <c r="D362" s="74">
        <f>IF(Materiales!$D$361="","",Materiales!$D$361)</f>
        <v/>
      </c>
      <c r="E362" s="75">
        <f>IF($A362="","",MRP!E2509)</f>
        <v/>
      </c>
      <c r="F362" s="75">
        <f>IF($A362="","",MRP!F2509)</f>
        <v/>
      </c>
      <c r="G362" s="75">
        <f>IF($A362="","",MRP!G2509)</f>
        <v/>
      </c>
      <c r="H362" s="75">
        <f>IF($A362="","",MRP!H2509)</f>
        <v/>
      </c>
      <c r="I362" s="75">
        <f>IF($A362="","",MRP!I2509)</f>
        <v/>
      </c>
      <c r="J362" s="75">
        <f>IF($A362="","",MRP!J2509)</f>
        <v/>
      </c>
      <c r="K362" s="75">
        <f>IF($A362="","",MRP!K2509)</f>
        <v/>
      </c>
      <c r="L362" s="75">
        <f>IF($A362="","",MRP!L2509)</f>
        <v/>
      </c>
      <c r="M362" s="76">
        <f>IF($A362="","",SUM(E362:L362))</f>
        <v/>
      </c>
      <c r="N362" s="77">
        <f>IF(ISNUMBER(D362),M362*D362,"")</f>
        <v/>
      </c>
      <c r="O362" s="78">
        <f>MRP!M2509</f>
        <v/>
      </c>
    </row>
    <row r="363">
      <c r="A363" s="73">
        <f>IF(Materiales!$A$362="","",Materiales!$A$362)</f>
        <v/>
      </c>
      <c r="B363" s="60">
        <f>IF(Materiales!$B$362="","",Materiales!$B$362)</f>
        <v/>
      </c>
      <c r="C363" s="73">
        <f>IF(Materiales!$C$362="","",Materiales!$C$362)</f>
        <v/>
      </c>
      <c r="D363" s="74">
        <f>IF(Materiales!$D$362="","",Materiales!$D$362)</f>
        <v/>
      </c>
      <c r="E363" s="75">
        <f>IF($A363="","",MRP!E2516)</f>
        <v/>
      </c>
      <c r="F363" s="75">
        <f>IF($A363="","",MRP!F2516)</f>
        <v/>
      </c>
      <c r="G363" s="75">
        <f>IF($A363="","",MRP!G2516)</f>
        <v/>
      </c>
      <c r="H363" s="75">
        <f>IF($A363="","",MRP!H2516)</f>
        <v/>
      </c>
      <c r="I363" s="75">
        <f>IF($A363="","",MRP!I2516)</f>
        <v/>
      </c>
      <c r="J363" s="75">
        <f>IF($A363="","",MRP!J2516)</f>
        <v/>
      </c>
      <c r="K363" s="75">
        <f>IF($A363="","",MRP!K2516)</f>
        <v/>
      </c>
      <c r="L363" s="75">
        <f>IF($A363="","",MRP!L2516)</f>
        <v/>
      </c>
      <c r="M363" s="76">
        <f>IF($A363="","",SUM(E363:L363))</f>
        <v/>
      </c>
      <c r="N363" s="77">
        <f>IF(ISNUMBER(D363),M363*D363,"")</f>
        <v/>
      </c>
      <c r="O363" s="78">
        <f>MRP!M2516</f>
        <v/>
      </c>
    </row>
    <row r="364">
      <c r="A364" s="73">
        <f>IF(Materiales!$A$363="","",Materiales!$A$363)</f>
        <v/>
      </c>
      <c r="B364" s="60">
        <f>IF(Materiales!$B$363="","",Materiales!$B$363)</f>
        <v/>
      </c>
      <c r="C364" s="73">
        <f>IF(Materiales!$C$363="","",Materiales!$C$363)</f>
        <v/>
      </c>
      <c r="D364" s="74">
        <f>IF(Materiales!$D$363="","",Materiales!$D$363)</f>
        <v/>
      </c>
      <c r="E364" s="75">
        <f>IF($A364="","",MRP!E2523)</f>
        <v/>
      </c>
      <c r="F364" s="75">
        <f>IF($A364="","",MRP!F2523)</f>
        <v/>
      </c>
      <c r="G364" s="75">
        <f>IF($A364="","",MRP!G2523)</f>
        <v/>
      </c>
      <c r="H364" s="75">
        <f>IF($A364="","",MRP!H2523)</f>
        <v/>
      </c>
      <c r="I364" s="75">
        <f>IF($A364="","",MRP!I2523)</f>
        <v/>
      </c>
      <c r="J364" s="75">
        <f>IF($A364="","",MRP!J2523)</f>
        <v/>
      </c>
      <c r="K364" s="75">
        <f>IF($A364="","",MRP!K2523)</f>
        <v/>
      </c>
      <c r="L364" s="75">
        <f>IF($A364="","",MRP!L2523)</f>
        <v/>
      </c>
      <c r="M364" s="76">
        <f>IF($A364="","",SUM(E364:L364))</f>
        <v/>
      </c>
      <c r="N364" s="77">
        <f>IF(ISNUMBER(D364),M364*D364,"")</f>
        <v/>
      </c>
      <c r="O364" s="78">
        <f>MRP!M2523</f>
        <v/>
      </c>
    </row>
    <row r="365">
      <c r="A365" s="73">
        <f>IF(Materiales!$A$364="","",Materiales!$A$364)</f>
        <v/>
      </c>
      <c r="B365" s="60">
        <f>IF(Materiales!$B$364="","",Materiales!$B$364)</f>
        <v/>
      </c>
      <c r="C365" s="73">
        <f>IF(Materiales!$C$364="","",Materiales!$C$364)</f>
        <v/>
      </c>
      <c r="D365" s="74">
        <f>IF(Materiales!$D$364="","",Materiales!$D$364)</f>
        <v/>
      </c>
      <c r="E365" s="75">
        <f>IF($A365="","",MRP!E2530)</f>
        <v/>
      </c>
      <c r="F365" s="75">
        <f>IF($A365="","",MRP!F2530)</f>
        <v/>
      </c>
      <c r="G365" s="75">
        <f>IF($A365="","",MRP!G2530)</f>
        <v/>
      </c>
      <c r="H365" s="75">
        <f>IF($A365="","",MRP!H2530)</f>
        <v/>
      </c>
      <c r="I365" s="75">
        <f>IF($A365="","",MRP!I2530)</f>
        <v/>
      </c>
      <c r="J365" s="75">
        <f>IF($A365="","",MRP!J2530)</f>
        <v/>
      </c>
      <c r="K365" s="75">
        <f>IF($A365="","",MRP!K2530)</f>
        <v/>
      </c>
      <c r="L365" s="75">
        <f>IF($A365="","",MRP!L2530)</f>
        <v/>
      </c>
      <c r="M365" s="76">
        <f>IF($A365="","",SUM(E365:L365))</f>
        <v/>
      </c>
      <c r="N365" s="77">
        <f>IF(ISNUMBER(D365),M365*D365,"")</f>
        <v/>
      </c>
      <c r="O365" s="78">
        <f>MRP!M2530</f>
        <v/>
      </c>
    </row>
    <row r="366">
      <c r="A366" s="73">
        <f>IF(Materiales!$A$365="","",Materiales!$A$365)</f>
        <v/>
      </c>
      <c r="B366" s="60">
        <f>IF(Materiales!$B$365="","",Materiales!$B$365)</f>
        <v/>
      </c>
      <c r="C366" s="73">
        <f>IF(Materiales!$C$365="","",Materiales!$C$365)</f>
        <v/>
      </c>
      <c r="D366" s="74">
        <f>IF(Materiales!$D$365="","",Materiales!$D$365)</f>
        <v/>
      </c>
      <c r="E366" s="75">
        <f>IF($A366="","",MRP!E2537)</f>
        <v/>
      </c>
      <c r="F366" s="75">
        <f>IF($A366="","",MRP!F2537)</f>
        <v/>
      </c>
      <c r="G366" s="75">
        <f>IF($A366="","",MRP!G2537)</f>
        <v/>
      </c>
      <c r="H366" s="75">
        <f>IF($A366="","",MRP!H2537)</f>
        <v/>
      </c>
      <c r="I366" s="75">
        <f>IF($A366="","",MRP!I2537)</f>
        <v/>
      </c>
      <c r="J366" s="75">
        <f>IF($A366="","",MRP!J2537)</f>
        <v/>
      </c>
      <c r="K366" s="75">
        <f>IF($A366="","",MRP!K2537)</f>
        <v/>
      </c>
      <c r="L366" s="75">
        <f>IF($A366="","",MRP!L2537)</f>
        <v/>
      </c>
      <c r="M366" s="76">
        <f>IF($A366="","",SUM(E366:L366))</f>
        <v/>
      </c>
      <c r="N366" s="77">
        <f>IF(ISNUMBER(D366),M366*D366,"")</f>
        <v/>
      </c>
      <c r="O366" s="78">
        <f>MRP!M2537</f>
        <v/>
      </c>
    </row>
    <row r="367">
      <c r="A367" s="73">
        <f>IF(Materiales!$A$366="","",Materiales!$A$366)</f>
        <v/>
      </c>
      <c r="B367" s="60">
        <f>IF(Materiales!$B$366="","",Materiales!$B$366)</f>
        <v/>
      </c>
      <c r="C367" s="73">
        <f>IF(Materiales!$C$366="","",Materiales!$C$366)</f>
        <v/>
      </c>
      <c r="D367" s="74">
        <f>IF(Materiales!$D$366="","",Materiales!$D$366)</f>
        <v/>
      </c>
      <c r="E367" s="75">
        <f>IF($A367="","",MRP!E2544)</f>
        <v/>
      </c>
      <c r="F367" s="75">
        <f>IF($A367="","",MRP!F2544)</f>
        <v/>
      </c>
      <c r="G367" s="75">
        <f>IF($A367="","",MRP!G2544)</f>
        <v/>
      </c>
      <c r="H367" s="75">
        <f>IF($A367="","",MRP!H2544)</f>
        <v/>
      </c>
      <c r="I367" s="75">
        <f>IF($A367="","",MRP!I2544)</f>
        <v/>
      </c>
      <c r="J367" s="75">
        <f>IF($A367="","",MRP!J2544)</f>
        <v/>
      </c>
      <c r="K367" s="75">
        <f>IF($A367="","",MRP!K2544)</f>
        <v/>
      </c>
      <c r="L367" s="75">
        <f>IF($A367="","",MRP!L2544)</f>
        <v/>
      </c>
      <c r="M367" s="76">
        <f>IF($A367="","",SUM(E367:L367))</f>
        <v/>
      </c>
      <c r="N367" s="77">
        <f>IF(ISNUMBER(D367),M367*D367,"")</f>
        <v/>
      </c>
      <c r="O367" s="78">
        <f>MRP!M2544</f>
        <v/>
      </c>
    </row>
    <row r="368">
      <c r="A368" s="73">
        <f>IF(Materiales!$A$367="","",Materiales!$A$367)</f>
        <v/>
      </c>
      <c r="B368" s="60">
        <f>IF(Materiales!$B$367="","",Materiales!$B$367)</f>
        <v/>
      </c>
      <c r="C368" s="73">
        <f>IF(Materiales!$C$367="","",Materiales!$C$367)</f>
        <v/>
      </c>
      <c r="D368" s="74">
        <f>IF(Materiales!$D$367="","",Materiales!$D$367)</f>
        <v/>
      </c>
      <c r="E368" s="75">
        <f>IF($A368="","",MRP!E2551)</f>
        <v/>
      </c>
      <c r="F368" s="75">
        <f>IF($A368="","",MRP!F2551)</f>
        <v/>
      </c>
      <c r="G368" s="75">
        <f>IF($A368="","",MRP!G2551)</f>
        <v/>
      </c>
      <c r="H368" s="75">
        <f>IF($A368="","",MRP!H2551)</f>
        <v/>
      </c>
      <c r="I368" s="75">
        <f>IF($A368="","",MRP!I2551)</f>
        <v/>
      </c>
      <c r="J368" s="75">
        <f>IF($A368="","",MRP!J2551)</f>
        <v/>
      </c>
      <c r="K368" s="75">
        <f>IF($A368="","",MRP!K2551)</f>
        <v/>
      </c>
      <c r="L368" s="75">
        <f>IF($A368="","",MRP!L2551)</f>
        <v/>
      </c>
      <c r="M368" s="76">
        <f>IF($A368="","",SUM(E368:L368))</f>
        <v/>
      </c>
      <c r="N368" s="77">
        <f>IF(ISNUMBER(D368),M368*D368,"")</f>
        <v/>
      </c>
      <c r="O368" s="78">
        <f>MRP!M2551</f>
        <v/>
      </c>
    </row>
    <row r="369">
      <c r="A369" s="73">
        <f>IF(Materiales!$A$368="","",Materiales!$A$368)</f>
        <v/>
      </c>
      <c r="B369" s="60">
        <f>IF(Materiales!$B$368="","",Materiales!$B$368)</f>
        <v/>
      </c>
      <c r="C369" s="73">
        <f>IF(Materiales!$C$368="","",Materiales!$C$368)</f>
        <v/>
      </c>
      <c r="D369" s="74">
        <f>IF(Materiales!$D$368="","",Materiales!$D$368)</f>
        <v/>
      </c>
      <c r="E369" s="75">
        <f>IF($A369="","",MRP!E2558)</f>
        <v/>
      </c>
      <c r="F369" s="75">
        <f>IF($A369="","",MRP!F2558)</f>
        <v/>
      </c>
      <c r="G369" s="75">
        <f>IF($A369="","",MRP!G2558)</f>
        <v/>
      </c>
      <c r="H369" s="75">
        <f>IF($A369="","",MRP!H2558)</f>
        <v/>
      </c>
      <c r="I369" s="75">
        <f>IF($A369="","",MRP!I2558)</f>
        <v/>
      </c>
      <c r="J369" s="75">
        <f>IF($A369="","",MRP!J2558)</f>
        <v/>
      </c>
      <c r="K369" s="75">
        <f>IF($A369="","",MRP!K2558)</f>
        <v/>
      </c>
      <c r="L369" s="75">
        <f>IF($A369="","",MRP!L2558)</f>
        <v/>
      </c>
      <c r="M369" s="76">
        <f>IF($A369="","",SUM(E369:L369))</f>
        <v/>
      </c>
      <c r="N369" s="77">
        <f>IF(ISNUMBER(D369),M369*D369,"")</f>
        <v/>
      </c>
      <c r="O369" s="78">
        <f>MRP!M2558</f>
        <v/>
      </c>
    </row>
    <row r="370">
      <c r="A370" s="73">
        <f>IF(Materiales!$A$369="","",Materiales!$A$369)</f>
        <v/>
      </c>
      <c r="B370" s="60">
        <f>IF(Materiales!$B$369="","",Materiales!$B$369)</f>
        <v/>
      </c>
      <c r="C370" s="73">
        <f>IF(Materiales!$C$369="","",Materiales!$C$369)</f>
        <v/>
      </c>
      <c r="D370" s="74">
        <f>IF(Materiales!$D$369="","",Materiales!$D$369)</f>
        <v/>
      </c>
      <c r="E370" s="75">
        <f>IF($A370="","",MRP!E2565)</f>
        <v/>
      </c>
      <c r="F370" s="75">
        <f>IF($A370="","",MRP!F2565)</f>
        <v/>
      </c>
      <c r="G370" s="75">
        <f>IF($A370="","",MRP!G2565)</f>
        <v/>
      </c>
      <c r="H370" s="75">
        <f>IF($A370="","",MRP!H2565)</f>
        <v/>
      </c>
      <c r="I370" s="75">
        <f>IF($A370="","",MRP!I2565)</f>
        <v/>
      </c>
      <c r="J370" s="75">
        <f>IF($A370="","",MRP!J2565)</f>
        <v/>
      </c>
      <c r="K370" s="75">
        <f>IF($A370="","",MRP!K2565)</f>
        <v/>
      </c>
      <c r="L370" s="75">
        <f>IF($A370="","",MRP!L2565)</f>
        <v/>
      </c>
      <c r="M370" s="76">
        <f>IF($A370="","",SUM(E370:L370))</f>
        <v/>
      </c>
      <c r="N370" s="77">
        <f>IF(ISNUMBER(D370),M370*D370,"")</f>
        <v/>
      </c>
      <c r="O370" s="78">
        <f>MRP!M2565</f>
        <v/>
      </c>
    </row>
    <row r="371">
      <c r="A371" s="73">
        <f>IF(Materiales!$A$370="","",Materiales!$A$370)</f>
        <v/>
      </c>
      <c r="B371" s="60">
        <f>IF(Materiales!$B$370="","",Materiales!$B$370)</f>
        <v/>
      </c>
      <c r="C371" s="73">
        <f>IF(Materiales!$C$370="","",Materiales!$C$370)</f>
        <v/>
      </c>
      <c r="D371" s="74">
        <f>IF(Materiales!$D$370="","",Materiales!$D$370)</f>
        <v/>
      </c>
      <c r="E371" s="75">
        <f>IF($A371="","",MRP!E2572)</f>
        <v/>
      </c>
      <c r="F371" s="75">
        <f>IF($A371="","",MRP!F2572)</f>
        <v/>
      </c>
      <c r="G371" s="75">
        <f>IF($A371="","",MRP!G2572)</f>
        <v/>
      </c>
      <c r="H371" s="75">
        <f>IF($A371="","",MRP!H2572)</f>
        <v/>
      </c>
      <c r="I371" s="75">
        <f>IF($A371="","",MRP!I2572)</f>
        <v/>
      </c>
      <c r="J371" s="75">
        <f>IF($A371="","",MRP!J2572)</f>
        <v/>
      </c>
      <c r="K371" s="75">
        <f>IF($A371="","",MRP!K2572)</f>
        <v/>
      </c>
      <c r="L371" s="75">
        <f>IF($A371="","",MRP!L2572)</f>
        <v/>
      </c>
      <c r="M371" s="76">
        <f>IF($A371="","",SUM(E371:L371))</f>
        <v/>
      </c>
      <c r="N371" s="77">
        <f>IF(ISNUMBER(D371),M371*D371,"")</f>
        <v/>
      </c>
      <c r="O371" s="78">
        <f>MRP!M2572</f>
        <v/>
      </c>
    </row>
    <row r="372">
      <c r="A372" s="73">
        <f>IF(Materiales!$A$371="","",Materiales!$A$371)</f>
        <v/>
      </c>
      <c r="B372" s="60">
        <f>IF(Materiales!$B$371="","",Materiales!$B$371)</f>
        <v/>
      </c>
      <c r="C372" s="73">
        <f>IF(Materiales!$C$371="","",Materiales!$C$371)</f>
        <v/>
      </c>
      <c r="D372" s="74">
        <f>IF(Materiales!$D$371="","",Materiales!$D$371)</f>
        <v/>
      </c>
      <c r="E372" s="75">
        <f>IF($A372="","",MRP!E2579)</f>
        <v/>
      </c>
      <c r="F372" s="75">
        <f>IF($A372="","",MRP!F2579)</f>
        <v/>
      </c>
      <c r="G372" s="75">
        <f>IF($A372="","",MRP!G2579)</f>
        <v/>
      </c>
      <c r="H372" s="75">
        <f>IF($A372="","",MRP!H2579)</f>
        <v/>
      </c>
      <c r="I372" s="75">
        <f>IF($A372="","",MRP!I2579)</f>
        <v/>
      </c>
      <c r="J372" s="75">
        <f>IF($A372="","",MRP!J2579)</f>
        <v/>
      </c>
      <c r="K372" s="75">
        <f>IF($A372="","",MRP!K2579)</f>
        <v/>
      </c>
      <c r="L372" s="75">
        <f>IF($A372="","",MRP!L2579)</f>
        <v/>
      </c>
      <c r="M372" s="76">
        <f>IF($A372="","",SUM(E372:L372))</f>
        <v/>
      </c>
      <c r="N372" s="77">
        <f>IF(ISNUMBER(D372),M372*D372,"")</f>
        <v/>
      </c>
      <c r="O372" s="78">
        <f>MRP!M2579</f>
        <v/>
      </c>
    </row>
    <row r="373">
      <c r="A373" s="73">
        <f>IF(Materiales!$A$372="","",Materiales!$A$372)</f>
        <v/>
      </c>
      <c r="B373" s="60">
        <f>IF(Materiales!$B$372="","",Materiales!$B$372)</f>
        <v/>
      </c>
      <c r="C373" s="73">
        <f>IF(Materiales!$C$372="","",Materiales!$C$372)</f>
        <v/>
      </c>
      <c r="D373" s="74">
        <f>IF(Materiales!$D$372="","",Materiales!$D$372)</f>
        <v/>
      </c>
      <c r="E373" s="75">
        <f>IF($A373="","",MRP!E2586)</f>
        <v/>
      </c>
      <c r="F373" s="75">
        <f>IF($A373="","",MRP!F2586)</f>
        <v/>
      </c>
      <c r="G373" s="75">
        <f>IF($A373="","",MRP!G2586)</f>
        <v/>
      </c>
      <c r="H373" s="75">
        <f>IF($A373="","",MRP!H2586)</f>
        <v/>
      </c>
      <c r="I373" s="75">
        <f>IF($A373="","",MRP!I2586)</f>
        <v/>
      </c>
      <c r="J373" s="75">
        <f>IF($A373="","",MRP!J2586)</f>
        <v/>
      </c>
      <c r="K373" s="75">
        <f>IF($A373="","",MRP!K2586)</f>
        <v/>
      </c>
      <c r="L373" s="75">
        <f>IF($A373="","",MRP!L2586)</f>
        <v/>
      </c>
      <c r="M373" s="76">
        <f>IF($A373="","",SUM(E373:L373))</f>
        <v/>
      </c>
      <c r="N373" s="77">
        <f>IF(ISNUMBER(D373),M373*D373,"")</f>
        <v/>
      </c>
      <c r="O373" s="78">
        <f>MRP!M2586</f>
        <v/>
      </c>
    </row>
    <row r="374">
      <c r="A374" s="73">
        <f>IF(Materiales!$A$373="","",Materiales!$A$373)</f>
        <v/>
      </c>
      <c r="B374" s="60">
        <f>IF(Materiales!$B$373="","",Materiales!$B$373)</f>
        <v/>
      </c>
      <c r="C374" s="73">
        <f>IF(Materiales!$C$373="","",Materiales!$C$373)</f>
        <v/>
      </c>
      <c r="D374" s="74">
        <f>IF(Materiales!$D$373="","",Materiales!$D$373)</f>
        <v/>
      </c>
      <c r="E374" s="75">
        <f>IF($A374="","",MRP!E2593)</f>
        <v/>
      </c>
      <c r="F374" s="75">
        <f>IF($A374="","",MRP!F2593)</f>
        <v/>
      </c>
      <c r="G374" s="75">
        <f>IF($A374="","",MRP!G2593)</f>
        <v/>
      </c>
      <c r="H374" s="75">
        <f>IF($A374="","",MRP!H2593)</f>
        <v/>
      </c>
      <c r="I374" s="75">
        <f>IF($A374="","",MRP!I2593)</f>
        <v/>
      </c>
      <c r="J374" s="75">
        <f>IF($A374="","",MRP!J2593)</f>
        <v/>
      </c>
      <c r="K374" s="75">
        <f>IF($A374="","",MRP!K2593)</f>
        <v/>
      </c>
      <c r="L374" s="75">
        <f>IF($A374="","",MRP!L2593)</f>
        <v/>
      </c>
      <c r="M374" s="76">
        <f>IF($A374="","",SUM(E374:L374))</f>
        <v/>
      </c>
      <c r="N374" s="77">
        <f>IF(ISNUMBER(D374),M374*D374,"")</f>
        <v/>
      </c>
      <c r="O374" s="78">
        <f>MRP!M2593</f>
        <v/>
      </c>
    </row>
    <row r="375">
      <c r="A375" s="73">
        <f>IF(Materiales!$A$374="","",Materiales!$A$374)</f>
        <v/>
      </c>
      <c r="B375" s="60">
        <f>IF(Materiales!$B$374="","",Materiales!$B$374)</f>
        <v/>
      </c>
      <c r="C375" s="73">
        <f>IF(Materiales!$C$374="","",Materiales!$C$374)</f>
        <v/>
      </c>
      <c r="D375" s="74">
        <f>IF(Materiales!$D$374="","",Materiales!$D$374)</f>
        <v/>
      </c>
      <c r="E375" s="75">
        <f>IF($A375="","",MRP!E2600)</f>
        <v/>
      </c>
      <c r="F375" s="75">
        <f>IF($A375="","",MRP!F2600)</f>
        <v/>
      </c>
      <c r="G375" s="75">
        <f>IF($A375="","",MRP!G2600)</f>
        <v/>
      </c>
      <c r="H375" s="75">
        <f>IF($A375="","",MRP!H2600)</f>
        <v/>
      </c>
      <c r="I375" s="75">
        <f>IF($A375="","",MRP!I2600)</f>
        <v/>
      </c>
      <c r="J375" s="75">
        <f>IF($A375="","",MRP!J2600)</f>
        <v/>
      </c>
      <c r="K375" s="75">
        <f>IF($A375="","",MRP!K2600)</f>
        <v/>
      </c>
      <c r="L375" s="75">
        <f>IF($A375="","",MRP!L2600)</f>
        <v/>
      </c>
      <c r="M375" s="76">
        <f>IF($A375="","",SUM(E375:L375))</f>
        <v/>
      </c>
      <c r="N375" s="77">
        <f>IF(ISNUMBER(D375),M375*D375,"")</f>
        <v/>
      </c>
      <c r="O375" s="78">
        <f>MRP!M2600</f>
        <v/>
      </c>
    </row>
    <row r="376">
      <c r="A376" s="73">
        <f>IF(Materiales!$A$375="","",Materiales!$A$375)</f>
        <v/>
      </c>
      <c r="B376" s="60">
        <f>IF(Materiales!$B$375="","",Materiales!$B$375)</f>
        <v/>
      </c>
      <c r="C376" s="73">
        <f>IF(Materiales!$C$375="","",Materiales!$C$375)</f>
        <v/>
      </c>
      <c r="D376" s="74">
        <f>IF(Materiales!$D$375="","",Materiales!$D$375)</f>
        <v/>
      </c>
      <c r="E376" s="75">
        <f>IF($A376="","",MRP!E2607)</f>
        <v/>
      </c>
      <c r="F376" s="75">
        <f>IF($A376="","",MRP!F2607)</f>
        <v/>
      </c>
      <c r="G376" s="75">
        <f>IF($A376="","",MRP!G2607)</f>
        <v/>
      </c>
      <c r="H376" s="75">
        <f>IF($A376="","",MRP!H2607)</f>
        <v/>
      </c>
      <c r="I376" s="75">
        <f>IF($A376="","",MRP!I2607)</f>
        <v/>
      </c>
      <c r="J376" s="75">
        <f>IF($A376="","",MRP!J2607)</f>
        <v/>
      </c>
      <c r="K376" s="75">
        <f>IF($A376="","",MRP!K2607)</f>
        <v/>
      </c>
      <c r="L376" s="75">
        <f>IF($A376="","",MRP!L2607)</f>
        <v/>
      </c>
      <c r="M376" s="76">
        <f>IF($A376="","",SUM(E376:L376))</f>
        <v/>
      </c>
      <c r="N376" s="77">
        <f>IF(ISNUMBER(D376),M376*D376,"")</f>
        <v/>
      </c>
      <c r="O376" s="78">
        <f>MRP!M2607</f>
        <v/>
      </c>
    </row>
    <row r="377">
      <c r="A377" s="73">
        <f>IF(Materiales!$A$376="","",Materiales!$A$376)</f>
        <v/>
      </c>
      <c r="B377" s="60">
        <f>IF(Materiales!$B$376="","",Materiales!$B$376)</f>
        <v/>
      </c>
      <c r="C377" s="73">
        <f>IF(Materiales!$C$376="","",Materiales!$C$376)</f>
        <v/>
      </c>
      <c r="D377" s="74">
        <f>IF(Materiales!$D$376="","",Materiales!$D$376)</f>
        <v/>
      </c>
      <c r="E377" s="75">
        <f>IF($A377="","",MRP!E2614)</f>
        <v/>
      </c>
      <c r="F377" s="75">
        <f>IF($A377="","",MRP!F2614)</f>
        <v/>
      </c>
      <c r="G377" s="75">
        <f>IF($A377="","",MRP!G2614)</f>
        <v/>
      </c>
      <c r="H377" s="75">
        <f>IF($A377="","",MRP!H2614)</f>
        <v/>
      </c>
      <c r="I377" s="75">
        <f>IF($A377="","",MRP!I2614)</f>
        <v/>
      </c>
      <c r="J377" s="75">
        <f>IF($A377="","",MRP!J2614)</f>
        <v/>
      </c>
      <c r="K377" s="75">
        <f>IF($A377="","",MRP!K2614)</f>
        <v/>
      </c>
      <c r="L377" s="75">
        <f>IF($A377="","",MRP!L2614)</f>
        <v/>
      </c>
      <c r="M377" s="76">
        <f>IF($A377="","",SUM(E377:L377))</f>
        <v/>
      </c>
      <c r="N377" s="77">
        <f>IF(ISNUMBER(D377),M377*D377,"")</f>
        <v/>
      </c>
      <c r="O377" s="78">
        <f>MRP!M2614</f>
        <v/>
      </c>
    </row>
    <row r="378">
      <c r="A378" s="73">
        <f>IF(Materiales!$A$377="","",Materiales!$A$377)</f>
        <v/>
      </c>
      <c r="B378" s="60">
        <f>IF(Materiales!$B$377="","",Materiales!$B$377)</f>
        <v/>
      </c>
      <c r="C378" s="73">
        <f>IF(Materiales!$C$377="","",Materiales!$C$377)</f>
        <v/>
      </c>
      <c r="D378" s="74">
        <f>IF(Materiales!$D$377="","",Materiales!$D$377)</f>
        <v/>
      </c>
      <c r="E378" s="75">
        <f>IF($A378="","",MRP!E2621)</f>
        <v/>
      </c>
      <c r="F378" s="75">
        <f>IF($A378="","",MRP!F2621)</f>
        <v/>
      </c>
      <c r="G378" s="75">
        <f>IF($A378="","",MRP!G2621)</f>
        <v/>
      </c>
      <c r="H378" s="75">
        <f>IF($A378="","",MRP!H2621)</f>
        <v/>
      </c>
      <c r="I378" s="75">
        <f>IF($A378="","",MRP!I2621)</f>
        <v/>
      </c>
      <c r="J378" s="75">
        <f>IF($A378="","",MRP!J2621)</f>
        <v/>
      </c>
      <c r="K378" s="75">
        <f>IF($A378="","",MRP!K2621)</f>
        <v/>
      </c>
      <c r="L378" s="75">
        <f>IF($A378="","",MRP!L2621)</f>
        <v/>
      </c>
      <c r="M378" s="76">
        <f>IF($A378="","",SUM(E378:L378))</f>
        <v/>
      </c>
      <c r="N378" s="77">
        <f>IF(ISNUMBER(D378),M378*D378,"")</f>
        <v/>
      </c>
      <c r="O378" s="78">
        <f>MRP!M2621</f>
        <v/>
      </c>
    </row>
    <row r="379">
      <c r="A379" s="73">
        <f>IF(Materiales!$A$378="","",Materiales!$A$378)</f>
        <v/>
      </c>
      <c r="B379" s="60">
        <f>IF(Materiales!$B$378="","",Materiales!$B$378)</f>
        <v/>
      </c>
      <c r="C379" s="73">
        <f>IF(Materiales!$C$378="","",Materiales!$C$378)</f>
        <v/>
      </c>
      <c r="D379" s="74">
        <f>IF(Materiales!$D$378="","",Materiales!$D$378)</f>
        <v/>
      </c>
      <c r="E379" s="75">
        <f>IF($A379="","",MRP!E2628)</f>
        <v/>
      </c>
      <c r="F379" s="75">
        <f>IF($A379="","",MRP!F2628)</f>
        <v/>
      </c>
      <c r="G379" s="75">
        <f>IF($A379="","",MRP!G2628)</f>
        <v/>
      </c>
      <c r="H379" s="75">
        <f>IF($A379="","",MRP!H2628)</f>
        <v/>
      </c>
      <c r="I379" s="75">
        <f>IF($A379="","",MRP!I2628)</f>
        <v/>
      </c>
      <c r="J379" s="75">
        <f>IF($A379="","",MRP!J2628)</f>
        <v/>
      </c>
      <c r="K379" s="75">
        <f>IF($A379="","",MRP!K2628)</f>
        <v/>
      </c>
      <c r="L379" s="75">
        <f>IF($A379="","",MRP!L2628)</f>
        <v/>
      </c>
      <c r="M379" s="76">
        <f>IF($A379="","",SUM(E379:L379))</f>
        <v/>
      </c>
      <c r="N379" s="77">
        <f>IF(ISNUMBER(D379),M379*D379,"")</f>
        <v/>
      </c>
      <c r="O379" s="78">
        <f>MRP!M2628</f>
        <v/>
      </c>
    </row>
    <row r="380">
      <c r="A380" s="73">
        <f>IF(Materiales!$A$379="","",Materiales!$A$379)</f>
        <v/>
      </c>
      <c r="B380" s="60">
        <f>IF(Materiales!$B$379="","",Materiales!$B$379)</f>
        <v/>
      </c>
      <c r="C380" s="73">
        <f>IF(Materiales!$C$379="","",Materiales!$C$379)</f>
        <v/>
      </c>
      <c r="D380" s="74">
        <f>IF(Materiales!$D$379="","",Materiales!$D$379)</f>
        <v/>
      </c>
      <c r="E380" s="75">
        <f>IF($A380="","",MRP!E2635)</f>
        <v/>
      </c>
      <c r="F380" s="75">
        <f>IF($A380="","",MRP!F2635)</f>
        <v/>
      </c>
      <c r="G380" s="75">
        <f>IF($A380="","",MRP!G2635)</f>
        <v/>
      </c>
      <c r="H380" s="75">
        <f>IF($A380="","",MRP!H2635)</f>
        <v/>
      </c>
      <c r="I380" s="75">
        <f>IF($A380="","",MRP!I2635)</f>
        <v/>
      </c>
      <c r="J380" s="75">
        <f>IF($A380="","",MRP!J2635)</f>
        <v/>
      </c>
      <c r="K380" s="75">
        <f>IF($A380="","",MRP!K2635)</f>
        <v/>
      </c>
      <c r="L380" s="75">
        <f>IF($A380="","",MRP!L2635)</f>
        <v/>
      </c>
      <c r="M380" s="76">
        <f>IF($A380="","",SUM(E380:L380))</f>
        <v/>
      </c>
      <c r="N380" s="77">
        <f>IF(ISNUMBER(D380),M380*D380,"")</f>
        <v/>
      </c>
      <c r="O380" s="78">
        <f>MRP!M2635</f>
        <v/>
      </c>
    </row>
    <row r="381">
      <c r="A381" s="73">
        <f>IF(Materiales!$A$380="","",Materiales!$A$380)</f>
        <v/>
      </c>
      <c r="B381" s="60">
        <f>IF(Materiales!$B$380="","",Materiales!$B$380)</f>
        <v/>
      </c>
      <c r="C381" s="73">
        <f>IF(Materiales!$C$380="","",Materiales!$C$380)</f>
        <v/>
      </c>
      <c r="D381" s="74">
        <f>IF(Materiales!$D$380="","",Materiales!$D$380)</f>
        <v/>
      </c>
      <c r="E381" s="75">
        <f>IF($A381="","",MRP!E2642)</f>
        <v/>
      </c>
      <c r="F381" s="75">
        <f>IF($A381="","",MRP!F2642)</f>
        <v/>
      </c>
      <c r="G381" s="75">
        <f>IF($A381="","",MRP!G2642)</f>
        <v/>
      </c>
      <c r="H381" s="75">
        <f>IF($A381="","",MRP!H2642)</f>
        <v/>
      </c>
      <c r="I381" s="75">
        <f>IF($A381="","",MRP!I2642)</f>
        <v/>
      </c>
      <c r="J381" s="75">
        <f>IF($A381="","",MRP!J2642)</f>
        <v/>
      </c>
      <c r="K381" s="75">
        <f>IF($A381="","",MRP!K2642)</f>
        <v/>
      </c>
      <c r="L381" s="75">
        <f>IF($A381="","",MRP!L2642)</f>
        <v/>
      </c>
      <c r="M381" s="76">
        <f>IF($A381="","",SUM(E381:L381))</f>
        <v/>
      </c>
      <c r="N381" s="77">
        <f>IF(ISNUMBER(D381),M381*D381,"")</f>
        <v/>
      </c>
      <c r="O381" s="78">
        <f>MRP!M2642</f>
        <v/>
      </c>
    </row>
    <row r="382">
      <c r="A382" s="73">
        <f>IF(Materiales!$A$381="","",Materiales!$A$381)</f>
        <v/>
      </c>
      <c r="B382" s="60">
        <f>IF(Materiales!$B$381="","",Materiales!$B$381)</f>
        <v/>
      </c>
      <c r="C382" s="73">
        <f>IF(Materiales!$C$381="","",Materiales!$C$381)</f>
        <v/>
      </c>
      <c r="D382" s="74">
        <f>IF(Materiales!$D$381="","",Materiales!$D$381)</f>
        <v/>
      </c>
      <c r="E382" s="75">
        <f>IF($A382="","",MRP!E2649)</f>
        <v/>
      </c>
      <c r="F382" s="75">
        <f>IF($A382="","",MRP!F2649)</f>
        <v/>
      </c>
      <c r="G382" s="75">
        <f>IF($A382="","",MRP!G2649)</f>
        <v/>
      </c>
      <c r="H382" s="75">
        <f>IF($A382="","",MRP!H2649)</f>
        <v/>
      </c>
      <c r="I382" s="75">
        <f>IF($A382="","",MRP!I2649)</f>
        <v/>
      </c>
      <c r="J382" s="75">
        <f>IF($A382="","",MRP!J2649)</f>
        <v/>
      </c>
      <c r="K382" s="75">
        <f>IF($A382="","",MRP!K2649)</f>
        <v/>
      </c>
      <c r="L382" s="75">
        <f>IF($A382="","",MRP!L2649)</f>
        <v/>
      </c>
      <c r="M382" s="76">
        <f>IF($A382="","",SUM(E382:L382))</f>
        <v/>
      </c>
      <c r="N382" s="77">
        <f>IF(ISNUMBER(D382),M382*D382,"")</f>
        <v/>
      </c>
      <c r="O382" s="78">
        <f>MRP!M2649</f>
        <v/>
      </c>
    </row>
    <row r="383">
      <c r="A383" s="73">
        <f>IF(Materiales!$A$382="","",Materiales!$A$382)</f>
        <v/>
      </c>
      <c r="B383" s="60">
        <f>IF(Materiales!$B$382="","",Materiales!$B$382)</f>
        <v/>
      </c>
      <c r="C383" s="73">
        <f>IF(Materiales!$C$382="","",Materiales!$C$382)</f>
        <v/>
      </c>
      <c r="D383" s="74">
        <f>IF(Materiales!$D$382="","",Materiales!$D$382)</f>
        <v/>
      </c>
      <c r="E383" s="75">
        <f>IF($A383="","",MRP!E2656)</f>
        <v/>
      </c>
      <c r="F383" s="75">
        <f>IF($A383="","",MRP!F2656)</f>
        <v/>
      </c>
      <c r="G383" s="75">
        <f>IF($A383="","",MRP!G2656)</f>
        <v/>
      </c>
      <c r="H383" s="75">
        <f>IF($A383="","",MRP!H2656)</f>
        <v/>
      </c>
      <c r="I383" s="75">
        <f>IF($A383="","",MRP!I2656)</f>
        <v/>
      </c>
      <c r="J383" s="75">
        <f>IF($A383="","",MRP!J2656)</f>
        <v/>
      </c>
      <c r="K383" s="75">
        <f>IF($A383="","",MRP!K2656)</f>
        <v/>
      </c>
      <c r="L383" s="75">
        <f>IF($A383="","",MRP!L2656)</f>
        <v/>
      </c>
      <c r="M383" s="76">
        <f>IF($A383="","",SUM(E383:L383))</f>
        <v/>
      </c>
      <c r="N383" s="77">
        <f>IF(ISNUMBER(D383),M383*D383,"")</f>
        <v/>
      </c>
      <c r="O383" s="78">
        <f>MRP!M2656</f>
        <v/>
      </c>
    </row>
    <row r="384">
      <c r="A384" s="73">
        <f>IF(Materiales!$A$383="","",Materiales!$A$383)</f>
        <v/>
      </c>
      <c r="B384" s="60">
        <f>IF(Materiales!$B$383="","",Materiales!$B$383)</f>
        <v/>
      </c>
      <c r="C384" s="73">
        <f>IF(Materiales!$C$383="","",Materiales!$C$383)</f>
        <v/>
      </c>
      <c r="D384" s="74">
        <f>IF(Materiales!$D$383="","",Materiales!$D$383)</f>
        <v/>
      </c>
      <c r="E384" s="75">
        <f>IF($A384="","",MRP!E2663)</f>
        <v/>
      </c>
      <c r="F384" s="75">
        <f>IF($A384="","",MRP!F2663)</f>
        <v/>
      </c>
      <c r="G384" s="75">
        <f>IF($A384="","",MRP!G2663)</f>
        <v/>
      </c>
      <c r="H384" s="75">
        <f>IF($A384="","",MRP!H2663)</f>
        <v/>
      </c>
      <c r="I384" s="75">
        <f>IF($A384="","",MRP!I2663)</f>
        <v/>
      </c>
      <c r="J384" s="75">
        <f>IF($A384="","",MRP!J2663)</f>
        <v/>
      </c>
      <c r="K384" s="75">
        <f>IF($A384="","",MRP!K2663)</f>
        <v/>
      </c>
      <c r="L384" s="75">
        <f>IF($A384="","",MRP!L2663)</f>
        <v/>
      </c>
      <c r="M384" s="76">
        <f>IF($A384="","",SUM(E384:L384))</f>
        <v/>
      </c>
      <c r="N384" s="77">
        <f>IF(ISNUMBER(D384),M384*D384,"")</f>
        <v/>
      </c>
      <c r="O384" s="78">
        <f>MRP!M2663</f>
        <v/>
      </c>
    </row>
    <row r="385">
      <c r="A385" s="73">
        <f>IF(Materiales!$A$384="","",Materiales!$A$384)</f>
        <v/>
      </c>
      <c r="B385" s="60">
        <f>IF(Materiales!$B$384="","",Materiales!$B$384)</f>
        <v/>
      </c>
      <c r="C385" s="73">
        <f>IF(Materiales!$C$384="","",Materiales!$C$384)</f>
        <v/>
      </c>
      <c r="D385" s="74">
        <f>IF(Materiales!$D$384="","",Materiales!$D$384)</f>
        <v/>
      </c>
      <c r="E385" s="75">
        <f>IF($A385="","",MRP!E2670)</f>
        <v/>
      </c>
      <c r="F385" s="75">
        <f>IF($A385="","",MRP!F2670)</f>
        <v/>
      </c>
      <c r="G385" s="75">
        <f>IF($A385="","",MRP!G2670)</f>
        <v/>
      </c>
      <c r="H385" s="75">
        <f>IF($A385="","",MRP!H2670)</f>
        <v/>
      </c>
      <c r="I385" s="75">
        <f>IF($A385="","",MRP!I2670)</f>
        <v/>
      </c>
      <c r="J385" s="75">
        <f>IF($A385="","",MRP!J2670)</f>
        <v/>
      </c>
      <c r="K385" s="75">
        <f>IF($A385="","",MRP!K2670)</f>
        <v/>
      </c>
      <c r="L385" s="75">
        <f>IF($A385="","",MRP!L2670)</f>
        <v/>
      </c>
      <c r="M385" s="76">
        <f>IF($A385="","",SUM(E385:L385))</f>
        <v/>
      </c>
      <c r="N385" s="77">
        <f>IF(ISNUMBER(D385),M385*D385,"")</f>
        <v/>
      </c>
      <c r="O385" s="78">
        <f>MRP!M2670</f>
        <v/>
      </c>
    </row>
    <row r="386">
      <c r="A386" s="73">
        <f>IF(Materiales!$A$385="","",Materiales!$A$385)</f>
        <v/>
      </c>
      <c r="B386" s="60">
        <f>IF(Materiales!$B$385="","",Materiales!$B$385)</f>
        <v/>
      </c>
      <c r="C386" s="73">
        <f>IF(Materiales!$C$385="","",Materiales!$C$385)</f>
        <v/>
      </c>
      <c r="D386" s="74">
        <f>IF(Materiales!$D$385="","",Materiales!$D$385)</f>
        <v/>
      </c>
      <c r="E386" s="75">
        <f>IF($A386="","",MRP!E2677)</f>
        <v/>
      </c>
      <c r="F386" s="75">
        <f>IF($A386="","",MRP!F2677)</f>
        <v/>
      </c>
      <c r="G386" s="75">
        <f>IF($A386="","",MRP!G2677)</f>
        <v/>
      </c>
      <c r="H386" s="75">
        <f>IF($A386="","",MRP!H2677)</f>
        <v/>
      </c>
      <c r="I386" s="75">
        <f>IF($A386="","",MRP!I2677)</f>
        <v/>
      </c>
      <c r="J386" s="75">
        <f>IF($A386="","",MRP!J2677)</f>
        <v/>
      </c>
      <c r="K386" s="75">
        <f>IF($A386="","",MRP!K2677)</f>
        <v/>
      </c>
      <c r="L386" s="75">
        <f>IF($A386="","",MRP!L2677)</f>
        <v/>
      </c>
      <c r="M386" s="76">
        <f>IF($A386="","",SUM(E386:L386))</f>
        <v/>
      </c>
      <c r="N386" s="77">
        <f>IF(ISNUMBER(D386),M386*D386,"")</f>
        <v/>
      </c>
      <c r="O386" s="78">
        <f>MRP!M2677</f>
        <v/>
      </c>
    </row>
    <row r="387">
      <c r="A387" s="73">
        <f>IF(Materiales!$A$386="","",Materiales!$A$386)</f>
        <v/>
      </c>
      <c r="B387" s="60">
        <f>IF(Materiales!$B$386="","",Materiales!$B$386)</f>
        <v/>
      </c>
      <c r="C387" s="73">
        <f>IF(Materiales!$C$386="","",Materiales!$C$386)</f>
        <v/>
      </c>
      <c r="D387" s="74">
        <f>IF(Materiales!$D$386="","",Materiales!$D$386)</f>
        <v/>
      </c>
      <c r="E387" s="75">
        <f>IF($A387="","",MRP!E2684)</f>
        <v/>
      </c>
      <c r="F387" s="75">
        <f>IF($A387="","",MRP!F2684)</f>
        <v/>
      </c>
      <c r="G387" s="75">
        <f>IF($A387="","",MRP!G2684)</f>
        <v/>
      </c>
      <c r="H387" s="75">
        <f>IF($A387="","",MRP!H2684)</f>
        <v/>
      </c>
      <c r="I387" s="75">
        <f>IF($A387="","",MRP!I2684)</f>
        <v/>
      </c>
      <c r="J387" s="75">
        <f>IF($A387="","",MRP!J2684)</f>
        <v/>
      </c>
      <c r="K387" s="75">
        <f>IF($A387="","",MRP!K2684)</f>
        <v/>
      </c>
      <c r="L387" s="75">
        <f>IF($A387="","",MRP!L2684)</f>
        <v/>
      </c>
      <c r="M387" s="76">
        <f>IF($A387="","",SUM(E387:L387))</f>
        <v/>
      </c>
      <c r="N387" s="77">
        <f>IF(ISNUMBER(D387),M387*D387,"")</f>
        <v/>
      </c>
      <c r="O387" s="78">
        <f>MRP!M2684</f>
        <v/>
      </c>
    </row>
    <row r="388">
      <c r="A388" s="73">
        <f>IF(Materiales!$A$387="","",Materiales!$A$387)</f>
        <v/>
      </c>
      <c r="B388" s="60">
        <f>IF(Materiales!$B$387="","",Materiales!$B$387)</f>
        <v/>
      </c>
      <c r="C388" s="73">
        <f>IF(Materiales!$C$387="","",Materiales!$C$387)</f>
        <v/>
      </c>
      <c r="D388" s="74">
        <f>IF(Materiales!$D$387="","",Materiales!$D$387)</f>
        <v/>
      </c>
      <c r="E388" s="75">
        <f>IF($A388="","",MRP!E2691)</f>
        <v/>
      </c>
      <c r="F388" s="75">
        <f>IF($A388="","",MRP!F2691)</f>
        <v/>
      </c>
      <c r="G388" s="75">
        <f>IF($A388="","",MRP!G2691)</f>
        <v/>
      </c>
      <c r="H388" s="75">
        <f>IF($A388="","",MRP!H2691)</f>
        <v/>
      </c>
      <c r="I388" s="75">
        <f>IF($A388="","",MRP!I2691)</f>
        <v/>
      </c>
      <c r="J388" s="75">
        <f>IF($A388="","",MRP!J2691)</f>
        <v/>
      </c>
      <c r="K388" s="75">
        <f>IF($A388="","",MRP!K2691)</f>
        <v/>
      </c>
      <c r="L388" s="75">
        <f>IF($A388="","",MRP!L2691)</f>
        <v/>
      </c>
      <c r="M388" s="76">
        <f>IF($A388="","",SUM(E388:L388))</f>
        <v/>
      </c>
      <c r="N388" s="77">
        <f>IF(ISNUMBER(D388),M388*D388,"")</f>
        <v/>
      </c>
      <c r="O388" s="78">
        <f>MRP!M2691</f>
        <v/>
      </c>
    </row>
    <row r="389">
      <c r="A389" s="73">
        <f>IF(Materiales!$A$388="","",Materiales!$A$388)</f>
        <v/>
      </c>
      <c r="B389" s="60">
        <f>IF(Materiales!$B$388="","",Materiales!$B$388)</f>
        <v/>
      </c>
      <c r="C389" s="73">
        <f>IF(Materiales!$C$388="","",Materiales!$C$388)</f>
        <v/>
      </c>
      <c r="D389" s="74">
        <f>IF(Materiales!$D$388="","",Materiales!$D$388)</f>
        <v/>
      </c>
      <c r="E389" s="75">
        <f>IF($A389="","",MRP!E2698)</f>
        <v/>
      </c>
      <c r="F389" s="75">
        <f>IF($A389="","",MRP!F2698)</f>
        <v/>
      </c>
      <c r="G389" s="75">
        <f>IF($A389="","",MRP!G2698)</f>
        <v/>
      </c>
      <c r="H389" s="75">
        <f>IF($A389="","",MRP!H2698)</f>
        <v/>
      </c>
      <c r="I389" s="75">
        <f>IF($A389="","",MRP!I2698)</f>
        <v/>
      </c>
      <c r="J389" s="75">
        <f>IF($A389="","",MRP!J2698)</f>
        <v/>
      </c>
      <c r="K389" s="75">
        <f>IF($A389="","",MRP!K2698)</f>
        <v/>
      </c>
      <c r="L389" s="75">
        <f>IF($A389="","",MRP!L2698)</f>
        <v/>
      </c>
      <c r="M389" s="76">
        <f>IF($A389="","",SUM(E389:L389))</f>
        <v/>
      </c>
      <c r="N389" s="77">
        <f>IF(ISNUMBER(D389),M389*D389,"")</f>
        <v/>
      </c>
      <c r="O389" s="78">
        <f>MRP!M2698</f>
        <v/>
      </c>
    </row>
    <row r="390">
      <c r="A390" s="73">
        <f>IF(Materiales!$A$389="","",Materiales!$A$389)</f>
        <v/>
      </c>
      <c r="B390" s="60">
        <f>IF(Materiales!$B$389="","",Materiales!$B$389)</f>
        <v/>
      </c>
      <c r="C390" s="73">
        <f>IF(Materiales!$C$389="","",Materiales!$C$389)</f>
        <v/>
      </c>
      <c r="D390" s="74">
        <f>IF(Materiales!$D$389="","",Materiales!$D$389)</f>
        <v/>
      </c>
      <c r="E390" s="75">
        <f>IF($A390="","",MRP!E2705)</f>
        <v/>
      </c>
      <c r="F390" s="75">
        <f>IF($A390="","",MRP!F2705)</f>
        <v/>
      </c>
      <c r="G390" s="75">
        <f>IF($A390="","",MRP!G2705)</f>
        <v/>
      </c>
      <c r="H390" s="75">
        <f>IF($A390="","",MRP!H2705)</f>
        <v/>
      </c>
      <c r="I390" s="75">
        <f>IF($A390="","",MRP!I2705)</f>
        <v/>
      </c>
      <c r="J390" s="75">
        <f>IF($A390="","",MRP!J2705)</f>
        <v/>
      </c>
      <c r="K390" s="75">
        <f>IF($A390="","",MRP!K2705)</f>
        <v/>
      </c>
      <c r="L390" s="75">
        <f>IF($A390="","",MRP!L2705)</f>
        <v/>
      </c>
      <c r="M390" s="76">
        <f>IF($A390="","",SUM(E390:L390))</f>
        <v/>
      </c>
      <c r="N390" s="77">
        <f>IF(ISNUMBER(D390),M390*D390,"")</f>
        <v/>
      </c>
      <c r="O390" s="78">
        <f>MRP!M2705</f>
        <v/>
      </c>
    </row>
    <row r="391">
      <c r="A391" s="73">
        <f>IF(Materiales!$A$390="","",Materiales!$A$390)</f>
        <v/>
      </c>
      <c r="B391" s="60">
        <f>IF(Materiales!$B$390="","",Materiales!$B$390)</f>
        <v/>
      </c>
      <c r="C391" s="73">
        <f>IF(Materiales!$C$390="","",Materiales!$C$390)</f>
        <v/>
      </c>
      <c r="D391" s="74">
        <f>IF(Materiales!$D$390="","",Materiales!$D$390)</f>
        <v/>
      </c>
      <c r="E391" s="75">
        <f>IF($A391="","",MRP!E2712)</f>
        <v/>
      </c>
      <c r="F391" s="75">
        <f>IF($A391="","",MRP!F2712)</f>
        <v/>
      </c>
      <c r="G391" s="75">
        <f>IF($A391="","",MRP!G2712)</f>
        <v/>
      </c>
      <c r="H391" s="75">
        <f>IF($A391="","",MRP!H2712)</f>
        <v/>
      </c>
      <c r="I391" s="75">
        <f>IF($A391="","",MRP!I2712)</f>
        <v/>
      </c>
      <c r="J391" s="75">
        <f>IF($A391="","",MRP!J2712)</f>
        <v/>
      </c>
      <c r="K391" s="75">
        <f>IF($A391="","",MRP!K2712)</f>
        <v/>
      </c>
      <c r="L391" s="75">
        <f>IF($A391="","",MRP!L2712)</f>
        <v/>
      </c>
      <c r="M391" s="76">
        <f>IF($A391="","",SUM(E391:L391))</f>
        <v/>
      </c>
      <c r="N391" s="77">
        <f>IF(ISNUMBER(D391),M391*D391,"")</f>
        <v/>
      </c>
      <c r="O391" s="78">
        <f>MRP!M2712</f>
        <v/>
      </c>
    </row>
    <row r="392">
      <c r="A392" s="73">
        <f>IF(Materiales!$A$391="","",Materiales!$A$391)</f>
        <v/>
      </c>
      <c r="B392" s="60">
        <f>IF(Materiales!$B$391="","",Materiales!$B$391)</f>
        <v/>
      </c>
      <c r="C392" s="73">
        <f>IF(Materiales!$C$391="","",Materiales!$C$391)</f>
        <v/>
      </c>
      <c r="D392" s="74">
        <f>IF(Materiales!$D$391="","",Materiales!$D$391)</f>
        <v/>
      </c>
      <c r="E392" s="75">
        <f>IF($A392="","",MRP!E2719)</f>
        <v/>
      </c>
      <c r="F392" s="75">
        <f>IF($A392="","",MRP!F2719)</f>
        <v/>
      </c>
      <c r="G392" s="75">
        <f>IF($A392="","",MRP!G2719)</f>
        <v/>
      </c>
      <c r="H392" s="75">
        <f>IF($A392="","",MRP!H2719)</f>
        <v/>
      </c>
      <c r="I392" s="75">
        <f>IF($A392="","",MRP!I2719)</f>
        <v/>
      </c>
      <c r="J392" s="75">
        <f>IF($A392="","",MRP!J2719)</f>
        <v/>
      </c>
      <c r="K392" s="75">
        <f>IF($A392="","",MRP!K2719)</f>
        <v/>
      </c>
      <c r="L392" s="75">
        <f>IF($A392="","",MRP!L2719)</f>
        <v/>
      </c>
      <c r="M392" s="76">
        <f>IF($A392="","",SUM(E392:L392))</f>
        <v/>
      </c>
      <c r="N392" s="77">
        <f>IF(ISNUMBER(D392),M392*D392,"")</f>
        <v/>
      </c>
      <c r="O392" s="78">
        <f>MRP!M2719</f>
        <v/>
      </c>
    </row>
    <row r="393">
      <c r="A393" s="73">
        <f>IF(Materiales!$A$392="","",Materiales!$A$392)</f>
        <v/>
      </c>
      <c r="B393" s="60">
        <f>IF(Materiales!$B$392="","",Materiales!$B$392)</f>
        <v/>
      </c>
      <c r="C393" s="73">
        <f>IF(Materiales!$C$392="","",Materiales!$C$392)</f>
        <v/>
      </c>
      <c r="D393" s="74">
        <f>IF(Materiales!$D$392="","",Materiales!$D$392)</f>
        <v/>
      </c>
      <c r="E393" s="75">
        <f>IF($A393="","",MRP!E2726)</f>
        <v/>
      </c>
      <c r="F393" s="75">
        <f>IF($A393="","",MRP!F2726)</f>
        <v/>
      </c>
      <c r="G393" s="75">
        <f>IF($A393="","",MRP!G2726)</f>
        <v/>
      </c>
      <c r="H393" s="75">
        <f>IF($A393="","",MRP!H2726)</f>
        <v/>
      </c>
      <c r="I393" s="75">
        <f>IF($A393="","",MRP!I2726)</f>
        <v/>
      </c>
      <c r="J393" s="75">
        <f>IF($A393="","",MRP!J2726)</f>
        <v/>
      </c>
      <c r="K393" s="75">
        <f>IF($A393="","",MRP!K2726)</f>
        <v/>
      </c>
      <c r="L393" s="75">
        <f>IF($A393="","",MRP!L2726)</f>
        <v/>
      </c>
      <c r="M393" s="76">
        <f>IF($A393="","",SUM(E393:L393))</f>
        <v/>
      </c>
      <c r="N393" s="77">
        <f>IF(ISNUMBER(D393),M393*D393,"")</f>
        <v/>
      </c>
      <c r="O393" s="78">
        <f>MRP!M2726</f>
        <v/>
      </c>
    </row>
    <row r="394">
      <c r="A394" s="73">
        <f>IF(Materiales!$A$393="","",Materiales!$A$393)</f>
        <v/>
      </c>
      <c r="B394" s="60">
        <f>IF(Materiales!$B$393="","",Materiales!$B$393)</f>
        <v/>
      </c>
      <c r="C394" s="73">
        <f>IF(Materiales!$C$393="","",Materiales!$C$393)</f>
        <v/>
      </c>
      <c r="D394" s="74">
        <f>IF(Materiales!$D$393="","",Materiales!$D$393)</f>
        <v/>
      </c>
      <c r="E394" s="75">
        <f>IF($A394="","",MRP!E2733)</f>
        <v/>
      </c>
      <c r="F394" s="75">
        <f>IF($A394="","",MRP!F2733)</f>
        <v/>
      </c>
      <c r="G394" s="75">
        <f>IF($A394="","",MRP!G2733)</f>
        <v/>
      </c>
      <c r="H394" s="75">
        <f>IF($A394="","",MRP!H2733)</f>
        <v/>
      </c>
      <c r="I394" s="75">
        <f>IF($A394="","",MRP!I2733)</f>
        <v/>
      </c>
      <c r="J394" s="75">
        <f>IF($A394="","",MRP!J2733)</f>
        <v/>
      </c>
      <c r="K394" s="75">
        <f>IF($A394="","",MRP!K2733)</f>
        <v/>
      </c>
      <c r="L394" s="75">
        <f>IF($A394="","",MRP!L2733)</f>
        <v/>
      </c>
      <c r="M394" s="76">
        <f>IF($A394="","",SUM(E394:L394))</f>
        <v/>
      </c>
      <c r="N394" s="77">
        <f>IF(ISNUMBER(D394),M394*D394,"")</f>
        <v/>
      </c>
      <c r="O394" s="78">
        <f>MRP!M2733</f>
        <v/>
      </c>
    </row>
    <row r="395">
      <c r="A395" s="73">
        <f>IF(Materiales!$A$394="","",Materiales!$A$394)</f>
        <v/>
      </c>
      <c r="B395" s="60">
        <f>IF(Materiales!$B$394="","",Materiales!$B$394)</f>
        <v/>
      </c>
      <c r="C395" s="73">
        <f>IF(Materiales!$C$394="","",Materiales!$C$394)</f>
        <v/>
      </c>
      <c r="D395" s="74">
        <f>IF(Materiales!$D$394="","",Materiales!$D$394)</f>
        <v/>
      </c>
      <c r="E395" s="75">
        <f>IF($A395="","",MRP!E2740)</f>
        <v/>
      </c>
      <c r="F395" s="75">
        <f>IF($A395="","",MRP!F2740)</f>
        <v/>
      </c>
      <c r="G395" s="75">
        <f>IF($A395="","",MRP!G2740)</f>
        <v/>
      </c>
      <c r="H395" s="75">
        <f>IF($A395="","",MRP!H2740)</f>
        <v/>
      </c>
      <c r="I395" s="75">
        <f>IF($A395="","",MRP!I2740)</f>
        <v/>
      </c>
      <c r="J395" s="75">
        <f>IF($A395="","",MRP!J2740)</f>
        <v/>
      </c>
      <c r="K395" s="75">
        <f>IF($A395="","",MRP!K2740)</f>
        <v/>
      </c>
      <c r="L395" s="75">
        <f>IF($A395="","",MRP!L2740)</f>
        <v/>
      </c>
      <c r="M395" s="76">
        <f>IF($A395="","",SUM(E395:L395))</f>
        <v/>
      </c>
      <c r="N395" s="77">
        <f>IF(ISNUMBER(D395),M395*D395,"")</f>
        <v/>
      </c>
      <c r="O395" s="78">
        <f>MRP!M2740</f>
        <v/>
      </c>
    </row>
    <row r="396">
      <c r="A396" s="73">
        <f>IF(Materiales!$A$395="","",Materiales!$A$395)</f>
        <v/>
      </c>
      <c r="B396" s="60">
        <f>IF(Materiales!$B$395="","",Materiales!$B$395)</f>
        <v/>
      </c>
      <c r="C396" s="73">
        <f>IF(Materiales!$C$395="","",Materiales!$C$395)</f>
        <v/>
      </c>
      <c r="D396" s="74">
        <f>IF(Materiales!$D$395="","",Materiales!$D$395)</f>
        <v/>
      </c>
      <c r="E396" s="75">
        <f>IF($A396="","",MRP!E2747)</f>
        <v/>
      </c>
      <c r="F396" s="75">
        <f>IF($A396="","",MRP!F2747)</f>
        <v/>
      </c>
      <c r="G396" s="75">
        <f>IF($A396="","",MRP!G2747)</f>
        <v/>
      </c>
      <c r="H396" s="75">
        <f>IF($A396="","",MRP!H2747)</f>
        <v/>
      </c>
      <c r="I396" s="75">
        <f>IF($A396="","",MRP!I2747)</f>
        <v/>
      </c>
      <c r="J396" s="75">
        <f>IF($A396="","",MRP!J2747)</f>
        <v/>
      </c>
      <c r="K396" s="75">
        <f>IF($A396="","",MRP!K2747)</f>
        <v/>
      </c>
      <c r="L396" s="75">
        <f>IF($A396="","",MRP!L2747)</f>
        <v/>
      </c>
      <c r="M396" s="76">
        <f>IF($A396="","",SUM(E396:L396))</f>
        <v/>
      </c>
      <c r="N396" s="77">
        <f>IF(ISNUMBER(D396),M396*D396,"")</f>
        <v/>
      </c>
      <c r="O396" s="78">
        <f>MRP!M2747</f>
        <v/>
      </c>
    </row>
    <row r="397">
      <c r="A397" s="73">
        <f>IF(Materiales!$A$396="","",Materiales!$A$396)</f>
        <v/>
      </c>
      <c r="B397" s="60">
        <f>IF(Materiales!$B$396="","",Materiales!$B$396)</f>
        <v/>
      </c>
      <c r="C397" s="73">
        <f>IF(Materiales!$C$396="","",Materiales!$C$396)</f>
        <v/>
      </c>
      <c r="D397" s="74">
        <f>IF(Materiales!$D$396="","",Materiales!$D$396)</f>
        <v/>
      </c>
      <c r="E397" s="75">
        <f>IF($A397="","",MRP!E2754)</f>
        <v/>
      </c>
      <c r="F397" s="75">
        <f>IF($A397="","",MRP!F2754)</f>
        <v/>
      </c>
      <c r="G397" s="75">
        <f>IF($A397="","",MRP!G2754)</f>
        <v/>
      </c>
      <c r="H397" s="75">
        <f>IF($A397="","",MRP!H2754)</f>
        <v/>
      </c>
      <c r="I397" s="75">
        <f>IF($A397="","",MRP!I2754)</f>
        <v/>
      </c>
      <c r="J397" s="75">
        <f>IF($A397="","",MRP!J2754)</f>
        <v/>
      </c>
      <c r="K397" s="75">
        <f>IF($A397="","",MRP!K2754)</f>
        <v/>
      </c>
      <c r="L397" s="75">
        <f>IF($A397="","",MRP!L2754)</f>
        <v/>
      </c>
      <c r="M397" s="76">
        <f>IF($A397="","",SUM(E397:L397))</f>
        <v/>
      </c>
      <c r="N397" s="77">
        <f>IF(ISNUMBER(D397),M397*D397,"")</f>
        <v/>
      </c>
      <c r="O397" s="78">
        <f>MRP!M2754</f>
        <v/>
      </c>
    </row>
    <row r="398">
      <c r="A398" s="73">
        <f>IF(Materiales!$A$397="","",Materiales!$A$397)</f>
        <v/>
      </c>
      <c r="B398" s="60">
        <f>IF(Materiales!$B$397="","",Materiales!$B$397)</f>
        <v/>
      </c>
      <c r="C398" s="73">
        <f>IF(Materiales!$C$397="","",Materiales!$C$397)</f>
        <v/>
      </c>
      <c r="D398" s="74">
        <f>IF(Materiales!$D$397="","",Materiales!$D$397)</f>
        <v/>
      </c>
      <c r="E398" s="75">
        <f>IF($A398="","",MRP!E2761)</f>
        <v/>
      </c>
      <c r="F398" s="75">
        <f>IF($A398="","",MRP!F2761)</f>
        <v/>
      </c>
      <c r="G398" s="75">
        <f>IF($A398="","",MRP!G2761)</f>
        <v/>
      </c>
      <c r="H398" s="75">
        <f>IF($A398="","",MRP!H2761)</f>
        <v/>
      </c>
      <c r="I398" s="75">
        <f>IF($A398="","",MRP!I2761)</f>
        <v/>
      </c>
      <c r="J398" s="75">
        <f>IF($A398="","",MRP!J2761)</f>
        <v/>
      </c>
      <c r="K398" s="75">
        <f>IF($A398="","",MRP!K2761)</f>
        <v/>
      </c>
      <c r="L398" s="75">
        <f>IF($A398="","",MRP!L2761)</f>
        <v/>
      </c>
      <c r="M398" s="76">
        <f>IF($A398="","",SUM(E398:L398))</f>
        <v/>
      </c>
      <c r="N398" s="77">
        <f>IF(ISNUMBER(D398),M398*D398,"")</f>
        <v/>
      </c>
      <c r="O398" s="78">
        <f>MRP!M2761</f>
        <v/>
      </c>
    </row>
    <row r="399">
      <c r="A399" s="73">
        <f>IF(Materiales!$A$398="","",Materiales!$A$398)</f>
        <v/>
      </c>
      <c r="B399" s="60">
        <f>IF(Materiales!$B$398="","",Materiales!$B$398)</f>
        <v/>
      </c>
      <c r="C399" s="73">
        <f>IF(Materiales!$C$398="","",Materiales!$C$398)</f>
        <v/>
      </c>
      <c r="D399" s="74">
        <f>IF(Materiales!$D$398="","",Materiales!$D$398)</f>
        <v/>
      </c>
      <c r="E399" s="75">
        <f>IF($A399="","",MRP!E2768)</f>
        <v/>
      </c>
      <c r="F399" s="75">
        <f>IF($A399="","",MRP!F2768)</f>
        <v/>
      </c>
      <c r="G399" s="75">
        <f>IF($A399="","",MRP!G2768)</f>
        <v/>
      </c>
      <c r="H399" s="75">
        <f>IF($A399="","",MRP!H2768)</f>
        <v/>
      </c>
      <c r="I399" s="75">
        <f>IF($A399="","",MRP!I2768)</f>
        <v/>
      </c>
      <c r="J399" s="75">
        <f>IF($A399="","",MRP!J2768)</f>
        <v/>
      </c>
      <c r="K399" s="75">
        <f>IF($A399="","",MRP!K2768)</f>
        <v/>
      </c>
      <c r="L399" s="75">
        <f>IF($A399="","",MRP!L2768)</f>
        <v/>
      </c>
      <c r="M399" s="76">
        <f>IF($A399="","",SUM(E399:L399))</f>
        <v/>
      </c>
      <c r="N399" s="77">
        <f>IF(ISNUMBER(D399),M399*D399,"")</f>
        <v/>
      </c>
      <c r="O399" s="78">
        <f>MRP!M2768</f>
        <v/>
      </c>
    </row>
    <row r="400">
      <c r="A400" s="73">
        <f>IF(Materiales!$A$399="","",Materiales!$A$399)</f>
        <v/>
      </c>
      <c r="B400" s="60">
        <f>IF(Materiales!$B$399="","",Materiales!$B$399)</f>
        <v/>
      </c>
      <c r="C400" s="73">
        <f>IF(Materiales!$C$399="","",Materiales!$C$399)</f>
        <v/>
      </c>
      <c r="D400" s="74">
        <f>IF(Materiales!$D$399="","",Materiales!$D$399)</f>
        <v/>
      </c>
      <c r="E400" s="75">
        <f>IF($A400="","",MRP!E2775)</f>
        <v/>
      </c>
      <c r="F400" s="75">
        <f>IF($A400="","",MRP!F2775)</f>
        <v/>
      </c>
      <c r="G400" s="75">
        <f>IF($A400="","",MRP!G2775)</f>
        <v/>
      </c>
      <c r="H400" s="75">
        <f>IF($A400="","",MRP!H2775)</f>
        <v/>
      </c>
      <c r="I400" s="75">
        <f>IF($A400="","",MRP!I2775)</f>
        <v/>
      </c>
      <c r="J400" s="75">
        <f>IF($A400="","",MRP!J2775)</f>
        <v/>
      </c>
      <c r="K400" s="75">
        <f>IF($A400="","",MRP!K2775)</f>
        <v/>
      </c>
      <c r="L400" s="75">
        <f>IF($A400="","",MRP!L2775)</f>
        <v/>
      </c>
      <c r="M400" s="76">
        <f>IF($A400="","",SUM(E400:L400))</f>
        <v/>
      </c>
      <c r="N400" s="77">
        <f>IF(ISNUMBER(D400),M400*D400,"")</f>
        <v/>
      </c>
      <c r="O400" s="78">
        <f>MRP!M2775</f>
        <v/>
      </c>
    </row>
    <row r="401">
      <c r="A401" s="73">
        <f>IF(Materiales!$A$400="","",Materiales!$A$400)</f>
        <v/>
      </c>
      <c r="B401" s="60">
        <f>IF(Materiales!$B$400="","",Materiales!$B$400)</f>
        <v/>
      </c>
      <c r="C401" s="73">
        <f>IF(Materiales!$C$400="","",Materiales!$C$400)</f>
        <v/>
      </c>
      <c r="D401" s="74">
        <f>IF(Materiales!$D$400="","",Materiales!$D$400)</f>
        <v/>
      </c>
      <c r="E401" s="75">
        <f>IF($A401="","",MRP!E2782)</f>
        <v/>
      </c>
      <c r="F401" s="75">
        <f>IF($A401="","",MRP!F2782)</f>
        <v/>
      </c>
      <c r="G401" s="75">
        <f>IF($A401="","",MRP!G2782)</f>
        <v/>
      </c>
      <c r="H401" s="75">
        <f>IF($A401="","",MRP!H2782)</f>
        <v/>
      </c>
      <c r="I401" s="75">
        <f>IF($A401="","",MRP!I2782)</f>
        <v/>
      </c>
      <c r="J401" s="75">
        <f>IF($A401="","",MRP!J2782)</f>
        <v/>
      </c>
      <c r="K401" s="75">
        <f>IF($A401="","",MRP!K2782)</f>
        <v/>
      </c>
      <c r="L401" s="75">
        <f>IF($A401="","",MRP!L2782)</f>
        <v/>
      </c>
      <c r="M401" s="76">
        <f>IF($A401="","",SUM(E401:L401))</f>
        <v/>
      </c>
      <c r="N401" s="77">
        <f>IF(ISNUMBER(D401),M401*D401,"")</f>
        <v/>
      </c>
      <c r="O401" s="78">
        <f>MRP!M2782</f>
        <v/>
      </c>
    </row>
    <row r="402">
      <c r="A402" s="73">
        <f>IF(Materiales!$A$401="","",Materiales!$A$401)</f>
        <v/>
      </c>
      <c r="B402" s="60">
        <f>IF(Materiales!$B$401="","",Materiales!$B$401)</f>
        <v/>
      </c>
      <c r="C402" s="73">
        <f>IF(Materiales!$C$401="","",Materiales!$C$401)</f>
        <v/>
      </c>
      <c r="D402" s="74">
        <f>IF(Materiales!$D$401="","",Materiales!$D$401)</f>
        <v/>
      </c>
      <c r="E402" s="75">
        <f>IF($A402="","",MRP!E2789)</f>
        <v/>
      </c>
      <c r="F402" s="75">
        <f>IF($A402="","",MRP!F2789)</f>
        <v/>
      </c>
      <c r="G402" s="75">
        <f>IF($A402="","",MRP!G2789)</f>
        <v/>
      </c>
      <c r="H402" s="75">
        <f>IF($A402="","",MRP!H2789)</f>
        <v/>
      </c>
      <c r="I402" s="75">
        <f>IF($A402="","",MRP!I2789)</f>
        <v/>
      </c>
      <c r="J402" s="75">
        <f>IF($A402="","",MRP!J2789)</f>
        <v/>
      </c>
      <c r="K402" s="75">
        <f>IF($A402="","",MRP!K2789)</f>
        <v/>
      </c>
      <c r="L402" s="75">
        <f>IF($A402="","",MRP!L2789)</f>
        <v/>
      </c>
      <c r="M402" s="76">
        <f>IF($A402="","",SUM(E402:L402))</f>
        <v/>
      </c>
      <c r="N402" s="77">
        <f>IF(ISNUMBER(D402),M402*D402,"")</f>
        <v/>
      </c>
      <c r="O402" s="78">
        <f>MRP!M2789</f>
        <v/>
      </c>
    </row>
    <row r="403">
      <c r="A403" s="73">
        <f>IF(Materiales!$A$402="","",Materiales!$A$402)</f>
        <v/>
      </c>
      <c r="B403" s="60">
        <f>IF(Materiales!$B$402="","",Materiales!$B$402)</f>
        <v/>
      </c>
      <c r="C403" s="73">
        <f>IF(Materiales!$C$402="","",Materiales!$C$402)</f>
        <v/>
      </c>
      <c r="D403" s="74">
        <f>IF(Materiales!$D$402="","",Materiales!$D$402)</f>
        <v/>
      </c>
      <c r="E403" s="75">
        <f>IF($A403="","",MRP!E2796)</f>
        <v/>
      </c>
      <c r="F403" s="75">
        <f>IF($A403="","",MRP!F2796)</f>
        <v/>
      </c>
      <c r="G403" s="75">
        <f>IF($A403="","",MRP!G2796)</f>
        <v/>
      </c>
      <c r="H403" s="75">
        <f>IF($A403="","",MRP!H2796)</f>
        <v/>
      </c>
      <c r="I403" s="75">
        <f>IF($A403="","",MRP!I2796)</f>
        <v/>
      </c>
      <c r="J403" s="75">
        <f>IF($A403="","",MRP!J2796)</f>
        <v/>
      </c>
      <c r="K403" s="75">
        <f>IF($A403="","",MRP!K2796)</f>
        <v/>
      </c>
      <c r="L403" s="75">
        <f>IF($A403="","",MRP!L2796)</f>
        <v/>
      </c>
      <c r="M403" s="76">
        <f>IF($A403="","",SUM(E403:L403))</f>
        <v/>
      </c>
      <c r="N403" s="77">
        <f>IF(ISNUMBER(D403),M403*D403,"")</f>
        <v/>
      </c>
      <c r="O403" s="78">
        <f>MRP!M2796</f>
        <v/>
      </c>
    </row>
    <row r="404">
      <c r="A404" s="73">
        <f>IF(Materiales!$A$403="","",Materiales!$A$403)</f>
        <v/>
      </c>
      <c r="B404" s="60">
        <f>IF(Materiales!$B$403="","",Materiales!$B$403)</f>
        <v/>
      </c>
      <c r="C404" s="73">
        <f>IF(Materiales!$C$403="","",Materiales!$C$403)</f>
        <v/>
      </c>
      <c r="D404" s="74">
        <f>IF(Materiales!$D$403="","",Materiales!$D$403)</f>
        <v/>
      </c>
      <c r="E404" s="75">
        <f>IF($A404="","",MRP!E2803)</f>
        <v/>
      </c>
      <c r="F404" s="75">
        <f>IF($A404="","",MRP!F2803)</f>
        <v/>
      </c>
      <c r="G404" s="75">
        <f>IF($A404="","",MRP!G2803)</f>
        <v/>
      </c>
      <c r="H404" s="75">
        <f>IF($A404="","",MRP!H2803)</f>
        <v/>
      </c>
      <c r="I404" s="75">
        <f>IF($A404="","",MRP!I2803)</f>
        <v/>
      </c>
      <c r="J404" s="75">
        <f>IF($A404="","",MRP!J2803)</f>
        <v/>
      </c>
      <c r="K404" s="75">
        <f>IF($A404="","",MRP!K2803)</f>
        <v/>
      </c>
      <c r="L404" s="75">
        <f>IF($A404="","",MRP!L2803)</f>
        <v/>
      </c>
      <c r="M404" s="76">
        <f>IF($A404="","",SUM(E404:L404))</f>
        <v/>
      </c>
      <c r="N404" s="77">
        <f>IF(ISNUMBER(D404),M404*D404,"")</f>
        <v/>
      </c>
      <c r="O404" s="78">
        <f>MRP!M2803</f>
        <v/>
      </c>
    </row>
    <row r="405">
      <c r="A405" s="73">
        <f>IF(Materiales!$A$404="","",Materiales!$A$404)</f>
        <v/>
      </c>
      <c r="B405" s="60">
        <f>IF(Materiales!$B$404="","",Materiales!$B$404)</f>
        <v/>
      </c>
      <c r="C405" s="73">
        <f>IF(Materiales!$C$404="","",Materiales!$C$404)</f>
        <v/>
      </c>
      <c r="D405" s="74">
        <f>IF(Materiales!$D$404="","",Materiales!$D$404)</f>
        <v/>
      </c>
      <c r="E405" s="75">
        <f>IF($A405="","",MRP!E2810)</f>
        <v/>
      </c>
      <c r="F405" s="75">
        <f>IF($A405="","",MRP!F2810)</f>
        <v/>
      </c>
      <c r="G405" s="75">
        <f>IF($A405="","",MRP!G2810)</f>
        <v/>
      </c>
      <c r="H405" s="75">
        <f>IF($A405="","",MRP!H2810)</f>
        <v/>
      </c>
      <c r="I405" s="75">
        <f>IF($A405="","",MRP!I2810)</f>
        <v/>
      </c>
      <c r="J405" s="75">
        <f>IF($A405="","",MRP!J2810)</f>
        <v/>
      </c>
      <c r="K405" s="75">
        <f>IF($A405="","",MRP!K2810)</f>
        <v/>
      </c>
      <c r="L405" s="75">
        <f>IF($A405="","",MRP!L2810)</f>
        <v/>
      </c>
      <c r="M405" s="76">
        <f>IF($A405="","",SUM(E405:L405))</f>
        <v/>
      </c>
      <c r="N405" s="77">
        <f>IF(ISNUMBER(D405),M405*D405,"")</f>
        <v/>
      </c>
      <c r="O405" s="78">
        <f>MRP!M2810</f>
        <v/>
      </c>
    </row>
    <row r="406">
      <c r="A406" s="73">
        <f>IF(Materiales!$A$405="","",Materiales!$A$405)</f>
        <v/>
      </c>
      <c r="B406" s="60">
        <f>IF(Materiales!$B$405="","",Materiales!$B$405)</f>
        <v/>
      </c>
      <c r="C406" s="73">
        <f>IF(Materiales!$C$405="","",Materiales!$C$405)</f>
        <v/>
      </c>
      <c r="D406" s="74">
        <f>IF(Materiales!$D$405="","",Materiales!$D$405)</f>
        <v/>
      </c>
      <c r="E406" s="75">
        <f>IF($A406="","",MRP!E2817)</f>
        <v/>
      </c>
      <c r="F406" s="75">
        <f>IF($A406="","",MRP!F2817)</f>
        <v/>
      </c>
      <c r="G406" s="75">
        <f>IF($A406="","",MRP!G2817)</f>
        <v/>
      </c>
      <c r="H406" s="75">
        <f>IF($A406="","",MRP!H2817)</f>
        <v/>
      </c>
      <c r="I406" s="75">
        <f>IF($A406="","",MRP!I2817)</f>
        <v/>
      </c>
      <c r="J406" s="75">
        <f>IF($A406="","",MRP!J2817)</f>
        <v/>
      </c>
      <c r="K406" s="75">
        <f>IF($A406="","",MRP!K2817)</f>
        <v/>
      </c>
      <c r="L406" s="75">
        <f>IF($A406="","",MRP!L2817)</f>
        <v/>
      </c>
      <c r="M406" s="76">
        <f>IF($A406="","",SUM(E406:L406))</f>
        <v/>
      </c>
      <c r="N406" s="77">
        <f>IF(ISNUMBER(D406),M406*D406,"")</f>
        <v/>
      </c>
      <c r="O406" s="78">
        <f>MRP!M2817</f>
        <v/>
      </c>
    </row>
    <row r="407">
      <c r="A407" s="73">
        <f>IF(Materiales!$A$406="","",Materiales!$A$406)</f>
        <v/>
      </c>
      <c r="B407" s="60">
        <f>IF(Materiales!$B$406="","",Materiales!$B$406)</f>
        <v/>
      </c>
      <c r="C407" s="73">
        <f>IF(Materiales!$C$406="","",Materiales!$C$406)</f>
        <v/>
      </c>
      <c r="D407" s="74">
        <f>IF(Materiales!$D$406="","",Materiales!$D$406)</f>
        <v/>
      </c>
      <c r="E407" s="75">
        <f>IF($A407="","",MRP!E2824)</f>
        <v/>
      </c>
      <c r="F407" s="75">
        <f>IF($A407="","",MRP!F2824)</f>
        <v/>
      </c>
      <c r="G407" s="75">
        <f>IF($A407="","",MRP!G2824)</f>
        <v/>
      </c>
      <c r="H407" s="75">
        <f>IF($A407="","",MRP!H2824)</f>
        <v/>
      </c>
      <c r="I407" s="75">
        <f>IF($A407="","",MRP!I2824)</f>
        <v/>
      </c>
      <c r="J407" s="75">
        <f>IF($A407="","",MRP!J2824)</f>
        <v/>
      </c>
      <c r="K407" s="75">
        <f>IF($A407="","",MRP!K2824)</f>
        <v/>
      </c>
      <c r="L407" s="75">
        <f>IF($A407="","",MRP!L2824)</f>
        <v/>
      </c>
      <c r="M407" s="76">
        <f>IF($A407="","",SUM(E407:L407))</f>
        <v/>
      </c>
      <c r="N407" s="77">
        <f>IF(ISNUMBER(D407),M407*D407,"")</f>
        <v/>
      </c>
      <c r="O407" s="78">
        <f>MRP!M2824</f>
        <v/>
      </c>
    </row>
    <row r="408">
      <c r="A408" s="73">
        <f>IF(Materiales!$A$407="","",Materiales!$A$407)</f>
        <v/>
      </c>
      <c r="B408" s="60">
        <f>IF(Materiales!$B$407="","",Materiales!$B$407)</f>
        <v/>
      </c>
      <c r="C408" s="73">
        <f>IF(Materiales!$C$407="","",Materiales!$C$407)</f>
        <v/>
      </c>
      <c r="D408" s="74">
        <f>IF(Materiales!$D$407="","",Materiales!$D$407)</f>
        <v/>
      </c>
      <c r="E408" s="75">
        <f>IF($A408="","",MRP!E2831)</f>
        <v/>
      </c>
      <c r="F408" s="75">
        <f>IF($A408="","",MRP!F2831)</f>
        <v/>
      </c>
      <c r="G408" s="75">
        <f>IF($A408="","",MRP!G2831)</f>
        <v/>
      </c>
      <c r="H408" s="75">
        <f>IF($A408="","",MRP!H2831)</f>
        <v/>
      </c>
      <c r="I408" s="75">
        <f>IF($A408="","",MRP!I2831)</f>
        <v/>
      </c>
      <c r="J408" s="75">
        <f>IF($A408="","",MRP!J2831)</f>
        <v/>
      </c>
      <c r="K408" s="75">
        <f>IF($A408="","",MRP!K2831)</f>
        <v/>
      </c>
      <c r="L408" s="75">
        <f>IF($A408="","",MRP!L2831)</f>
        <v/>
      </c>
      <c r="M408" s="76">
        <f>IF($A408="","",SUM(E408:L408))</f>
        <v/>
      </c>
      <c r="N408" s="77">
        <f>IF(ISNUMBER(D408),M408*D408,"")</f>
        <v/>
      </c>
      <c r="O408" s="78">
        <f>MRP!M2831</f>
        <v/>
      </c>
    </row>
    <row r="409">
      <c r="A409" s="73">
        <f>IF(Materiales!$A$408="","",Materiales!$A$408)</f>
        <v/>
      </c>
      <c r="B409" s="60">
        <f>IF(Materiales!$B$408="","",Materiales!$B$408)</f>
        <v/>
      </c>
      <c r="C409" s="73">
        <f>IF(Materiales!$C$408="","",Materiales!$C$408)</f>
        <v/>
      </c>
      <c r="D409" s="74">
        <f>IF(Materiales!$D$408="","",Materiales!$D$408)</f>
        <v/>
      </c>
      <c r="E409" s="75">
        <f>IF($A409="","",MRP!E2838)</f>
        <v/>
      </c>
      <c r="F409" s="75">
        <f>IF($A409="","",MRP!F2838)</f>
        <v/>
      </c>
      <c r="G409" s="75">
        <f>IF($A409="","",MRP!G2838)</f>
        <v/>
      </c>
      <c r="H409" s="75">
        <f>IF($A409="","",MRP!H2838)</f>
        <v/>
      </c>
      <c r="I409" s="75">
        <f>IF($A409="","",MRP!I2838)</f>
        <v/>
      </c>
      <c r="J409" s="75">
        <f>IF($A409="","",MRP!J2838)</f>
        <v/>
      </c>
      <c r="K409" s="75">
        <f>IF($A409="","",MRP!K2838)</f>
        <v/>
      </c>
      <c r="L409" s="75">
        <f>IF($A409="","",MRP!L2838)</f>
        <v/>
      </c>
      <c r="M409" s="76">
        <f>IF($A409="","",SUM(E409:L409))</f>
        <v/>
      </c>
      <c r="N409" s="77">
        <f>IF(ISNUMBER(D409),M409*D409,"")</f>
        <v/>
      </c>
      <c r="O409" s="78">
        <f>MRP!M2838</f>
        <v/>
      </c>
    </row>
    <row r="410">
      <c r="A410" s="73">
        <f>IF(Materiales!$A$409="","",Materiales!$A$409)</f>
        <v/>
      </c>
      <c r="B410" s="60">
        <f>IF(Materiales!$B$409="","",Materiales!$B$409)</f>
        <v/>
      </c>
      <c r="C410" s="73">
        <f>IF(Materiales!$C$409="","",Materiales!$C$409)</f>
        <v/>
      </c>
      <c r="D410" s="74">
        <f>IF(Materiales!$D$409="","",Materiales!$D$409)</f>
        <v/>
      </c>
      <c r="E410" s="75">
        <f>IF($A410="","",MRP!E2845)</f>
        <v/>
      </c>
      <c r="F410" s="75">
        <f>IF($A410="","",MRP!F2845)</f>
        <v/>
      </c>
      <c r="G410" s="75">
        <f>IF($A410="","",MRP!G2845)</f>
        <v/>
      </c>
      <c r="H410" s="75">
        <f>IF($A410="","",MRP!H2845)</f>
        <v/>
      </c>
      <c r="I410" s="75">
        <f>IF($A410="","",MRP!I2845)</f>
        <v/>
      </c>
      <c r="J410" s="75">
        <f>IF($A410="","",MRP!J2845)</f>
        <v/>
      </c>
      <c r="K410" s="75">
        <f>IF($A410="","",MRP!K2845)</f>
        <v/>
      </c>
      <c r="L410" s="75">
        <f>IF($A410="","",MRP!L2845)</f>
        <v/>
      </c>
      <c r="M410" s="76">
        <f>IF($A410="","",SUM(E410:L410))</f>
        <v/>
      </c>
      <c r="N410" s="77">
        <f>IF(ISNUMBER(D410),M410*D410,"")</f>
        <v/>
      </c>
      <c r="O410" s="78">
        <f>MRP!M2845</f>
        <v/>
      </c>
    </row>
    <row r="411">
      <c r="A411" s="73">
        <f>IF(Materiales!$A$410="","",Materiales!$A$410)</f>
        <v/>
      </c>
      <c r="B411" s="60">
        <f>IF(Materiales!$B$410="","",Materiales!$B$410)</f>
        <v/>
      </c>
      <c r="C411" s="73">
        <f>IF(Materiales!$C$410="","",Materiales!$C$410)</f>
        <v/>
      </c>
      <c r="D411" s="74">
        <f>IF(Materiales!$D$410="","",Materiales!$D$410)</f>
        <v/>
      </c>
      <c r="E411" s="75">
        <f>IF($A411="","",MRP!E2852)</f>
        <v/>
      </c>
      <c r="F411" s="75">
        <f>IF($A411="","",MRP!F2852)</f>
        <v/>
      </c>
      <c r="G411" s="75">
        <f>IF($A411="","",MRP!G2852)</f>
        <v/>
      </c>
      <c r="H411" s="75">
        <f>IF($A411="","",MRP!H2852)</f>
        <v/>
      </c>
      <c r="I411" s="75">
        <f>IF($A411="","",MRP!I2852)</f>
        <v/>
      </c>
      <c r="J411" s="75">
        <f>IF($A411="","",MRP!J2852)</f>
        <v/>
      </c>
      <c r="K411" s="75">
        <f>IF($A411="","",MRP!K2852)</f>
        <v/>
      </c>
      <c r="L411" s="75">
        <f>IF($A411="","",MRP!L2852)</f>
        <v/>
      </c>
      <c r="M411" s="76">
        <f>IF($A411="","",SUM(E411:L411))</f>
        <v/>
      </c>
      <c r="N411" s="77">
        <f>IF(ISNUMBER(D411),M411*D411,"")</f>
        <v/>
      </c>
      <c r="O411" s="78">
        <f>MRP!M2852</f>
        <v/>
      </c>
    </row>
    <row r="412">
      <c r="A412" s="73">
        <f>IF(Materiales!$A$411="","",Materiales!$A$411)</f>
        <v/>
      </c>
      <c r="B412" s="60">
        <f>IF(Materiales!$B$411="","",Materiales!$B$411)</f>
        <v/>
      </c>
      <c r="C412" s="73">
        <f>IF(Materiales!$C$411="","",Materiales!$C$411)</f>
        <v/>
      </c>
      <c r="D412" s="74">
        <f>IF(Materiales!$D$411="","",Materiales!$D$411)</f>
        <v/>
      </c>
      <c r="E412" s="75">
        <f>IF($A412="","",MRP!E2859)</f>
        <v/>
      </c>
      <c r="F412" s="75">
        <f>IF($A412="","",MRP!F2859)</f>
        <v/>
      </c>
      <c r="G412" s="75">
        <f>IF($A412="","",MRP!G2859)</f>
        <v/>
      </c>
      <c r="H412" s="75">
        <f>IF($A412="","",MRP!H2859)</f>
        <v/>
      </c>
      <c r="I412" s="75">
        <f>IF($A412="","",MRP!I2859)</f>
        <v/>
      </c>
      <c r="J412" s="75">
        <f>IF($A412="","",MRP!J2859)</f>
        <v/>
      </c>
      <c r="K412" s="75">
        <f>IF($A412="","",MRP!K2859)</f>
        <v/>
      </c>
      <c r="L412" s="75">
        <f>IF($A412="","",MRP!L2859)</f>
        <v/>
      </c>
      <c r="M412" s="76">
        <f>IF($A412="","",SUM(E412:L412))</f>
        <v/>
      </c>
      <c r="N412" s="77">
        <f>IF(ISNUMBER(D412),M412*D412,"")</f>
        <v/>
      </c>
      <c r="O412" s="78">
        <f>MRP!M2859</f>
        <v/>
      </c>
    </row>
    <row r="413">
      <c r="A413" s="73">
        <f>IF(Materiales!$A$412="","",Materiales!$A$412)</f>
        <v/>
      </c>
      <c r="B413" s="60">
        <f>IF(Materiales!$B$412="","",Materiales!$B$412)</f>
        <v/>
      </c>
      <c r="C413" s="73">
        <f>IF(Materiales!$C$412="","",Materiales!$C$412)</f>
        <v/>
      </c>
      <c r="D413" s="74">
        <f>IF(Materiales!$D$412="","",Materiales!$D$412)</f>
        <v/>
      </c>
      <c r="E413" s="75">
        <f>IF($A413="","",MRP!E2866)</f>
        <v/>
      </c>
      <c r="F413" s="75">
        <f>IF($A413="","",MRP!F2866)</f>
        <v/>
      </c>
      <c r="G413" s="75">
        <f>IF($A413="","",MRP!G2866)</f>
        <v/>
      </c>
      <c r="H413" s="75">
        <f>IF($A413="","",MRP!H2866)</f>
        <v/>
      </c>
      <c r="I413" s="75">
        <f>IF($A413="","",MRP!I2866)</f>
        <v/>
      </c>
      <c r="J413" s="75">
        <f>IF($A413="","",MRP!J2866)</f>
        <v/>
      </c>
      <c r="K413" s="75">
        <f>IF($A413="","",MRP!K2866)</f>
        <v/>
      </c>
      <c r="L413" s="75">
        <f>IF($A413="","",MRP!L2866)</f>
        <v/>
      </c>
      <c r="M413" s="76">
        <f>IF($A413="","",SUM(E413:L413))</f>
        <v/>
      </c>
      <c r="N413" s="77">
        <f>IF(ISNUMBER(D413),M413*D413,"")</f>
        <v/>
      </c>
      <c r="O413" s="78">
        <f>MRP!M2866</f>
        <v/>
      </c>
    </row>
    <row r="414">
      <c r="A414" s="73">
        <f>IF(Materiales!$A$413="","",Materiales!$A$413)</f>
        <v/>
      </c>
      <c r="B414" s="60">
        <f>IF(Materiales!$B$413="","",Materiales!$B$413)</f>
        <v/>
      </c>
      <c r="C414" s="73">
        <f>IF(Materiales!$C$413="","",Materiales!$C$413)</f>
        <v/>
      </c>
      <c r="D414" s="74">
        <f>IF(Materiales!$D$413="","",Materiales!$D$413)</f>
        <v/>
      </c>
      <c r="E414" s="75">
        <f>IF($A414="","",MRP!E2873)</f>
        <v/>
      </c>
      <c r="F414" s="75">
        <f>IF($A414="","",MRP!F2873)</f>
        <v/>
      </c>
      <c r="G414" s="75">
        <f>IF($A414="","",MRP!G2873)</f>
        <v/>
      </c>
      <c r="H414" s="75">
        <f>IF($A414="","",MRP!H2873)</f>
        <v/>
      </c>
      <c r="I414" s="75">
        <f>IF($A414="","",MRP!I2873)</f>
        <v/>
      </c>
      <c r="J414" s="75">
        <f>IF($A414="","",MRP!J2873)</f>
        <v/>
      </c>
      <c r="K414" s="75">
        <f>IF($A414="","",MRP!K2873)</f>
        <v/>
      </c>
      <c r="L414" s="75">
        <f>IF($A414="","",MRP!L2873)</f>
        <v/>
      </c>
      <c r="M414" s="76">
        <f>IF($A414="","",SUM(E414:L414))</f>
        <v/>
      </c>
      <c r="N414" s="77">
        <f>IF(ISNUMBER(D414),M414*D414,"")</f>
        <v/>
      </c>
      <c r="O414" s="78">
        <f>MRP!M2873</f>
        <v/>
      </c>
    </row>
    <row r="415">
      <c r="A415" s="73">
        <f>IF(Materiales!$A$414="","",Materiales!$A$414)</f>
        <v/>
      </c>
      <c r="B415" s="60">
        <f>IF(Materiales!$B$414="","",Materiales!$B$414)</f>
        <v/>
      </c>
      <c r="C415" s="73">
        <f>IF(Materiales!$C$414="","",Materiales!$C$414)</f>
        <v/>
      </c>
      <c r="D415" s="74">
        <f>IF(Materiales!$D$414="","",Materiales!$D$414)</f>
        <v/>
      </c>
      <c r="E415" s="75">
        <f>IF($A415="","",MRP!E2880)</f>
        <v/>
      </c>
      <c r="F415" s="75">
        <f>IF($A415="","",MRP!F2880)</f>
        <v/>
      </c>
      <c r="G415" s="75">
        <f>IF($A415="","",MRP!G2880)</f>
        <v/>
      </c>
      <c r="H415" s="75">
        <f>IF($A415="","",MRP!H2880)</f>
        <v/>
      </c>
      <c r="I415" s="75">
        <f>IF($A415="","",MRP!I2880)</f>
        <v/>
      </c>
      <c r="J415" s="75">
        <f>IF($A415="","",MRP!J2880)</f>
        <v/>
      </c>
      <c r="K415" s="75">
        <f>IF($A415="","",MRP!K2880)</f>
        <v/>
      </c>
      <c r="L415" s="75">
        <f>IF($A415="","",MRP!L2880)</f>
        <v/>
      </c>
      <c r="M415" s="76">
        <f>IF($A415="","",SUM(E415:L415))</f>
        <v/>
      </c>
      <c r="N415" s="77">
        <f>IF(ISNUMBER(D415),M415*D415,"")</f>
        <v/>
      </c>
      <c r="O415" s="78">
        <f>MRP!M2880</f>
        <v/>
      </c>
    </row>
    <row r="416">
      <c r="A416" s="73">
        <f>IF(Materiales!$A$415="","",Materiales!$A$415)</f>
        <v/>
      </c>
      <c r="B416" s="60">
        <f>IF(Materiales!$B$415="","",Materiales!$B$415)</f>
        <v/>
      </c>
      <c r="C416" s="73">
        <f>IF(Materiales!$C$415="","",Materiales!$C$415)</f>
        <v/>
      </c>
      <c r="D416" s="74">
        <f>IF(Materiales!$D$415="","",Materiales!$D$415)</f>
        <v/>
      </c>
      <c r="E416" s="75">
        <f>IF($A416="","",MRP!E2887)</f>
        <v/>
      </c>
      <c r="F416" s="75">
        <f>IF($A416="","",MRP!F2887)</f>
        <v/>
      </c>
      <c r="G416" s="75">
        <f>IF($A416="","",MRP!G2887)</f>
        <v/>
      </c>
      <c r="H416" s="75">
        <f>IF($A416="","",MRP!H2887)</f>
        <v/>
      </c>
      <c r="I416" s="75">
        <f>IF($A416="","",MRP!I2887)</f>
        <v/>
      </c>
      <c r="J416" s="75">
        <f>IF($A416="","",MRP!J2887)</f>
        <v/>
      </c>
      <c r="K416" s="75">
        <f>IF($A416="","",MRP!K2887)</f>
        <v/>
      </c>
      <c r="L416" s="75">
        <f>IF($A416="","",MRP!L2887)</f>
        <v/>
      </c>
      <c r="M416" s="76">
        <f>IF($A416="","",SUM(E416:L416))</f>
        <v/>
      </c>
      <c r="N416" s="77">
        <f>IF(ISNUMBER(D416),M416*D416,"")</f>
        <v/>
      </c>
      <c r="O416" s="78">
        <f>MRP!M2887</f>
        <v/>
      </c>
    </row>
    <row r="417">
      <c r="A417" s="73">
        <f>IF(Materiales!$A$416="","",Materiales!$A$416)</f>
        <v/>
      </c>
      <c r="B417" s="60">
        <f>IF(Materiales!$B$416="","",Materiales!$B$416)</f>
        <v/>
      </c>
      <c r="C417" s="73">
        <f>IF(Materiales!$C$416="","",Materiales!$C$416)</f>
        <v/>
      </c>
      <c r="D417" s="74">
        <f>IF(Materiales!$D$416="","",Materiales!$D$416)</f>
        <v/>
      </c>
      <c r="E417" s="75">
        <f>IF($A417="","",MRP!E2894)</f>
        <v/>
      </c>
      <c r="F417" s="75">
        <f>IF($A417="","",MRP!F2894)</f>
        <v/>
      </c>
      <c r="G417" s="75">
        <f>IF($A417="","",MRP!G2894)</f>
        <v/>
      </c>
      <c r="H417" s="75">
        <f>IF($A417="","",MRP!H2894)</f>
        <v/>
      </c>
      <c r="I417" s="75">
        <f>IF($A417="","",MRP!I2894)</f>
        <v/>
      </c>
      <c r="J417" s="75">
        <f>IF($A417="","",MRP!J2894)</f>
        <v/>
      </c>
      <c r="K417" s="75">
        <f>IF($A417="","",MRP!K2894)</f>
        <v/>
      </c>
      <c r="L417" s="75">
        <f>IF($A417="","",MRP!L2894)</f>
        <v/>
      </c>
      <c r="M417" s="76">
        <f>IF($A417="","",SUM(E417:L417))</f>
        <v/>
      </c>
      <c r="N417" s="77">
        <f>IF(ISNUMBER(D417),M417*D417,"")</f>
        <v/>
      </c>
      <c r="O417" s="78">
        <f>MRP!M2894</f>
        <v/>
      </c>
    </row>
    <row r="418">
      <c r="A418" s="73">
        <f>IF(Materiales!$A$417="","",Materiales!$A$417)</f>
        <v/>
      </c>
      <c r="B418" s="60">
        <f>IF(Materiales!$B$417="","",Materiales!$B$417)</f>
        <v/>
      </c>
      <c r="C418" s="73">
        <f>IF(Materiales!$C$417="","",Materiales!$C$417)</f>
        <v/>
      </c>
      <c r="D418" s="74">
        <f>IF(Materiales!$D$417="","",Materiales!$D$417)</f>
        <v/>
      </c>
      <c r="E418" s="75">
        <f>IF($A418="","",MRP!E2901)</f>
        <v/>
      </c>
      <c r="F418" s="75">
        <f>IF($A418="","",MRP!F2901)</f>
        <v/>
      </c>
      <c r="G418" s="75">
        <f>IF($A418="","",MRP!G2901)</f>
        <v/>
      </c>
      <c r="H418" s="75">
        <f>IF($A418="","",MRP!H2901)</f>
        <v/>
      </c>
      <c r="I418" s="75">
        <f>IF($A418="","",MRP!I2901)</f>
        <v/>
      </c>
      <c r="J418" s="75">
        <f>IF($A418="","",MRP!J2901)</f>
        <v/>
      </c>
      <c r="K418" s="75">
        <f>IF($A418="","",MRP!K2901)</f>
        <v/>
      </c>
      <c r="L418" s="75">
        <f>IF($A418="","",MRP!L2901)</f>
        <v/>
      </c>
      <c r="M418" s="76">
        <f>IF($A418="","",SUM(E418:L418))</f>
        <v/>
      </c>
      <c r="N418" s="77">
        <f>IF(ISNUMBER(D418),M418*D418,"")</f>
        <v/>
      </c>
      <c r="O418" s="78">
        <f>MRP!M2901</f>
        <v/>
      </c>
    </row>
    <row r="419">
      <c r="A419" s="73">
        <f>IF(Materiales!$A$418="","",Materiales!$A$418)</f>
        <v/>
      </c>
      <c r="B419" s="60">
        <f>IF(Materiales!$B$418="","",Materiales!$B$418)</f>
        <v/>
      </c>
      <c r="C419" s="73">
        <f>IF(Materiales!$C$418="","",Materiales!$C$418)</f>
        <v/>
      </c>
      <c r="D419" s="74">
        <f>IF(Materiales!$D$418="","",Materiales!$D$418)</f>
        <v/>
      </c>
      <c r="E419" s="75">
        <f>IF($A419="","",MRP!E2908)</f>
        <v/>
      </c>
      <c r="F419" s="75">
        <f>IF($A419="","",MRP!F2908)</f>
        <v/>
      </c>
      <c r="G419" s="75">
        <f>IF($A419="","",MRP!G2908)</f>
        <v/>
      </c>
      <c r="H419" s="75">
        <f>IF($A419="","",MRP!H2908)</f>
        <v/>
      </c>
      <c r="I419" s="75">
        <f>IF($A419="","",MRP!I2908)</f>
        <v/>
      </c>
      <c r="J419" s="75">
        <f>IF($A419="","",MRP!J2908)</f>
        <v/>
      </c>
      <c r="K419" s="75">
        <f>IF($A419="","",MRP!K2908)</f>
        <v/>
      </c>
      <c r="L419" s="75">
        <f>IF($A419="","",MRP!L2908)</f>
        <v/>
      </c>
      <c r="M419" s="76">
        <f>IF($A419="","",SUM(E419:L419))</f>
        <v/>
      </c>
      <c r="N419" s="77">
        <f>IF(ISNUMBER(D419),M419*D419,"")</f>
        <v/>
      </c>
      <c r="O419" s="78">
        <f>MRP!M2908</f>
        <v/>
      </c>
    </row>
    <row r="420">
      <c r="A420" s="73">
        <f>IF(Materiales!$A$419="","",Materiales!$A$419)</f>
        <v/>
      </c>
      <c r="B420" s="60">
        <f>IF(Materiales!$B$419="","",Materiales!$B$419)</f>
        <v/>
      </c>
      <c r="C420" s="73">
        <f>IF(Materiales!$C$419="","",Materiales!$C$419)</f>
        <v/>
      </c>
      <c r="D420" s="74">
        <f>IF(Materiales!$D$419="","",Materiales!$D$419)</f>
        <v/>
      </c>
      <c r="E420" s="75">
        <f>IF($A420="","",MRP!E2915)</f>
        <v/>
      </c>
      <c r="F420" s="75">
        <f>IF($A420="","",MRP!F2915)</f>
        <v/>
      </c>
      <c r="G420" s="75">
        <f>IF($A420="","",MRP!G2915)</f>
        <v/>
      </c>
      <c r="H420" s="75">
        <f>IF($A420="","",MRP!H2915)</f>
        <v/>
      </c>
      <c r="I420" s="75">
        <f>IF($A420="","",MRP!I2915)</f>
        <v/>
      </c>
      <c r="J420" s="75">
        <f>IF($A420="","",MRP!J2915)</f>
        <v/>
      </c>
      <c r="K420" s="75">
        <f>IF($A420="","",MRP!K2915)</f>
        <v/>
      </c>
      <c r="L420" s="75">
        <f>IF($A420="","",MRP!L2915)</f>
        <v/>
      </c>
      <c r="M420" s="76">
        <f>IF($A420="","",SUM(E420:L420))</f>
        <v/>
      </c>
      <c r="N420" s="77">
        <f>IF(ISNUMBER(D420),M420*D420,"")</f>
        <v/>
      </c>
      <c r="O420" s="78">
        <f>MRP!M2915</f>
        <v/>
      </c>
    </row>
    <row r="421">
      <c r="A421" s="73">
        <f>IF(Materiales!$A$420="","",Materiales!$A$420)</f>
        <v/>
      </c>
      <c r="B421" s="60">
        <f>IF(Materiales!$B$420="","",Materiales!$B$420)</f>
        <v/>
      </c>
      <c r="C421" s="73">
        <f>IF(Materiales!$C$420="","",Materiales!$C$420)</f>
        <v/>
      </c>
      <c r="D421" s="74">
        <f>IF(Materiales!$D$420="","",Materiales!$D$420)</f>
        <v/>
      </c>
      <c r="E421" s="75">
        <f>IF($A421="","",MRP!E2922)</f>
        <v/>
      </c>
      <c r="F421" s="75">
        <f>IF($A421="","",MRP!F2922)</f>
        <v/>
      </c>
      <c r="G421" s="75">
        <f>IF($A421="","",MRP!G2922)</f>
        <v/>
      </c>
      <c r="H421" s="75">
        <f>IF($A421="","",MRP!H2922)</f>
        <v/>
      </c>
      <c r="I421" s="75">
        <f>IF($A421="","",MRP!I2922)</f>
        <v/>
      </c>
      <c r="J421" s="75">
        <f>IF($A421="","",MRP!J2922)</f>
        <v/>
      </c>
      <c r="K421" s="75">
        <f>IF($A421="","",MRP!K2922)</f>
        <v/>
      </c>
      <c r="L421" s="75">
        <f>IF($A421="","",MRP!L2922)</f>
        <v/>
      </c>
      <c r="M421" s="76">
        <f>IF($A421="","",SUM(E421:L421))</f>
        <v/>
      </c>
      <c r="N421" s="77">
        <f>IF(ISNUMBER(D421),M421*D421,"")</f>
        <v/>
      </c>
      <c r="O421" s="78">
        <f>MRP!M2922</f>
        <v/>
      </c>
    </row>
    <row r="422">
      <c r="A422" s="73">
        <f>IF(Materiales!$A$421="","",Materiales!$A$421)</f>
        <v/>
      </c>
      <c r="B422" s="60">
        <f>IF(Materiales!$B$421="","",Materiales!$B$421)</f>
        <v/>
      </c>
      <c r="C422" s="73">
        <f>IF(Materiales!$C$421="","",Materiales!$C$421)</f>
        <v/>
      </c>
      <c r="D422" s="74">
        <f>IF(Materiales!$D$421="","",Materiales!$D$421)</f>
        <v/>
      </c>
      <c r="E422" s="75">
        <f>IF($A422="","",MRP!E2929)</f>
        <v/>
      </c>
      <c r="F422" s="75">
        <f>IF($A422="","",MRP!F2929)</f>
        <v/>
      </c>
      <c r="G422" s="75">
        <f>IF($A422="","",MRP!G2929)</f>
        <v/>
      </c>
      <c r="H422" s="75">
        <f>IF($A422="","",MRP!H2929)</f>
        <v/>
      </c>
      <c r="I422" s="75">
        <f>IF($A422="","",MRP!I2929)</f>
        <v/>
      </c>
      <c r="J422" s="75">
        <f>IF($A422="","",MRP!J2929)</f>
        <v/>
      </c>
      <c r="K422" s="75">
        <f>IF($A422="","",MRP!K2929)</f>
        <v/>
      </c>
      <c r="L422" s="75">
        <f>IF($A422="","",MRP!L2929)</f>
        <v/>
      </c>
      <c r="M422" s="76">
        <f>IF($A422="","",SUM(E422:L422))</f>
        <v/>
      </c>
      <c r="N422" s="77">
        <f>IF(ISNUMBER(D422),M422*D422,"")</f>
        <v/>
      </c>
      <c r="O422" s="78">
        <f>MRP!M2929</f>
        <v/>
      </c>
    </row>
    <row r="423">
      <c r="A423" s="73">
        <f>IF(Materiales!$A$422="","",Materiales!$A$422)</f>
        <v/>
      </c>
      <c r="B423" s="60">
        <f>IF(Materiales!$B$422="","",Materiales!$B$422)</f>
        <v/>
      </c>
      <c r="C423" s="73">
        <f>IF(Materiales!$C$422="","",Materiales!$C$422)</f>
        <v/>
      </c>
      <c r="D423" s="74">
        <f>IF(Materiales!$D$422="","",Materiales!$D$422)</f>
        <v/>
      </c>
      <c r="E423" s="75">
        <f>IF($A423="","",MRP!E2936)</f>
        <v/>
      </c>
      <c r="F423" s="75">
        <f>IF($A423="","",MRP!F2936)</f>
        <v/>
      </c>
      <c r="G423" s="75">
        <f>IF($A423="","",MRP!G2936)</f>
        <v/>
      </c>
      <c r="H423" s="75">
        <f>IF($A423="","",MRP!H2936)</f>
        <v/>
      </c>
      <c r="I423" s="75">
        <f>IF($A423="","",MRP!I2936)</f>
        <v/>
      </c>
      <c r="J423" s="75">
        <f>IF($A423="","",MRP!J2936)</f>
        <v/>
      </c>
      <c r="K423" s="75">
        <f>IF($A423="","",MRP!K2936)</f>
        <v/>
      </c>
      <c r="L423" s="75">
        <f>IF($A423="","",MRP!L2936)</f>
        <v/>
      </c>
      <c r="M423" s="76">
        <f>IF($A423="","",SUM(E423:L423))</f>
        <v/>
      </c>
      <c r="N423" s="77">
        <f>IF(ISNUMBER(D423),M423*D423,"")</f>
        <v/>
      </c>
      <c r="O423" s="78">
        <f>MRP!M2936</f>
        <v/>
      </c>
    </row>
    <row r="424">
      <c r="A424" s="73">
        <f>IF(Materiales!$A$423="","",Materiales!$A$423)</f>
        <v/>
      </c>
      <c r="B424" s="60">
        <f>IF(Materiales!$B$423="","",Materiales!$B$423)</f>
        <v/>
      </c>
      <c r="C424" s="73">
        <f>IF(Materiales!$C$423="","",Materiales!$C$423)</f>
        <v/>
      </c>
      <c r="D424" s="74">
        <f>IF(Materiales!$D$423="","",Materiales!$D$423)</f>
        <v/>
      </c>
      <c r="E424" s="75">
        <f>IF($A424="","",MRP!E2943)</f>
        <v/>
      </c>
      <c r="F424" s="75">
        <f>IF($A424="","",MRP!F2943)</f>
        <v/>
      </c>
      <c r="G424" s="75">
        <f>IF($A424="","",MRP!G2943)</f>
        <v/>
      </c>
      <c r="H424" s="75">
        <f>IF($A424="","",MRP!H2943)</f>
        <v/>
      </c>
      <c r="I424" s="75">
        <f>IF($A424="","",MRP!I2943)</f>
        <v/>
      </c>
      <c r="J424" s="75">
        <f>IF($A424="","",MRP!J2943)</f>
        <v/>
      </c>
      <c r="K424" s="75">
        <f>IF($A424="","",MRP!K2943)</f>
        <v/>
      </c>
      <c r="L424" s="75">
        <f>IF($A424="","",MRP!L2943)</f>
        <v/>
      </c>
      <c r="M424" s="76">
        <f>IF($A424="","",SUM(E424:L424))</f>
        <v/>
      </c>
      <c r="N424" s="77">
        <f>IF(ISNUMBER(D424),M424*D424,"")</f>
        <v/>
      </c>
      <c r="O424" s="78">
        <f>MRP!M2943</f>
        <v/>
      </c>
    </row>
    <row r="425">
      <c r="A425" s="73">
        <f>IF(Materiales!$A$424="","",Materiales!$A$424)</f>
        <v/>
      </c>
      <c r="B425" s="60">
        <f>IF(Materiales!$B$424="","",Materiales!$B$424)</f>
        <v/>
      </c>
      <c r="C425" s="73">
        <f>IF(Materiales!$C$424="","",Materiales!$C$424)</f>
        <v/>
      </c>
      <c r="D425" s="74">
        <f>IF(Materiales!$D$424="","",Materiales!$D$424)</f>
        <v/>
      </c>
      <c r="E425" s="75">
        <f>IF($A425="","",MRP!E2950)</f>
        <v/>
      </c>
      <c r="F425" s="75">
        <f>IF($A425="","",MRP!F2950)</f>
        <v/>
      </c>
      <c r="G425" s="75">
        <f>IF($A425="","",MRP!G2950)</f>
        <v/>
      </c>
      <c r="H425" s="75">
        <f>IF($A425="","",MRP!H2950)</f>
        <v/>
      </c>
      <c r="I425" s="75">
        <f>IF($A425="","",MRP!I2950)</f>
        <v/>
      </c>
      <c r="J425" s="75">
        <f>IF($A425="","",MRP!J2950)</f>
        <v/>
      </c>
      <c r="K425" s="75">
        <f>IF($A425="","",MRP!K2950)</f>
        <v/>
      </c>
      <c r="L425" s="75">
        <f>IF($A425="","",MRP!L2950)</f>
        <v/>
      </c>
      <c r="M425" s="76">
        <f>IF($A425="","",SUM(E425:L425))</f>
        <v/>
      </c>
      <c r="N425" s="77">
        <f>IF(ISNUMBER(D425),M425*D425,"")</f>
        <v/>
      </c>
      <c r="O425" s="78">
        <f>MRP!M2950</f>
        <v/>
      </c>
    </row>
    <row r="426">
      <c r="A426" s="73">
        <f>IF(Materiales!$A$425="","",Materiales!$A$425)</f>
        <v/>
      </c>
      <c r="B426" s="60">
        <f>IF(Materiales!$B$425="","",Materiales!$B$425)</f>
        <v/>
      </c>
      <c r="C426" s="73">
        <f>IF(Materiales!$C$425="","",Materiales!$C$425)</f>
        <v/>
      </c>
      <c r="D426" s="74">
        <f>IF(Materiales!$D$425="","",Materiales!$D$425)</f>
        <v/>
      </c>
      <c r="E426" s="75">
        <f>IF($A426="","",MRP!E2957)</f>
        <v/>
      </c>
      <c r="F426" s="75">
        <f>IF($A426="","",MRP!F2957)</f>
        <v/>
      </c>
      <c r="G426" s="75">
        <f>IF($A426="","",MRP!G2957)</f>
        <v/>
      </c>
      <c r="H426" s="75">
        <f>IF($A426="","",MRP!H2957)</f>
        <v/>
      </c>
      <c r="I426" s="75">
        <f>IF($A426="","",MRP!I2957)</f>
        <v/>
      </c>
      <c r="J426" s="75">
        <f>IF($A426="","",MRP!J2957)</f>
        <v/>
      </c>
      <c r="K426" s="75">
        <f>IF($A426="","",MRP!K2957)</f>
        <v/>
      </c>
      <c r="L426" s="75">
        <f>IF($A426="","",MRP!L2957)</f>
        <v/>
      </c>
      <c r="M426" s="76">
        <f>IF($A426="","",SUM(E426:L426))</f>
        <v/>
      </c>
      <c r="N426" s="77">
        <f>IF(ISNUMBER(D426),M426*D426,"")</f>
        <v/>
      </c>
      <c r="O426" s="78">
        <f>MRP!M2957</f>
        <v/>
      </c>
    </row>
    <row r="427">
      <c r="A427" s="73">
        <f>IF(Materiales!$A$426="","",Materiales!$A$426)</f>
        <v/>
      </c>
      <c r="B427" s="60">
        <f>IF(Materiales!$B$426="","",Materiales!$B$426)</f>
        <v/>
      </c>
      <c r="C427" s="73">
        <f>IF(Materiales!$C$426="","",Materiales!$C$426)</f>
        <v/>
      </c>
      <c r="D427" s="74">
        <f>IF(Materiales!$D$426="","",Materiales!$D$426)</f>
        <v/>
      </c>
      <c r="E427" s="75">
        <f>IF($A427="","",MRP!E2964)</f>
        <v/>
      </c>
      <c r="F427" s="75">
        <f>IF($A427="","",MRP!F2964)</f>
        <v/>
      </c>
      <c r="G427" s="75">
        <f>IF($A427="","",MRP!G2964)</f>
        <v/>
      </c>
      <c r="H427" s="75">
        <f>IF($A427="","",MRP!H2964)</f>
        <v/>
      </c>
      <c r="I427" s="75">
        <f>IF($A427="","",MRP!I2964)</f>
        <v/>
      </c>
      <c r="J427" s="75">
        <f>IF($A427="","",MRP!J2964)</f>
        <v/>
      </c>
      <c r="K427" s="75">
        <f>IF($A427="","",MRP!K2964)</f>
        <v/>
      </c>
      <c r="L427" s="75">
        <f>IF($A427="","",MRP!L2964)</f>
        <v/>
      </c>
      <c r="M427" s="76">
        <f>IF($A427="","",SUM(E427:L427))</f>
        <v/>
      </c>
      <c r="N427" s="77">
        <f>IF(ISNUMBER(D427),M427*D427,"")</f>
        <v/>
      </c>
      <c r="O427" s="78">
        <f>MRP!M2964</f>
        <v/>
      </c>
    </row>
    <row r="428">
      <c r="A428" s="73">
        <f>IF(Materiales!$A$427="","",Materiales!$A$427)</f>
        <v/>
      </c>
      <c r="B428" s="60">
        <f>IF(Materiales!$B$427="","",Materiales!$B$427)</f>
        <v/>
      </c>
      <c r="C428" s="73">
        <f>IF(Materiales!$C$427="","",Materiales!$C$427)</f>
        <v/>
      </c>
      <c r="D428" s="74">
        <f>IF(Materiales!$D$427="","",Materiales!$D$427)</f>
        <v/>
      </c>
      <c r="E428" s="75">
        <f>IF($A428="","",MRP!E2971)</f>
        <v/>
      </c>
      <c r="F428" s="75">
        <f>IF($A428="","",MRP!F2971)</f>
        <v/>
      </c>
      <c r="G428" s="75">
        <f>IF($A428="","",MRP!G2971)</f>
        <v/>
      </c>
      <c r="H428" s="75">
        <f>IF($A428="","",MRP!H2971)</f>
        <v/>
      </c>
      <c r="I428" s="75">
        <f>IF($A428="","",MRP!I2971)</f>
        <v/>
      </c>
      <c r="J428" s="75">
        <f>IF($A428="","",MRP!J2971)</f>
        <v/>
      </c>
      <c r="K428" s="75">
        <f>IF($A428="","",MRP!K2971)</f>
        <v/>
      </c>
      <c r="L428" s="75">
        <f>IF($A428="","",MRP!L2971)</f>
        <v/>
      </c>
      <c r="M428" s="76">
        <f>IF($A428="","",SUM(E428:L428))</f>
        <v/>
      </c>
      <c r="N428" s="77">
        <f>IF(ISNUMBER(D428),M428*D428,"")</f>
        <v/>
      </c>
      <c r="O428" s="78">
        <f>MRP!M2971</f>
        <v/>
      </c>
    </row>
    <row r="429">
      <c r="A429" s="73">
        <f>IF(Materiales!$A$428="","",Materiales!$A$428)</f>
        <v/>
      </c>
      <c r="B429" s="60">
        <f>IF(Materiales!$B$428="","",Materiales!$B$428)</f>
        <v/>
      </c>
      <c r="C429" s="73">
        <f>IF(Materiales!$C$428="","",Materiales!$C$428)</f>
        <v/>
      </c>
      <c r="D429" s="74">
        <f>IF(Materiales!$D$428="","",Materiales!$D$428)</f>
        <v/>
      </c>
      <c r="E429" s="75">
        <f>IF($A429="","",MRP!E2978)</f>
        <v/>
      </c>
      <c r="F429" s="75">
        <f>IF($A429="","",MRP!F2978)</f>
        <v/>
      </c>
      <c r="G429" s="75">
        <f>IF($A429="","",MRP!G2978)</f>
        <v/>
      </c>
      <c r="H429" s="75">
        <f>IF($A429="","",MRP!H2978)</f>
        <v/>
      </c>
      <c r="I429" s="75">
        <f>IF($A429="","",MRP!I2978)</f>
        <v/>
      </c>
      <c r="J429" s="75">
        <f>IF($A429="","",MRP!J2978)</f>
        <v/>
      </c>
      <c r="K429" s="75">
        <f>IF($A429="","",MRP!K2978)</f>
        <v/>
      </c>
      <c r="L429" s="75">
        <f>IF($A429="","",MRP!L2978)</f>
        <v/>
      </c>
      <c r="M429" s="76">
        <f>IF($A429="","",SUM(E429:L429))</f>
        <v/>
      </c>
      <c r="N429" s="77">
        <f>IF(ISNUMBER(D429),M429*D429,"")</f>
        <v/>
      </c>
      <c r="O429" s="78">
        <f>MRP!M2978</f>
        <v/>
      </c>
    </row>
    <row r="430">
      <c r="A430" s="73">
        <f>IF(Materiales!$A$429="","",Materiales!$A$429)</f>
        <v/>
      </c>
      <c r="B430" s="60">
        <f>IF(Materiales!$B$429="","",Materiales!$B$429)</f>
        <v/>
      </c>
      <c r="C430" s="73">
        <f>IF(Materiales!$C$429="","",Materiales!$C$429)</f>
        <v/>
      </c>
      <c r="D430" s="74">
        <f>IF(Materiales!$D$429="","",Materiales!$D$429)</f>
        <v/>
      </c>
      <c r="E430" s="75">
        <f>IF($A430="","",MRP!E2985)</f>
        <v/>
      </c>
      <c r="F430" s="75">
        <f>IF($A430="","",MRP!F2985)</f>
        <v/>
      </c>
      <c r="G430" s="75">
        <f>IF($A430="","",MRP!G2985)</f>
        <v/>
      </c>
      <c r="H430" s="75">
        <f>IF($A430="","",MRP!H2985)</f>
        <v/>
      </c>
      <c r="I430" s="75">
        <f>IF($A430="","",MRP!I2985)</f>
        <v/>
      </c>
      <c r="J430" s="75">
        <f>IF($A430="","",MRP!J2985)</f>
        <v/>
      </c>
      <c r="K430" s="75">
        <f>IF($A430="","",MRP!K2985)</f>
        <v/>
      </c>
      <c r="L430" s="75">
        <f>IF($A430="","",MRP!L2985)</f>
        <v/>
      </c>
      <c r="M430" s="76">
        <f>IF($A430="","",SUM(E430:L430))</f>
        <v/>
      </c>
      <c r="N430" s="77">
        <f>IF(ISNUMBER(D430),M430*D430,"")</f>
        <v/>
      </c>
      <c r="O430" s="78">
        <f>MRP!M2985</f>
        <v/>
      </c>
    </row>
    <row r="431">
      <c r="A431" s="73">
        <f>IF(Materiales!$A$430="","",Materiales!$A$430)</f>
        <v/>
      </c>
      <c r="B431" s="60">
        <f>IF(Materiales!$B$430="","",Materiales!$B$430)</f>
        <v/>
      </c>
      <c r="C431" s="73">
        <f>IF(Materiales!$C$430="","",Materiales!$C$430)</f>
        <v/>
      </c>
      <c r="D431" s="74">
        <f>IF(Materiales!$D$430="","",Materiales!$D$430)</f>
        <v/>
      </c>
      <c r="E431" s="75">
        <f>IF($A431="","",MRP!E2992)</f>
        <v/>
      </c>
      <c r="F431" s="75">
        <f>IF($A431="","",MRP!F2992)</f>
        <v/>
      </c>
      <c r="G431" s="75">
        <f>IF($A431="","",MRP!G2992)</f>
        <v/>
      </c>
      <c r="H431" s="75">
        <f>IF($A431="","",MRP!H2992)</f>
        <v/>
      </c>
      <c r="I431" s="75">
        <f>IF($A431="","",MRP!I2992)</f>
        <v/>
      </c>
      <c r="J431" s="75">
        <f>IF($A431="","",MRP!J2992)</f>
        <v/>
      </c>
      <c r="K431" s="75">
        <f>IF($A431="","",MRP!K2992)</f>
        <v/>
      </c>
      <c r="L431" s="75">
        <f>IF($A431="","",MRP!L2992)</f>
        <v/>
      </c>
      <c r="M431" s="76">
        <f>IF($A431="","",SUM(E431:L431))</f>
        <v/>
      </c>
      <c r="N431" s="77">
        <f>IF(ISNUMBER(D431),M431*D431,"")</f>
        <v/>
      </c>
      <c r="O431" s="78">
        <f>MRP!M2992</f>
        <v/>
      </c>
    </row>
    <row r="432">
      <c r="A432" s="73">
        <f>IF(Materiales!$A$431="","",Materiales!$A$431)</f>
        <v/>
      </c>
      <c r="B432" s="60">
        <f>IF(Materiales!$B$431="","",Materiales!$B$431)</f>
        <v/>
      </c>
      <c r="C432" s="73">
        <f>IF(Materiales!$C$431="","",Materiales!$C$431)</f>
        <v/>
      </c>
      <c r="D432" s="74">
        <f>IF(Materiales!$D$431="","",Materiales!$D$431)</f>
        <v/>
      </c>
      <c r="E432" s="75">
        <f>IF($A432="","",MRP!E2999)</f>
        <v/>
      </c>
      <c r="F432" s="75">
        <f>IF($A432="","",MRP!F2999)</f>
        <v/>
      </c>
      <c r="G432" s="75">
        <f>IF($A432="","",MRP!G2999)</f>
        <v/>
      </c>
      <c r="H432" s="75">
        <f>IF($A432="","",MRP!H2999)</f>
        <v/>
      </c>
      <c r="I432" s="75">
        <f>IF($A432="","",MRP!I2999)</f>
        <v/>
      </c>
      <c r="J432" s="75">
        <f>IF($A432="","",MRP!J2999)</f>
        <v/>
      </c>
      <c r="K432" s="75">
        <f>IF($A432="","",MRP!K2999)</f>
        <v/>
      </c>
      <c r="L432" s="75">
        <f>IF($A432="","",MRP!L2999)</f>
        <v/>
      </c>
      <c r="M432" s="76">
        <f>IF($A432="","",SUM(E432:L432))</f>
        <v/>
      </c>
      <c r="N432" s="77">
        <f>IF(ISNUMBER(D432),M432*D432,"")</f>
        <v/>
      </c>
      <c r="O432" s="78">
        <f>MRP!M2999</f>
        <v/>
      </c>
    </row>
    <row r="433">
      <c r="A433" s="73">
        <f>IF(Materiales!$A$432="","",Materiales!$A$432)</f>
        <v/>
      </c>
      <c r="B433" s="60">
        <f>IF(Materiales!$B$432="","",Materiales!$B$432)</f>
        <v/>
      </c>
      <c r="C433" s="73">
        <f>IF(Materiales!$C$432="","",Materiales!$C$432)</f>
        <v/>
      </c>
      <c r="D433" s="74">
        <f>IF(Materiales!$D$432="","",Materiales!$D$432)</f>
        <v/>
      </c>
      <c r="E433" s="75">
        <f>IF($A433="","",MRP!E3006)</f>
        <v/>
      </c>
      <c r="F433" s="75">
        <f>IF($A433="","",MRP!F3006)</f>
        <v/>
      </c>
      <c r="G433" s="75">
        <f>IF($A433="","",MRP!G3006)</f>
        <v/>
      </c>
      <c r="H433" s="75">
        <f>IF($A433="","",MRP!H3006)</f>
        <v/>
      </c>
      <c r="I433" s="75">
        <f>IF($A433="","",MRP!I3006)</f>
        <v/>
      </c>
      <c r="J433" s="75">
        <f>IF($A433="","",MRP!J3006)</f>
        <v/>
      </c>
      <c r="K433" s="75">
        <f>IF($A433="","",MRP!K3006)</f>
        <v/>
      </c>
      <c r="L433" s="75">
        <f>IF($A433="","",MRP!L3006)</f>
        <v/>
      </c>
      <c r="M433" s="76">
        <f>IF($A433="","",SUM(E433:L433))</f>
        <v/>
      </c>
      <c r="N433" s="77">
        <f>IF(ISNUMBER(D433),M433*D433,"")</f>
        <v/>
      </c>
      <c r="O433" s="78">
        <f>MRP!M3006</f>
        <v/>
      </c>
    </row>
    <row r="434">
      <c r="A434" s="73">
        <f>IF(Materiales!$A$433="","",Materiales!$A$433)</f>
        <v/>
      </c>
      <c r="B434" s="60">
        <f>IF(Materiales!$B$433="","",Materiales!$B$433)</f>
        <v/>
      </c>
      <c r="C434" s="73">
        <f>IF(Materiales!$C$433="","",Materiales!$C$433)</f>
        <v/>
      </c>
      <c r="D434" s="74">
        <f>IF(Materiales!$D$433="","",Materiales!$D$433)</f>
        <v/>
      </c>
      <c r="E434" s="75">
        <f>IF($A434="","",MRP!E3013)</f>
        <v/>
      </c>
      <c r="F434" s="75">
        <f>IF($A434="","",MRP!F3013)</f>
        <v/>
      </c>
      <c r="G434" s="75">
        <f>IF($A434="","",MRP!G3013)</f>
        <v/>
      </c>
      <c r="H434" s="75">
        <f>IF($A434="","",MRP!H3013)</f>
        <v/>
      </c>
      <c r="I434" s="75">
        <f>IF($A434="","",MRP!I3013)</f>
        <v/>
      </c>
      <c r="J434" s="75">
        <f>IF($A434="","",MRP!J3013)</f>
        <v/>
      </c>
      <c r="K434" s="75">
        <f>IF($A434="","",MRP!K3013)</f>
        <v/>
      </c>
      <c r="L434" s="75">
        <f>IF($A434="","",MRP!L3013)</f>
        <v/>
      </c>
      <c r="M434" s="76">
        <f>IF($A434="","",SUM(E434:L434))</f>
        <v/>
      </c>
      <c r="N434" s="77">
        <f>IF(ISNUMBER(D434),M434*D434,"")</f>
        <v/>
      </c>
      <c r="O434" s="78">
        <f>MRP!M3013</f>
        <v/>
      </c>
    </row>
    <row r="435">
      <c r="A435" s="73">
        <f>IF(Materiales!$A$434="","",Materiales!$A$434)</f>
        <v/>
      </c>
      <c r="B435" s="60">
        <f>IF(Materiales!$B$434="","",Materiales!$B$434)</f>
        <v/>
      </c>
      <c r="C435" s="73">
        <f>IF(Materiales!$C$434="","",Materiales!$C$434)</f>
        <v/>
      </c>
      <c r="D435" s="74">
        <f>IF(Materiales!$D$434="","",Materiales!$D$434)</f>
        <v/>
      </c>
      <c r="E435" s="75">
        <f>IF($A435="","",MRP!E3020)</f>
        <v/>
      </c>
      <c r="F435" s="75">
        <f>IF($A435="","",MRP!F3020)</f>
        <v/>
      </c>
      <c r="G435" s="75">
        <f>IF($A435="","",MRP!G3020)</f>
        <v/>
      </c>
      <c r="H435" s="75">
        <f>IF($A435="","",MRP!H3020)</f>
        <v/>
      </c>
      <c r="I435" s="75">
        <f>IF($A435="","",MRP!I3020)</f>
        <v/>
      </c>
      <c r="J435" s="75">
        <f>IF($A435="","",MRP!J3020)</f>
        <v/>
      </c>
      <c r="K435" s="75">
        <f>IF($A435="","",MRP!K3020)</f>
        <v/>
      </c>
      <c r="L435" s="75">
        <f>IF($A435="","",MRP!L3020)</f>
        <v/>
      </c>
      <c r="M435" s="76">
        <f>IF($A435="","",SUM(E435:L435))</f>
        <v/>
      </c>
      <c r="N435" s="77">
        <f>IF(ISNUMBER(D435),M435*D435,"")</f>
        <v/>
      </c>
      <c r="O435" s="78">
        <f>MRP!M3020</f>
        <v/>
      </c>
    </row>
    <row r="436">
      <c r="A436" s="73">
        <f>IF(Materiales!$A$435="","",Materiales!$A$435)</f>
        <v/>
      </c>
      <c r="B436" s="60">
        <f>IF(Materiales!$B$435="","",Materiales!$B$435)</f>
        <v/>
      </c>
      <c r="C436" s="73">
        <f>IF(Materiales!$C$435="","",Materiales!$C$435)</f>
        <v/>
      </c>
      <c r="D436" s="74">
        <f>IF(Materiales!$D$435="","",Materiales!$D$435)</f>
        <v/>
      </c>
      <c r="E436" s="75">
        <f>IF($A436="","",MRP!E3027)</f>
        <v/>
      </c>
      <c r="F436" s="75">
        <f>IF($A436="","",MRP!F3027)</f>
        <v/>
      </c>
      <c r="G436" s="75">
        <f>IF($A436="","",MRP!G3027)</f>
        <v/>
      </c>
      <c r="H436" s="75">
        <f>IF($A436="","",MRP!H3027)</f>
        <v/>
      </c>
      <c r="I436" s="75">
        <f>IF($A436="","",MRP!I3027)</f>
        <v/>
      </c>
      <c r="J436" s="75">
        <f>IF($A436="","",MRP!J3027)</f>
        <v/>
      </c>
      <c r="K436" s="75">
        <f>IF($A436="","",MRP!K3027)</f>
        <v/>
      </c>
      <c r="L436" s="75">
        <f>IF($A436="","",MRP!L3027)</f>
        <v/>
      </c>
      <c r="M436" s="76">
        <f>IF($A436="","",SUM(E436:L436))</f>
        <v/>
      </c>
      <c r="N436" s="77">
        <f>IF(ISNUMBER(D436),M436*D436,"")</f>
        <v/>
      </c>
      <c r="O436" s="78">
        <f>MRP!M3027</f>
        <v/>
      </c>
    </row>
    <row r="437">
      <c r="A437" s="73">
        <f>IF(Materiales!$A$436="","",Materiales!$A$436)</f>
        <v/>
      </c>
      <c r="B437" s="60">
        <f>IF(Materiales!$B$436="","",Materiales!$B$436)</f>
        <v/>
      </c>
      <c r="C437" s="73">
        <f>IF(Materiales!$C$436="","",Materiales!$C$436)</f>
        <v/>
      </c>
      <c r="D437" s="74">
        <f>IF(Materiales!$D$436="","",Materiales!$D$436)</f>
        <v/>
      </c>
      <c r="E437" s="75">
        <f>IF($A437="","",MRP!E3034)</f>
        <v/>
      </c>
      <c r="F437" s="75">
        <f>IF($A437="","",MRP!F3034)</f>
        <v/>
      </c>
      <c r="G437" s="75">
        <f>IF($A437="","",MRP!G3034)</f>
        <v/>
      </c>
      <c r="H437" s="75">
        <f>IF($A437="","",MRP!H3034)</f>
        <v/>
      </c>
      <c r="I437" s="75">
        <f>IF($A437="","",MRP!I3034)</f>
        <v/>
      </c>
      <c r="J437" s="75">
        <f>IF($A437="","",MRP!J3034)</f>
        <v/>
      </c>
      <c r="K437" s="75">
        <f>IF($A437="","",MRP!K3034)</f>
        <v/>
      </c>
      <c r="L437" s="75">
        <f>IF($A437="","",MRP!L3034)</f>
        <v/>
      </c>
      <c r="M437" s="76">
        <f>IF($A437="","",SUM(E437:L437))</f>
        <v/>
      </c>
      <c r="N437" s="77">
        <f>IF(ISNUMBER(D437),M437*D437,"")</f>
        <v/>
      </c>
      <c r="O437" s="78">
        <f>MRP!M3034</f>
        <v/>
      </c>
    </row>
    <row r="438">
      <c r="A438" s="73">
        <f>IF(Materiales!$A$437="","",Materiales!$A$437)</f>
        <v/>
      </c>
      <c r="B438" s="60">
        <f>IF(Materiales!$B$437="","",Materiales!$B$437)</f>
        <v/>
      </c>
      <c r="C438" s="73">
        <f>IF(Materiales!$C$437="","",Materiales!$C$437)</f>
        <v/>
      </c>
      <c r="D438" s="74">
        <f>IF(Materiales!$D$437="","",Materiales!$D$437)</f>
        <v/>
      </c>
      <c r="E438" s="75">
        <f>IF($A438="","",MRP!E3041)</f>
        <v/>
      </c>
      <c r="F438" s="75">
        <f>IF($A438="","",MRP!F3041)</f>
        <v/>
      </c>
      <c r="G438" s="75">
        <f>IF($A438="","",MRP!G3041)</f>
        <v/>
      </c>
      <c r="H438" s="75">
        <f>IF($A438="","",MRP!H3041)</f>
        <v/>
      </c>
      <c r="I438" s="75">
        <f>IF($A438="","",MRP!I3041)</f>
        <v/>
      </c>
      <c r="J438" s="75">
        <f>IF($A438="","",MRP!J3041)</f>
        <v/>
      </c>
      <c r="K438" s="75">
        <f>IF($A438="","",MRP!K3041)</f>
        <v/>
      </c>
      <c r="L438" s="75">
        <f>IF($A438="","",MRP!L3041)</f>
        <v/>
      </c>
      <c r="M438" s="76">
        <f>IF($A438="","",SUM(E438:L438))</f>
        <v/>
      </c>
      <c r="N438" s="77">
        <f>IF(ISNUMBER(D438),M438*D438,"")</f>
        <v/>
      </c>
      <c r="O438" s="78">
        <f>MRP!M3041</f>
        <v/>
      </c>
    </row>
    <row r="439">
      <c r="A439" s="73">
        <f>IF(Materiales!$A$438="","",Materiales!$A$438)</f>
        <v/>
      </c>
      <c r="B439" s="60">
        <f>IF(Materiales!$B$438="","",Materiales!$B$438)</f>
        <v/>
      </c>
      <c r="C439" s="73">
        <f>IF(Materiales!$C$438="","",Materiales!$C$438)</f>
        <v/>
      </c>
      <c r="D439" s="74">
        <f>IF(Materiales!$D$438="","",Materiales!$D$438)</f>
        <v/>
      </c>
      <c r="E439" s="75">
        <f>IF($A439="","",MRP!E3048)</f>
        <v/>
      </c>
      <c r="F439" s="75">
        <f>IF($A439="","",MRP!F3048)</f>
        <v/>
      </c>
      <c r="G439" s="75">
        <f>IF($A439="","",MRP!G3048)</f>
        <v/>
      </c>
      <c r="H439" s="75">
        <f>IF($A439="","",MRP!H3048)</f>
        <v/>
      </c>
      <c r="I439" s="75">
        <f>IF($A439="","",MRP!I3048)</f>
        <v/>
      </c>
      <c r="J439" s="75">
        <f>IF($A439="","",MRP!J3048)</f>
        <v/>
      </c>
      <c r="K439" s="75">
        <f>IF($A439="","",MRP!K3048)</f>
        <v/>
      </c>
      <c r="L439" s="75">
        <f>IF($A439="","",MRP!L3048)</f>
        <v/>
      </c>
      <c r="M439" s="76">
        <f>IF($A439="","",SUM(E439:L439))</f>
        <v/>
      </c>
      <c r="N439" s="77">
        <f>IF(ISNUMBER(D439),M439*D439,"")</f>
        <v/>
      </c>
      <c r="O439" s="78">
        <f>MRP!M3048</f>
        <v/>
      </c>
    </row>
    <row r="440">
      <c r="A440" s="73">
        <f>IF(Materiales!$A$439="","",Materiales!$A$439)</f>
        <v/>
      </c>
      <c r="B440" s="60">
        <f>IF(Materiales!$B$439="","",Materiales!$B$439)</f>
        <v/>
      </c>
      <c r="C440" s="73">
        <f>IF(Materiales!$C$439="","",Materiales!$C$439)</f>
        <v/>
      </c>
      <c r="D440" s="74">
        <f>IF(Materiales!$D$439="","",Materiales!$D$439)</f>
        <v/>
      </c>
      <c r="E440" s="75">
        <f>IF($A440="","",MRP!E3055)</f>
        <v/>
      </c>
      <c r="F440" s="75">
        <f>IF($A440="","",MRP!F3055)</f>
        <v/>
      </c>
      <c r="G440" s="75">
        <f>IF($A440="","",MRP!G3055)</f>
        <v/>
      </c>
      <c r="H440" s="75">
        <f>IF($A440="","",MRP!H3055)</f>
        <v/>
      </c>
      <c r="I440" s="75">
        <f>IF($A440="","",MRP!I3055)</f>
        <v/>
      </c>
      <c r="J440" s="75">
        <f>IF($A440="","",MRP!J3055)</f>
        <v/>
      </c>
      <c r="K440" s="75">
        <f>IF($A440="","",MRP!K3055)</f>
        <v/>
      </c>
      <c r="L440" s="75">
        <f>IF($A440="","",MRP!L3055)</f>
        <v/>
      </c>
      <c r="M440" s="76">
        <f>IF($A440="","",SUM(E440:L440))</f>
        <v/>
      </c>
      <c r="N440" s="77">
        <f>IF(ISNUMBER(D440),M440*D440,"")</f>
        <v/>
      </c>
      <c r="O440" s="78">
        <f>MRP!M3055</f>
        <v/>
      </c>
    </row>
    <row r="441">
      <c r="A441" s="73">
        <f>IF(Materiales!$A$440="","",Materiales!$A$440)</f>
        <v/>
      </c>
      <c r="B441" s="60">
        <f>IF(Materiales!$B$440="","",Materiales!$B$440)</f>
        <v/>
      </c>
      <c r="C441" s="73">
        <f>IF(Materiales!$C$440="","",Materiales!$C$440)</f>
        <v/>
      </c>
      <c r="D441" s="74">
        <f>IF(Materiales!$D$440="","",Materiales!$D$440)</f>
        <v/>
      </c>
      <c r="E441" s="75">
        <f>IF($A441="","",MRP!E3062)</f>
        <v/>
      </c>
      <c r="F441" s="75">
        <f>IF($A441="","",MRP!F3062)</f>
        <v/>
      </c>
      <c r="G441" s="75">
        <f>IF($A441="","",MRP!G3062)</f>
        <v/>
      </c>
      <c r="H441" s="75">
        <f>IF($A441="","",MRP!H3062)</f>
        <v/>
      </c>
      <c r="I441" s="75">
        <f>IF($A441="","",MRP!I3062)</f>
        <v/>
      </c>
      <c r="J441" s="75">
        <f>IF($A441="","",MRP!J3062)</f>
        <v/>
      </c>
      <c r="K441" s="75">
        <f>IF($A441="","",MRP!K3062)</f>
        <v/>
      </c>
      <c r="L441" s="75">
        <f>IF($A441="","",MRP!L3062)</f>
        <v/>
      </c>
      <c r="M441" s="76">
        <f>IF($A441="","",SUM(E441:L441))</f>
        <v/>
      </c>
      <c r="N441" s="77">
        <f>IF(ISNUMBER(D441),M441*D441,"")</f>
        <v/>
      </c>
      <c r="O441" s="78">
        <f>MRP!M3062</f>
        <v/>
      </c>
    </row>
    <row r="442">
      <c r="A442" s="73">
        <f>IF(Materiales!$A$441="","",Materiales!$A$441)</f>
        <v/>
      </c>
      <c r="B442" s="60">
        <f>IF(Materiales!$B$441="","",Materiales!$B$441)</f>
        <v/>
      </c>
      <c r="C442" s="73">
        <f>IF(Materiales!$C$441="","",Materiales!$C$441)</f>
        <v/>
      </c>
      <c r="D442" s="74">
        <f>IF(Materiales!$D$441="","",Materiales!$D$441)</f>
        <v/>
      </c>
      <c r="E442" s="75">
        <f>IF($A442="","",MRP!E3069)</f>
        <v/>
      </c>
      <c r="F442" s="75">
        <f>IF($A442="","",MRP!F3069)</f>
        <v/>
      </c>
      <c r="G442" s="75">
        <f>IF($A442="","",MRP!G3069)</f>
        <v/>
      </c>
      <c r="H442" s="75">
        <f>IF($A442="","",MRP!H3069)</f>
        <v/>
      </c>
      <c r="I442" s="75">
        <f>IF($A442="","",MRP!I3069)</f>
        <v/>
      </c>
      <c r="J442" s="75">
        <f>IF($A442="","",MRP!J3069)</f>
        <v/>
      </c>
      <c r="K442" s="75">
        <f>IF($A442="","",MRP!K3069)</f>
        <v/>
      </c>
      <c r="L442" s="75">
        <f>IF($A442="","",MRP!L3069)</f>
        <v/>
      </c>
      <c r="M442" s="76">
        <f>IF($A442="","",SUM(E442:L442))</f>
        <v/>
      </c>
      <c r="N442" s="77">
        <f>IF(ISNUMBER(D442),M442*D442,"")</f>
        <v/>
      </c>
      <c r="O442" s="78">
        <f>MRP!M3069</f>
        <v/>
      </c>
    </row>
    <row r="443">
      <c r="A443" s="73">
        <f>IF(Materiales!$A$442="","",Materiales!$A$442)</f>
        <v/>
      </c>
      <c r="B443" s="60">
        <f>IF(Materiales!$B$442="","",Materiales!$B$442)</f>
        <v/>
      </c>
      <c r="C443" s="73">
        <f>IF(Materiales!$C$442="","",Materiales!$C$442)</f>
        <v/>
      </c>
      <c r="D443" s="74">
        <f>IF(Materiales!$D$442="","",Materiales!$D$442)</f>
        <v/>
      </c>
      <c r="E443" s="75">
        <f>IF($A443="","",MRP!E3076)</f>
        <v/>
      </c>
      <c r="F443" s="75">
        <f>IF($A443="","",MRP!F3076)</f>
        <v/>
      </c>
      <c r="G443" s="75">
        <f>IF($A443="","",MRP!G3076)</f>
        <v/>
      </c>
      <c r="H443" s="75">
        <f>IF($A443="","",MRP!H3076)</f>
        <v/>
      </c>
      <c r="I443" s="75">
        <f>IF($A443="","",MRP!I3076)</f>
        <v/>
      </c>
      <c r="J443" s="75">
        <f>IF($A443="","",MRP!J3076)</f>
        <v/>
      </c>
      <c r="K443" s="75">
        <f>IF($A443="","",MRP!K3076)</f>
        <v/>
      </c>
      <c r="L443" s="75">
        <f>IF($A443="","",MRP!L3076)</f>
        <v/>
      </c>
      <c r="M443" s="76">
        <f>IF($A443="","",SUM(E443:L443))</f>
        <v/>
      </c>
      <c r="N443" s="77">
        <f>IF(ISNUMBER(D443),M443*D443,"")</f>
        <v/>
      </c>
      <c r="O443" s="78">
        <f>MRP!M3076</f>
        <v/>
      </c>
    </row>
    <row r="444">
      <c r="A444" s="73">
        <f>IF(Materiales!$A$443="","",Materiales!$A$443)</f>
        <v/>
      </c>
      <c r="B444" s="60">
        <f>IF(Materiales!$B$443="","",Materiales!$B$443)</f>
        <v/>
      </c>
      <c r="C444" s="73">
        <f>IF(Materiales!$C$443="","",Materiales!$C$443)</f>
        <v/>
      </c>
      <c r="D444" s="74">
        <f>IF(Materiales!$D$443="","",Materiales!$D$443)</f>
        <v/>
      </c>
      <c r="E444" s="75">
        <f>IF($A444="","",MRP!E3083)</f>
        <v/>
      </c>
      <c r="F444" s="75">
        <f>IF($A444="","",MRP!F3083)</f>
        <v/>
      </c>
      <c r="G444" s="75">
        <f>IF($A444="","",MRP!G3083)</f>
        <v/>
      </c>
      <c r="H444" s="75">
        <f>IF($A444="","",MRP!H3083)</f>
        <v/>
      </c>
      <c r="I444" s="75">
        <f>IF($A444="","",MRP!I3083)</f>
        <v/>
      </c>
      <c r="J444" s="75">
        <f>IF($A444="","",MRP!J3083)</f>
        <v/>
      </c>
      <c r="K444" s="75">
        <f>IF($A444="","",MRP!K3083)</f>
        <v/>
      </c>
      <c r="L444" s="75">
        <f>IF($A444="","",MRP!L3083)</f>
        <v/>
      </c>
      <c r="M444" s="76">
        <f>IF($A444="","",SUM(E444:L444))</f>
        <v/>
      </c>
      <c r="N444" s="77">
        <f>IF(ISNUMBER(D444),M444*D444,"")</f>
        <v/>
      </c>
      <c r="O444" s="78">
        <f>MRP!M3083</f>
        <v/>
      </c>
    </row>
    <row r="445">
      <c r="A445" s="73">
        <f>IF(Materiales!$A$444="","",Materiales!$A$444)</f>
        <v/>
      </c>
      <c r="B445" s="60">
        <f>IF(Materiales!$B$444="","",Materiales!$B$444)</f>
        <v/>
      </c>
      <c r="C445" s="73">
        <f>IF(Materiales!$C$444="","",Materiales!$C$444)</f>
        <v/>
      </c>
      <c r="D445" s="74">
        <f>IF(Materiales!$D$444="","",Materiales!$D$444)</f>
        <v/>
      </c>
      <c r="E445" s="75">
        <f>IF($A445="","",MRP!E3090)</f>
        <v/>
      </c>
      <c r="F445" s="75">
        <f>IF($A445="","",MRP!F3090)</f>
        <v/>
      </c>
      <c r="G445" s="75">
        <f>IF($A445="","",MRP!G3090)</f>
        <v/>
      </c>
      <c r="H445" s="75">
        <f>IF($A445="","",MRP!H3090)</f>
        <v/>
      </c>
      <c r="I445" s="75">
        <f>IF($A445="","",MRP!I3090)</f>
        <v/>
      </c>
      <c r="J445" s="75">
        <f>IF($A445="","",MRP!J3090)</f>
        <v/>
      </c>
      <c r="K445" s="75">
        <f>IF($A445="","",MRP!K3090)</f>
        <v/>
      </c>
      <c r="L445" s="75">
        <f>IF($A445="","",MRP!L3090)</f>
        <v/>
      </c>
      <c r="M445" s="76">
        <f>IF($A445="","",SUM(E445:L445))</f>
        <v/>
      </c>
      <c r="N445" s="77">
        <f>IF(ISNUMBER(D445),M445*D445,"")</f>
        <v/>
      </c>
      <c r="O445" s="78">
        <f>MRP!M3090</f>
        <v/>
      </c>
    </row>
    <row r="446">
      <c r="A446" s="73">
        <f>IF(Materiales!$A$445="","",Materiales!$A$445)</f>
        <v/>
      </c>
      <c r="B446" s="60">
        <f>IF(Materiales!$B$445="","",Materiales!$B$445)</f>
        <v/>
      </c>
      <c r="C446" s="73">
        <f>IF(Materiales!$C$445="","",Materiales!$C$445)</f>
        <v/>
      </c>
      <c r="D446" s="74">
        <f>IF(Materiales!$D$445="","",Materiales!$D$445)</f>
        <v/>
      </c>
      <c r="E446" s="75">
        <f>IF($A446="","",MRP!E3097)</f>
        <v/>
      </c>
      <c r="F446" s="75">
        <f>IF($A446="","",MRP!F3097)</f>
        <v/>
      </c>
      <c r="G446" s="75">
        <f>IF($A446="","",MRP!G3097)</f>
        <v/>
      </c>
      <c r="H446" s="75">
        <f>IF($A446="","",MRP!H3097)</f>
        <v/>
      </c>
      <c r="I446" s="75">
        <f>IF($A446="","",MRP!I3097)</f>
        <v/>
      </c>
      <c r="J446" s="75">
        <f>IF($A446="","",MRP!J3097)</f>
        <v/>
      </c>
      <c r="K446" s="75">
        <f>IF($A446="","",MRP!K3097)</f>
        <v/>
      </c>
      <c r="L446" s="75">
        <f>IF($A446="","",MRP!L3097)</f>
        <v/>
      </c>
      <c r="M446" s="76">
        <f>IF($A446="","",SUM(E446:L446))</f>
        <v/>
      </c>
      <c r="N446" s="77">
        <f>IF(ISNUMBER(D446),M446*D446,"")</f>
        <v/>
      </c>
      <c r="O446" s="78">
        <f>MRP!M3097</f>
        <v/>
      </c>
    </row>
    <row r="447">
      <c r="A447" s="73">
        <f>IF(Materiales!$A$446="","",Materiales!$A$446)</f>
        <v/>
      </c>
      <c r="B447" s="60">
        <f>IF(Materiales!$B$446="","",Materiales!$B$446)</f>
        <v/>
      </c>
      <c r="C447" s="73">
        <f>IF(Materiales!$C$446="","",Materiales!$C$446)</f>
        <v/>
      </c>
      <c r="D447" s="74">
        <f>IF(Materiales!$D$446="","",Materiales!$D$446)</f>
        <v/>
      </c>
      <c r="E447" s="75">
        <f>IF($A447="","",MRP!E3104)</f>
        <v/>
      </c>
      <c r="F447" s="75">
        <f>IF($A447="","",MRP!F3104)</f>
        <v/>
      </c>
      <c r="G447" s="75">
        <f>IF($A447="","",MRP!G3104)</f>
        <v/>
      </c>
      <c r="H447" s="75">
        <f>IF($A447="","",MRP!H3104)</f>
        <v/>
      </c>
      <c r="I447" s="75">
        <f>IF($A447="","",MRP!I3104)</f>
        <v/>
      </c>
      <c r="J447" s="75">
        <f>IF($A447="","",MRP!J3104)</f>
        <v/>
      </c>
      <c r="K447" s="75">
        <f>IF($A447="","",MRP!K3104)</f>
        <v/>
      </c>
      <c r="L447" s="75">
        <f>IF($A447="","",MRP!L3104)</f>
        <v/>
      </c>
      <c r="M447" s="76">
        <f>IF($A447="","",SUM(E447:L447))</f>
        <v/>
      </c>
      <c r="N447" s="77">
        <f>IF(ISNUMBER(D447),M447*D447,"")</f>
        <v/>
      </c>
      <c r="O447" s="78">
        <f>MRP!M3104</f>
        <v/>
      </c>
    </row>
    <row r="448">
      <c r="A448" s="73">
        <f>IF(Materiales!$A$447="","",Materiales!$A$447)</f>
        <v/>
      </c>
      <c r="B448" s="60">
        <f>IF(Materiales!$B$447="","",Materiales!$B$447)</f>
        <v/>
      </c>
      <c r="C448" s="73">
        <f>IF(Materiales!$C$447="","",Materiales!$C$447)</f>
        <v/>
      </c>
      <c r="D448" s="74">
        <f>IF(Materiales!$D$447="","",Materiales!$D$447)</f>
        <v/>
      </c>
      <c r="E448" s="75">
        <f>IF($A448="","",MRP!E3111)</f>
        <v/>
      </c>
      <c r="F448" s="75">
        <f>IF($A448="","",MRP!F3111)</f>
        <v/>
      </c>
      <c r="G448" s="75">
        <f>IF($A448="","",MRP!G3111)</f>
        <v/>
      </c>
      <c r="H448" s="75">
        <f>IF($A448="","",MRP!H3111)</f>
        <v/>
      </c>
      <c r="I448" s="75">
        <f>IF($A448="","",MRP!I3111)</f>
        <v/>
      </c>
      <c r="J448" s="75">
        <f>IF($A448="","",MRP!J3111)</f>
        <v/>
      </c>
      <c r="K448" s="75">
        <f>IF($A448="","",MRP!K3111)</f>
        <v/>
      </c>
      <c r="L448" s="75">
        <f>IF($A448="","",MRP!L3111)</f>
        <v/>
      </c>
      <c r="M448" s="76">
        <f>IF($A448="","",SUM(E448:L448))</f>
        <v/>
      </c>
      <c r="N448" s="77">
        <f>IF(ISNUMBER(D448),M448*D448,"")</f>
        <v/>
      </c>
      <c r="O448" s="78">
        <f>MRP!M3111</f>
        <v/>
      </c>
    </row>
    <row r="449">
      <c r="A449" s="73">
        <f>IF(Materiales!$A$448="","",Materiales!$A$448)</f>
        <v/>
      </c>
      <c r="B449" s="60">
        <f>IF(Materiales!$B$448="","",Materiales!$B$448)</f>
        <v/>
      </c>
      <c r="C449" s="73">
        <f>IF(Materiales!$C$448="","",Materiales!$C$448)</f>
        <v/>
      </c>
      <c r="D449" s="74">
        <f>IF(Materiales!$D$448="","",Materiales!$D$448)</f>
        <v/>
      </c>
      <c r="E449" s="75">
        <f>IF($A449="","",MRP!E3118)</f>
        <v/>
      </c>
      <c r="F449" s="75">
        <f>IF($A449="","",MRP!F3118)</f>
        <v/>
      </c>
      <c r="G449" s="75">
        <f>IF($A449="","",MRP!G3118)</f>
        <v/>
      </c>
      <c r="H449" s="75">
        <f>IF($A449="","",MRP!H3118)</f>
        <v/>
      </c>
      <c r="I449" s="75">
        <f>IF($A449="","",MRP!I3118)</f>
        <v/>
      </c>
      <c r="J449" s="75">
        <f>IF($A449="","",MRP!J3118)</f>
        <v/>
      </c>
      <c r="K449" s="75">
        <f>IF($A449="","",MRP!K3118)</f>
        <v/>
      </c>
      <c r="L449" s="75">
        <f>IF($A449="","",MRP!L3118)</f>
        <v/>
      </c>
      <c r="M449" s="76">
        <f>IF($A449="","",SUM(E449:L449))</f>
        <v/>
      </c>
      <c r="N449" s="77">
        <f>IF(ISNUMBER(D449),M449*D449,"")</f>
        <v/>
      </c>
      <c r="O449" s="78">
        <f>MRP!M3118</f>
        <v/>
      </c>
    </row>
    <row r="450">
      <c r="A450" s="73">
        <f>IF(Materiales!$A$449="","",Materiales!$A$449)</f>
        <v/>
      </c>
      <c r="B450" s="60">
        <f>IF(Materiales!$B$449="","",Materiales!$B$449)</f>
        <v/>
      </c>
      <c r="C450" s="73">
        <f>IF(Materiales!$C$449="","",Materiales!$C$449)</f>
        <v/>
      </c>
      <c r="D450" s="74">
        <f>IF(Materiales!$D$449="","",Materiales!$D$449)</f>
        <v/>
      </c>
      <c r="E450" s="75">
        <f>IF($A450="","",MRP!E3125)</f>
        <v/>
      </c>
      <c r="F450" s="75">
        <f>IF($A450="","",MRP!F3125)</f>
        <v/>
      </c>
      <c r="G450" s="75">
        <f>IF($A450="","",MRP!G3125)</f>
        <v/>
      </c>
      <c r="H450" s="75">
        <f>IF($A450="","",MRP!H3125)</f>
        <v/>
      </c>
      <c r="I450" s="75">
        <f>IF($A450="","",MRP!I3125)</f>
        <v/>
      </c>
      <c r="J450" s="75">
        <f>IF($A450="","",MRP!J3125)</f>
        <v/>
      </c>
      <c r="K450" s="75">
        <f>IF($A450="","",MRP!K3125)</f>
        <v/>
      </c>
      <c r="L450" s="75">
        <f>IF($A450="","",MRP!L3125)</f>
        <v/>
      </c>
      <c r="M450" s="76">
        <f>IF($A450="","",SUM(E450:L450))</f>
        <v/>
      </c>
      <c r="N450" s="77">
        <f>IF(ISNUMBER(D450),M450*D450,"")</f>
        <v/>
      </c>
      <c r="O450" s="78">
        <f>MRP!M3125</f>
        <v/>
      </c>
    </row>
    <row r="451">
      <c r="A451" s="73">
        <f>IF(Materiales!$A$450="","",Materiales!$A$450)</f>
        <v/>
      </c>
      <c r="B451" s="60">
        <f>IF(Materiales!$B$450="","",Materiales!$B$450)</f>
        <v/>
      </c>
      <c r="C451" s="73">
        <f>IF(Materiales!$C$450="","",Materiales!$C$450)</f>
        <v/>
      </c>
      <c r="D451" s="74">
        <f>IF(Materiales!$D$450="","",Materiales!$D$450)</f>
        <v/>
      </c>
      <c r="E451" s="75">
        <f>IF($A451="","",MRP!E3132)</f>
        <v/>
      </c>
      <c r="F451" s="75">
        <f>IF($A451="","",MRP!F3132)</f>
        <v/>
      </c>
      <c r="G451" s="75">
        <f>IF($A451="","",MRP!G3132)</f>
        <v/>
      </c>
      <c r="H451" s="75">
        <f>IF($A451="","",MRP!H3132)</f>
        <v/>
      </c>
      <c r="I451" s="75">
        <f>IF($A451="","",MRP!I3132)</f>
        <v/>
      </c>
      <c r="J451" s="75">
        <f>IF($A451="","",MRP!J3132)</f>
        <v/>
      </c>
      <c r="K451" s="75">
        <f>IF($A451="","",MRP!K3132)</f>
        <v/>
      </c>
      <c r="L451" s="75">
        <f>IF($A451="","",MRP!L3132)</f>
        <v/>
      </c>
      <c r="M451" s="76">
        <f>IF($A451="","",SUM(E451:L451))</f>
        <v/>
      </c>
      <c r="N451" s="77">
        <f>IF(ISNUMBER(D451),M451*D451,"")</f>
        <v/>
      </c>
      <c r="O451" s="78">
        <f>MRP!M3132</f>
        <v/>
      </c>
    </row>
    <row r="452">
      <c r="A452" s="73">
        <f>IF(Materiales!$A$451="","",Materiales!$A$451)</f>
        <v/>
      </c>
      <c r="B452" s="60">
        <f>IF(Materiales!$B$451="","",Materiales!$B$451)</f>
        <v/>
      </c>
      <c r="C452" s="73">
        <f>IF(Materiales!$C$451="","",Materiales!$C$451)</f>
        <v/>
      </c>
      <c r="D452" s="74">
        <f>IF(Materiales!$D$451="","",Materiales!$D$451)</f>
        <v/>
      </c>
      <c r="E452" s="75">
        <f>IF($A452="","",MRP!E3139)</f>
        <v/>
      </c>
      <c r="F452" s="75">
        <f>IF($A452="","",MRP!F3139)</f>
        <v/>
      </c>
      <c r="G452" s="75">
        <f>IF($A452="","",MRP!G3139)</f>
        <v/>
      </c>
      <c r="H452" s="75">
        <f>IF($A452="","",MRP!H3139)</f>
        <v/>
      </c>
      <c r="I452" s="75">
        <f>IF($A452="","",MRP!I3139)</f>
        <v/>
      </c>
      <c r="J452" s="75">
        <f>IF($A452="","",MRP!J3139)</f>
        <v/>
      </c>
      <c r="K452" s="75">
        <f>IF($A452="","",MRP!K3139)</f>
        <v/>
      </c>
      <c r="L452" s="75">
        <f>IF($A452="","",MRP!L3139)</f>
        <v/>
      </c>
      <c r="M452" s="76">
        <f>IF($A452="","",SUM(E452:L452))</f>
        <v/>
      </c>
      <c r="N452" s="77">
        <f>IF(ISNUMBER(D452),M452*D452,"")</f>
        <v/>
      </c>
      <c r="O452" s="78">
        <f>MRP!M3139</f>
        <v/>
      </c>
    </row>
    <row r="453">
      <c r="A453" s="73">
        <f>IF(Materiales!$A$452="","",Materiales!$A$452)</f>
        <v/>
      </c>
      <c r="B453" s="60">
        <f>IF(Materiales!$B$452="","",Materiales!$B$452)</f>
        <v/>
      </c>
      <c r="C453" s="73">
        <f>IF(Materiales!$C$452="","",Materiales!$C$452)</f>
        <v/>
      </c>
      <c r="D453" s="74">
        <f>IF(Materiales!$D$452="","",Materiales!$D$452)</f>
        <v/>
      </c>
      <c r="E453" s="75">
        <f>IF($A453="","",MRP!E3146)</f>
        <v/>
      </c>
      <c r="F453" s="75">
        <f>IF($A453="","",MRP!F3146)</f>
        <v/>
      </c>
      <c r="G453" s="75">
        <f>IF($A453="","",MRP!G3146)</f>
        <v/>
      </c>
      <c r="H453" s="75">
        <f>IF($A453="","",MRP!H3146)</f>
        <v/>
      </c>
      <c r="I453" s="75">
        <f>IF($A453="","",MRP!I3146)</f>
        <v/>
      </c>
      <c r="J453" s="75">
        <f>IF($A453="","",MRP!J3146)</f>
        <v/>
      </c>
      <c r="K453" s="75">
        <f>IF($A453="","",MRP!K3146)</f>
        <v/>
      </c>
      <c r="L453" s="75">
        <f>IF($A453="","",MRP!L3146)</f>
        <v/>
      </c>
      <c r="M453" s="76">
        <f>IF($A453="","",SUM(E453:L453))</f>
        <v/>
      </c>
      <c r="N453" s="77">
        <f>IF(ISNUMBER(D453),M453*D453,"")</f>
        <v/>
      </c>
      <c r="O453" s="78">
        <f>MRP!M3146</f>
        <v/>
      </c>
    </row>
    <row r="454">
      <c r="A454" s="73">
        <f>IF(Materiales!$A$453="","",Materiales!$A$453)</f>
        <v/>
      </c>
      <c r="B454" s="60">
        <f>IF(Materiales!$B$453="","",Materiales!$B$453)</f>
        <v/>
      </c>
      <c r="C454" s="73">
        <f>IF(Materiales!$C$453="","",Materiales!$C$453)</f>
        <v/>
      </c>
      <c r="D454" s="74">
        <f>IF(Materiales!$D$453="","",Materiales!$D$453)</f>
        <v/>
      </c>
      <c r="E454" s="75">
        <f>IF($A454="","",MRP!E3153)</f>
        <v/>
      </c>
      <c r="F454" s="75">
        <f>IF($A454="","",MRP!F3153)</f>
        <v/>
      </c>
      <c r="G454" s="75">
        <f>IF($A454="","",MRP!G3153)</f>
        <v/>
      </c>
      <c r="H454" s="75">
        <f>IF($A454="","",MRP!H3153)</f>
        <v/>
      </c>
      <c r="I454" s="75">
        <f>IF($A454="","",MRP!I3153)</f>
        <v/>
      </c>
      <c r="J454" s="75">
        <f>IF($A454="","",MRP!J3153)</f>
        <v/>
      </c>
      <c r="K454" s="75">
        <f>IF($A454="","",MRP!K3153)</f>
        <v/>
      </c>
      <c r="L454" s="75">
        <f>IF($A454="","",MRP!L3153)</f>
        <v/>
      </c>
      <c r="M454" s="76">
        <f>IF($A454="","",SUM(E454:L454))</f>
        <v/>
      </c>
      <c r="N454" s="77">
        <f>IF(ISNUMBER(D454),M454*D454,"")</f>
        <v/>
      </c>
      <c r="O454" s="78">
        <f>MRP!M3153</f>
        <v/>
      </c>
    </row>
    <row r="455">
      <c r="A455" s="73">
        <f>IF(Materiales!$A$454="","",Materiales!$A$454)</f>
        <v/>
      </c>
      <c r="B455" s="60">
        <f>IF(Materiales!$B$454="","",Materiales!$B$454)</f>
        <v/>
      </c>
      <c r="C455" s="73">
        <f>IF(Materiales!$C$454="","",Materiales!$C$454)</f>
        <v/>
      </c>
      <c r="D455" s="74">
        <f>IF(Materiales!$D$454="","",Materiales!$D$454)</f>
        <v/>
      </c>
      <c r="E455" s="75">
        <f>IF($A455="","",MRP!E3160)</f>
        <v/>
      </c>
      <c r="F455" s="75">
        <f>IF($A455="","",MRP!F3160)</f>
        <v/>
      </c>
      <c r="G455" s="75">
        <f>IF($A455="","",MRP!G3160)</f>
        <v/>
      </c>
      <c r="H455" s="75">
        <f>IF($A455="","",MRP!H3160)</f>
        <v/>
      </c>
      <c r="I455" s="75">
        <f>IF($A455="","",MRP!I3160)</f>
        <v/>
      </c>
      <c r="J455" s="75">
        <f>IF($A455="","",MRP!J3160)</f>
        <v/>
      </c>
      <c r="K455" s="75">
        <f>IF($A455="","",MRP!K3160)</f>
        <v/>
      </c>
      <c r="L455" s="75">
        <f>IF($A455="","",MRP!L3160)</f>
        <v/>
      </c>
      <c r="M455" s="76">
        <f>IF($A455="","",SUM(E455:L455))</f>
        <v/>
      </c>
      <c r="N455" s="77">
        <f>IF(ISNUMBER(D455),M455*D455,"")</f>
        <v/>
      </c>
      <c r="O455" s="78">
        <f>MRP!M3160</f>
        <v/>
      </c>
    </row>
    <row r="456">
      <c r="A456" s="73">
        <f>IF(Materiales!$A$455="","",Materiales!$A$455)</f>
        <v/>
      </c>
      <c r="B456" s="60">
        <f>IF(Materiales!$B$455="","",Materiales!$B$455)</f>
        <v/>
      </c>
      <c r="C456" s="73">
        <f>IF(Materiales!$C$455="","",Materiales!$C$455)</f>
        <v/>
      </c>
      <c r="D456" s="74">
        <f>IF(Materiales!$D$455="","",Materiales!$D$455)</f>
        <v/>
      </c>
      <c r="E456" s="75">
        <f>IF($A456="","",MRP!E3167)</f>
        <v/>
      </c>
      <c r="F456" s="75">
        <f>IF($A456="","",MRP!F3167)</f>
        <v/>
      </c>
      <c r="G456" s="75">
        <f>IF($A456="","",MRP!G3167)</f>
        <v/>
      </c>
      <c r="H456" s="75">
        <f>IF($A456="","",MRP!H3167)</f>
        <v/>
      </c>
      <c r="I456" s="75">
        <f>IF($A456="","",MRP!I3167)</f>
        <v/>
      </c>
      <c r="J456" s="75">
        <f>IF($A456="","",MRP!J3167)</f>
        <v/>
      </c>
      <c r="K456" s="75">
        <f>IF($A456="","",MRP!K3167)</f>
        <v/>
      </c>
      <c r="L456" s="75">
        <f>IF($A456="","",MRP!L3167)</f>
        <v/>
      </c>
      <c r="M456" s="76">
        <f>IF($A456="","",SUM(E456:L456))</f>
        <v/>
      </c>
      <c r="N456" s="77">
        <f>IF(ISNUMBER(D456),M456*D456,"")</f>
        <v/>
      </c>
      <c r="O456" s="78">
        <f>MRP!M3167</f>
        <v/>
      </c>
    </row>
    <row r="457">
      <c r="A457" s="73">
        <f>IF(Materiales!$A$456="","",Materiales!$A$456)</f>
        <v/>
      </c>
      <c r="B457" s="60">
        <f>IF(Materiales!$B$456="","",Materiales!$B$456)</f>
        <v/>
      </c>
      <c r="C457" s="73">
        <f>IF(Materiales!$C$456="","",Materiales!$C$456)</f>
        <v/>
      </c>
      <c r="D457" s="74">
        <f>IF(Materiales!$D$456="","",Materiales!$D$456)</f>
        <v/>
      </c>
      <c r="E457" s="75">
        <f>IF($A457="","",MRP!E3174)</f>
        <v/>
      </c>
      <c r="F457" s="75">
        <f>IF($A457="","",MRP!F3174)</f>
        <v/>
      </c>
      <c r="G457" s="75">
        <f>IF($A457="","",MRP!G3174)</f>
        <v/>
      </c>
      <c r="H457" s="75">
        <f>IF($A457="","",MRP!H3174)</f>
        <v/>
      </c>
      <c r="I457" s="75">
        <f>IF($A457="","",MRP!I3174)</f>
        <v/>
      </c>
      <c r="J457" s="75">
        <f>IF($A457="","",MRP!J3174)</f>
        <v/>
      </c>
      <c r="K457" s="75">
        <f>IF($A457="","",MRP!K3174)</f>
        <v/>
      </c>
      <c r="L457" s="75">
        <f>IF($A457="","",MRP!L3174)</f>
        <v/>
      </c>
      <c r="M457" s="76">
        <f>IF($A457="","",SUM(E457:L457))</f>
        <v/>
      </c>
      <c r="N457" s="77">
        <f>IF(ISNUMBER(D457),M457*D457,"")</f>
        <v/>
      </c>
      <c r="O457" s="78">
        <f>MRP!M3174</f>
        <v/>
      </c>
    </row>
    <row r="458">
      <c r="A458" s="73">
        <f>IF(Materiales!$A$457="","",Materiales!$A$457)</f>
        <v/>
      </c>
      <c r="B458" s="60">
        <f>IF(Materiales!$B$457="","",Materiales!$B$457)</f>
        <v/>
      </c>
      <c r="C458" s="73">
        <f>IF(Materiales!$C$457="","",Materiales!$C$457)</f>
        <v/>
      </c>
      <c r="D458" s="74">
        <f>IF(Materiales!$D$457="","",Materiales!$D$457)</f>
        <v/>
      </c>
      <c r="E458" s="75">
        <f>IF($A458="","",MRP!E3181)</f>
        <v/>
      </c>
      <c r="F458" s="75">
        <f>IF($A458="","",MRP!F3181)</f>
        <v/>
      </c>
      <c r="G458" s="75">
        <f>IF($A458="","",MRP!G3181)</f>
        <v/>
      </c>
      <c r="H458" s="75">
        <f>IF($A458="","",MRP!H3181)</f>
        <v/>
      </c>
      <c r="I458" s="75">
        <f>IF($A458="","",MRP!I3181)</f>
        <v/>
      </c>
      <c r="J458" s="75">
        <f>IF($A458="","",MRP!J3181)</f>
        <v/>
      </c>
      <c r="K458" s="75">
        <f>IF($A458="","",MRP!K3181)</f>
        <v/>
      </c>
      <c r="L458" s="75">
        <f>IF($A458="","",MRP!L3181)</f>
        <v/>
      </c>
      <c r="M458" s="76">
        <f>IF($A458="","",SUM(E458:L458))</f>
        <v/>
      </c>
      <c r="N458" s="77">
        <f>IF(ISNUMBER(D458),M458*D458,"")</f>
        <v/>
      </c>
      <c r="O458" s="78">
        <f>MRP!M3181</f>
        <v/>
      </c>
    </row>
    <row r="459">
      <c r="A459" s="73">
        <f>IF(Materiales!$A$458="","",Materiales!$A$458)</f>
        <v/>
      </c>
      <c r="B459" s="60">
        <f>IF(Materiales!$B$458="","",Materiales!$B$458)</f>
        <v/>
      </c>
      <c r="C459" s="73">
        <f>IF(Materiales!$C$458="","",Materiales!$C$458)</f>
        <v/>
      </c>
      <c r="D459" s="74">
        <f>IF(Materiales!$D$458="","",Materiales!$D$458)</f>
        <v/>
      </c>
      <c r="E459" s="75">
        <f>IF($A459="","",MRP!E3188)</f>
        <v/>
      </c>
      <c r="F459" s="75">
        <f>IF($A459="","",MRP!F3188)</f>
        <v/>
      </c>
      <c r="G459" s="75">
        <f>IF($A459="","",MRP!G3188)</f>
        <v/>
      </c>
      <c r="H459" s="75">
        <f>IF($A459="","",MRP!H3188)</f>
        <v/>
      </c>
      <c r="I459" s="75">
        <f>IF($A459="","",MRP!I3188)</f>
        <v/>
      </c>
      <c r="J459" s="75">
        <f>IF($A459="","",MRP!J3188)</f>
        <v/>
      </c>
      <c r="K459" s="75">
        <f>IF($A459="","",MRP!K3188)</f>
        <v/>
      </c>
      <c r="L459" s="75">
        <f>IF($A459="","",MRP!L3188)</f>
        <v/>
      </c>
      <c r="M459" s="76">
        <f>IF($A459="","",SUM(E459:L459))</f>
        <v/>
      </c>
      <c r="N459" s="77">
        <f>IF(ISNUMBER(D459),M459*D459,"")</f>
        <v/>
      </c>
      <c r="O459" s="78">
        <f>MRP!M3188</f>
        <v/>
      </c>
    </row>
    <row r="460">
      <c r="A460" s="73">
        <f>IF(Materiales!$A$459="","",Materiales!$A$459)</f>
        <v/>
      </c>
      <c r="B460" s="60">
        <f>IF(Materiales!$B$459="","",Materiales!$B$459)</f>
        <v/>
      </c>
      <c r="C460" s="73">
        <f>IF(Materiales!$C$459="","",Materiales!$C$459)</f>
        <v/>
      </c>
      <c r="D460" s="74">
        <f>IF(Materiales!$D$459="","",Materiales!$D$459)</f>
        <v/>
      </c>
      <c r="E460" s="75">
        <f>IF($A460="","",MRP!E3195)</f>
        <v/>
      </c>
      <c r="F460" s="75">
        <f>IF($A460="","",MRP!F3195)</f>
        <v/>
      </c>
      <c r="G460" s="75">
        <f>IF($A460="","",MRP!G3195)</f>
        <v/>
      </c>
      <c r="H460" s="75">
        <f>IF($A460="","",MRP!H3195)</f>
        <v/>
      </c>
      <c r="I460" s="75">
        <f>IF($A460="","",MRP!I3195)</f>
        <v/>
      </c>
      <c r="J460" s="75">
        <f>IF($A460="","",MRP!J3195)</f>
        <v/>
      </c>
      <c r="K460" s="75">
        <f>IF($A460="","",MRP!K3195)</f>
        <v/>
      </c>
      <c r="L460" s="75">
        <f>IF($A460="","",MRP!L3195)</f>
        <v/>
      </c>
      <c r="M460" s="76">
        <f>IF($A460="","",SUM(E460:L460))</f>
        <v/>
      </c>
      <c r="N460" s="77">
        <f>IF(ISNUMBER(D460),M460*D460,"")</f>
        <v/>
      </c>
      <c r="O460" s="78">
        <f>MRP!M3195</f>
        <v/>
      </c>
    </row>
    <row r="461">
      <c r="A461" s="73">
        <f>IF(Materiales!$A$460="","",Materiales!$A$460)</f>
        <v/>
      </c>
      <c r="B461" s="60">
        <f>IF(Materiales!$B$460="","",Materiales!$B$460)</f>
        <v/>
      </c>
      <c r="C461" s="73">
        <f>IF(Materiales!$C$460="","",Materiales!$C$460)</f>
        <v/>
      </c>
      <c r="D461" s="74">
        <f>IF(Materiales!$D$460="","",Materiales!$D$460)</f>
        <v/>
      </c>
      <c r="E461" s="75">
        <f>IF($A461="","",MRP!E3202)</f>
        <v/>
      </c>
      <c r="F461" s="75">
        <f>IF($A461="","",MRP!F3202)</f>
        <v/>
      </c>
      <c r="G461" s="75">
        <f>IF($A461="","",MRP!G3202)</f>
        <v/>
      </c>
      <c r="H461" s="75">
        <f>IF($A461="","",MRP!H3202)</f>
        <v/>
      </c>
      <c r="I461" s="75">
        <f>IF($A461="","",MRP!I3202)</f>
        <v/>
      </c>
      <c r="J461" s="75">
        <f>IF($A461="","",MRP!J3202)</f>
        <v/>
      </c>
      <c r="K461" s="75">
        <f>IF($A461="","",MRP!K3202)</f>
        <v/>
      </c>
      <c r="L461" s="75">
        <f>IF($A461="","",MRP!L3202)</f>
        <v/>
      </c>
      <c r="M461" s="76">
        <f>IF($A461="","",SUM(E461:L461))</f>
        <v/>
      </c>
      <c r="N461" s="77">
        <f>IF(ISNUMBER(D461),M461*D461,"")</f>
        <v/>
      </c>
      <c r="O461" s="78">
        <f>MRP!M3202</f>
        <v/>
      </c>
    </row>
    <row r="462">
      <c r="A462" s="73">
        <f>IF(Materiales!$A$461="","",Materiales!$A$461)</f>
        <v/>
      </c>
      <c r="B462" s="60">
        <f>IF(Materiales!$B$461="","",Materiales!$B$461)</f>
        <v/>
      </c>
      <c r="C462" s="73">
        <f>IF(Materiales!$C$461="","",Materiales!$C$461)</f>
        <v/>
      </c>
      <c r="D462" s="74">
        <f>IF(Materiales!$D$461="","",Materiales!$D$461)</f>
        <v/>
      </c>
      <c r="E462" s="75">
        <f>IF($A462="","",MRP!E3209)</f>
        <v/>
      </c>
      <c r="F462" s="75">
        <f>IF($A462="","",MRP!F3209)</f>
        <v/>
      </c>
      <c r="G462" s="75">
        <f>IF($A462="","",MRP!G3209)</f>
        <v/>
      </c>
      <c r="H462" s="75">
        <f>IF($A462="","",MRP!H3209)</f>
        <v/>
      </c>
      <c r="I462" s="75">
        <f>IF($A462="","",MRP!I3209)</f>
        <v/>
      </c>
      <c r="J462" s="75">
        <f>IF($A462="","",MRP!J3209)</f>
        <v/>
      </c>
      <c r="K462" s="75">
        <f>IF($A462="","",MRP!K3209)</f>
        <v/>
      </c>
      <c r="L462" s="75">
        <f>IF($A462="","",MRP!L3209)</f>
        <v/>
      </c>
      <c r="M462" s="76">
        <f>IF($A462="","",SUM(E462:L462))</f>
        <v/>
      </c>
      <c r="N462" s="77">
        <f>IF(ISNUMBER(D462),M462*D462,"")</f>
        <v/>
      </c>
      <c r="O462" s="78">
        <f>MRP!M3209</f>
        <v/>
      </c>
    </row>
    <row r="463">
      <c r="A463" s="73">
        <f>IF(Materiales!$A$462="","",Materiales!$A$462)</f>
        <v/>
      </c>
      <c r="B463" s="60">
        <f>IF(Materiales!$B$462="","",Materiales!$B$462)</f>
        <v/>
      </c>
      <c r="C463" s="73">
        <f>IF(Materiales!$C$462="","",Materiales!$C$462)</f>
        <v/>
      </c>
      <c r="D463" s="74">
        <f>IF(Materiales!$D$462="","",Materiales!$D$462)</f>
        <v/>
      </c>
      <c r="E463" s="75">
        <f>IF($A463="","",MRP!E3216)</f>
        <v/>
      </c>
      <c r="F463" s="75">
        <f>IF($A463="","",MRP!F3216)</f>
        <v/>
      </c>
      <c r="G463" s="75">
        <f>IF($A463="","",MRP!G3216)</f>
        <v/>
      </c>
      <c r="H463" s="75">
        <f>IF($A463="","",MRP!H3216)</f>
        <v/>
      </c>
      <c r="I463" s="75">
        <f>IF($A463="","",MRP!I3216)</f>
        <v/>
      </c>
      <c r="J463" s="75">
        <f>IF($A463="","",MRP!J3216)</f>
        <v/>
      </c>
      <c r="K463" s="75">
        <f>IF($A463="","",MRP!K3216)</f>
        <v/>
      </c>
      <c r="L463" s="75">
        <f>IF($A463="","",MRP!L3216)</f>
        <v/>
      </c>
      <c r="M463" s="76">
        <f>IF($A463="","",SUM(E463:L463))</f>
        <v/>
      </c>
      <c r="N463" s="77">
        <f>IF(ISNUMBER(D463),M463*D463,"")</f>
        <v/>
      </c>
      <c r="O463" s="78">
        <f>MRP!M3216</f>
        <v/>
      </c>
    </row>
    <row r="464">
      <c r="A464" s="73">
        <f>IF(Materiales!$A$463="","",Materiales!$A$463)</f>
        <v/>
      </c>
      <c r="B464" s="60">
        <f>IF(Materiales!$B$463="","",Materiales!$B$463)</f>
        <v/>
      </c>
      <c r="C464" s="73">
        <f>IF(Materiales!$C$463="","",Materiales!$C$463)</f>
        <v/>
      </c>
      <c r="D464" s="74">
        <f>IF(Materiales!$D$463="","",Materiales!$D$463)</f>
        <v/>
      </c>
      <c r="E464" s="75">
        <f>IF($A464="","",MRP!E3223)</f>
        <v/>
      </c>
      <c r="F464" s="75">
        <f>IF($A464="","",MRP!F3223)</f>
        <v/>
      </c>
      <c r="G464" s="75">
        <f>IF($A464="","",MRP!G3223)</f>
        <v/>
      </c>
      <c r="H464" s="75">
        <f>IF($A464="","",MRP!H3223)</f>
        <v/>
      </c>
      <c r="I464" s="75">
        <f>IF($A464="","",MRP!I3223)</f>
        <v/>
      </c>
      <c r="J464" s="75">
        <f>IF($A464="","",MRP!J3223)</f>
        <v/>
      </c>
      <c r="K464" s="75">
        <f>IF($A464="","",MRP!K3223)</f>
        <v/>
      </c>
      <c r="L464" s="75">
        <f>IF($A464="","",MRP!L3223)</f>
        <v/>
      </c>
      <c r="M464" s="76">
        <f>IF($A464="","",SUM(E464:L464))</f>
        <v/>
      </c>
      <c r="N464" s="77">
        <f>IF(ISNUMBER(D464),M464*D464,"")</f>
        <v/>
      </c>
      <c r="O464" s="78">
        <f>MRP!M3223</f>
        <v/>
      </c>
    </row>
    <row r="465">
      <c r="A465" s="73">
        <f>IF(Materiales!$A$464="","",Materiales!$A$464)</f>
        <v/>
      </c>
      <c r="B465" s="60">
        <f>IF(Materiales!$B$464="","",Materiales!$B$464)</f>
        <v/>
      </c>
      <c r="C465" s="73">
        <f>IF(Materiales!$C$464="","",Materiales!$C$464)</f>
        <v/>
      </c>
      <c r="D465" s="74">
        <f>IF(Materiales!$D$464="","",Materiales!$D$464)</f>
        <v/>
      </c>
      <c r="E465" s="75">
        <f>IF($A465="","",MRP!E3230)</f>
        <v/>
      </c>
      <c r="F465" s="75">
        <f>IF($A465="","",MRP!F3230)</f>
        <v/>
      </c>
      <c r="G465" s="75">
        <f>IF($A465="","",MRP!G3230)</f>
        <v/>
      </c>
      <c r="H465" s="75">
        <f>IF($A465="","",MRP!H3230)</f>
        <v/>
      </c>
      <c r="I465" s="75">
        <f>IF($A465="","",MRP!I3230)</f>
        <v/>
      </c>
      <c r="J465" s="75">
        <f>IF($A465="","",MRP!J3230)</f>
        <v/>
      </c>
      <c r="K465" s="75">
        <f>IF($A465="","",MRP!K3230)</f>
        <v/>
      </c>
      <c r="L465" s="75">
        <f>IF($A465="","",MRP!L3230)</f>
        <v/>
      </c>
      <c r="M465" s="76">
        <f>IF($A465="","",SUM(E465:L465))</f>
        <v/>
      </c>
      <c r="N465" s="77">
        <f>IF(ISNUMBER(D465),M465*D465,"")</f>
        <v/>
      </c>
      <c r="O465" s="78">
        <f>MRP!M3230</f>
        <v/>
      </c>
    </row>
    <row r="466">
      <c r="A466" s="73">
        <f>IF(Materiales!$A$465="","",Materiales!$A$465)</f>
        <v/>
      </c>
      <c r="B466" s="60">
        <f>IF(Materiales!$B$465="","",Materiales!$B$465)</f>
        <v/>
      </c>
      <c r="C466" s="73">
        <f>IF(Materiales!$C$465="","",Materiales!$C$465)</f>
        <v/>
      </c>
      <c r="D466" s="74">
        <f>IF(Materiales!$D$465="","",Materiales!$D$465)</f>
        <v/>
      </c>
      <c r="E466" s="75">
        <f>IF($A466="","",MRP!E3237)</f>
        <v/>
      </c>
      <c r="F466" s="75">
        <f>IF($A466="","",MRP!F3237)</f>
        <v/>
      </c>
      <c r="G466" s="75">
        <f>IF($A466="","",MRP!G3237)</f>
        <v/>
      </c>
      <c r="H466" s="75">
        <f>IF($A466="","",MRP!H3237)</f>
        <v/>
      </c>
      <c r="I466" s="75">
        <f>IF($A466="","",MRP!I3237)</f>
        <v/>
      </c>
      <c r="J466" s="75">
        <f>IF($A466="","",MRP!J3237)</f>
        <v/>
      </c>
      <c r="K466" s="75">
        <f>IF($A466="","",MRP!K3237)</f>
        <v/>
      </c>
      <c r="L466" s="75">
        <f>IF($A466="","",MRP!L3237)</f>
        <v/>
      </c>
      <c r="M466" s="76">
        <f>IF($A466="","",SUM(E466:L466))</f>
        <v/>
      </c>
      <c r="N466" s="77">
        <f>IF(ISNUMBER(D466),M466*D466,"")</f>
        <v/>
      </c>
      <c r="O466" s="78">
        <f>MRP!M3237</f>
        <v/>
      </c>
    </row>
    <row r="467">
      <c r="A467" s="73">
        <f>IF(Materiales!$A$466="","",Materiales!$A$466)</f>
        <v/>
      </c>
      <c r="B467" s="60">
        <f>IF(Materiales!$B$466="","",Materiales!$B$466)</f>
        <v/>
      </c>
      <c r="C467" s="73">
        <f>IF(Materiales!$C$466="","",Materiales!$C$466)</f>
        <v/>
      </c>
      <c r="D467" s="74">
        <f>IF(Materiales!$D$466="","",Materiales!$D$466)</f>
        <v/>
      </c>
      <c r="E467" s="75">
        <f>IF($A467="","",MRP!E3244)</f>
        <v/>
      </c>
      <c r="F467" s="75">
        <f>IF($A467="","",MRP!F3244)</f>
        <v/>
      </c>
      <c r="G467" s="75">
        <f>IF($A467="","",MRP!G3244)</f>
        <v/>
      </c>
      <c r="H467" s="75">
        <f>IF($A467="","",MRP!H3244)</f>
        <v/>
      </c>
      <c r="I467" s="75">
        <f>IF($A467="","",MRP!I3244)</f>
        <v/>
      </c>
      <c r="J467" s="75">
        <f>IF($A467="","",MRP!J3244)</f>
        <v/>
      </c>
      <c r="K467" s="75">
        <f>IF($A467="","",MRP!K3244)</f>
        <v/>
      </c>
      <c r="L467" s="75">
        <f>IF($A467="","",MRP!L3244)</f>
        <v/>
      </c>
      <c r="M467" s="76">
        <f>IF($A467="","",SUM(E467:L467))</f>
        <v/>
      </c>
      <c r="N467" s="77">
        <f>IF(ISNUMBER(D467),M467*D467,"")</f>
        <v/>
      </c>
      <c r="O467" s="78">
        <f>MRP!M3244</f>
        <v/>
      </c>
    </row>
    <row r="468">
      <c r="A468" s="73">
        <f>IF(Materiales!$A$467="","",Materiales!$A$467)</f>
        <v/>
      </c>
      <c r="B468" s="60">
        <f>IF(Materiales!$B$467="","",Materiales!$B$467)</f>
        <v/>
      </c>
      <c r="C468" s="73">
        <f>IF(Materiales!$C$467="","",Materiales!$C$467)</f>
        <v/>
      </c>
      <c r="D468" s="74">
        <f>IF(Materiales!$D$467="","",Materiales!$D$467)</f>
        <v/>
      </c>
      <c r="E468" s="75">
        <f>IF($A468="","",MRP!E3251)</f>
        <v/>
      </c>
      <c r="F468" s="75">
        <f>IF($A468="","",MRP!F3251)</f>
        <v/>
      </c>
      <c r="G468" s="75">
        <f>IF($A468="","",MRP!G3251)</f>
        <v/>
      </c>
      <c r="H468" s="75">
        <f>IF($A468="","",MRP!H3251)</f>
        <v/>
      </c>
      <c r="I468" s="75">
        <f>IF($A468="","",MRP!I3251)</f>
        <v/>
      </c>
      <c r="J468" s="75">
        <f>IF($A468="","",MRP!J3251)</f>
        <v/>
      </c>
      <c r="K468" s="75">
        <f>IF($A468="","",MRP!K3251)</f>
        <v/>
      </c>
      <c r="L468" s="75">
        <f>IF($A468="","",MRP!L3251)</f>
        <v/>
      </c>
      <c r="M468" s="76">
        <f>IF($A468="","",SUM(E468:L468))</f>
        <v/>
      </c>
      <c r="N468" s="77">
        <f>IF(ISNUMBER(D468),M468*D468,"")</f>
        <v/>
      </c>
      <c r="O468" s="78">
        <f>MRP!M3251</f>
        <v/>
      </c>
    </row>
    <row r="469">
      <c r="A469" s="73">
        <f>IF(Materiales!$A$468="","",Materiales!$A$468)</f>
        <v/>
      </c>
      <c r="B469" s="60">
        <f>IF(Materiales!$B$468="","",Materiales!$B$468)</f>
        <v/>
      </c>
      <c r="C469" s="73">
        <f>IF(Materiales!$C$468="","",Materiales!$C$468)</f>
        <v/>
      </c>
      <c r="D469" s="74">
        <f>IF(Materiales!$D$468="","",Materiales!$D$468)</f>
        <v/>
      </c>
      <c r="E469" s="75">
        <f>IF($A469="","",MRP!E3258)</f>
        <v/>
      </c>
      <c r="F469" s="75">
        <f>IF($A469="","",MRP!F3258)</f>
        <v/>
      </c>
      <c r="G469" s="75">
        <f>IF($A469="","",MRP!G3258)</f>
        <v/>
      </c>
      <c r="H469" s="75">
        <f>IF($A469="","",MRP!H3258)</f>
        <v/>
      </c>
      <c r="I469" s="75">
        <f>IF($A469="","",MRP!I3258)</f>
        <v/>
      </c>
      <c r="J469" s="75">
        <f>IF($A469="","",MRP!J3258)</f>
        <v/>
      </c>
      <c r="K469" s="75">
        <f>IF($A469="","",MRP!K3258)</f>
        <v/>
      </c>
      <c r="L469" s="75">
        <f>IF($A469="","",MRP!L3258)</f>
        <v/>
      </c>
      <c r="M469" s="76">
        <f>IF($A469="","",SUM(E469:L469))</f>
        <v/>
      </c>
      <c r="N469" s="77">
        <f>IF(ISNUMBER(D469),M469*D469,"")</f>
        <v/>
      </c>
      <c r="O469" s="78">
        <f>MRP!M3258</f>
        <v/>
      </c>
    </row>
    <row r="470">
      <c r="A470" s="73">
        <f>IF(Materiales!$A$469="","",Materiales!$A$469)</f>
        <v/>
      </c>
      <c r="B470" s="60">
        <f>IF(Materiales!$B$469="","",Materiales!$B$469)</f>
        <v/>
      </c>
      <c r="C470" s="73">
        <f>IF(Materiales!$C$469="","",Materiales!$C$469)</f>
        <v/>
      </c>
      <c r="D470" s="74">
        <f>IF(Materiales!$D$469="","",Materiales!$D$469)</f>
        <v/>
      </c>
      <c r="E470" s="75">
        <f>IF($A470="","",MRP!E3265)</f>
        <v/>
      </c>
      <c r="F470" s="75">
        <f>IF($A470="","",MRP!F3265)</f>
        <v/>
      </c>
      <c r="G470" s="75">
        <f>IF($A470="","",MRP!G3265)</f>
        <v/>
      </c>
      <c r="H470" s="75">
        <f>IF($A470="","",MRP!H3265)</f>
        <v/>
      </c>
      <c r="I470" s="75">
        <f>IF($A470="","",MRP!I3265)</f>
        <v/>
      </c>
      <c r="J470" s="75">
        <f>IF($A470="","",MRP!J3265)</f>
        <v/>
      </c>
      <c r="K470" s="75">
        <f>IF($A470="","",MRP!K3265)</f>
        <v/>
      </c>
      <c r="L470" s="75">
        <f>IF($A470="","",MRP!L3265)</f>
        <v/>
      </c>
      <c r="M470" s="76">
        <f>IF($A470="","",SUM(E470:L470))</f>
        <v/>
      </c>
      <c r="N470" s="77">
        <f>IF(ISNUMBER(D470),M470*D470,"")</f>
        <v/>
      </c>
      <c r="O470" s="78">
        <f>MRP!M3265</f>
        <v/>
      </c>
    </row>
    <row r="471">
      <c r="A471" s="73">
        <f>IF(Materiales!$A$470="","",Materiales!$A$470)</f>
        <v/>
      </c>
      <c r="B471" s="60">
        <f>IF(Materiales!$B$470="","",Materiales!$B$470)</f>
        <v/>
      </c>
      <c r="C471" s="73">
        <f>IF(Materiales!$C$470="","",Materiales!$C$470)</f>
        <v/>
      </c>
      <c r="D471" s="74">
        <f>IF(Materiales!$D$470="","",Materiales!$D$470)</f>
        <v/>
      </c>
      <c r="E471" s="75">
        <f>IF($A471="","",MRP!E3272)</f>
        <v/>
      </c>
      <c r="F471" s="75">
        <f>IF($A471="","",MRP!F3272)</f>
        <v/>
      </c>
      <c r="G471" s="75">
        <f>IF($A471="","",MRP!G3272)</f>
        <v/>
      </c>
      <c r="H471" s="75">
        <f>IF($A471="","",MRP!H3272)</f>
        <v/>
      </c>
      <c r="I471" s="75">
        <f>IF($A471="","",MRP!I3272)</f>
        <v/>
      </c>
      <c r="J471" s="75">
        <f>IF($A471="","",MRP!J3272)</f>
        <v/>
      </c>
      <c r="K471" s="75">
        <f>IF($A471="","",MRP!K3272)</f>
        <v/>
      </c>
      <c r="L471" s="75">
        <f>IF($A471="","",MRP!L3272)</f>
        <v/>
      </c>
      <c r="M471" s="76">
        <f>IF($A471="","",SUM(E471:L471))</f>
        <v/>
      </c>
      <c r="N471" s="77">
        <f>IF(ISNUMBER(D471),M471*D471,"")</f>
        <v/>
      </c>
      <c r="O471" s="78">
        <f>MRP!M3272</f>
        <v/>
      </c>
    </row>
    <row r="472">
      <c r="A472" s="73">
        <f>IF(Materiales!$A$471="","",Materiales!$A$471)</f>
        <v/>
      </c>
      <c r="B472" s="60">
        <f>IF(Materiales!$B$471="","",Materiales!$B$471)</f>
        <v/>
      </c>
      <c r="C472" s="73">
        <f>IF(Materiales!$C$471="","",Materiales!$C$471)</f>
        <v/>
      </c>
      <c r="D472" s="74">
        <f>IF(Materiales!$D$471="","",Materiales!$D$471)</f>
        <v/>
      </c>
      <c r="E472" s="75">
        <f>IF($A472="","",MRP!E3279)</f>
        <v/>
      </c>
      <c r="F472" s="75">
        <f>IF($A472="","",MRP!F3279)</f>
        <v/>
      </c>
      <c r="G472" s="75">
        <f>IF($A472="","",MRP!G3279)</f>
        <v/>
      </c>
      <c r="H472" s="75">
        <f>IF($A472="","",MRP!H3279)</f>
        <v/>
      </c>
      <c r="I472" s="75">
        <f>IF($A472="","",MRP!I3279)</f>
        <v/>
      </c>
      <c r="J472" s="75">
        <f>IF($A472="","",MRP!J3279)</f>
        <v/>
      </c>
      <c r="K472" s="75">
        <f>IF($A472="","",MRP!K3279)</f>
        <v/>
      </c>
      <c r="L472" s="75">
        <f>IF($A472="","",MRP!L3279)</f>
        <v/>
      </c>
      <c r="M472" s="76">
        <f>IF($A472="","",SUM(E472:L472))</f>
        <v/>
      </c>
      <c r="N472" s="77">
        <f>IF(ISNUMBER(D472),M472*D472,"")</f>
        <v/>
      </c>
      <c r="O472" s="78">
        <f>MRP!M3279</f>
        <v/>
      </c>
    </row>
    <row r="473">
      <c r="A473" s="73">
        <f>IF(Materiales!$A$472="","",Materiales!$A$472)</f>
        <v/>
      </c>
      <c r="B473" s="60">
        <f>IF(Materiales!$B$472="","",Materiales!$B$472)</f>
        <v/>
      </c>
      <c r="C473" s="73">
        <f>IF(Materiales!$C$472="","",Materiales!$C$472)</f>
        <v/>
      </c>
      <c r="D473" s="74">
        <f>IF(Materiales!$D$472="","",Materiales!$D$472)</f>
        <v/>
      </c>
      <c r="E473" s="75">
        <f>IF($A473="","",MRP!E3286)</f>
        <v/>
      </c>
      <c r="F473" s="75">
        <f>IF($A473="","",MRP!F3286)</f>
        <v/>
      </c>
      <c r="G473" s="75">
        <f>IF($A473="","",MRP!G3286)</f>
        <v/>
      </c>
      <c r="H473" s="75">
        <f>IF($A473="","",MRP!H3286)</f>
        <v/>
      </c>
      <c r="I473" s="75">
        <f>IF($A473="","",MRP!I3286)</f>
        <v/>
      </c>
      <c r="J473" s="75">
        <f>IF($A473="","",MRP!J3286)</f>
        <v/>
      </c>
      <c r="K473" s="75">
        <f>IF($A473="","",MRP!K3286)</f>
        <v/>
      </c>
      <c r="L473" s="75">
        <f>IF($A473="","",MRP!L3286)</f>
        <v/>
      </c>
      <c r="M473" s="76">
        <f>IF($A473="","",SUM(E473:L473))</f>
        <v/>
      </c>
      <c r="N473" s="77">
        <f>IF(ISNUMBER(D473),M473*D473,"")</f>
        <v/>
      </c>
      <c r="O473" s="78">
        <f>MRP!M3286</f>
        <v/>
      </c>
    </row>
    <row r="474">
      <c r="A474" s="73">
        <f>IF(Materiales!$A$473="","",Materiales!$A$473)</f>
        <v/>
      </c>
      <c r="B474" s="60">
        <f>IF(Materiales!$B$473="","",Materiales!$B$473)</f>
        <v/>
      </c>
      <c r="C474" s="73">
        <f>IF(Materiales!$C$473="","",Materiales!$C$473)</f>
        <v/>
      </c>
      <c r="D474" s="74">
        <f>IF(Materiales!$D$473="","",Materiales!$D$473)</f>
        <v/>
      </c>
      <c r="E474" s="75">
        <f>IF($A474="","",MRP!E3293)</f>
        <v/>
      </c>
      <c r="F474" s="75">
        <f>IF($A474="","",MRP!F3293)</f>
        <v/>
      </c>
      <c r="G474" s="75">
        <f>IF($A474="","",MRP!G3293)</f>
        <v/>
      </c>
      <c r="H474" s="75">
        <f>IF($A474="","",MRP!H3293)</f>
        <v/>
      </c>
      <c r="I474" s="75">
        <f>IF($A474="","",MRP!I3293)</f>
        <v/>
      </c>
      <c r="J474" s="75">
        <f>IF($A474="","",MRP!J3293)</f>
        <v/>
      </c>
      <c r="K474" s="75">
        <f>IF($A474="","",MRP!K3293)</f>
        <v/>
      </c>
      <c r="L474" s="75">
        <f>IF($A474="","",MRP!L3293)</f>
        <v/>
      </c>
      <c r="M474" s="76">
        <f>IF($A474="","",SUM(E474:L474))</f>
        <v/>
      </c>
      <c r="N474" s="77">
        <f>IF(ISNUMBER(D474),M474*D474,"")</f>
        <v/>
      </c>
      <c r="O474" s="78">
        <f>MRP!M3293</f>
        <v/>
      </c>
    </row>
    <row r="475">
      <c r="A475" s="73">
        <f>IF(Materiales!$A$474="","",Materiales!$A$474)</f>
        <v/>
      </c>
      <c r="B475" s="60">
        <f>IF(Materiales!$B$474="","",Materiales!$B$474)</f>
        <v/>
      </c>
      <c r="C475" s="73">
        <f>IF(Materiales!$C$474="","",Materiales!$C$474)</f>
        <v/>
      </c>
      <c r="D475" s="74">
        <f>IF(Materiales!$D$474="","",Materiales!$D$474)</f>
        <v/>
      </c>
      <c r="E475" s="75">
        <f>IF($A475="","",MRP!E3300)</f>
        <v/>
      </c>
      <c r="F475" s="75">
        <f>IF($A475="","",MRP!F3300)</f>
        <v/>
      </c>
      <c r="G475" s="75">
        <f>IF($A475="","",MRP!G3300)</f>
        <v/>
      </c>
      <c r="H475" s="75">
        <f>IF($A475="","",MRP!H3300)</f>
        <v/>
      </c>
      <c r="I475" s="75">
        <f>IF($A475="","",MRP!I3300)</f>
        <v/>
      </c>
      <c r="J475" s="75">
        <f>IF($A475="","",MRP!J3300)</f>
        <v/>
      </c>
      <c r="K475" s="75">
        <f>IF($A475="","",MRP!K3300)</f>
        <v/>
      </c>
      <c r="L475" s="75">
        <f>IF($A475="","",MRP!L3300)</f>
        <v/>
      </c>
      <c r="M475" s="76">
        <f>IF($A475="","",SUM(E475:L475))</f>
        <v/>
      </c>
      <c r="N475" s="77">
        <f>IF(ISNUMBER(D475),M475*D475,"")</f>
        <v/>
      </c>
      <c r="O475" s="78">
        <f>MRP!M3300</f>
        <v/>
      </c>
    </row>
    <row r="476">
      <c r="A476" s="73">
        <f>IF(Materiales!$A$475="","",Materiales!$A$475)</f>
        <v/>
      </c>
      <c r="B476" s="60">
        <f>IF(Materiales!$B$475="","",Materiales!$B$475)</f>
        <v/>
      </c>
      <c r="C476" s="73">
        <f>IF(Materiales!$C$475="","",Materiales!$C$475)</f>
        <v/>
      </c>
      <c r="D476" s="74">
        <f>IF(Materiales!$D$475="","",Materiales!$D$475)</f>
        <v/>
      </c>
      <c r="E476" s="75">
        <f>IF($A476="","",MRP!E3307)</f>
        <v/>
      </c>
      <c r="F476" s="75">
        <f>IF($A476="","",MRP!F3307)</f>
        <v/>
      </c>
      <c r="G476" s="75">
        <f>IF($A476="","",MRP!G3307)</f>
        <v/>
      </c>
      <c r="H476" s="75">
        <f>IF($A476="","",MRP!H3307)</f>
        <v/>
      </c>
      <c r="I476" s="75">
        <f>IF($A476="","",MRP!I3307)</f>
        <v/>
      </c>
      <c r="J476" s="75">
        <f>IF($A476="","",MRP!J3307)</f>
        <v/>
      </c>
      <c r="K476" s="75">
        <f>IF($A476="","",MRP!K3307)</f>
        <v/>
      </c>
      <c r="L476" s="75">
        <f>IF($A476="","",MRP!L3307)</f>
        <v/>
      </c>
      <c r="M476" s="76">
        <f>IF($A476="","",SUM(E476:L476))</f>
        <v/>
      </c>
      <c r="N476" s="77">
        <f>IF(ISNUMBER(D476),M476*D476,"")</f>
        <v/>
      </c>
      <c r="O476" s="78">
        <f>MRP!M3307</f>
        <v/>
      </c>
    </row>
    <row r="477">
      <c r="A477" s="73">
        <f>IF(Materiales!$A$476="","",Materiales!$A$476)</f>
        <v/>
      </c>
      <c r="B477" s="60">
        <f>IF(Materiales!$B$476="","",Materiales!$B$476)</f>
        <v/>
      </c>
      <c r="C477" s="73">
        <f>IF(Materiales!$C$476="","",Materiales!$C$476)</f>
        <v/>
      </c>
      <c r="D477" s="74">
        <f>IF(Materiales!$D$476="","",Materiales!$D$476)</f>
        <v/>
      </c>
      <c r="E477" s="75">
        <f>IF($A477="","",MRP!E3314)</f>
        <v/>
      </c>
      <c r="F477" s="75">
        <f>IF($A477="","",MRP!F3314)</f>
        <v/>
      </c>
      <c r="G477" s="75">
        <f>IF($A477="","",MRP!G3314)</f>
        <v/>
      </c>
      <c r="H477" s="75">
        <f>IF($A477="","",MRP!H3314)</f>
        <v/>
      </c>
      <c r="I477" s="75">
        <f>IF($A477="","",MRP!I3314)</f>
        <v/>
      </c>
      <c r="J477" s="75">
        <f>IF($A477="","",MRP!J3314)</f>
        <v/>
      </c>
      <c r="K477" s="75">
        <f>IF($A477="","",MRP!K3314)</f>
        <v/>
      </c>
      <c r="L477" s="75">
        <f>IF($A477="","",MRP!L3314)</f>
        <v/>
      </c>
      <c r="M477" s="76">
        <f>IF($A477="","",SUM(E477:L477))</f>
        <v/>
      </c>
      <c r="N477" s="77">
        <f>IF(ISNUMBER(D477),M477*D477,"")</f>
        <v/>
      </c>
      <c r="O477" s="78">
        <f>MRP!M3314</f>
        <v/>
      </c>
    </row>
    <row r="478">
      <c r="A478" s="73">
        <f>IF(Materiales!$A$477="","",Materiales!$A$477)</f>
        <v/>
      </c>
      <c r="B478" s="60">
        <f>IF(Materiales!$B$477="","",Materiales!$B$477)</f>
        <v/>
      </c>
      <c r="C478" s="73">
        <f>IF(Materiales!$C$477="","",Materiales!$C$477)</f>
        <v/>
      </c>
      <c r="D478" s="74">
        <f>IF(Materiales!$D$477="","",Materiales!$D$477)</f>
        <v/>
      </c>
      <c r="E478" s="75">
        <f>IF($A478="","",MRP!E3321)</f>
        <v/>
      </c>
      <c r="F478" s="75">
        <f>IF($A478="","",MRP!F3321)</f>
        <v/>
      </c>
      <c r="G478" s="75">
        <f>IF($A478="","",MRP!G3321)</f>
        <v/>
      </c>
      <c r="H478" s="75">
        <f>IF($A478="","",MRP!H3321)</f>
        <v/>
      </c>
      <c r="I478" s="75">
        <f>IF($A478="","",MRP!I3321)</f>
        <v/>
      </c>
      <c r="J478" s="75">
        <f>IF($A478="","",MRP!J3321)</f>
        <v/>
      </c>
      <c r="K478" s="75">
        <f>IF($A478="","",MRP!K3321)</f>
        <v/>
      </c>
      <c r="L478" s="75">
        <f>IF($A478="","",MRP!L3321)</f>
        <v/>
      </c>
      <c r="M478" s="76">
        <f>IF($A478="","",SUM(E478:L478))</f>
        <v/>
      </c>
      <c r="N478" s="77">
        <f>IF(ISNUMBER(D478),M478*D478,"")</f>
        <v/>
      </c>
      <c r="O478" s="78">
        <f>MRP!M3321</f>
        <v/>
      </c>
    </row>
    <row r="479">
      <c r="A479" s="73">
        <f>IF(Materiales!$A$478="","",Materiales!$A$478)</f>
        <v/>
      </c>
      <c r="B479" s="60">
        <f>IF(Materiales!$B$478="","",Materiales!$B$478)</f>
        <v/>
      </c>
      <c r="C479" s="73">
        <f>IF(Materiales!$C$478="","",Materiales!$C$478)</f>
        <v/>
      </c>
      <c r="D479" s="74">
        <f>IF(Materiales!$D$478="","",Materiales!$D$478)</f>
        <v/>
      </c>
      <c r="E479" s="75">
        <f>IF($A479="","",MRP!E3328)</f>
        <v/>
      </c>
      <c r="F479" s="75">
        <f>IF($A479="","",MRP!F3328)</f>
        <v/>
      </c>
      <c r="G479" s="75">
        <f>IF($A479="","",MRP!G3328)</f>
        <v/>
      </c>
      <c r="H479" s="75">
        <f>IF($A479="","",MRP!H3328)</f>
        <v/>
      </c>
      <c r="I479" s="75">
        <f>IF($A479="","",MRP!I3328)</f>
        <v/>
      </c>
      <c r="J479" s="75">
        <f>IF($A479="","",MRP!J3328)</f>
        <v/>
      </c>
      <c r="K479" s="75">
        <f>IF($A479="","",MRP!K3328)</f>
        <v/>
      </c>
      <c r="L479" s="75">
        <f>IF($A479="","",MRP!L3328)</f>
        <v/>
      </c>
      <c r="M479" s="76">
        <f>IF($A479="","",SUM(E479:L479))</f>
        <v/>
      </c>
      <c r="N479" s="77">
        <f>IF(ISNUMBER(D479),M479*D479,"")</f>
        <v/>
      </c>
      <c r="O479" s="78">
        <f>MRP!M3328</f>
        <v/>
      </c>
    </row>
    <row r="480">
      <c r="A480" s="73">
        <f>IF(Materiales!$A$479="","",Materiales!$A$479)</f>
        <v/>
      </c>
      <c r="B480" s="60">
        <f>IF(Materiales!$B$479="","",Materiales!$B$479)</f>
        <v/>
      </c>
      <c r="C480" s="73">
        <f>IF(Materiales!$C$479="","",Materiales!$C$479)</f>
        <v/>
      </c>
      <c r="D480" s="74">
        <f>IF(Materiales!$D$479="","",Materiales!$D$479)</f>
        <v/>
      </c>
      <c r="E480" s="75">
        <f>IF($A480="","",MRP!E3335)</f>
        <v/>
      </c>
      <c r="F480" s="75">
        <f>IF($A480="","",MRP!F3335)</f>
        <v/>
      </c>
      <c r="G480" s="75">
        <f>IF($A480="","",MRP!G3335)</f>
        <v/>
      </c>
      <c r="H480" s="75">
        <f>IF($A480="","",MRP!H3335)</f>
        <v/>
      </c>
      <c r="I480" s="75">
        <f>IF($A480="","",MRP!I3335)</f>
        <v/>
      </c>
      <c r="J480" s="75">
        <f>IF($A480="","",MRP!J3335)</f>
        <v/>
      </c>
      <c r="K480" s="75">
        <f>IF($A480="","",MRP!K3335)</f>
        <v/>
      </c>
      <c r="L480" s="75">
        <f>IF($A480="","",MRP!L3335)</f>
        <v/>
      </c>
      <c r="M480" s="76">
        <f>IF($A480="","",SUM(E480:L480))</f>
        <v/>
      </c>
      <c r="N480" s="77">
        <f>IF(ISNUMBER(D480),M480*D480,"")</f>
        <v/>
      </c>
      <c r="O480" s="78">
        <f>MRP!M3335</f>
        <v/>
      </c>
    </row>
    <row r="481">
      <c r="A481" s="73">
        <f>IF(Materiales!$A$480="","",Materiales!$A$480)</f>
        <v/>
      </c>
      <c r="B481" s="60">
        <f>IF(Materiales!$B$480="","",Materiales!$B$480)</f>
        <v/>
      </c>
      <c r="C481" s="73">
        <f>IF(Materiales!$C$480="","",Materiales!$C$480)</f>
        <v/>
      </c>
      <c r="D481" s="74">
        <f>IF(Materiales!$D$480="","",Materiales!$D$480)</f>
        <v/>
      </c>
      <c r="E481" s="75">
        <f>IF($A481="","",MRP!E3342)</f>
        <v/>
      </c>
      <c r="F481" s="75">
        <f>IF($A481="","",MRP!F3342)</f>
        <v/>
      </c>
      <c r="G481" s="75">
        <f>IF($A481="","",MRP!G3342)</f>
        <v/>
      </c>
      <c r="H481" s="75">
        <f>IF($A481="","",MRP!H3342)</f>
        <v/>
      </c>
      <c r="I481" s="75">
        <f>IF($A481="","",MRP!I3342)</f>
        <v/>
      </c>
      <c r="J481" s="75">
        <f>IF($A481="","",MRP!J3342)</f>
        <v/>
      </c>
      <c r="K481" s="75">
        <f>IF($A481="","",MRP!K3342)</f>
        <v/>
      </c>
      <c r="L481" s="75">
        <f>IF($A481="","",MRP!L3342)</f>
        <v/>
      </c>
      <c r="M481" s="76">
        <f>IF($A481="","",SUM(E481:L481))</f>
        <v/>
      </c>
      <c r="N481" s="77">
        <f>IF(ISNUMBER(D481),M481*D481,"")</f>
        <v/>
      </c>
      <c r="O481" s="78">
        <f>MRP!M3342</f>
        <v/>
      </c>
    </row>
    <row r="482">
      <c r="A482" s="73">
        <f>IF(Materiales!$A$481="","",Materiales!$A$481)</f>
        <v/>
      </c>
      <c r="B482" s="60">
        <f>IF(Materiales!$B$481="","",Materiales!$B$481)</f>
        <v/>
      </c>
      <c r="C482" s="73">
        <f>IF(Materiales!$C$481="","",Materiales!$C$481)</f>
        <v/>
      </c>
      <c r="D482" s="74">
        <f>IF(Materiales!$D$481="","",Materiales!$D$481)</f>
        <v/>
      </c>
      <c r="E482" s="75">
        <f>IF($A482="","",MRP!E3349)</f>
        <v/>
      </c>
      <c r="F482" s="75">
        <f>IF($A482="","",MRP!F3349)</f>
        <v/>
      </c>
      <c r="G482" s="75">
        <f>IF($A482="","",MRP!G3349)</f>
        <v/>
      </c>
      <c r="H482" s="75">
        <f>IF($A482="","",MRP!H3349)</f>
        <v/>
      </c>
      <c r="I482" s="75">
        <f>IF($A482="","",MRP!I3349)</f>
        <v/>
      </c>
      <c r="J482" s="75">
        <f>IF($A482="","",MRP!J3349)</f>
        <v/>
      </c>
      <c r="K482" s="75">
        <f>IF($A482="","",MRP!K3349)</f>
        <v/>
      </c>
      <c r="L482" s="75">
        <f>IF($A482="","",MRP!L3349)</f>
        <v/>
      </c>
      <c r="M482" s="76">
        <f>IF($A482="","",SUM(E482:L482))</f>
        <v/>
      </c>
      <c r="N482" s="77">
        <f>IF(ISNUMBER(D482),M482*D482,"")</f>
        <v/>
      </c>
      <c r="O482" s="78">
        <f>MRP!M3349</f>
        <v/>
      </c>
    </row>
    <row r="483">
      <c r="A483" s="73">
        <f>IF(Materiales!$A$482="","",Materiales!$A$482)</f>
        <v/>
      </c>
      <c r="B483" s="60">
        <f>IF(Materiales!$B$482="","",Materiales!$B$482)</f>
        <v/>
      </c>
      <c r="C483" s="73">
        <f>IF(Materiales!$C$482="","",Materiales!$C$482)</f>
        <v/>
      </c>
      <c r="D483" s="74">
        <f>IF(Materiales!$D$482="","",Materiales!$D$482)</f>
        <v/>
      </c>
      <c r="E483" s="75">
        <f>IF($A483="","",MRP!E3356)</f>
        <v/>
      </c>
      <c r="F483" s="75">
        <f>IF($A483="","",MRP!F3356)</f>
        <v/>
      </c>
      <c r="G483" s="75">
        <f>IF($A483="","",MRP!G3356)</f>
        <v/>
      </c>
      <c r="H483" s="75">
        <f>IF($A483="","",MRP!H3356)</f>
        <v/>
      </c>
      <c r="I483" s="75">
        <f>IF($A483="","",MRP!I3356)</f>
        <v/>
      </c>
      <c r="J483" s="75">
        <f>IF($A483="","",MRP!J3356)</f>
        <v/>
      </c>
      <c r="K483" s="75">
        <f>IF($A483="","",MRP!K3356)</f>
        <v/>
      </c>
      <c r="L483" s="75">
        <f>IF($A483="","",MRP!L3356)</f>
        <v/>
      </c>
      <c r="M483" s="76">
        <f>IF($A483="","",SUM(E483:L483))</f>
        <v/>
      </c>
      <c r="N483" s="77">
        <f>IF(ISNUMBER(D483),M483*D483,"")</f>
        <v/>
      </c>
      <c r="O483" s="78">
        <f>MRP!M3356</f>
        <v/>
      </c>
    </row>
    <row r="484">
      <c r="A484" s="73">
        <f>IF(Materiales!$A$483="","",Materiales!$A$483)</f>
        <v/>
      </c>
      <c r="B484" s="60">
        <f>IF(Materiales!$B$483="","",Materiales!$B$483)</f>
        <v/>
      </c>
      <c r="C484" s="73">
        <f>IF(Materiales!$C$483="","",Materiales!$C$483)</f>
        <v/>
      </c>
      <c r="D484" s="74">
        <f>IF(Materiales!$D$483="","",Materiales!$D$483)</f>
        <v/>
      </c>
      <c r="E484" s="75">
        <f>IF($A484="","",MRP!E3363)</f>
        <v/>
      </c>
      <c r="F484" s="75">
        <f>IF($A484="","",MRP!F3363)</f>
        <v/>
      </c>
      <c r="G484" s="75">
        <f>IF($A484="","",MRP!G3363)</f>
        <v/>
      </c>
      <c r="H484" s="75">
        <f>IF($A484="","",MRP!H3363)</f>
        <v/>
      </c>
      <c r="I484" s="75">
        <f>IF($A484="","",MRP!I3363)</f>
        <v/>
      </c>
      <c r="J484" s="75">
        <f>IF($A484="","",MRP!J3363)</f>
        <v/>
      </c>
      <c r="K484" s="75">
        <f>IF($A484="","",MRP!K3363)</f>
        <v/>
      </c>
      <c r="L484" s="75">
        <f>IF($A484="","",MRP!L3363)</f>
        <v/>
      </c>
      <c r="M484" s="76">
        <f>IF($A484="","",SUM(E484:L484))</f>
        <v/>
      </c>
      <c r="N484" s="77">
        <f>IF(ISNUMBER(D484),M484*D484,"")</f>
        <v/>
      </c>
      <c r="O484" s="78">
        <f>MRP!M3363</f>
        <v/>
      </c>
    </row>
    <row r="485">
      <c r="A485" s="73">
        <f>IF(Materiales!$A$484="","",Materiales!$A$484)</f>
        <v/>
      </c>
      <c r="B485" s="60">
        <f>IF(Materiales!$B$484="","",Materiales!$B$484)</f>
        <v/>
      </c>
      <c r="C485" s="73">
        <f>IF(Materiales!$C$484="","",Materiales!$C$484)</f>
        <v/>
      </c>
      <c r="D485" s="74">
        <f>IF(Materiales!$D$484="","",Materiales!$D$484)</f>
        <v/>
      </c>
      <c r="E485" s="75">
        <f>IF($A485="","",MRP!E3370)</f>
        <v/>
      </c>
      <c r="F485" s="75">
        <f>IF($A485="","",MRP!F3370)</f>
        <v/>
      </c>
      <c r="G485" s="75">
        <f>IF($A485="","",MRP!G3370)</f>
        <v/>
      </c>
      <c r="H485" s="75">
        <f>IF($A485="","",MRP!H3370)</f>
        <v/>
      </c>
      <c r="I485" s="75">
        <f>IF($A485="","",MRP!I3370)</f>
        <v/>
      </c>
      <c r="J485" s="75">
        <f>IF($A485="","",MRP!J3370)</f>
        <v/>
      </c>
      <c r="K485" s="75">
        <f>IF($A485="","",MRP!K3370)</f>
        <v/>
      </c>
      <c r="L485" s="75">
        <f>IF($A485="","",MRP!L3370)</f>
        <v/>
      </c>
      <c r="M485" s="76">
        <f>IF($A485="","",SUM(E485:L485))</f>
        <v/>
      </c>
      <c r="N485" s="77">
        <f>IF(ISNUMBER(D485),M485*D485,"")</f>
        <v/>
      </c>
      <c r="O485" s="78">
        <f>MRP!M3370</f>
        <v/>
      </c>
    </row>
    <row r="486">
      <c r="A486" s="79" t="inlineStr">
        <is>
          <t>TOTAL A COMPRAR EN EL HORIZONTE</t>
        </is>
      </c>
      <c r="E486" s="80">
        <f>SUM(E5:E485)</f>
        <v/>
      </c>
      <c r="F486" s="80">
        <f>SUM(F5:F485)</f>
        <v/>
      </c>
      <c r="G486" s="80">
        <f>SUM(G5:G485)</f>
        <v/>
      </c>
      <c r="H486" s="80">
        <f>SUM(H5:H485)</f>
        <v/>
      </c>
      <c r="I486" s="80">
        <f>SUM(I5:I485)</f>
        <v/>
      </c>
      <c r="J486" s="80">
        <f>SUM(J5:J485)</f>
        <v/>
      </c>
      <c r="K486" s="80">
        <f>SUM(K5:K485)</f>
        <v/>
      </c>
      <c r="L486" s="80">
        <f>SUM(L5:L485)</f>
        <v/>
      </c>
      <c r="M486" s="80">
        <f>SUM(M5:M485)</f>
        <v/>
      </c>
      <c r="N486" s="81">
        <f>SUM(N5:N485)</f>
        <v/>
      </c>
      <c r="O486" s="82" t="n"/>
    </row>
  </sheetData>
  <autoFilter ref="A4:O485"/>
  <mergeCells count="3">
    <mergeCell ref="A486:D486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2026-08-24T01:10:51Z</dcterms:created>
  <dcterms:modified xsi:type="dcterms:W3CDTF">2026-08-24T01:10:56Z</dcterms:modified>
</cp:coreProperties>
</file>